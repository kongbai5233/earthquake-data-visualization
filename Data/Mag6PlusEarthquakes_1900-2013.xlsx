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Kong\Desktop\homework\D3\course_design\Data\"/>
    </mc:Choice>
  </mc:AlternateContent>
  <xr:revisionPtr revIDLastSave="0" documentId="13_ncr:1_{09465CE1-5CFC-4D8B-9252-E4E75D80B9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24" i="1" l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2" i="1"/>
  <c r="F2" i="1"/>
  <c r="H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3" i="1"/>
  <c r="H4" i="1"/>
  <c r="H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<sst xmlns="http://schemas.openxmlformats.org/spreadsheetml/2006/main" count="16610" uniqueCount="778">
  <si>
    <t>latitude</t>
  </si>
  <si>
    <t>longitude</t>
  </si>
  <si>
    <t>magType</t>
  </si>
  <si>
    <t>mww</t>
  </si>
  <si>
    <t>mwp</t>
  </si>
  <si>
    <t>mwb</t>
  </si>
  <si>
    <t>Mw</t>
  </si>
  <si>
    <t>mwc</t>
  </si>
  <si>
    <t>Mwb</t>
  </si>
  <si>
    <t>Mww</t>
  </si>
  <si>
    <t>Mwp</t>
  </si>
  <si>
    <t>Mt</t>
  </si>
  <si>
    <t>Mwc</t>
  </si>
  <si>
    <t>mb</t>
  </si>
  <si>
    <t>ms</t>
  </si>
  <si>
    <t>mwr</t>
  </si>
  <si>
    <t>mw</t>
  </si>
  <si>
    <t>uk</t>
  </si>
  <si>
    <t>mj</t>
  </si>
  <si>
    <t>Date</t>
  </si>
  <si>
    <t>Year</t>
    <phoneticPr fontId="18" type="noConversion"/>
  </si>
  <si>
    <t>80km WNW of Iquique, Chile</t>
  </si>
  <si>
    <t>60km WNW of Iquique, Chile</t>
  </si>
  <si>
    <t>6km W of Sechura, Peru</t>
  </si>
  <si>
    <t>25km S of Paracas, Peru</t>
  </si>
  <si>
    <t>15km NNE of Kunisaki-shi, Japan</t>
  </si>
  <si>
    <t>180km SE of Lorengau, Papua New Guinea</t>
  </si>
  <si>
    <t>East of the South Sandwich Islands</t>
  </si>
  <si>
    <t>77km WNW of Ferndale, California</t>
  </si>
  <si>
    <t>262km ESE of Sola, Vanuatu</t>
  </si>
  <si>
    <t>110km NW of Nago, Japan</t>
  </si>
  <si>
    <t>33km SW of Jiquilillo, Nicaragua</t>
  </si>
  <si>
    <t>138km NNW of Amukta Island, Alaska</t>
  </si>
  <si>
    <t>170km NNE of Bathsheba, Barbados</t>
  </si>
  <si>
    <t>272km ESE of Hotan, China</t>
  </si>
  <si>
    <t>122km WNW of Panguna, Papua New Guinea</t>
  </si>
  <si>
    <t>34km E of Port-Olry, Vanuatu</t>
  </si>
  <si>
    <t>7km NNW of Lixourion, Greece</t>
  </si>
  <si>
    <t>189km SSE of L'Esperance Rock, New Zealand</t>
  </si>
  <si>
    <t xml:space="preserve">16km SSW of Visokoi Island, </t>
  </si>
  <si>
    <t>1km E of Lixourion, Greece</t>
  </si>
  <si>
    <t>38km SSE of Adipala, Indonesia</t>
  </si>
  <si>
    <t>133km NW of Hihifo, Tonga</t>
  </si>
  <si>
    <t>35km NNE of Masterton, New Zealand</t>
  </si>
  <si>
    <t>61km N of Hatillo, Puerto Rico</t>
  </si>
  <si>
    <t>32km W of Sola, Vanuatu</t>
  </si>
  <si>
    <t>198km E of Farallon de Pajaros, Northern Mariana Islands</t>
  </si>
  <si>
    <t>134km SE of Kuril'sk, Russia</t>
  </si>
  <si>
    <t>69km SE of Sinabang, Indonesia</t>
  </si>
  <si>
    <t>Kepulauan Barat Daya, Indonesia</t>
  </si>
  <si>
    <t>South Atlantic Ocean</t>
  </si>
  <si>
    <t>Falkland Islands region</t>
  </si>
  <si>
    <t>247km E of Kuril'sk, Russia</t>
  </si>
  <si>
    <t>Fiji region</t>
  </si>
  <si>
    <t>58km WSW of Agrihan, Northern Mariana Islands</t>
  </si>
  <si>
    <t>111km NNE of Tobelo, Indonesia</t>
  </si>
  <si>
    <t>Scotia Sea</t>
  </si>
  <si>
    <t>172km S of Ust'-Kamchatsk Staryy, Russia</t>
  </si>
  <si>
    <t>152km ESE of Neiafu, Tonga</t>
  </si>
  <si>
    <t>Easter Island region</t>
  </si>
  <si>
    <t>41km SSW of Coquimbo, Chile</t>
  </si>
  <si>
    <t>46km SSW of Hualian, Taiwan</t>
  </si>
  <si>
    <t>88km W of Constitucion, Chile</t>
  </si>
  <si>
    <t>Off the east coast of Honshu, Japan</t>
  </si>
  <si>
    <t>283km SW of Vaini, Tonga</t>
  </si>
  <si>
    <t>99km SW of Etchoropo, Mexico</t>
  </si>
  <si>
    <t>62km WSW of Panguna, Papua New Guinea</t>
  </si>
  <si>
    <t>4km SE of Sagbayan, Philippines</t>
  </si>
  <si>
    <t>31km W of Platanos, Greece</t>
  </si>
  <si>
    <t>36km N of Gueiria, Venezuela</t>
  </si>
  <si>
    <t>94km NNE of L'Esperance Rock, New Zealand</t>
  </si>
  <si>
    <t>West Chile Rise</t>
  </si>
  <si>
    <t>Mariana Islands region</t>
  </si>
  <si>
    <t xml:space="preserve">113km SE of Amsterdam Island, </t>
  </si>
  <si>
    <t>Sea of Okhotsk</t>
  </si>
  <si>
    <t>78km NE of L'Esperance Rock, New Zealand</t>
  </si>
  <si>
    <t>85km NNE of Awaran, Pakistan</t>
  </si>
  <si>
    <t>46km SSE of Acari, Peru</t>
  </si>
  <si>
    <t>Southern East Pacific Rise</t>
  </si>
  <si>
    <t>61km NNE of Awaran, Pakistan</t>
  </si>
  <si>
    <t>111km NNW of Nggilat, Indonesia</t>
  </si>
  <si>
    <t>77km SSW of Atka, Alaska</t>
  </si>
  <si>
    <t>Central East Pacific Rise</t>
  </si>
  <si>
    <t>7km SSE of Ciudad Tecun Uman, Guatemala</t>
  </si>
  <si>
    <t>Northern Mid-Atlantic Ridge</t>
  </si>
  <si>
    <t>82km SSW of Atka, Alaska</t>
  </si>
  <si>
    <t>81km SSW of Atka, Alaska</t>
  </si>
  <si>
    <t>182km SW of Bella Bella, Canada</t>
  </si>
  <si>
    <t>Izu Islands, Japan region</t>
  </si>
  <si>
    <t>187km WSW of Bella Bella, Canada</t>
  </si>
  <si>
    <t>118km SSW of Atka, Alaska</t>
  </si>
  <si>
    <t>101km SW of Atka, Alaska</t>
  </si>
  <si>
    <t>292km NW of Raoul Island, New Zealand</t>
  </si>
  <si>
    <t>18km WNW of San Marcos, Mexico</t>
  </si>
  <si>
    <t>Southwest Indian Ridge</t>
  </si>
  <si>
    <t>29km SE of Blenheim, New Zealand</t>
  </si>
  <si>
    <t>101km WSW of Mutis, Colombia</t>
  </si>
  <si>
    <t>96km WSW of Paita, Peru</t>
  </si>
  <si>
    <t>116km NW of L'Esperance Rock, New Zealand</t>
  </si>
  <si>
    <t>189km WNW of Saumlaki, Indonesia</t>
  </si>
  <si>
    <t>82km NNE of Hihifo, Tonga</t>
  </si>
  <si>
    <t>199km NE of Bristol Island, South Sandwich Islands</t>
  </si>
  <si>
    <t>58km ENE of Luganville, Vanuatu</t>
  </si>
  <si>
    <t>244km WNW of Marion Island, Prince Edward Islands</t>
  </si>
  <si>
    <t>46km ESE of Blenheim, New Zealand</t>
  </si>
  <si>
    <t>18km W of Chivay, Peru</t>
  </si>
  <si>
    <t>77km W of Panguna, Papua New Guinea</t>
  </si>
  <si>
    <t>218km SSE of Bristol Island, South Sandwich Islands</t>
  </si>
  <si>
    <t>29km NE of Kandrian, Papua New Guinea</t>
  </si>
  <si>
    <t>115km ENE of Taron, Papua New Guinea</t>
  </si>
  <si>
    <t>157km SW of Sungaipenuh, Indonesia</t>
  </si>
  <si>
    <t>81km SSE of Panguna, Papua New Guinea</t>
  </si>
  <si>
    <t>55km S of Bireun, Indonesia</t>
  </si>
  <si>
    <t>81km S of Pirgos, Greece</t>
  </si>
  <si>
    <t>46km W of Masachapa, Nicaragua</t>
  </si>
  <si>
    <t>61km S of Pirgos, Greece</t>
  </si>
  <si>
    <t>South of the Kermadec Islands</t>
  </si>
  <si>
    <t>177km ENE of Flying Fish Cove, Christmas Island</t>
  </si>
  <si>
    <t>91km SSE of Lata, Solomon Islands</t>
  </si>
  <si>
    <t>25km SE of Buli, Taiwan</t>
  </si>
  <si>
    <t>86km NW of Nuku`alofa, Tonga</t>
  </si>
  <si>
    <t>282km SW of Vaini, Tonga</t>
  </si>
  <si>
    <t>122km SE of Petropavlovsk-Kamchatskiy, Russia</t>
  </si>
  <si>
    <t>139km ESE of Petropavlovsk-Kamchatskiy, Russia</t>
  </si>
  <si>
    <t>Off the coast of Aisen, Chile</t>
  </si>
  <si>
    <t>50km NE of Namie, Japan</t>
  </si>
  <si>
    <t>40km W of Agrihan, Northern Mariana Islands</t>
  </si>
  <si>
    <t>140km WNW of Neiafu, Tonga</t>
  </si>
  <si>
    <t>94km SE of Minab, Iran</t>
  </si>
  <si>
    <t>239km NNE of Ceva-i-Ra, Fiji</t>
  </si>
  <si>
    <t>115km WNW of Raoul Island, New Zealand</t>
  </si>
  <si>
    <t>118km WNW of Raoul Island, New Zealand</t>
  </si>
  <si>
    <t>31km N of Rabaul, Papua New Guinea</t>
  </si>
  <si>
    <t>20km NNW of La Union, Mexico</t>
  </si>
  <si>
    <t>97km SE of Severo-Kuril'sk, Russia</t>
  </si>
  <si>
    <t>56km WSW of Linqiong, China</t>
  </si>
  <si>
    <t>135km SE of Severo-Kuril'sk, Russia</t>
  </si>
  <si>
    <t>251km ENE of Kuril'sk, Russia</t>
  </si>
  <si>
    <t>23km ESE of Aitape, Papua New Guinea</t>
  </si>
  <si>
    <t>83km E of Khash, Iran</t>
  </si>
  <si>
    <t>98km W of Panguna, Papua New Guinea</t>
  </si>
  <si>
    <t>53km NNE of Isangel, Vanuatu</t>
  </si>
  <si>
    <t>89km SE of Bandar Bushehr, Iran</t>
  </si>
  <si>
    <t>240km E of Enarotali, Indonesia</t>
  </si>
  <si>
    <t>9km N of Zarubino, Russia</t>
  </si>
  <si>
    <t>108km E of Miyako, Japan</t>
  </si>
  <si>
    <t>6km ENE of Santa Catarina Pinula, Guatemala</t>
  </si>
  <si>
    <t>167km NW of Ceva-i-Ra, Fiji</t>
  </si>
  <si>
    <t>32km E of Finschhafen, Papua New Guinea</t>
  </si>
  <si>
    <t>89km SE of Ozernovskiy, Russia</t>
  </si>
  <si>
    <t>93km SE of Ozernovskiy, Russia</t>
  </si>
  <si>
    <t>84km SE of Ozernovskiy, Russia</t>
  </si>
  <si>
    <t>23km ESE of Suncho Corral, Argentina</t>
  </si>
  <si>
    <t>16km SE of Caburan, Philippines</t>
  </si>
  <si>
    <t>135km WSW of Druzhina, Russia</t>
  </si>
  <si>
    <t>48km WSW of Lata, Solomon Islands</t>
  </si>
  <si>
    <t>25km S of Lata, Solomon Islands</t>
  </si>
  <si>
    <t>2km N of Yacuanquer, Colombia</t>
  </si>
  <si>
    <t>31km SE of Lata, Solomon Islands</t>
  </si>
  <si>
    <t>21km SSE of Lata, Solomon Islands</t>
  </si>
  <si>
    <t>36km SSW of Lata, Solomon Islands</t>
  </si>
  <si>
    <t>142km SW of Lata, Solomon Islands</t>
  </si>
  <si>
    <t>59km S of Lata, Solomon Islands</t>
  </si>
  <si>
    <t>117km W of Lata, Solomon Islands</t>
  </si>
  <si>
    <t>144km W of Lata, Solomon Islands</t>
  </si>
  <si>
    <t>27km NNW of Lata, Solomon Islands</t>
  </si>
  <si>
    <t>114km WSW of Lata, Solomon Islands</t>
  </si>
  <si>
    <t>76km W of Lata, Solomon Islands</t>
  </si>
  <si>
    <t>66km WSW of Lata, Solomon Islands</t>
  </si>
  <si>
    <t>67km WSW of Lata, Solomon Islands</t>
  </si>
  <si>
    <t>19km SSW of Obihiro, Japan</t>
  </si>
  <si>
    <t>66km SW of Lata, Solomon Islands</t>
  </si>
  <si>
    <t>53km WSW of Lata, Solomon Islands</t>
  </si>
  <si>
    <t>53km SW of Lata, Solomon Islands</t>
  </si>
  <si>
    <t>60km E of Lata, Solomon Islands</t>
  </si>
  <si>
    <t>59km E of Lata, Solomon Islands</t>
  </si>
  <si>
    <t>56km NNE of Vallenar, Chile</t>
  </si>
  <si>
    <t>60km SE of Kegen, Kazakhstan</t>
  </si>
  <si>
    <t>47km SSW of Sigli, Indonesia</t>
  </si>
  <si>
    <t>Pacific-Antarctic Ridge</t>
  </si>
  <si>
    <t>Southeastern Alaska</t>
  </si>
  <si>
    <t>Vanuatu</t>
  </si>
  <si>
    <t>Sulawesi, Indonesia</t>
  </si>
  <si>
    <t>New Ireland region, Papua New Guinea</t>
  </si>
  <si>
    <t>Near Islands, Aleutian Islands, Alaska</t>
  </si>
  <si>
    <t>off the west coast of Baja California</t>
  </si>
  <si>
    <t>Molucca Sea</t>
  </si>
  <si>
    <t>Banda Sea</t>
  </si>
  <si>
    <t>North Island of New Zealand</t>
  </si>
  <si>
    <t>off the east coast of Honshu, Japan</t>
  </si>
  <si>
    <t>New Britain region, Papua New Guinea</t>
  </si>
  <si>
    <t>Kuril Islands</t>
  </si>
  <si>
    <t>Guerrero, Mexico</t>
  </si>
  <si>
    <t>Coquimbo, Chile</t>
  </si>
  <si>
    <t>off the coast of Aisen, Chile</t>
  </si>
  <si>
    <t>Gulf of Alaska</t>
  </si>
  <si>
    <t>offshore Guatemala</t>
  </si>
  <si>
    <t>Myanmar</t>
  </si>
  <si>
    <t>central Peru</t>
  </si>
  <si>
    <t>Vancouver Island, Canada region</t>
  </si>
  <si>
    <t>Mindanao, Philippines</t>
  </si>
  <si>
    <t>Haida Gwaii, Canada</t>
  </si>
  <si>
    <t>Costa Rica</t>
  </si>
  <si>
    <t>Celebes Sea</t>
  </si>
  <si>
    <t>near the south coast of Papua, Indonesia</t>
  </si>
  <si>
    <t>west of Macquarie Island</t>
  </si>
  <si>
    <t>Colombia</t>
  </si>
  <si>
    <t>Andreanof Islands, Aleutian Islands, Alaska</t>
  </si>
  <si>
    <t>Baja California Sur, Mexico</t>
  </si>
  <si>
    <t>Kepulauan Mentawai region, Indonesia</t>
  </si>
  <si>
    <t>Papua, Indonesia</t>
  </si>
  <si>
    <t>Santa Cruz Islands</t>
  </si>
  <si>
    <t>south of Java, Indonesia</t>
  </si>
  <si>
    <t>Philippine Islands region</t>
  </si>
  <si>
    <t>Jan Mayen Island region</t>
  </si>
  <si>
    <t>off the coast of El Salvador</t>
  </si>
  <si>
    <t>near the north coast of New Guinea, Papua New Guinea</t>
  </si>
  <si>
    <t>Xinjiang-Xizang border region</t>
  </si>
  <si>
    <t>northwestern Iran</t>
  </si>
  <si>
    <t>Fox Islands, Aleutian Islands, Alaska</t>
  </si>
  <si>
    <t>Mauritius - Reunion region</t>
  </si>
  <si>
    <t>Solomon Islands</t>
  </si>
  <si>
    <t>Simeulue, Indonesia</t>
  </si>
  <si>
    <t>Cook Strait, New Zealand</t>
  </si>
  <si>
    <t>northern Xinjiang, China</t>
  </si>
  <si>
    <t>near the east coast of the Kamchatka Peninsula, Russia</t>
  </si>
  <si>
    <t>northern Sumatra, Indonesia</t>
  </si>
  <si>
    <t>near the east coast of Honshu, Japan</t>
  </si>
  <si>
    <t>Dodecanese Islands, Greece</t>
  </si>
  <si>
    <t>southern Peru</t>
  </si>
  <si>
    <t>Maule, Chile</t>
  </si>
  <si>
    <t>south of Panama</t>
  </si>
  <si>
    <t>Santiago Del Estero, Argentina</t>
  </si>
  <si>
    <t>Bonin Islands, Japan region</t>
  </si>
  <si>
    <t>Norwegian Sea</t>
  </si>
  <si>
    <t>western Indian-Antarctic Ridge</t>
  </si>
  <si>
    <t>northern Italy</t>
  </si>
  <si>
    <t>Tarapaca, Chile</t>
  </si>
  <si>
    <t>offshore Chiapas, Mexico</t>
  </si>
  <si>
    <t>Tonga</t>
  </si>
  <si>
    <t>Kermadec Islands region</t>
  </si>
  <si>
    <t>near the north coast of Papua, Indonesia</t>
  </si>
  <si>
    <t>east of the South Sandwich Islands</t>
  </si>
  <si>
    <t>eastern New Guinea region, Papua New Guinea</t>
  </si>
  <si>
    <t>Valparaiso, Chile</t>
  </si>
  <si>
    <t>off the west coast of northern Sumatra</t>
  </si>
  <si>
    <t>Drake Passage</t>
  </si>
  <si>
    <t>Baja California, Mexico</t>
  </si>
  <si>
    <t>Michoacan, Mexico</t>
  </si>
  <si>
    <t>off the coast of Oregon</t>
  </si>
  <si>
    <t>North Indian Ocean</t>
  </si>
  <si>
    <t>Oaxaca, Mexico</t>
  </si>
  <si>
    <t>northern East Pacific Rise</t>
  </si>
  <si>
    <t>New Guinea, Papua New Guinea</t>
  </si>
  <si>
    <t>southeast of the Loyalty Islands</t>
  </si>
  <si>
    <t>southwestern Siberia, Russia</t>
  </si>
  <si>
    <t>south of the Fiji Islands</t>
  </si>
  <si>
    <t>Negros - Cebu region, Philippines</t>
  </si>
  <si>
    <t>near the coast of central Peru</t>
  </si>
  <si>
    <t>offshore Bio-Bio, Chile</t>
  </si>
  <si>
    <t>South Sandwich Islands region</t>
  </si>
  <si>
    <t>South Shetland Islands</t>
  </si>
  <si>
    <t>south of the Kermadec Islands</t>
  </si>
  <si>
    <t>Minahasa, Sulawesi, Indonesia</t>
  </si>
  <si>
    <t>Atacama, Chile</t>
  </si>
  <si>
    <t>Hokkaido, Japan region</t>
  </si>
  <si>
    <t>Beni, Bolivia</t>
  </si>
  <si>
    <t>off the coast of Ecuador</t>
  </si>
  <si>
    <t>southern East Pacific Rise</t>
  </si>
  <si>
    <t>northeast of Taiwan</t>
  </si>
  <si>
    <t>Nicaragua</t>
  </si>
  <si>
    <t>Revilla Gigedo Islands region</t>
  </si>
  <si>
    <t>eastern Turkey</t>
  </si>
  <si>
    <t>Amurskaya Oblast', Russia</t>
  </si>
  <si>
    <t>south of Bali, Indonesia</t>
  </si>
  <si>
    <t>Sikkim, India</t>
  </si>
  <si>
    <t>east of the North Island of New Zealand</t>
  </si>
  <si>
    <t>northern Peru</t>
  </si>
  <si>
    <t>Sunda Strait, Indonesia</t>
  </si>
  <si>
    <t>Ceram Sea, Indonesia</t>
  </si>
  <si>
    <t>Ascension Island region</t>
  </si>
  <si>
    <t>Vanuatu region</t>
  </si>
  <si>
    <t>Gulf of California</t>
  </si>
  <si>
    <t>Balleny Islands region</t>
  </si>
  <si>
    <t>Kyrgyzstan</t>
  </si>
  <si>
    <t>Alaska Peninsula</t>
  </si>
  <si>
    <t>offshore Valparaiso, Chile</t>
  </si>
  <si>
    <t>Negros, Philippines</t>
  </si>
  <si>
    <t>Kermadec Islands, New Zealand</t>
  </si>
  <si>
    <t>Antofagasta, Chile</t>
  </si>
  <si>
    <t>Bougainville region, Papua New Guinea</t>
  </si>
  <si>
    <t>central Mid-Atlantic Ridge</t>
  </si>
  <si>
    <t>Loyalty Islands, New Caledonia</t>
  </si>
  <si>
    <t>eastern Honshu, Japan</t>
  </si>
  <si>
    <t>Veracruz, Mexico</t>
  </si>
  <si>
    <t>Nias region, Indonesia</t>
  </si>
  <si>
    <t>Crete, Greece</t>
  </si>
  <si>
    <t>Luzon, Philippines</t>
  </si>
  <si>
    <t>near the west coast of Honshu, Japan</t>
  </si>
  <si>
    <t>Bali Sea</t>
  </si>
  <si>
    <t>South Island of New Zealand</t>
  </si>
  <si>
    <t>offshore Maule, Chile</t>
  </si>
  <si>
    <t>Bio-Bio, Chile</t>
  </si>
  <si>
    <t>Myanmar-India border region</t>
  </si>
  <si>
    <t>Tonga region</t>
  </si>
  <si>
    <t>southeastern Iran</t>
  </si>
  <si>
    <t>Tajikistan</t>
  </si>
  <si>
    <t>southwestern Pakistan</t>
  </si>
  <si>
    <t>southern Sumatra, Indonesia</t>
  </si>
  <si>
    <t>Araucania, Chile</t>
  </si>
  <si>
    <t>southeast Indian Ridge</t>
  </si>
  <si>
    <t>Halmahera, Indonesia</t>
  </si>
  <si>
    <t>southwestern Ryukyu Islands, Japan</t>
  </si>
  <si>
    <t>Kepulauan Kai, Indonesia</t>
  </si>
  <si>
    <t>Hindu Kush region, Afghanistan</t>
  </si>
  <si>
    <t>off the coast of Jalisco, Mexico</t>
  </si>
  <si>
    <t>Ecuador</t>
  </si>
  <si>
    <t>east of the Kuril Islands</t>
  </si>
  <si>
    <t>off the east coast of the Kamchatka Peninsula, Russia</t>
  </si>
  <si>
    <t>Moro Gulf, Mindanao, Philippines</t>
  </si>
  <si>
    <t>north of Halmahera, Indonesia</t>
  </si>
  <si>
    <t>south of the Mariana Islands</t>
  </si>
  <si>
    <t>Nicobar Islands, India region</t>
  </si>
  <si>
    <t>Andaman Islands, India region</t>
  </si>
  <si>
    <t>southeast of the Ryukyu Islands, Japan</t>
  </si>
  <si>
    <t>northern Mid-Atlantic Ridge</t>
  </si>
  <si>
    <t>Acre, Brazil</t>
  </si>
  <si>
    <t>near the coast of Tarapaca, Chile</t>
  </si>
  <si>
    <t>Bering Sea</t>
  </si>
  <si>
    <t>southeast of Taiwan</t>
  </si>
  <si>
    <t>Kepulauan Obi, Indonesia</t>
  </si>
  <si>
    <t>southern Qinghai, China</t>
  </si>
  <si>
    <t>Strait of Gibraltar</t>
  </si>
  <si>
    <t>Mindoro, Philippines</t>
  </si>
  <si>
    <t>Libertador General Bernardo O'Higgins, Chile</t>
  </si>
  <si>
    <t>Maug Islands region, Northern Mariana Islands</t>
  </si>
  <si>
    <t>Taiwan</t>
  </si>
  <si>
    <t>Salta, Argentina</t>
  </si>
  <si>
    <t>off the coast of Bio-Bio, Chile</t>
  </si>
  <si>
    <t>San Juan, Argentina</t>
  </si>
  <si>
    <t>Ryukyu Islands, Japan</t>
  </si>
  <si>
    <t>China-Russia-North Korea border region</t>
  </si>
  <si>
    <t>Haiti region</t>
  </si>
  <si>
    <t>offshore Northern California</t>
  </si>
  <si>
    <t>Primor'ye, Russia</t>
  </si>
  <si>
    <t>Malawi</t>
  </si>
  <si>
    <t>south of Sumbawa, Indonesia</t>
  </si>
  <si>
    <t>Jujuy, Argentina</t>
  </si>
  <si>
    <t>Fiji</t>
  </si>
  <si>
    <t>Sumbawa region, Indonesia</t>
  </si>
  <si>
    <t>Macquarie Island region</t>
  </si>
  <si>
    <t>south of Tonga</t>
  </si>
  <si>
    <t>Samoa Islands region</t>
  </si>
  <si>
    <t>Galapagos Triple Junction region</t>
  </si>
  <si>
    <t>Bhutan</t>
  </si>
  <si>
    <t>offshore Carabobo, Venezuela</t>
  </si>
  <si>
    <t>Georgia (Sak'art'velo)</t>
  </si>
  <si>
    <t>Kyushu, Japan</t>
  </si>
  <si>
    <t>Java, Indonesia</t>
  </si>
  <si>
    <t>northern Qinghai, China</t>
  </si>
  <si>
    <t>near the south coast of Honshu, Japan</t>
  </si>
  <si>
    <t>off the west coast of the South Island of New Zealand</t>
  </si>
  <si>
    <t>Sonora, Mexico</t>
  </si>
  <si>
    <t>Taiwan region</t>
  </si>
  <si>
    <t>southeast of Easter Island</t>
  </si>
  <si>
    <t>Baffin Bay</t>
  </si>
  <si>
    <t>Rat Islands, Aleutian Islands, Alaska</t>
  </si>
  <si>
    <t>Panama</t>
  </si>
  <si>
    <t>Bouvet Island region</t>
  </si>
  <si>
    <t>Prince Edward Islands region</t>
  </si>
  <si>
    <t>offshore Honduras</t>
  </si>
  <si>
    <t>Guatemala</t>
  </si>
  <si>
    <t>Kepulauan Talaud, Indonesia</t>
  </si>
  <si>
    <t>central Italy</t>
  </si>
  <si>
    <t>Kodiak Island region, Alaska</t>
  </si>
  <si>
    <t>north of Svalbard</t>
  </si>
  <si>
    <t>near the coast of northern Peru</t>
  </si>
  <si>
    <t>Mid-Indian Ridge</t>
  </si>
  <si>
    <t>north of Ascension Island</t>
  </si>
  <si>
    <t>Panama-Costa Rica border region</t>
  </si>
  <si>
    <t>Bismarck Sea</t>
  </si>
  <si>
    <t>central East Pacific Rise</t>
  </si>
  <si>
    <t>Pakistan</t>
  </si>
  <si>
    <t>Admiralty Islands region, Papua New Guinea</t>
  </si>
  <si>
    <t>Chuquisaca, Bolivia</t>
  </si>
  <si>
    <t>Virgin Islands region</t>
  </si>
  <si>
    <t>eastern Xizang</t>
  </si>
  <si>
    <t>central Afghanistan</t>
  </si>
  <si>
    <t>western Xizang</t>
  </si>
  <si>
    <t>off the coast of Colima, Mexico</t>
  </si>
  <si>
    <t>southern Iran</t>
  </si>
  <si>
    <t>Sichuan-Yunnan border region, China</t>
  </si>
  <si>
    <t>Lake Baykal region, Russia</t>
  </si>
  <si>
    <t>Myanmar-China border region</t>
  </si>
  <si>
    <t>Samar, Philippines</t>
  </si>
  <si>
    <t>Sichuan-Gansu border region, China</t>
  </si>
  <si>
    <t>Santa Cruz Islands region</t>
  </si>
  <si>
    <t>northeastern Sakha, Russia</t>
  </si>
  <si>
    <t>southern Greece</t>
  </si>
  <si>
    <t>Flores region, Indonesia</t>
  </si>
  <si>
    <t>Batan Islands region, Philippines</t>
  </si>
  <si>
    <t>Iceland</t>
  </si>
  <si>
    <t>eastern Sichuan, China</t>
  </si>
  <si>
    <t>Guam region</t>
  </si>
  <si>
    <t>Auckland Islands, New Zealand region</t>
  </si>
  <si>
    <t>Babuyan Islands region, Philippines</t>
  </si>
  <si>
    <t>Nevada</t>
  </si>
  <si>
    <t>Svalbard region</t>
  </si>
  <si>
    <t>Timor Sea</t>
  </si>
  <si>
    <t>Haida Gwaii Region, Canada</t>
  </si>
  <si>
    <t>off the east coast of the North Island of New Zealand</t>
  </si>
  <si>
    <t>Kepulauan Tanimbar, Indonesia</t>
  </si>
  <si>
    <t>Martinique region, Windward Islands</t>
  </si>
  <si>
    <t>near the coast of Antofagasta, Chile</t>
  </si>
  <si>
    <t>Peru-Ecuador border region</t>
  </si>
  <si>
    <t>north of Macquarie Island</t>
  </si>
  <si>
    <t>Pagan region, Northern Mariana Islands</t>
  </si>
  <si>
    <t>near the west coast of Colombia</t>
  </si>
  <si>
    <t>northwest of the Ryukyu Islands, Japan</t>
  </si>
  <si>
    <t>Tatar Strait, Russia</t>
  </si>
  <si>
    <t>Sea of Japan</t>
  </si>
  <si>
    <t>Chiapas, Mexico</t>
  </si>
  <si>
    <t>southern Mid-Atlantic Ridge</t>
  </si>
  <si>
    <t>Yunnan, China</t>
  </si>
  <si>
    <t>Kamchatka Peninsula, Russia</t>
  </si>
  <si>
    <t>Laos</t>
  </si>
  <si>
    <t>Aisen, Chile</t>
  </si>
  <si>
    <t>Azores Islands region</t>
  </si>
  <si>
    <t>off the coast of northern Peru</t>
  </si>
  <si>
    <t>Kepulauan Sula, Indonesia</t>
  </si>
  <si>
    <t>Azores-Cape St. Vincent Ridge</t>
  </si>
  <si>
    <t>Cuba region</t>
  </si>
  <si>
    <t>Carlsberg Ridge</t>
  </si>
  <si>
    <t>Seram, Indonesia</t>
  </si>
  <si>
    <t>Gulf of Aden</t>
  </si>
  <si>
    <t>Maui region, Hawaii</t>
  </si>
  <si>
    <t>Hawaii region, Hawaii</t>
  </si>
  <si>
    <t>offshore Sucre, Venezuela</t>
  </si>
  <si>
    <t>Flores Sea</t>
  </si>
  <si>
    <t>offshore Atacama, Chile</t>
  </si>
  <si>
    <t>near the east coast of Koryakskiy Avtonomnyy Okrug, Russia</t>
  </si>
  <si>
    <t>Koryakskiy Avtonomnyy Okrug, Russia</t>
  </si>
  <si>
    <t>offshore Coquimbo, Chile</t>
  </si>
  <si>
    <t>Komandorskiye Ostrova, Russia region</t>
  </si>
  <si>
    <t>western Iran</t>
  </si>
  <si>
    <t>Mozambique</t>
  </si>
  <si>
    <t>Lake Tanganyika region, Dem. Republic of the Congo-Tanzania</t>
  </si>
  <si>
    <t>Unimak Island region, Alaska</t>
  </si>
  <si>
    <t>near the coast of Nicaragua</t>
  </si>
  <si>
    <t>off the coast of Northern California</t>
  </si>
  <si>
    <t>southwest of Sumatra, Indonesia</t>
  </si>
  <si>
    <t>Kepulauan Batu, Indonesia</t>
  </si>
  <si>
    <t>north of Severnaya Zemlya</t>
  </si>
  <si>
    <t>central Iran</t>
  </si>
  <si>
    <t>Kyrgyzstan-Xinjiang border region</t>
  </si>
  <si>
    <t>Anatahan region, Northern Mariana Islands</t>
  </si>
  <si>
    <t>Rota region, Northern Mariana Islands</t>
  </si>
  <si>
    <t>near the coast of Ecuador</t>
  </si>
  <si>
    <t>State of Yap, Federated States of Micronesia</t>
  </si>
  <si>
    <t>Cayman Islands region</t>
  </si>
  <si>
    <t>Dominica region, Leeward Islands</t>
  </si>
  <si>
    <t>offshore El Salvador</t>
  </si>
  <si>
    <t>Kepulauan Alor, Indonesia</t>
  </si>
  <si>
    <t>18km N of Shandon, California</t>
  </si>
  <si>
    <t>Central California</t>
  </si>
  <si>
    <t>south of Africa</t>
  </si>
  <si>
    <t>Catamarca, Argentina</t>
  </si>
  <si>
    <t>near the south coast of western Honshu, Japan</t>
  </si>
  <si>
    <t>South Pacific Ocean</t>
  </si>
  <si>
    <t>off the coast of Costa Rica</t>
  </si>
  <si>
    <t>northern Iran</t>
  </si>
  <si>
    <t>Savu Sea</t>
  </si>
  <si>
    <t>Potosi, Bolivia</t>
  </si>
  <si>
    <t>South Indian Ocean</t>
  </si>
  <si>
    <t>offshore Guerrero, Mexico</t>
  </si>
  <si>
    <t>Kazakhstan-Xinjiang border region</t>
  </si>
  <si>
    <t>North Pacific Ocean</t>
  </si>
  <si>
    <t>Dominican Republic</t>
  </si>
  <si>
    <t>Greece</t>
  </si>
  <si>
    <t>Amazonas, Brazil</t>
  </si>
  <si>
    <t>northern Algeria</t>
  </si>
  <si>
    <t>North Atlantic Ocean</t>
  </si>
  <si>
    <t>southern Xinjiang, China</t>
  </si>
  <si>
    <t>offshore Colima, Mexico</t>
  </si>
  <si>
    <t>northwestern Kashmir</t>
  </si>
  <si>
    <t>northwest of the Kuril Islands</t>
  </si>
  <si>
    <t>South Georgia Island region</t>
  </si>
  <si>
    <t>Central Alaska</t>
  </si>
  <si>
    <t>Lac Kivu region, Congo-Rwanda-Uganda</t>
  </si>
  <si>
    <t>Heilongjiang, China</t>
  </si>
  <si>
    <t>Palau region</t>
  </si>
  <si>
    <t>Jilin-Heilongjiang border region, China</t>
  </si>
  <si>
    <t>La Rioja, Argentina</t>
  </si>
  <si>
    <t>south of Alaska</t>
  </si>
  <si>
    <t>western Turkey</t>
  </si>
  <si>
    <t>south of Australia</t>
  </si>
  <si>
    <t>off the coast of Sinaloa, Mexico</t>
  </si>
  <si>
    <t>Southern Alaska</t>
  </si>
  <si>
    <t>Aegean Sea</t>
  </si>
  <si>
    <t>near the coast of southern Peru</t>
  </si>
  <si>
    <t>Cochabamba, Bolivia</t>
  </si>
  <si>
    <t>off the coast of Valparaiso, Chile</t>
  </si>
  <si>
    <t>western Honshu, Japan</t>
  </si>
  <si>
    <t>Seattle-Tacoma urban area, Washington</t>
  </si>
  <si>
    <t>El Salvador</t>
  </si>
  <si>
    <t>Gujarat, India</t>
  </si>
  <si>
    <t>Kepulauan Aru region, Indonesia</t>
  </si>
  <si>
    <t>D'Entrecasteaux Islands region</t>
  </si>
  <si>
    <t>off the coast of Los Lagos, Chile</t>
  </si>
  <si>
    <t>Turkmenistan</t>
  </si>
  <si>
    <t>off the coast of Chiapas, Mexico</t>
  </si>
  <si>
    <t>Caspian Sea, offshore Azerbaijan</t>
  </si>
  <si>
    <t>Panama-Colombia border region</t>
  </si>
  <si>
    <t>Papua region, Indonesia</t>
  </si>
  <si>
    <t>Sakhalin, Russia</t>
  </si>
  <si>
    <t>Region Metropolitana, Chile</t>
  </si>
  <si>
    <t>southeast of Shikoku, Japan</t>
  </si>
  <si>
    <t>central Turkey</t>
  </si>
  <si>
    <t>Kepulauan Sangihe, Indonesia</t>
  </si>
  <si>
    <t>Volcano Islands, Japan region</t>
  </si>
  <si>
    <t>eastern Russia-northeastern China border region</t>
  </si>
  <si>
    <t>Southern California</t>
  </si>
  <si>
    <t>offshore Los Lagos, Chile</t>
  </si>
  <si>
    <t>Puebla, Mexico</t>
  </si>
  <si>
    <t>Uttaranchal, India</t>
  </si>
  <si>
    <t>Sulu Archipelago, Philippines</t>
  </si>
  <si>
    <t>Nepal</t>
  </si>
  <si>
    <t>Azores Islands, Portugal</t>
  </si>
  <si>
    <t>eastern Iran</t>
  </si>
  <si>
    <t>Reykjanes Ridge</t>
  </si>
  <si>
    <t>Tristan da Cunha region</t>
  </si>
  <si>
    <t>La Paz, Bolivia</t>
  </si>
  <si>
    <t>India-Bangladesh border region</t>
  </si>
  <si>
    <t>Ionian Sea</t>
  </si>
  <si>
    <t>Western Australia</t>
  </si>
  <si>
    <t>offshore Oaxaca, Mexico</t>
  </si>
  <si>
    <t>Sucre, Venezuela</t>
  </si>
  <si>
    <t>Tobago region, Trinidad and Tobago</t>
  </si>
  <si>
    <t>Azerbaijan-Iran border region</t>
  </si>
  <si>
    <t>Turkmenistan-Iran border region</t>
  </si>
  <si>
    <t>eastern Sea of Japan</t>
  </si>
  <si>
    <t>Kashmir-Xinjiang border region</t>
  </si>
  <si>
    <t>Chukotskiy Avtonomnyy Okrug, Russia</t>
  </si>
  <si>
    <t>Cyprus region</t>
  </si>
  <si>
    <t>Owen Fracture Zone region</t>
  </si>
  <si>
    <t>Leyte, Philippines</t>
  </si>
  <si>
    <t>Alamagan region, Northern Mariana Islands</t>
  </si>
  <si>
    <t>Biak region, Indonesia</t>
  </si>
  <si>
    <t>offshore Jalisco, Mexico</t>
  </si>
  <si>
    <t>Timor region</t>
  </si>
  <si>
    <t>Egypt</t>
  </si>
  <si>
    <t>Colima, Mexico</t>
  </si>
  <si>
    <t>Federated States of Micronesia region</t>
  </si>
  <si>
    <t>East Timor region</t>
  </si>
  <si>
    <t>east of Guadeloupe, Leeward Islands</t>
  </si>
  <si>
    <t>Peru-Bolivia border region</t>
  </si>
  <si>
    <t>Java Sea</t>
  </si>
  <si>
    <t>Peru-Brazil border region</t>
  </si>
  <si>
    <t>Catanduanes, Philippines</t>
  </si>
  <si>
    <t>off the coast of Oaxaca, Mexico</t>
  </si>
  <si>
    <t>Lake Albert region, Uganda</t>
  </si>
  <si>
    <t>Greater Los Angeles area, California</t>
  </si>
  <si>
    <t>near the coast of Oaxaca, Mexico</t>
  </si>
  <si>
    <t>Maharashtra, India</t>
  </si>
  <si>
    <t>Saipan region, Northern Mariana Islands</t>
  </si>
  <si>
    <t>northern Colombia</t>
  </si>
  <si>
    <t>Democratic Republic of the Congo</t>
  </si>
  <si>
    <t>eastern Uzbekistan</t>
  </si>
  <si>
    <t>Northern California</t>
  </si>
  <si>
    <t>Djibouti</t>
  </si>
  <si>
    <t>Russia-Mongolia border region</t>
  </si>
  <si>
    <t>eastern Kazakhstan</t>
  </si>
  <si>
    <t>Sudan</t>
  </si>
  <si>
    <t>near the coast of northern Iran</t>
  </si>
  <si>
    <t>Panay, Philippines</t>
  </si>
  <si>
    <t>Romania</t>
  </si>
  <si>
    <t>North Korea</t>
  </si>
  <si>
    <t>Bohol, Philippines</t>
  </si>
  <si>
    <t>western Sichuan, China</t>
  </si>
  <si>
    <t>Caspian Sea, offshore Turkmenistan</t>
  </si>
  <si>
    <t>Ethiopia</t>
  </si>
  <si>
    <t>southwestern Sakha, Russia</t>
  </si>
  <si>
    <t>Argentina-Paraguay border region</t>
  </si>
  <si>
    <t>Armenia</t>
  </si>
  <si>
    <t>Nepal-India border region</t>
  </si>
  <si>
    <t>Northwest Territories, Canada</t>
  </si>
  <si>
    <t>Laptev Sea</t>
  </si>
  <si>
    <t>Trinidad region, Trinidad and Tobago</t>
  </si>
  <si>
    <t>south of the Aleutian Islands</t>
  </si>
  <si>
    <t>Oruro, Bolivia</t>
  </si>
  <si>
    <t>Northern Territory, Australia</t>
  </si>
  <si>
    <t>Colombia-Ecuador border region</t>
  </si>
  <si>
    <t>Sumba region, Indonesia</t>
  </si>
  <si>
    <t>offshore Araucania, Chile</t>
  </si>
  <si>
    <t>Comoros region</t>
  </si>
  <si>
    <t>offshore Libertador O'Higgins, Chile</t>
  </si>
  <si>
    <t>Saint Kitts and Nevis region, Leeward Islands</t>
  </si>
  <si>
    <t>northern Alaska</t>
  </si>
  <si>
    <t>north of Panama</t>
  </si>
  <si>
    <t>east central Pacific Ocean</t>
  </si>
  <si>
    <t>Chagos Archipelago region</t>
  </si>
  <si>
    <t>Dominican Republic region</t>
  </si>
  <si>
    <t>Jiangsu, China</t>
  </si>
  <si>
    <t>San Francisco Bay area, California</t>
  </si>
  <si>
    <t>western Uzbekistan</t>
  </si>
  <si>
    <t>Guinea</t>
  </si>
  <si>
    <t>southern Idaho</t>
  </si>
  <si>
    <t>Vietnam</t>
  </si>
  <si>
    <t>Iran-Pakistan border region</t>
  </si>
  <si>
    <t>Gulf of Paria, Venezuela</t>
  </si>
  <si>
    <t>Yemen</t>
  </si>
  <si>
    <t>central Mediterranean Sea</t>
  </si>
  <si>
    <t>west of the Bonin Islands, Japan</t>
  </si>
  <si>
    <t>north of Honduras</t>
  </si>
  <si>
    <t>Golfo de Fonseca, Honduras</t>
  </si>
  <si>
    <t>Kepulauan Babar, Indonesia</t>
  </si>
  <si>
    <t>Mona Passage</t>
  </si>
  <si>
    <t>off the coast of Central America</t>
  </si>
  <si>
    <t>Iraq</t>
  </si>
  <si>
    <t>southern Italy</t>
  </si>
  <si>
    <t>Caspian Sea</t>
  </si>
  <si>
    <t>Bali region, Indonesia</t>
  </si>
  <si>
    <t>northeastern Iran</t>
  </si>
  <si>
    <t>Tuamotu Archipelago, French Polynesia region</t>
  </si>
  <si>
    <t>Croatia-Bosnia-Montenegro border region</t>
  </si>
  <si>
    <t>northwest of Australia</t>
  </si>
  <si>
    <t>Montenegro-Albania border region</t>
  </si>
  <si>
    <t>Russia-Kazakhstan border region</t>
  </si>
  <si>
    <t>south of Lombok, Indonesia</t>
  </si>
  <si>
    <t>western Afghanistan</t>
  </si>
  <si>
    <t>Red Sea</t>
  </si>
  <si>
    <t>north of New Zealand</t>
  </si>
  <si>
    <t>south of Sumba, Indonesia</t>
  </si>
  <si>
    <t>southern Pacific Ocean</t>
  </si>
  <si>
    <t>Turkey-Iran border region</t>
  </si>
  <si>
    <t>Tianjin-Hebei border region, China</t>
  </si>
  <si>
    <t>Caucasus region, Russia</t>
  </si>
  <si>
    <t>Hebei, China</t>
  </si>
  <si>
    <t>Sabah, Malaysia</t>
  </si>
  <si>
    <t>Austria-Italy-Slovenia border region</t>
  </si>
  <si>
    <t>Iceland region</t>
  </si>
  <si>
    <t>Samoa Islands</t>
  </si>
  <si>
    <t>Novaya Zemlya, Russia</t>
  </si>
  <si>
    <t>Afghanistan-Pakistan border region</t>
  </si>
  <si>
    <t>Broken Ridge</t>
  </si>
  <si>
    <t>Timor region, Indonesia</t>
  </si>
  <si>
    <t>Isla Angel de la Guarda, Baja California, Mexico</t>
  </si>
  <si>
    <t>near the north coast of Colombia</t>
  </si>
  <si>
    <t>Lara, Venezuela</t>
  </si>
  <si>
    <t>Liaoning, China</t>
  </si>
  <si>
    <t>Kashmir-Xizang border region</t>
  </si>
  <si>
    <t>Antigua and Barbuda region, Leeward Islands</t>
  </si>
  <si>
    <t>Gabon</t>
  </si>
  <si>
    <t>Kyrgyzstan-Tajikistan-Xinjiang border region</t>
  </si>
  <si>
    <t>western Mongolia</t>
  </si>
  <si>
    <t>Tarija, Bolivia</t>
  </si>
  <si>
    <t>off the coast of Southeastern Alaska</t>
  </si>
  <si>
    <t>Melville Island region, Nunavut, Canada</t>
  </si>
  <si>
    <t>Masbate region, Philippines</t>
  </si>
  <si>
    <t>Xizang-Qinghai border region</t>
  </si>
  <si>
    <t>Magadanskaya Oblast', Russia</t>
  </si>
  <si>
    <t>western Kazakhstan</t>
  </si>
  <si>
    <t>Tierra del Fuego, Argentina region</t>
  </si>
  <si>
    <t>Magallanes y Antartica Chilena, Chile</t>
  </si>
  <si>
    <t>Sibuyan Sea, Philippines</t>
  </si>
  <si>
    <t>off the coast of Guerrero, Mexico</t>
  </si>
  <si>
    <t>east of Dominica, Leeward Islands</t>
  </si>
  <si>
    <t>Bosnia and Herzegovina</t>
  </si>
  <si>
    <t>South Africa</t>
  </si>
  <si>
    <t>Bo Hai, China</t>
  </si>
  <si>
    <t>Shikoku, Japan</t>
  </si>
  <si>
    <t>off the coast of central Peru</t>
  </si>
  <si>
    <t>central Mongolia</t>
  </si>
  <si>
    <t>Lake Edward region, Congo-Uganda</t>
  </si>
  <si>
    <t>off the east coast of the South Island of New Zealand</t>
  </si>
  <si>
    <t>eastern Xizang-India border region</t>
  </si>
  <si>
    <t>east of Severnaya Zemlya</t>
  </si>
  <si>
    <t>off the coast of Atacama, Chile</t>
  </si>
  <si>
    <t>Tanzania</t>
  </si>
  <si>
    <t>Kenai Peninsula, Alaska</t>
  </si>
  <si>
    <t>Baffin Island region, Nunavut, Canada</t>
  </si>
  <si>
    <t>Russia-Georgia border region</t>
  </si>
  <si>
    <t>near the coast of Aisen, Chile</t>
  </si>
  <si>
    <t>Santa Cruz, Bolivia</t>
  </si>
  <si>
    <t>off the coast of Araucania, Chile</t>
  </si>
  <si>
    <t>offshore Veracruz, Mexico</t>
  </si>
  <si>
    <t>Yellowstone National Park, Wyoming</t>
  </si>
  <si>
    <t>Cordoba, Argentina</t>
  </si>
  <si>
    <t>Manipur, India region</t>
  </si>
  <si>
    <t>Chitinskaya Oblast', Russia</t>
  </si>
  <si>
    <t>eastern Mediterranean Sea</t>
  </si>
  <si>
    <t>western Nei Mongol, China</t>
  </si>
  <si>
    <t>Spain</t>
  </si>
  <si>
    <t>Gansu, China</t>
  </si>
  <si>
    <t>off the coast of Nayarit, Mexico</t>
  </si>
  <si>
    <t>Saint Lucia region, Windward Islands</t>
  </si>
  <si>
    <t>Apure, Venezuela</t>
  </si>
  <si>
    <t>south of Tasmania</t>
  </si>
  <si>
    <t>near the south coast of New Guinea, Papua New Guinea</t>
  </si>
  <si>
    <t>southern Chile-Argentina border region</t>
  </si>
  <si>
    <t>Tierra del Fuego, Magallanes, Chile</t>
  </si>
  <si>
    <t>near the coast of western Turkey</t>
  </si>
  <si>
    <t>offshore Nayarit, Mexico</t>
  </si>
  <si>
    <t>off the coast of Pakistan</t>
  </si>
  <si>
    <t>Qinghai-Sichuan border region, China</t>
  </si>
  <si>
    <t>Korea Bay</t>
  </si>
  <si>
    <t>Maldive Islands region</t>
  </si>
  <si>
    <t>Assam, India</t>
  </si>
  <si>
    <t>Puerto Rico region</t>
  </si>
  <si>
    <t>Jamaica region</t>
  </si>
  <si>
    <t>Isla Chiloe, Los Lagos, Chile</t>
  </si>
  <si>
    <t>off the coast of Tarapaca, Chile</t>
  </si>
  <si>
    <t>Buru, Indonesia</t>
  </si>
  <si>
    <t>Sicily, Italy</t>
  </si>
  <si>
    <t>Morelos, Mexico</t>
  </si>
  <si>
    <t>Henan-Shandong border region, China</t>
  </si>
  <si>
    <t>offshore Michoacan, Mexico</t>
  </si>
  <si>
    <t>near the coast of Libya</t>
  </si>
  <si>
    <t>Los Lagos, Chile</t>
  </si>
  <si>
    <t>off the coast of South Africa</t>
  </si>
  <si>
    <t>Jalisco, Mexico</t>
  </si>
  <si>
    <t>Tachira, Venezuela</t>
  </si>
  <si>
    <t>South China Sea</t>
  </si>
  <si>
    <t>Mongolia-China border region</t>
  </si>
  <si>
    <t>Macedonia</t>
  </si>
  <si>
    <t>Meghalaya, India region</t>
  </si>
  <si>
    <t>Mendoza, Argentina</t>
  </si>
  <si>
    <t>Anzoategui, Venezuela</t>
  </si>
  <si>
    <t>Bulgaria</t>
  </si>
  <si>
    <t>near the north coast of Chukotskiy Avtonomnyy Okrug, Russia</t>
  </si>
  <si>
    <t>Kenya</t>
  </si>
  <si>
    <t>northwestern Sakha, Russia</t>
  </si>
  <si>
    <t>offshore Central California</t>
  </si>
  <si>
    <t>Gansu-Qinghai border region, China</t>
  </si>
  <si>
    <t>Kalimantan, Indonesia</t>
  </si>
  <si>
    <t>western Montana</t>
  </si>
  <si>
    <t>Bangladesh</t>
  </si>
  <si>
    <t>Honduras</t>
  </si>
  <si>
    <t>Gansu-Ningxia border region, China</t>
  </si>
  <si>
    <t>British Columbia, Canada</t>
  </si>
  <si>
    <t>Mona Passage, Puerto Rico</t>
  </si>
  <si>
    <t>southeast central Pacific Ocean</t>
  </si>
  <si>
    <t>near the coast of Fujian, China</t>
  </si>
  <si>
    <t>off the coast of Coquimbo, Chile</t>
  </si>
  <si>
    <t>Hubei, China</t>
  </si>
  <si>
    <t>Mona Passage, Dominican Republic</t>
  </si>
  <si>
    <t>Eritrea</t>
  </si>
  <si>
    <t>Mozambique Channel</t>
  </si>
  <si>
    <t>Visayan Sea, Philippines</t>
  </si>
  <si>
    <t>Guadeloupe region, Leeward Islands</t>
  </si>
  <si>
    <t>off the coast of southern Peru</t>
  </si>
  <si>
    <t>east of the Philippine Islands</t>
  </si>
  <si>
    <t>Estado de Mexico, Mexico</t>
  </si>
  <si>
    <t>Uganda</t>
  </si>
  <si>
    <t>Belize</t>
  </si>
  <si>
    <t>Ninigo Islands region, Papua New Guinea</t>
  </si>
  <si>
    <t>western Xizang-India border region</t>
  </si>
  <si>
    <t>Xizang-India-Myanmar border region</t>
  </si>
  <si>
    <t>Lake Rukwa region, Tanzania</t>
  </si>
  <si>
    <t>west of the Queen Charlotte Islands</t>
  </si>
  <si>
    <t>Tajikistan-Xinjiang border region</t>
  </si>
  <si>
    <t>Bristol Bay</t>
  </si>
  <si>
    <t>Antarctica</t>
  </si>
  <si>
    <t>Yellow Sea</t>
  </si>
  <si>
    <t>Banaba, Kiribati region</t>
  </si>
  <si>
    <t>southwestern Atlantic Ocean</t>
  </si>
  <si>
    <t>Bay of Bengal</t>
  </si>
  <si>
    <t>Galapagos Islands, Ecuador region</t>
  </si>
  <si>
    <t>India-Pakistan border region</t>
  </si>
  <si>
    <t>Kashmir-India border region</t>
  </si>
  <si>
    <t>off the coast of Hokkaido, Japan</t>
  </si>
  <si>
    <t>Chatham Islands, New Zealand region</t>
  </si>
  <si>
    <t>Sonora-Sinaloa border region, Mexico</t>
  </si>
  <si>
    <t>off the coast of Tanzania</t>
  </si>
  <si>
    <t>offshore Miranda, Venezuela</t>
  </si>
  <si>
    <t>place</t>
    <phoneticPr fontId="18" type="noConversion"/>
  </si>
  <si>
    <t>Place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</si>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</sst>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14"/>
  <sheetViews>
    <sheetView tabSelected="1" workbookViewId="0">
      <selection activeCell="H6" sqref="H6"/>
    </sheetView>
  </sheetViews>
  <sheetFormatPr defaultRowHeight="14" x14ac:dyDescent="0.25"/>
  <cols>
    <col min="1" max="1" width="23.54296875" customWidth="1"/>
    <col min="2" max="2" width="13.26953125" customWidth="1"/>
    <col min="3" max="3" width="14.26953125" customWidth="1"/>
    <col min="5" max="5" width="57" bestFit="1" customWidth="1"/>
    <col min="8" max="8" width="35.08984375" customWidth="1"/>
  </cols>
  <sheetData>
    <row r="1" spans="1:8" s="1" customFormat="1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775</v>
      </c>
      <c r="F1" s="1" t="s">
        <v>20</v>
      </c>
      <c r="G1" s="1" t="s">
        <v>777</v>
      </c>
      <c r="H1" s="1" t="s">
        <v>776</v>
      </c>
    </row>
    <row r="2" spans="1:8" x14ac:dyDescent="0.25">
      <c r="A2" s="2">
        <v>41715</v>
      </c>
      <c r="B2">
        <v>-20.003</v>
      </c>
      <c r="C2">
        <v>-70.874099999999999</v>
      </c>
      <c r="D2" t="s">
        <v>3</v>
      </c>
      <c r="E2" t="s">
        <v>21</v>
      </c>
      <c r="F2">
        <f>F6</f>
        <v>2014</v>
      </c>
      <c r="G2">
        <f>MONTH(A2)</f>
        <v>3</v>
      </c>
      <c r="H2" t="str">
        <f>IF(ISNUMBER(FIND(",", E2)), TRIM(MID(E2, FIND(",", E2) + 1, LEN(E2))), E2)</f>
        <v>Chile</v>
      </c>
    </row>
    <row r="3" spans="1:8" x14ac:dyDescent="0.25">
      <c r="A3" s="2">
        <v>41714</v>
      </c>
      <c r="B3">
        <v>-19.924600000000002</v>
      </c>
      <c r="C3">
        <v>-70.627799999999993</v>
      </c>
      <c r="D3" t="s">
        <v>3</v>
      </c>
      <c r="E3" t="s">
        <v>22</v>
      </c>
      <c r="F3">
        <f t="shared" ref="F2:F65" si="0">YEAR(A3)</f>
        <v>2014</v>
      </c>
      <c r="G3">
        <f t="shared" ref="G3:G66" si="1">MONTH(A3)</f>
        <v>3</v>
      </c>
      <c r="H3" t="str">
        <f>IF(ISNUMBER(FIND(",", E3)), TRIM(MID(E3, FIND(",", E3) + 1, LEN(E3))), E3)</f>
        <v>Chile</v>
      </c>
    </row>
    <row r="4" spans="1:8" x14ac:dyDescent="0.25">
      <c r="A4" s="2">
        <v>41713</v>
      </c>
      <c r="B4">
        <v>-5.5659999999999998</v>
      </c>
      <c r="C4">
        <v>-80.879000000000005</v>
      </c>
      <c r="D4" t="s">
        <v>4</v>
      </c>
      <c r="E4" t="s">
        <v>23</v>
      </c>
      <c r="F4">
        <f t="shared" si="0"/>
        <v>2014</v>
      </c>
      <c r="G4">
        <f t="shared" si="1"/>
        <v>3</v>
      </c>
      <c r="H4" t="str">
        <f>IF(ISNUMBER(FIND(",", E4)), TRIM(MID(E4, FIND(",", E4) + 1, LEN(E4))), E4)</f>
        <v>Peru</v>
      </c>
    </row>
    <row r="5" spans="1:8" x14ac:dyDescent="0.25">
      <c r="A5" s="2">
        <v>41713</v>
      </c>
      <c r="B5">
        <v>-14.093500000000001</v>
      </c>
      <c r="C5">
        <v>-76.296800000000005</v>
      </c>
      <c r="D5" t="s">
        <v>3</v>
      </c>
      <c r="E5" t="s">
        <v>24</v>
      </c>
      <c r="F5">
        <f t="shared" si="0"/>
        <v>2014</v>
      </c>
      <c r="G5">
        <f t="shared" si="1"/>
        <v>3</v>
      </c>
      <c r="H5" t="str">
        <f>IF(ISNUMBER(FIND(",", E5)), TRIM(MID(E5, FIND(",", E5) + 1, LEN(E5))), E5)</f>
        <v>Peru</v>
      </c>
    </row>
    <row r="6" spans="1:8" x14ac:dyDescent="0.25">
      <c r="A6" s="2">
        <v>41711</v>
      </c>
      <c r="B6">
        <v>33.679299999999998</v>
      </c>
      <c r="C6">
        <v>131.81970000000001</v>
      </c>
      <c r="D6" t="s">
        <v>5</v>
      </c>
      <c r="E6" t="s">
        <v>25</v>
      </c>
      <c r="F6">
        <f t="shared" si="0"/>
        <v>2014</v>
      </c>
      <c r="G6">
        <f t="shared" si="1"/>
        <v>3</v>
      </c>
      <c r="H6" t="str">
        <f>IF(ISNUMBER(FIND(",", E6)), TRIM(MID(E6, FIND(",", E6) + 1, LEN(E6))), E6)</f>
        <v>Japan</v>
      </c>
    </row>
    <row r="7" spans="1:8" x14ac:dyDescent="0.25">
      <c r="A7" s="2">
        <v>41709</v>
      </c>
      <c r="B7">
        <v>-3.1128</v>
      </c>
      <c r="C7">
        <v>148.47739999999999</v>
      </c>
      <c r="D7" t="s">
        <v>3</v>
      </c>
      <c r="E7" t="s">
        <v>26</v>
      </c>
      <c r="F7">
        <f t="shared" si="0"/>
        <v>2014</v>
      </c>
      <c r="G7">
        <f t="shared" si="1"/>
        <v>3</v>
      </c>
      <c r="H7" t="str">
        <f>IF(ISNUMBER(FIND(",", E7)), TRIM(MID(E7, FIND(",", E7) + 1, LEN(E7))), E7)</f>
        <v>Papua New Guinea</v>
      </c>
    </row>
    <row r="8" spans="1:8" x14ac:dyDescent="0.25">
      <c r="A8" s="2">
        <v>41709</v>
      </c>
      <c r="B8">
        <v>-60.839100000000002</v>
      </c>
      <c r="C8">
        <v>-19.956900000000001</v>
      </c>
      <c r="D8" t="s">
        <v>3</v>
      </c>
      <c r="E8" t="s">
        <v>27</v>
      </c>
      <c r="F8">
        <f t="shared" si="0"/>
        <v>2014</v>
      </c>
      <c r="G8">
        <f t="shared" si="1"/>
        <v>3</v>
      </c>
      <c r="H8" t="str">
        <f>IF(ISNUMBER(FIND(",", E8)), TRIM(MID(E8, FIND(",", E8) + 1, LEN(E8))), E8)</f>
        <v>East of the South Sandwich Islands</v>
      </c>
    </row>
    <row r="9" spans="1:8" x14ac:dyDescent="0.25">
      <c r="A9" s="2">
        <v>41708</v>
      </c>
      <c r="B9">
        <v>40.828699999999998</v>
      </c>
      <c r="C9">
        <v>-125.13379999999999</v>
      </c>
      <c r="D9" t="s">
        <v>6</v>
      </c>
      <c r="E9" t="s">
        <v>28</v>
      </c>
      <c r="F9">
        <f t="shared" si="0"/>
        <v>2014</v>
      </c>
      <c r="G9">
        <f t="shared" si="1"/>
        <v>3</v>
      </c>
      <c r="H9" t="str">
        <f>IF(ISNUMBER(FIND(",", E9)), TRIM(MID(E9, FIND(",", E9) + 1, LEN(E9))), E9)</f>
        <v>California</v>
      </c>
    </row>
    <row r="10" spans="1:8" x14ac:dyDescent="0.25">
      <c r="A10" s="2">
        <v>41703</v>
      </c>
      <c r="B10">
        <v>-14.7347</v>
      </c>
      <c r="C10">
        <v>169.82220000000001</v>
      </c>
      <c r="D10" t="s">
        <v>4</v>
      </c>
      <c r="E10" t="s">
        <v>29</v>
      </c>
      <c r="F10">
        <f t="shared" si="0"/>
        <v>2014</v>
      </c>
      <c r="G10">
        <f t="shared" si="1"/>
        <v>3</v>
      </c>
      <c r="H10" t="str">
        <f>IF(ISNUMBER(FIND(",", E10)), TRIM(MID(E10, FIND(",", E10) + 1, LEN(E10))), E10)</f>
        <v>Vanuatu</v>
      </c>
    </row>
    <row r="11" spans="1:8" x14ac:dyDescent="0.25">
      <c r="A11" s="2">
        <v>41700</v>
      </c>
      <c r="B11">
        <v>27.405200000000001</v>
      </c>
      <c r="C11">
        <v>127.33540000000001</v>
      </c>
      <c r="D11" t="s">
        <v>7</v>
      </c>
      <c r="E11" t="s">
        <v>30</v>
      </c>
      <c r="F11">
        <f t="shared" si="0"/>
        <v>2014</v>
      </c>
      <c r="G11">
        <f t="shared" si="1"/>
        <v>3</v>
      </c>
      <c r="H11" t="str">
        <f>IF(ISNUMBER(FIND(",", E11)), TRIM(MID(E11, FIND(",", E11) + 1, LEN(E11))), E11)</f>
        <v>Japan</v>
      </c>
    </row>
    <row r="12" spans="1:8" x14ac:dyDescent="0.25">
      <c r="A12" s="2">
        <v>41700</v>
      </c>
      <c r="B12">
        <v>12.5555</v>
      </c>
      <c r="C12">
        <v>-87.690200000000004</v>
      </c>
      <c r="D12" t="s">
        <v>3</v>
      </c>
      <c r="E12" t="s">
        <v>31</v>
      </c>
      <c r="F12">
        <f t="shared" si="0"/>
        <v>2014</v>
      </c>
      <c r="G12">
        <f t="shared" si="1"/>
        <v>3</v>
      </c>
      <c r="H12" t="str">
        <f>IF(ISNUMBER(FIND(",", E12)), TRIM(MID(E12, FIND(",", E12) + 1, LEN(E12))), E12)</f>
        <v>Nicaragua</v>
      </c>
    </row>
    <row r="13" spans="1:8" x14ac:dyDescent="0.25">
      <c r="A13" s="2">
        <v>41696</v>
      </c>
      <c r="B13">
        <v>53.679200000000002</v>
      </c>
      <c r="C13">
        <v>-171.83690000000001</v>
      </c>
      <c r="D13" t="s">
        <v>5</v>
      </c>
      <c r="E13" t="s">
        <v>32</v>
      </c>
      <c r="F13">
        <f t="shared" si="0"/>
        <v>2014</v>
      </c>
      <c r="G13">
        <f t="shared" si="1"/>
        <v>2</v>
      </c>
      <c r="H13" t="str">
        <f>IF(ISNUMBER(FIND(",", E13)), TRIM(MID(E13, FIND(",", E13) + 1, LEN(E13))), E13)</f>
        <v>Alaska</v>
      </c>
    </row>
    <row r="14" spans="1:8" x14ac:dyDescent="0.25">
      <c r="A14" s="2">
        <v>41688</v>
      </c>
      <c r="B14">
        <v>14.6511</v>
      </c>
      <c r="C14">
        <v>-58.947800000000001</v>
      </c>
      <c r="D14" t="s">
        <v>3</v>
      </c>
      <c r="E14" t="s">
        <v>33</v>
      </c>
      <c r="F14">
        <f t="shared" si="0"/>
        <v>2014</v>
      </c>
      <c r="G14">
        <f t="shared" si="1"/>
        <v>2</v>
      </c>
      <c r="H14" t="str">
        <f>IF(ISNUMBER(FIND(",", E14)), TRIM(MID(E14, FIND(",", E14) + 1, LEN(E14))), E14)</f>
        <v>Barbados</v>
      </c>
    </row>
    <row r="15" spans="1:8" x14ac:dyDescent="0.25">
      <c r="A15" s="2">
        <v>41682</v>
      </c>
      <c r="B15">
        <v>35.905999999999999</v>
      </c>
      <c r="C15">
        <v>82.586500000000001</v>
      </c>
      <c r="D15" t="s">
        <v>3</v>
      </c>
      <c r="E15" t="s">
        <v>34</v>
      </c>
      <c r="F15">
        <f t="shared" si="0"/>
        <v>2014</v>
      </c>
      <c r="G15">
        <f t="shared" si="1"/>
        <v>2</v>
      </c>
      <c r="H15" t="str">
        <f>IF(ISNUMBER(FIND(",", E15)), TRIM(MID(E15, FIND(",", E15) + 1, LEN(E15))), E15)</f>
        <v>China</v>
      </c>
    </row>
    <row r="16" spans="1:8" x14ac:dyDescent="0.25">
      <c r="A16" s="2">
        <v>41679</v>
      </c>
      <c r="B16">
        <v>-5.9650999999999996</v>
      </c>
      <c r="C16">
        <v>154.435</v>
      </c>
      <c r="D16" t="s">
        <v>3</v>
      </c>
      <c r="E16" t="s">
        <v>35</v>
      </c>
      <c r="F16">
        <f t="shared" si="0"/>
        <v>2014</v>
      </c>
      <c r="G16">
        <f t="shared" si="1"/>
        <v>2</v>
      </c>
      <c r="H16" t="str">
        <f>IF(ISNUMBER(FIND(",", E16)), TRIM(MID(E16, FIND(",", E16) + 1, LEN(E16))), E16)</f>
        <v>Papua New Guinea</v>
      </c>
    </row>
    <row r="17" spans="1:8" x14ac:dyDescent="0.25">
      <c r="A17" s="2">
        <v>41677</v>
      </c>
      <c r="B17">
        <v>-15.069100000000001</v>
      </c>
      <c r="C17">
        <v>167.37209999999999</v>
      </c>
      <c r="D17" t="s">
        <v>3</v>
      </c>
      <c r="E17" t="s">
        <v>36</v>
      </c>
      <c r="F17">
        <f t="shared" si="0"/>
        <v>2014</v>
      </c>
      <c r="G17">
        <f t="shared" si="1"/>
        <v>2</v>
      </c>
      <c r="H17" t="str">
        <f>IF(ISNUMBER(FIND(",", E17)), TRIM(MID(E17, FIND(",", E17) + 1, LEN(E17))), E17)</f>
        <v>Vanuatu</v>
      </c>
    </row>
    <row r="18" spans="1:8" x14ac:dyDescent="0.25">
      <c r="A18" s="2">
        <v>41673</v>
      </c>
      <c r="B18">
        <v>38.2637</v>
      </c>
      <c r="C18">
        <v>20.389700000000001</v>
      </c>
      <c r="D18" t="s">
        <v>3</v>
      </c>
      <c r="E18" t="s">
        <v>37</v>
      </c>
      <c r="F18">
        <f t="shared" si="0"/>
        <v>2014</v>
      </c>
      <c r="G18">
        <f t="shared" si="1"/>
        <v>2</v>
      </c>
      <c r="H18" t="str">
        <f>IF(ISNUMBER(FIND(",", E18)), TRIM(MID(E18, FIND(",", E18) + 1, LEN(E18))), E18)</f>
        <v>Greece</v>
      </c>
    </row>
    <row r="19" spans="1:8" x14ac:dyDescent="0.25">
      <c r="A19" s="2">
        <v>41672</v>
      </c>
      <c r="B19">
        <v>-32.907600000000002</v>
      </c>
      <c r="C19">
        <v>-177.88059999999999</v>
      </c>
      <c r="D19" t="s">
        <v>3</v>
      </c>
      <c r="E19" t="s">
        <v>38</v>
      </c>
      <c r="F19">
        <f t="shared" si="0"/>
        <v>2014</v>
      </c>
      <c r="G19">
        <f t="shared" si="1"/>
        <v>2</v>
      </c>
      <c r="H19" t="str">
        <f>IF(ISNUMBER(FIND(",", E19)), TRIM(MID(E19, FIND(",", E19) + 1, LEN(E19))), E19)</f>
        <v>New Zealand</v>
      </c>
    </row>
    <row r="20" spans="1:8" x14ac:dyDescent="0.25">
      <c r="A20" s="2">
        <v>41671</v>
      </c>
      <c r="B20">
        <v>-56.826900000000002</v>
      </c>
      <c r="C20">
        <v>-27.325299999999999</v>
      </c>
      <c r="D20" t="s">
        <v>3</v>
      </c>
      <c r="E20" t="s">
        <v>39</v>
      </c>
      <c r="F20">
        <f t="shared" si="0"/>
        <v>2014</v>
      </c>
      <c r="G20">
        <f t="shared" si="1"/>
        <v>2</v>
      </c>
      <c r="H20" t="str">
        <f>IF(ISNUMBER(FIND(",", E20)), TRIM(MID(E20, FIND(",", E20) + 1, LEN(E20))), E20)</f>
        <v/>
      </c>
    </row>
    <row r="21" spans="1:8" x14ac:dyDescent="0.25">
      <c r="A21" s="2">
        <v>41665</v>
      </c>
      <c r="B21">
        <v>38.203899999999997</v>
      </c>
      <c r="C21">
        <v>20.450399999999998</v>
      </c>
      <c r="D21" t="s">
        <v>3</v>
      </c>
      <c r="E21" t="s">
        <v>40</v>
      </c>
      <c r="F21">
        <f t="shared" si="0"/>
        <v>2014</v>
      </c>
      <c r="G21">
        <f t="shared" si="1"/>
        <v>1</v>
      </c>
      <c r="H21" t="str">
        <f>IF(ISNUMBER(FIND(",", E21)), TRIM(MID(E21, FIND(",", E21) + 1, LEN(E21))), E21)</f>
        <v>Greece</v>
      </c>
    </row>
    <row r="22" spans="1:8" x14ac:dyDescent="0.25">
      <c r="A22" s="2">
        <v>41664</v>
      </c>
      <c r="B22">
        <v>-7.9855</v>
      </c>
      <c r="C22">
        <v>109.2653</v>
      </c>
      <c r="D22" t="s">
        <v>3</v>
      </c>
      <c r="E22" t="s">
        <v>41</v>
      </c>
      <c r="F22">
        <f t="shared" si="0"/>
        <v>2014</v>
      </c>
      <c r="G22">
        <f t="shared" si="1"/>
        <v>1</v>
      </c>
      <c r="H22" t="str">
        <f>IF(ISNUMBER(FIND(",", E22)), TRIM(MID(E22, FIND(",", E22) + 1, LEN(E22))), E22)</f>
        <v>Indonesia</v>
      </c>
    </row>
    <row r="23" spans="1:8" x14ac:dyDescent="0.25">
      <c r="A23" s="2">
        <v>41660</v>
      </c>
      <c r="B23">
        <v>-15.1477</v>
      </c>
      <c r="C23">
        <v>-174.6841</v>
      </c>
      <c r="D23" t="s">
        <v>3</v>
      </c>
      <c r="E23" t="s">
        <v>42</v>
      </c>
      <c r="F23">
        <f t="shared" si="0"/>
        <v>2014</v>
      </c>
      <c r="G23">
        <f t="shared" si="1"/>
        <v>1</v>
      </c>
      <c r="H23" t="str">
        <f>IF(ISNUMBER(FIND(",", E23)), TRIM(MID(E23, FIND(",", E23) + 1, LEN(E23))), E23)</f>
        <v>Tonga</v>
      </c>
    </row>
    <row r="24" spans="1:8" x14ac:dyDescent="0.25">
      <c r="A24" s="2">
        <v>41659</v>
      </c>
      <c r="B24">
        <v>-40.659500000000001</v>
      </c>
      <c r="C24">
        <v>175.81440000000001</v>
      </c>
      <c r="D24" t="s">
        <v>3</v>
      </c>
      <c r="E24" t="s">
        <v>43</v>
      </c>
      <c r="F24">
        <f t="shared" si="0"/>
        <v>2014</v>
      </c>
      <c r="G24">
        <f t="shared" si="1"/>
        <v>1</v>
      </c>
      <c r="H24" t="str">
        <f>IF(ISNUMBER(FIND(",", E24)), TRIM(MID(E24, FIND(",", E24) + 1, LEN(E24))), E24)</f>
        <v>New Zealand</v>
      </c>
    </row>
    <row r="25" spans="1:8" x14ac:dyDescent="0.25">
      <c r="A25" s="2">
        <v>41652</v>
      </c>
      <c r="B25">
        <v>19.0428</v>
      </c>
      <c r="C25">
        <v>-66.809600000000003</v>
      </c>
      <c r="D25" t="s">
        <v>3</v>
      </c>
      <c r="E25" t="s">
        <v>44</v>
      </c>
      <c r="F25">
        <f t="shared" si="0"/>
        <v>2014</v>
      </c>
      <c r="G25">
        <f t="shared" si="1"/>
        <v>1</v>
      </c>
      <c r="H25" t="str">
        <f>IF(ISNUMBER(FIND(",", E25)), TRIM(MID(E25, FIND(",", E25) + 1, LEN(E25))), E25)</f>
        <v>Puerto Rico</v>
      </c>
    </row>
    <row r="26" spans="1:8" x14ac:dyDescent="0.25">
      <c r="A26" s="2">
        <v>41640</v>
      </c>
      <c r="B26">
        <v>-13.863300000000001</v>
      </c>
      <c r="C26">
        <v>167.249</v>
      </c>
      <c r="D26" t="s">
        <v>3</v>
      </c>
      <c r="E26" t="s">
        <v>45</v>
      </c>
      <c r="F26">
        <f t="shared" si="0"/>
        <v>2014</v>
      </c>
      <c r="G26">
        <f t="shared" si="1"/>
        <v>1</v>
      </c>
      <c r="H26" t="str">
        <f>IF(ISNUMBER(FIND(",", E26)), TRIM(MID(E26, FIND(",", E26) + 1, LEN(E26))), E26)</f>
        <v>Vanuatu</v>
      </c>
    </row>
    <row r="27" spans="1:8" x14ac:dyDescent="0.25">
      <c r="A27" s="2">
        <v>41625</v>
      </c>
      <c r="B27">
        <v>20.7727</v>
      </c>
      <c r="C27">
        <v>146.7903</v>
      </c>
      <c r="D27" t="s">
        <v>3</v>
      </c>
      <c r="E27" t="s">
        <v>46</v>
      </c>
      <c r="F27">
        <f t="shared" si="0"/>
        <v>2013</v>
      </c>
      <c r="G27">
        <f t="shared" si="1"/>
        <v>12</v>
      </c>
      <c r="H27" t="str">
        <f>IF(ISNUMBER(FIND(",", E27)), TRIM(MID(E27, FIND(",", E27) + 1, LEN(E27))), E27)</f>
        <v>Northern Mariana Islands</v>
      </c>
    </row>
    <row r="28" spans="1:8" x14ac:dyDescent="0.25">
      <c r="A28" s="2">
        <v>41616</v>
      </c>
      <c r="B28">
        <v>44.443800000000003</v>
      </c>
      <c r="C28">
        <v>149.16669999999999</v>
      </c>
      <c r="D28" t="s">
        <v>3</v>
      </c>
      <c r="E28" t="s">
        <v>47</v>
      </c>
      <c r="F28">
        <f t="shared" si="0"/>
        <v>2013</v>
      </c>
      <c r="G28">
        <f t="shared" si="1"/>
        <v>12</v>
      </c>
      <c r="H28" t="str">
        <f>IF(ISNUMBER(FIND(",", E28)), TRIM(MID(E28, FIND(",", E28) + 1, LEN(E28))), E28)</f>
        <v>Russia</v>
      </c>
    </row>
    <row r="29" spans="1:8" x14ac:dyDescent="0.25">
      <c r="A29" s="2">
        <v>41609</v>
      </c>
      <c r="B29">
        <v>2.044</v>
      </c>
      <c r="C29">
        <v>96.826099999999997</v>
      </c>
      <c r="D29" t="s">
        <v>3</v>
      </c>
      <c r="E29" t="s">
        <v>48</v>
      </c>
      <c r="F29">
        <f t="shared" si="0"/>
        <v>2013</v>
      </c>
      <c r="G29">
        <f t="shared" si="1"/>
        <v>12</v>
      </c>
      <c r="H29" t="str">
        <f>IF(ISNUMBER(FIND(",", E29)), TRIM(MID(E29, FIND(",", E29) + 1, LEN(E29))), E29)</f>
        <v>Indonesia</v>
      </c>
    </row>
    <row r="30" spans="1:8" x14ac:dyDescent="0.25">
      <c r="A30" s="2">
        <v>41609</v>
      </c>
      <c r="B30">
        <v>-7.0269000000000004</v>
      </c>
      <c r="C30">
        <v>128.37909999999999</v>
      </c>
      <c r="D30" t="s">
        <v>3</v>
      </c>
      <c r="E30" t="s">
        <v>49</v>
      </c>
      <c r="F30">
        <f t="shared" si="0"/>
        <v>2013</v>
      </c>
      <c r="G30">
        <f t="shared" si="1"/>
        <v>12</v>
      </c>
      <c r="H30" t="str">
        <f>IF(ISNUMBER(FIND(",", E30)), TRIM(MID(E30, FIND(",", E30) + 1, LEN(E30))), E30)</f>
        <v>Indonesia</v>
      </c>
    </row>
    <row r="31" spans="1:8" x14ac:dyDescent="0.25">
      <c r="A31" s="2">
        <v>41603</v>
      </c>
      <c r="B31">
        <v>-53.870800000000003</v>
      </c>
      <c r="C31">
        <v>-53.910699999999999</v>
      </c>
      <c r="D31" t="s">
        <v>7</v>
      </c>
      <c r="E31" t="s">
        <v>50</v>
      </c>
      <c r="F31">
        <f t="shared" si="0"/>
        <v>2013</v>
      </c>
      <c r="G31">
        <f t="shared" si="1"/>
        <v>11</v>
      </c>
      <c r="H31" t="str">
        <f>IF(ISNUMBER(FIND(",", E31)), TRIM(MID(E31, FIND(",", E31) + 1, LEN(E31))), E31)</f>
        <v>South Atlantic Ocean</v>
      </c>
    </row>
    <row r="32" spans="1:8" x14ac:dyDescent="0.25">
      <c r="A32" s="2">
        <v>41603</v>
      </c>
      <c r="B32">
        <v>-53.945099999999996</v>
      </c>
      <c r="C32">
        <v>-55.003300000000003</v>
      </c>
      <c r="D32" t="s">
        <v>3</v>
      </c>
      <c r="E32" t="s">
        <v>51</v>
      </c>
      <c r="F32">
        <f t="shared" si="0"/>
        <v>2013</v>
      </c>
      <c r="G32">
        <f t="shared" si="1"/>
        <v>11</v>
      </c>
      <c r="H32" t="str">
        <f>IF(ISNUMBER(FIND(",", E32)), TRIM(MID(E32, FIND(",", E32) + 1, LEN(E32))), E32)</f>
        <v>Falkland Islands region</v>
      </c>
    </row>
    <row r="33" spans="1:8" x14ac:dyDescent="0.25">
      <c r="A33" s="2">
        <v>41603</v>
      </c>
      <c r="B33">
        <v>45.561300000000003</v>
      </c>
      <c r="C33">
        <v>151.00470000000001</v>
      </c>
      <c r="D33" t="s">
        <v>3</v>
      </c>
      <c r="E33" t="s">
        <v>52</v>
      </c>
      <c r="F33">
        <f t="shared" si="0"/>
        <v>2013</v>
      </c>
      <c r="G33">
        <f t="shared" si="1"/>
        <v>11</v>
      </c>
      <c r="H33" t="str">
        <f>IF(ISNUMBER(FIND(",", E33)), TRIM(MID(E33, FIND(",", E33) + 1, LEN(E33))), E33)</f>
        <v>Russia</v>
      </c>
    </row>
    <row r="34" spans="1:8" x14ac:dyDescent="0.25">
      <c r="A34" s="2">
        <v>41601</v>
      </c>
      <c r="B34">
        <v>-17.117100000000001</v>
      </c>
      <c r="C34">
        <v>-176.54490000000001</v>
      </c>
      <c r="D34" t="s">
        <v>3</v>
      </c>
      <c r="E34" t="s">
        <v>53</v>
      </c>
      <c r="F34">
        <f t="shared" si="0"/>
        <v>2013</v>
      </c>
      <c r="G34">
        <f t="shared" si="1"/>
        <v>11</v>
      </c>
      <c r="H34" t="str">
        <f>IF(ISNUMBER(FIND(",", E34)), TRIM(MID(E34, FIND(",", E34) + 1, LEN(E34))), E34)</f>
        <v>Fiji region</v>
      </c>
    </row>
    <row r="35" spans="1:8" x14ac:dyDescent="0.25">
      <c r="A35" s="2">
        <v>41597</v>
      </c>
      <c r="B35">
        <v>18.475300000000001</v>
      </c>
      <c r="C35">
        <v>145.20410000000001</v>
      </c>
      <c r="D35" t="s">
        <v>3</v>
      </c>
      <c r="E35" t="s">
        <v>54</v>
      </c>
      <c r="F35">
        <f t="shared" si="0"/>
        <v>2013</v>
      </c>
      <c r="G35">
        <f t="shared" si="1"/>
        <v>11</v>
      </c>
      <c r="H35" t="str">
        <f>IF(ISNUMBER(FIND(",", E35)), TRIM(MID(E35, FIND(",", E35) + 1, LEN(E35))), E35)</f>
        <v>Northern Mariana Islands</v>
      </c>
    </row>
    <row r="36" spans="1:8" x14ac:dyDescent="0.25">
      <c r="A36" s="2">
        <v>41597</v>
      </c>
      <c r="B36">
        <v>2.6402999999999999</v>
      </c>
      <c r="C36">
        <v>128.43389999999999</v>
      </c>
      <c r="D36" t="s">
        <v>3</v>
      </c>
      <c r="E36" t="s">
        <v>55</v>
      </c>
      <c r="F36">
        <f t="shared" si="0"/>
        <v>2013</v>
      </c>
      <c r="G36">
        <f t="shared" si="1"/>
        <v>11</v>
      </c>
      <c r="H36" t="str">
        <f>IF(ISNUMBER(FIND(",", E36)), TRIM(MID(E36, FIND(",", E36) + 1, LEN(E36))), E36)</f>
        <v>Indonesia</v>
      </c>
    </row>
    <row r="37" spans="1:8" x14ac:dyDescent="0.25">
      <c r="A37" s="2">
        <v>41595</v>
      </c>
      <c r="B37">
        <v>-60.273800000000001</v>
      </c>
      <c r="C37">
        <v>-46.4011</v>
      </c>
      <c r="D37" t="s">
        <v>3</v>
      </c>
      <c r="E37" t="s">
        <v>56</v>
      </c>
      <c r="F37">
        <f t="shared" si="0"/>
        <v>2013</v>
      </c>
      <c r="G37">
        <f t="shared" si="1"/>
        <v>11</v>
      </c>
      <c r="H37" t="str">
        <f>IF(ISNUMBER(FIND(",", E37)), TRIM(MID(E37, FIND(",", E37) + 1, LEN(E37))), E37)</f>
        <v>Scotia Sea</v>
      </c>
    </row>
    <row r="38" spans="1:8" x14ac:dyDescent="0.25">
      <c r="A38" s="2">
        <v>41594</v>
      </c>
      <c r="B38">
        <v>-60.262700000000002</v>
      </c>
      <c r="C38">
        <v>-47.062100000000001</v>
      </c>
      <c r="D38" t="s">
        <v>3</v>
      </c>
      <c r="E38" t="s">
        <v>56</v>
      </c>
      <c r="F38">
        <f t="shared" si="0"/>
        <v>2013</v>
      </c>
      <c r="G38">
        <f t="shared" si="1"/>
        <v>11</v>
      </c>
      <c r="H38" t="str">
        <f>IF(ISNUMBER(FIND(",", E38)), TRIM(MID(E38, FIND(",", E38) + 1, LEN(E38))), E38)</f>
        <v>Scotia Sea</v>
      </c>
    </row>
    <row r="39" spans="1:8" x14ac:dyDescent="0.25">
      <c r="A39" s="2">
        <v>41591</v>
      </c>
      <c r="B39">
        <v>-60.281399999999998</v>
      </c>
      <c r="C39">
        <v>-47.1233</v>
      </c>
      <c r="D39" t="s">
        <v>3</v>
      </c>
      <c r="E39" t="s">
        <v>56</v>
      </c>
      <c r="F39">
        <f t="shared" si="0"/>
        <v>2013</v>
      </c>
      <c r="G39">
        <f t="shared" si="1"/>
        <v>11</v>
      </c>
      <c r="H39" t="str">
        <f>IF(ISNUMBER(FIND(",", E39)), TRIM(MID(E39, FIND(",", E39) + 1, LEN(E39))), E39)</f>
        <v>Scotia Sea</v>
      </c>
    </row>
    <row r="40" spans="1:8" x14ac:dyDescent="0.25">
      <c r="A40" s="2">
        <v>41590</v>
      </c>
      <c r="B40">
        <v>54.685899999999997</v>
      </c>
      <c r="C40">
        <v>162.30240000000001</v>
      </c>
      <c r="D40" t="s">
        <v>3</v>
      </c>
      <c r="E40" t="s">
        <v>57</v>
      </c>
      <c r="F40">
        <f t="shared" si="0"/>
        <v>2013</v>
      </c>
      <c r="G40">
        <f t="shared" si="1"/>
        <v>11</v>
      </c>
      <c r="H40" t="str">
        <f>IF(ISNUMBER(FIND(",", E40)), TRIM(MID(E40, FIND(",", E40) + 1, LEN(E40))), E40)</f>
        <v>Russia</v>
      </c>
    </row>
    <row r="41" spans="1:8" x14ac:dyDescent="0.25">
      <c r="A41" s="2">
        <v>41580</v>
      </c>
      <c r="B41">
        <v>-19.171099999999999</v>
      </c>
      <c r="C41">
        <v>-172.64109999999999</v>
      </c>
      <c r="D41" t="s">
        <v>3</v>
      </c>
      <c r="E41" t="s">
        <v>58</v>
      </c>
      <c r="F41">
        <f t="shared" si="0"/>
        <v>2013</v>
      </c>
      <c r="G41">
        <f t="shared" si="1"/>
        <v>11</v>
      </c>
      <c r="H41" t="str">
        <f>IF(ISNUMBER(FIND(",", E41)), TRIM(MID(E41, FIND(",", E41) + 1, LEN(E41))), E41)</f>
        <v>Tonga</v>
      </c>
    </row>
    <row r="42" spans="1:8" x14ac:dyDescent="0.25">
      <c r="A42" s="2">
        <v>41580</v>
      </c>
      <c r="B42">
        <v>-23.6357</v>
      </c>
      <c r="C42">
        <v>-112.5956</v>
      </c>
      <c r="D42" t="s">
        <v>3</v>
      </c>
      <c r="E42" t="s">
        <v>59</v>
      </c>
      <c r="F42">
        <f t="shared" si="0"/>
        <v>2013</v>
      </c>
      <c r="G42">
        <f t="shared" si="1"/>
        <v>11</v>
      </c>
      <c r="H42" t="str">
        <f>IF(ISNUMBER(FIND(",", E42)), TRIM(MID(E42, FIND(",", E42) + 1, LEN(E42))), E42)</f>
        <v>Easter Island region</v>
      </c>
    </row>
    <row r="43" spans="1:8" x14ac:dyDescent="0.25">
      <c r="A43" s="2">
        <v>41578</v>
      </c>
      <c r="B43">
        <v>-30.292100000000001</v>
      </c>
      <c r="C43">
        <v>-71.521500000000003</v>
      </c>
      <c r="D43" t="s">
        <v>3</v>
      </c>
      <c r="E43" t="s">
        <v>60</v>
      </c>
      <c r="F43">
        <f t="shared" si="0"/>
        <v>2013</v>
      </c>
      <c r="G43">
        <f t="shared" si="1"/>
        <v>10</v>
      </c>
      <c r="H43" t="str">
        <f>IF(ISNUMBER(FIND(",", E43)), TRIM(MID(E43, FIND(",", E43) + 1, LEN(E43))), E43)</f>
        <v>Chile</v>
      </c>
    </row>
    <row r="44" spans="1:8" x14ac:dyDescent="0.25">
      <c r="A44" s="2">
        <v>41578</v>
      </c>
      <c r="B44">
        <v>23.590399999999999</v>
      </c>
      <c r="C44">
        <v>121.4366</v>
      </c>
      <c r="D44" t="s">
        <v>3</v>
      </c>
      <c r="E44" t="s">
        <v>61</v>
      </c>
      <c r="F44">
        <f t="shared" si="0"/>
        <v>2013</v>
      </c>
      <c r="G44">
        <f t="shared" si="1"/>
        <v>10</v>
      </c>
      <c r="H44" t="str">
        <f>IF(ISNUMBER(FIND(",", E44)), TRIM(MID(E44, FIND(",", E44) + 1, LEN(E44))), E44)</f>
        <v>Taiwan</v>
      </c>
    </row>
    <row r="45" spans="1:8" x14ac:dyDescent="0.25">
      <c r="A45" s="2">
        <v>41577</v>
      </c>
      <c r="B45">
        <v>-35.314</v>
      </c>
      <c r="C45">
        <v>-73.394999999999996</v>
      </c>
      <c r="D45" t="s">
        <v>3</v>
      </c>
      <c r="E45" t="s">
        <v>62</v>
      </c>
      <c r="F45">
        <f t="shared" si="0"/>
        <v>2013</v>
      </c>
      <c r="G45">
        <f t="shared" si="1"/>
        <v>10</v>
      </c>
      <c r="H45" t="str">
        <f>IF(ISNUMBER(FIND(",", E45)), TRIM(MID(E45, FIND(",", E45) + 1, LEN(E45))), E45)</f>
        <v>Chile</v>
      </c>
    </row>
    <row r="46" spans="1:8" x14ac:dyDescent="0.25">
      <c r="A46" s="2">
        <v>41572</v>
      </c>
      <c r="B46">
        <v>37.155700000000003</v>
      </c>
      <c r="C46">
        <v>144.6611</v>
      </c>
      <c r="D46" t="s">
        <v>3</v>
      </c>
      <c r="E46" t="s">
        <v>63</v>
      </c>
      <c r="F46">
        <f t="shared" si="0"/>
        <v>2013</v>
      </c>
      <c r="G46">
        <f t="shared" si="1"/>
        <v>10</v>
      </c>
      <c r="H46" t="str">
        <f>IF(ISNUMBER(FIND(",", E46)), TRIM(MID(E46, FIND(",", E46) + 1, LEN(E46))), E46)</f>
        <v>Japan</v>
      </c>
    </row>
    <row r="47" spans="1:8" x14ac:dyDescent="0.25">
      <c r="A47" s="2">
        <v>41571</v>
      </c>
      <c r="B47">
        <v>-58.152999999999999</v>
      </c>
      <c r="C47">
        <v>-12.7964</v>
      </c>
      <c r="D47" t="s">
        <v>3</v>
      </c>
      <c r="E47" t="s">
        <v>27</v>
      </c>
      <c r="F47">
        <f t="shared" si="0"/>
        <v>2013</v>
      </c>
      <c r="G47">
        <f t="shared" si="1"/>
        <v>10</v>
      </c>
      <c r="H47" t="str">
        <f>IF(ISNUMBER(FIND(",", E47)), TRIM(MID(E47, FIND(",", E47) + 1, LEN(E47))), E47)</f>
        <v>East of the South Sandwich Islands</v>
      </c>
    </row>
    <row r="48" spans="1:8" x14ac:dyDescent="0.25">
      <c r="A48" s="2">
        <v>41570</v>
      </c>
      <c r="B48">
        <v>-23.006699999999999</v>
      </c>
      <c r="C48">
        <v>-177.14250000000001</v>
      </c>
      <c r="D48" t="s">
        <v>5</v>
      </c>
      <c r="E48" t="s">
        <v>64</v>
      </c>
      <c r="F48">
        <f t="shared" si="0"/>
        <v>2013</v>
      </c>
      <c r="G48">
        <f t="shared" si="1"/>
        <v>10</v>
      </c>
      <c r="H48" t="str">
        <f>IF(ISNUMBER(FIND(",", E48)), TRIM(MID(E48, FIND(",", E48) + 1, LEN(E48))), E48)</f>
        <v>Tonga</v>
      </c>
    </row>
    <row r="49" spans="1:8" x14ac:dyDescent="0.25">
      <c r="A49" s="2">
        <v>41566</v>
      </c>
      <c r="B49">
        <v>26.0913</v>
      </c>
      <c r="C49">
        <v>-110.32089999999999</v>
      </c>
      <c r="D49" t="s">
        <v>3</v>
      </c>
      <c r="E49" t="s">
        <v>65</v>
      </c>
      <c r="F49">
        <f t="shared" si="0"/>
        <v>2013</v>
      </c>
      <c r="G49">
        <f t="shared" si="1"/>
        <v>10</v>
      </c>
      <c r="H49" t="str">
        <f>IF(ISNUMBER(FIND(",", E49)), TRIM(MID(E49, FIND(",", E49) + 1, LEN(E49))), E49)</f>
        <v>Mexico</v>
      </c>
    </row>
    <row r="50" spans="1:8" x14ac:dyDescent="0.25">
      <c r="A50" s="2">
        <v>41563</v>
      </c>
      <c r="B50">
        <v>-6.4455999999999998</v>
      </c>
      <c r="C50">
        <v>154.93100000000001</v>
      </c>
      <c r="D50" t="s">
        <v>3</v>
      </c>
      <c r="E50" t="s">
        <v>66</v>
      </c>
      <c r="F50">
        <f t="shared" si="0"/>
        <v>2013</v>
      </c>
      <c r="G50">
        <f t="shared" si="1"/>
        <v>10</v>
      </c>
      <c r="H50" t="str">
        <f>IF(ISNUMBER(FIND(",", E50)), TRIM(MID(E50, FIND(",", E50) + 1, LEN(E50))), E50)</f>
        <v>Papua New Guinea</v>
      </c>
    </row>
    <row r="51" spans="1:8" x14ac:dyDescent="0.25">
      <c r="A51" s="2">
        <v>41562</v>
      </c>
      <c r="B51">
        <v>9.8795999999999999</v>
      </c>
      <c r="C51">
        <v>124.11669999999999</v>
      </c>
      <c r="D51" t="s">
        <v>3</v>
      </c>
      <c r="E51" t="s">
        <v>67</v>
      </c>
      <c r="F51">
        <f t="shared" si="0"/>
        <v>2013</v>
      </c>
      <c r="G51">
        <f t="shared" si="1"/>
        <v>10</v>
      </c>
      <c r="H51" t="str">
        <f>IF(ISNUMBER(FIND(",", E51)), TRIM(MID(E51, FIND(",", E51) + 1, LEN(E51))), E51)</f>
        <v>Philippines</v>
      </c>
    </row>
    <row r="52" spans="1:8" x14ac:dyDescent="0.25">
      <c r="A52" s="2">
        <v>41559</v>
      </c>
      <c r="B52">
        <v>35.514200000000002</v>
      </c>
      <c r="C52">
        <v>23.252300000000002</v>
      </c>
      <c r="D52" t="s">
        <v>3</v>
      </c>
      <c r="E52" t="s">
        <v>68</v>
      </c>
      <c r="F52">
        <f t="shared" si="0"/>
        <v>2013</v>
      </c>
      <c r="G52">
        <f t="shared" si="1"/>
        <v>10</v>
      </c>
      <c r="H52" t="str">
        <f>IF(ISNUMBER(FIND(",", E52)), TRIM(MID(E52, FIND(",", E52) + 1, LEN(E52))), E52)</f>
        <v>Greece</v>
      </c>
    </row>
    <row r="53" spans="1:8" x14ac:dyDescent="0.25">
      <c r="A53" s="2">
        <v>41559</v>
      </c>
      <c r="B53">
        <v>10.9048</v>
      </c>
      <c r="C53">
        <v>-62.314999999999998</v>
      </c>
      <c r="D53" t="s">
        <v>3</v>
      </c>
      <c r="E53" t="s">
        <v>69</v>
      </c>
      <c r="F53">
        <f t="shared" si="0"/>
        <v>2013</v>
      </c>
      <c r="G53">
        <f t="shared" si="1"/>
        <v>10</v>
      </c>
      <c r="H53" t="str">
        <f>IF(ISNUMBER(FIND(",", E53)), TRIM(MID(E53, FIND(",", E53) + 1, LEN(E53))), E53)</f>
        <v>Venezuela</v>
      </c>
    </row>
    <row r="54" spans="1:8" x14ac:dyDescent="0.25">
      <c r="A54" s="2">
        <v>41558</v>
      </c>
      <c r="B54">
        <v>-30.662299999999998</v>
      </c>
      <c r="C54">
        <v>-178.4838</v>
      </c>
      <c r="D54" t="s">
        <v>3</v>
      </c>
      <c r="E54" t="s">
        <v>70</v>
      </c>
      <c r="F54">
        <f t="shared" si="0"/>
        <v>2013</v>
      </c>
      <c r="G54">
        <f t="shared" si="1"/>
        <v>10</v>
      </c>
      <c r="H54" t="str">
        <f>IF(ISNUMBER(FIND(",", E54)), TRIM(MID(E54, FIND(",", E54) + 1, LEN(E54))), E54)</f>
        <v>New Zealand</v>
      </c>
    </row>
    <row r="55" spans="1:8" x14ac:dyDescent="0.25">
      <c r="A55" s="2">
        <v>41553</v>
      </c>
      <c r="B55">
        <v>-36.726700000000001</v>
      </c>
      <c r="C55">
        <v>-97.476100000000002</v>
      </c>
      <c r="D55" t="s">
        <v>3</v>
      </c>
      <c r="E55" t="s">
        <v>71</v>
      </c>
      <c r="F55">
        <f t="shared" si="0"/>
        <v>2013</v>
      </c>
      <c r="G55">
        <f t="shared" si="1"/>
        <v>10</v>
      </c>
      <c r="H55" t="str">
        <f>IF(ISNUMBER(FIND(",", E55)), TRIM(MID(E55, FIND(",", E55) + 1, LEN(E55))), E55)</f>
        <v>West Chile Rise</v>
      </c>
    </row>
    <row r="56" spans="1:8" x14ac:dyDescent="0.25">
      <c r="A56" s="2">
        <v>41553</v>
      </c>
      <c r="B56">
        <v>12.311500000000001</v>
      </c>
      <c r="C56">
        <v>141.69049999999999</v>
      </c>
      <c r="D56" t="s">
        <v>3</v>
      </c>
      <c r="E56" t="s">
        <v>72</v>
      </c>
      <c r="F56">
        <f t="shared" si="0"/>
        <v>2013</v>
      </c>
      <c r="G56">
        <f t="shared" si="1"/>
        <v>10</v>
      </c>
      <c r="H56" t="str">
        <f>IF(ISNUMBER(FIND(",", E56)), TRIM(MID(E56, FIND(",", E56) + 1, LEN(E56))), E56)</f>
        <v>Mariana Islands region</v>
      </c>
    </row>
    <row r="57" spans="1:8" x14ac:dyDescent="0.25">
      <c r="A57" s="2">
        <v>41551</v>
      </c>
      <c r="B57">
        <v>-38.606200000000001</v>
      </c>
      <c r="C57">
        <v>78.369299999999996</v>
      </c>
      <c r="D57" t="s">
        <v>3</v>
      </c>
      <c r="E57" t="s">
        <v>73</v>
      </c>
      <c r="F57">
        <f t="shared" si="0"/>
        <v>2013</v>
      </c>
      <c r="G57">
        <f t="shared" si="1"/>
        <v>10</v>
      </c>
      <c r="H57" t="str">
        <f>IF(ISNUMBER(FIND(",", E57)), TRIM(MID(E57, FIND(",", E57) + 1, LEN(E57))), E57)</f>
        <v/>
      </c>
    </row>
    <row r="58" spans="1:8" x14ac:dyDescent="0.25">
      <c r="A58" s="2">
        <v>41548</v>
      </c>
      <c r="B58">
        <v>53.1995</v>
      </c>
      <c r="C58">
        <v>152.78639999999999</v>
      </c>
      <c r="D58" t="s">
        <v>3</v>
      </c>
      <c r="E58" t="s">
        <v>74</v>
      </c>
      <c r="F58">
        <f t="shared" si="0"/>
        <v>2013</v>
      </c>
      <c r="G58">
        <f t="shared" si="1"/>
        <v>10</v>
      </c>
      <c r="H58" t="str">
        <f>IF(ISNUMBER(FIND(",", E58)), TRIM(MID(E58, FIND(",", E58) + 1, LEN(E58))), E58)</f>
        <v>Sea of Okhotsk</v>
      </c>
    </row>
    <row r="59" spans="1:8" x14ac:dyDescent="0.25">
      <c r="A59" s="2">
        <v>41547</v>
      </c>
      <c r="B59">
        <v>-30.9255</v>
      </c>
      <c r="C59">
        <v>-178.32339999999999</v>
      </c>
      <c r="D59" t="s">
        <v>3</v>
      </c>
      <c r="E59" t="s">
        <v>75</v>
      </c>
      <c r="F59">
        <f t="shared" si="0"/>
        <v>2013</v>
      </c>
      <c r="G59">
        <f t="shared" si="1"/>
        <v>9</v>
      </c>
      <c r="H59" t="str">
        <f>IF(ISNUMBER(FIND(",", E59)), TRIM(MID(E59, FIND(",", E59) + 1, LEN(E59))), E59)</f>
        <v>New Zealand</v>
      </c>
    </row>
    <row r="60" spans="1:8" x14ac:dyDescent="0.25">
      <c r="A60" s="2">
        <v>41545</v>
      </c>
      <c r="B60">
        <v>27.182500000000001</v>
      </c>
      <c r="C60">
        <v>65.505200000000002</v>
      </c>
      <c r="D60" t="s">
        <v>3</v>
      </c>
      <c r="E60" t="s">
        <v>76</v>
      </c>
      <c r="F60">
        <f t="shared" si="0"/>
        <v>2013</v>
      </c>
      <c r="G60">
        <f t="shared" si="1"/>
        <v>9</v>
      </c>
      <c r="H60" t="str">
        <f>IF(ISNUMBER(FIND(",", E60)), TRIM(MID(E60, FIND(",", E60) + 1, LEN(E60))), E60)</f>
        <v>Pakistan</v>
      </c>
    </row>
    <row r="61" spans="1:8" x14ac:dyDescent="0.25">
      <c r="A61" s="2">
        <v>41542</v>
      </c>
      <c r="B61">
        <v>-15.8385</v>
      </c>
      <c r="C61">
        <v>-74.511200000000002</v>
      </c>
      <c r="D61" t="s">
        <v>3</v>
      </c>
      <c r="E61" t="s">
        <v>77</v>
      </c>
      <c r="F61">
        <f t="shared" si="0"/>
        <v>2013</v>
      </c>
      <c r="G61">
        <f t="shared" si="1"/>
        <v>9</v>
      </c>
      <c r="H61" t="str">
        <f>IF(ISNUMBER(FIND(",", E61)), TRIM(MID(E61, FIND(",", E61) + 1, LEN(E61))), E61)</f>
        <v>Peru</v>
      </c>
    </row>
    <row r="62" spans="1:8" x14ac:dyDescent="0.25">
      <c r="A62" s="2">
        <v>41542</v>
      </c>
      <c r="B62">
        <v>-49.958500000000001</v>
      </c>
      <c r="C62">
        <v>-113.7439</v>
      </c>
      <c r="D62" t="s">
        <v>3</v>
      </c>
      <c r="E62" t="s">
        <v>78</v>
      </c>
      <c r="F62">
        <f t="shared" si="0"/>
        <v>2013</v>
      </c>
      <c r="G62">
        <f t="shared" si="1"/>
        <v>9</v>
      </c>
      <c r="H62" t="str">
        <f>IF(ISNUMBER(FIND(",", E62)), TRIM(MID(E62, FIND(",", E62) + 1, LEN(E62))), E62)</f>
        <v>Southern East Pacific Rise</v>
      </c>
    </row>
    <row r="63" spans="1:8" x14ac:dyDescent="0.25">
      <c r="A63" s="2">
        <v>41541</v>
      </c>
      <c r="B63">
        <v>26.951000000000001</v>
      </c>
      <c r="C63">
        <v>65.500900000000001</v>
      </c>
      <c r="D63" t="s">
        <v>3</v>
      </c>
      <c r="E63" t="s">
        <v>79</v>
      </c>
      <c r="F63">
        <f t="shared" si="0"/>
        <v>2013</v>
      </c>
      <c r="G63">
        <f t="shared" si="1"/>
        <v>9</v>
      </c>
      <c r="H63" t="str">
        <f>IF(ISNUMBER(FIND(",", E63)), TRIM(MID(E63, FIND(",", E63) + 1, LEN(E63))), E63)</f>
        <v>Pakistan</v>
      </c>
    </row>
    <row r="64" spans="1:8" x14ac:dyDescent="0.25">
      <c r="A64" s="2">
        <v>41538</v>
      </c>
      <c r="B64">
        <v>-7.3308</v>
      </c>
      <c r="C64">
        <v>120.0106</v>
      </c>
      <c r="D64" t="s">
        <v>3</v>
      </c>
      <c r="E64" t="s">
        <v>80</v>
      </c>
      <c r="F64">
        <f t="shared" si="0"/>
        <v>2013</v>
      </c>
      <c r="G64">
        <f t="shared" si="1"/>
        <v>9</v>
      </c>
      <c r="H64" t="str">
        <f>IF(ISNUMBER(FIND(",", E64)), TRIM(MID(E64, FIND(",", E64) + 1, LEN(E64))), E64)</f>
        <v>Indonesia</v>
      </c>
    </row>
    <row r="65" spans="1:8" x14ac:dyDescent="0.25">
      <c r="A65" s="2">
        <v>41532</v>
      </c>
      <c r="B65">
        <v>51.575099999999999</v>
      </c>
      <c r="C65">
        <v>-174.71600000000001</v>
      </c>
      <c r="D65" t="s">
        <v>3</v>
      </c>
      <c r="E65" t="s">
        <v>81</v>
      </c>
      <c r="F65">
        <f t="shared" si="0"/>
        <v>2013</v>
      </c>
      <c r="G65">
        <f t="shared" si="1"/>
        <v>9</v>
      </c>
      <c r="H65" t="str">
        <f>IF(ISNUMBER(FIND(",", E65)), TRIM(MID(E65, FIND(",", E65) + 1, LEN(E65))), E65)</f>
        <v>Alaska</v>
      </c>
    </row>
    <row r="66" spans="1:8" x14ac:dyDescent="0.25">
      <c r="A66" s="2">
        <v>41528</v>
      </c>
      <c r="B66">
        <v>-4.5472000000000001</v>
      </c>
      <c r="C66">
        <v>-104.5783</v>
      </c>
      <c r="D66" t="s">
        <v>3</v>
      </c>
      <c r="E66" t="s">
        <v>82</v>
      </c>
      <c r="F66">
        <f t="shared" ref="F66:F129" si="2">YEAR(A66)</f>
        <v>2013</v>
      </c>
      <c r="G66">
        <f t="shared" si="1"/>
        <v>9</v>
      </c>
      <c r="H66" t="str">
        <f>IF(ISNUMBER(FIND(",", E66)), TRIM(MID(E66, FIND(",", E66) + 1, LEN(E66))), E66)</f>
        <v>Central East Pacific Rise</v>
      </c>
    </row>
    <row r="67" spans="1:8" x14ac:dyDescent="0.25">
      <c r="A67" s="2">
        <v>41524</v>
      </c>
      <c r="B67">
        <v>14.605600000000001</v>
      </c>
      <c r="C67">
        <v>-92.120699999999999</v>
      </c>
      <c r="D67" t="s">
        <v>3</v>
      </c>
      <c r="E67" t="s">
        <v>83</v>
      </c>
      <c r="F67">
        <f t="shared" si="2"/>
        <v>2013</v>
      </c>
      <c r="G67">
        <f t="shared" ref="G67:G130" si="3">MONTH(A67)</f>
        <v>9</v>
      </c>
      <c r="H67" t="str">
        <f>IF(ISNUMBER(FIND(",", E67)), TRIM(MID(E67, FIND(",", E67) + 1, LEN(E67))), E67)</f>
        <v>Guatemala</v>
      </c>
    </row>
    <row r="68" spans="1:8" x14ac:dyDescent="0.25">
      <c r="A68" s="2">
        <v>41522</v>
      </c>
      <c r="B68">
        <v>15.1836</v>
      </c>
      <c r="C68">
        <v>-45.231999999999999</v>
      </c>
      <c r="D68" t="s">
        <v>3</v>
      </c>
      <c r="E68" t="s">
        <v>84</v>
      </c>
      <c r="F68">
        <f t="shared" si="2"/>
        <v>2013</v>
      </c>
      <c r="G68">
        <f t="shared" si="3"/>
        <v>9</v>
      </c>
      <c r="H68" t="str">
        <f>IF(ISNUMBER(FIND(",", E68)), TRIM(MID(E68, FIND(",", E68) + 1, LEN(E68))), E68)</f>
        <v>Northern Mid-Atlantic Ridge</v>
      </c>
    </row>
    <row r="69" spans="1:8" x14ac:dyDescent="0.25">
      <c r="A69" s="2">
        <v>41521</v>
      </c>
      <c r="B69">
        <v>51.573</v>
      </c>
      <c r="C69">
        <v>-174.8537</v>
      </c>
      <c r="D69" t="s">
        <v>3</v>
      </c>
      <c r="E69" t="s">
        <v>85</v>
      </c>
      <c r="F69">
        <f t="shared" si="2"/>
        <v>2013</v>
      </c>
      <c r="G69">
        <f t="shared" si="3"/>
        <v>9</v>
      </c>
      <c r="H69" t="str">
        <f>IF(ISNUMBER(FIND(",", E69)), TRIM(MID(E69, FIND(",", E69) + 1, LEN(E69))), E69)</f>
        <v>Alaska</v>
      </c>
    </row>
    <row r="70" spans="1:8" x14ac:dyDescent="0.25">
      <c r="A70" s="2">
        <v>41521</v>
      </c>
      <c r="B70">
        <v>51.557299999999998</v>
      </c>
      <c r="C70">
        <v>-174.7671</v>
      </c>
      <c r="D70" t="s">
        <v>3</v>
      </c>
      <c r="E70" t="s">
        <v>86</v>
      </c>
      <c r="F70">
        <f t="shared" si="2"/>
        <v>2013</v>
      </c>
      <c r="G70">
        <f t="shared" si="3"/>
        <v>9</v>
      </c>
      <c r="H70" t="str">
        <f>IF(ISNUMBER(FIND(",", E70)), TRIM(MID(E70, FIND(",", E70) + 1, LEN(E70))), E70)</f>
        <v>Alaska</v>
      </c>
    </row>
    <row r="71" spans="1:8" x14ac:dyDescent="0.25">
      <c r="A71" s="2">
        <v>41521</v>
      </c>
      <c r="B71">
        <v>51.183199999999999</v>
      </c>
      <c r="C71">
        <v>-130.22450000000001</v>
      </c>
      <c r="D71" t="s">
        <v>3</v>
      </c>
      <c r="E71" t="s">
        <v>87</v>
      </c>
      <c r="F71">
        <f t="shared" si="2"/>
        <v>2013</v>
      </c>
      <c r="G71">
        <f t="shared" si="3"/>
        <v>9</v>
      </c>
      <c r="H71" t="str">
        <f>IF(ISNUMBER(FIND(",", E71)), TRIM(MID(E71, FIND(",", E71) + 1, LEN(E71))), E71)</f>
        <v>Canada</v>
      </c>
    </row>
    <row r="72" spans="1:8" x14ac:dyDescent="0.25">
      <c r="A72" s="2">
        <v>41521</v>
      </c>
      <c r="B72">
        <v>29.9377</v>
      </c>
      <c r="C72">
        <v>138.83250000000001</v>
      </c>
      <c r="D72" t="s">
        <v>3</v>
      </c>
      <c r="E72" t="s">
        <v>88</v>
      </c>
      <c r="F72">
        <f t="shared" si="2"/>
        <v>2013</v>
      </c>
      <c r="G72">
        <f t="shared" si="3"/>
        <v>9</v>
      </c>
      <c r="H72" t="str">
        <f>IF(ISNUMBER(FIND(",", E72)), TRIM(MID(E72, FIND(",", E72) + 1, LEN(E72))), E72)</f>
        <v>Japan region</v>
      </c>
    </row>
    <row r="73" spans="1:8" x14ac:dyDescent="0.25">
      <c r="A73" s="2">
        <v>41520</v>
      </c>
      <c r="B73">
        <v>51.244</v>
      </c>
      <c r="C73">
        <v>-130.39709999999999</v>
      </c>
      <c r="D73" t="s">
        <v>3</v>
      </c>
      <c r="E73" t="s">
        <v>89</v>
      </c>
      <c r="F73">
        <f t="shared" si="2"/>
        <v>2013</v>
      </c>
      <c r="G73">
        <f t="shared" si="3"/>
        <v>9</v>
      </c>
      <c r="H73" t="str">
        <f>IF(ISNUMBER(FIND(",", E73)), TRIM(MID(E73, FIND(",", E73) + 1, LEN(E73))), E73)</f>
        <v>Canada</v>
      </c>
    </row>
    <row r="74" spans="1:8" x14ac:dyDescent="0.25">
      <c r="A74" s="2">
        <v>41518</v>
      </c>
      <c r="B74">
        <v>-7.44</v>
      </c>
      <c r="C74">
        <v>128.2209</v>
      </c>
      <c r="D74" t="s">
        <v>3</v>
      </c>
      <c r="E74" t="s">
        <v>49</v>
      </c>
      <c r="F74">
        <f t="shared" si="2"/>
        <v>2013</v>
      </c>
      <c r="G74">
        <f t="shared" si="3"/>
        <v>9</v>
      </c>
      <c r="H74" t="str">
        <f>IF(ISNUMBER(FIND(",", E74)), TRIM(MID(E74, FIND(",", E74) + 1, LEN(E74))), E74)</f>
        <v>Indonesia</v>
      </c>
    </row>
    <row r="75" spans="1:8" x14ac:dyDescent="0.25">
      <c r="A75" s="2">
        <v>41517</v>
      </c>
      <c r="B75">
        <v>51.238100000000003</v>
      </c>
      <c r="C75">
        <v>-174.94069999999999</v>
      </c>
      <c r="D75" t="s">
        <v>3</v>
      </c>
      <c r="E75" t="s">
        <v>90</v>
      </c>
      <c r="F75">
        <f t="shared" si="2"/>
        <v>2013</v>
      </c>
      <c r="G75">
        <f t="shared" si="3"/>
        <v>8</v>
      </c>
      <c r="H75" t="str">
        <f>IF(ISNUMBER(FIND(",", E75)), TRIM(MID(E75, FIND(",", E75) + 1, LEN(E75))), E75)</f>
        <v>Alaska</v>
      </c>
    </row>
    <row r="76" spans="1:8" x14ac:dyDescent="0.25">
      <c r="A76" s="2">
        <v>41516</v>
      </c>
      <c r="B76">
        <v>51.536999999999999</v>
      </c>
      <c r="C76">
        <v>-175.22970000000001</v>
      </c>
      <c r="D76" t="s">
        <v>3</v>
      </c>
      <c r="E76" t="s">
        <v>91</v>
      </c>
      <c r="F76">
        <f t="shared" si="2"/>
        <v>2013</v>
      </c>
      <c r="G76">
        <f t="shared" si="3"/>
        <v>8</v>
      </c>
      <c r="H76" t="str">
        <f>IF(ISNUMBER(FIND(",", E76)), TRIM(MID(E76, FIND(",", E76) + 1, LEN(E76))), E76)</f>
        <v>Alaska</v>
      </c>
    </row>
    <row r="77" spans="1:8" x14ac:dyDescent="0.25">
      <c r="A77" s="2">
        <v>41514</v>
      </c>
      <c r="B77">
        <v>-27.782900000000001</v>
      </c>
      <c r="C77">
        <v>179.6335</v>
      </c>
      <c r="D77" t="s">
        <v>3</v>
      </c>
      <c r="E77" t="s">
        <v>92</v>
      </c>
      <c r="F77">
        <f t="shared" si="2"/>
        <v>2013</v>
      </c>
      <c r="G77">
        <f t="shared" si="3"/>
        <v>8</v>
      </c>
      <c r="H77" t="str">
        <f>IF(ISNUMBER(FIND(",", E77)), TRIM(MID(E77, FIND(",", E77) + 1, LEN(E77))), E77)</f>
        <v>New Zealand</v>
      </c>
    </row>
    <row r="78" spans="1:8" x14ac:dyDescent="0.25">
      <c r="A78" s="2">
        <v>41507</v>
      </c>
      <c r="B78">
        <v>16.878399999999999</v>
      </c>
      <c r="C78">
        <v>-99.498000000000005</v>
      </c>
      <c r="D78" t="s">
        <v>3</v>
      </c>
      <c r="E78" t="s">
        <v>93</v>
      </c>
      <c r="F78">
        <f t="shared" si="2"/>
        <v>2013</v>
      </c>
      <c r="G78">
        <f t="shared" si="3"/>
        <v>8</v>
      </c>
      <c r="H78" t="str">
        <f>IF(ISNUMBER(FIND(",", E78)), TRIM(MID(E78, FIND(",", E78) + 1, LEN(E78))), E78)</f>
        <v>Mexico</v>
      </c>
    </row>
    <row r="79" spans="1:8" x14ac:dyDescent="0.25">
      <c r="A79" s="2">
        <v>41503</v>
      </c>
      <c r="B79">
        <v>-34.885300000000001</v>
      </c>
      <c r="C79">
        <v>54.092700000000001</v>
      </c>
      <c r="D79" t="s">
        <v>3</v>
      </c>
      <c r="E79" t="s">
        <v>94</v>
      </c>
      <c r="F79">
        <f t="shared" si="2"/>
        <v>2013</v>
      </c>
      <c r="G79">
        <f t="shared" si="3"/>
        <v>8</v>
      </c>
      <c r="H79" t="str">
        <f>IF(ISNUMBER(FIND(",", E79)), TRIM(MID(E79, FIND(",", E79) + 1, LEN(E79))), E79)</f>
        <v>Southwest Indian Ridge</v>
      </c>
    </row>
    <row r="80" spans="1:8" x14ac:dyDescent="0.25">
      <c r="A80" s="2">
        <v>41502</v>
      </c>
      <c r="B80">
        <v>-41.734000000000002</v>
      </c>
      <c r="C80">
        <v>174.15199999999999</v>
      </c>
      <c r="D80" t="s">
        <v>3</v>
      </c>
      <c r="E80" t="s">
        <v>95</v>
      </c>
      <c r="F80">
        <f t="shared" si="2"/>
        <v>2013</v>
      </c>
      <c r="G80">
        <f t="shared" si="3"/>
        <v>8</v>
      </c>
      <c r="H80" t="str">
        <f>IF(ISNUMBER(FIND(",", E80)), TRIM(MID(E80, FIND(",", E80) + 1, LEN(E80))), E80)</f>
        <v>New Zealand</v>
      </c>
    </row>
    <row r="81" spans="1:8" x14ac:dyDescent="0.25">
      <c r="A81" s="2">
        <v>41499</v>
      </c>
      <c r="B81">
        <v>5.7732000000000001</v>
      </c>
      <c r="C81">
        <v>-78.1999</v>
      </c>
      <c r="D81" t="s">
        <v>3</v>
      </c>
      <c r="E81" t="s">
        <v>96</v>
      </c>
      <c r="F81">
        <f t="shared" si="2"/>
        <v>2013</v>
      </c>
      <c r="G81">
        <f t="shared" si="3"/>
        <v>8</v>
      </c>
      <c r="H81" t="str">
        <f>IF(ISNUMBER(FIND(",", E81)), TRIM(MID(E81, FIND(",", E81) + 1, LEN(E81))), E81)</f>
        <v>Colombia</v>
      </c>
    </row>
    <row r="82" spans="1:8" x14ac:dyDescent="0.25">
      <c r="A82" s="2">
        <v>41498</v>
      </c>
      <c r="B82">
        <v>-5.3962000000000003</v>
      </c>
      <c r="C82">
        <v>-81.9268</v>
      </c>
      <c r="D82" t="s">
        <v>3</v>
      </c>
      <c r="E82" t="s">
        <v>97</v>
      </c>
      <c r="F82">
        <f t="shared" si="2"/>
        <v>2013</v>
      </c>
      <c r="G82">
        <f t="shared" si="3"/>
        <v>8</v>
      </c>
      <c r="H82" t="str">
        <f>IF(ISNUMBER(FIND(",", E82)), TRIM(MID(E82, FIND(",", E82) + 1, LEN(E82))), E82)</f>
        <v>Peru</v>
      </c>
    </row>
    <row r="83" spans="1:8" x14ac:dyDescent="0.25">
      <c r="A83" s="2">
        <v>41498</v>
      </c>
      <c r="B83">
        <v>-30.628499999999999</v>
      </c>
      <c r="C83">
        <v>-179.678</v>
      </c>
      <c r="D83" t="s">
        <v>3</v>
      </c>
      <c r="E83" t="s">
        <v>98</v>
      </c>
      <c r="F83">
        <f t="shared" si="2"/>
        <v>2013</v>
      </c>
      <c r="G83">
        <f t="shared" si="3"/>
        <v>8</v>
      </c>
      <c r="H83" t="str">
        <f>IF(ISNUMBER(FIND(",", E83)), TRIM(MID(E83, FIND(",", E83) + 1, LEN(E83))), E83)</f>
        <v>New Zealand</v>
      </c>
    </row>
    <row r="84" spans="1:8" x14ac:dyDescent="0.25">
      <c r="A84" s="2">
        <v>41498</v>
      </c>
      <c r="B84">
        <v>-7.1353999999999997</v>
      </c>
      <c r="C84">
        <v>129.80879999999999</v>
      </c>
      <c r="D84" t="s">
        <v>3</v>
      </c>
      <c r="E84" t="s">
        <v>99</v>
      </c>
      <c r="F84">
        <f t="shared" si="2"/>
        <v>2013</v>
      </c>
      <c r="G84">
        <f t="shared" si="3"/>
        <v>8</v>
      </c>
      <c r="H84" t="str">
        <f>IF(ISNUMBER(FIND(",", E84)), TRIM(MID(E84, FIND(",", E84) + 1, LEN(E84))), E84)</f>
        <v>Indonesia</v>
      </c>
    </row>
    <row r="85" spans="1:8" x14ac:dyDescent="0.25">
      <c r="A85" s="2">
        <v>41487</v>
      </c>
      <c r="B85">
        <v>-15.244300000000001</v>
      </c>
      <c r="C85">
        <v>-173.50059999999999</v>
      </c>
      <c r="D85" t="s">
        <v>3</v>
      </c>
      <c r="E85" t="s">
        <v>100</v>
      </c>
      <c r="F85">
        <f t="shared" si="2"/>
        <v>2013</v>
      </c>
      <c r="G85">
        <f t="shared" si="3"/>
        <v>8</v>
      </c>
      <c r="H85" t="str">
        <f>IF(ISNUMBER(FIND(",", E85)), TRIM(MID(E85, FIND(",", E85) + 1, LEN(E85))), E85)</f>
        <v>Tonga</v>
      </c>
    </row>
    <row r="86" spans="1:8" x14ac:dyDescent="0.25">
      <c r="A86" s="2">
        <v>41481</v>
      </c>
      <c r="B86">
        <v>-57.914499999999997</v>
      </c>
      <c r="C86">
        <v>-23.841000000000001</v>
      </c>
      <c r="D86" t="s">
        <v>7</v>
      </c>
      <c r="E86" t="s">
        <v>101</v>
      </c>
      <c r="F86">
        <f t="shared" si="2"/>
        <v>2013</v>
      </c>
      <c r="G86">
        <f t="shared" si="3"/>
        <v>7</v>
      </c>
      <c r="H86" t="str">
        <f>IF(ISNUMBER(FIND(",", E86)), TRIM(MID(E86, FIND(",", E86) + 1, LEN(E86))), E86)</f>
        <v>South Sandwich Islands</v>
      </c>
    </row>
    <row r="87" spans="1:8" x14ac:dyDescent="0.25">
      <c r="A87" s="2">
        <v>41481</v>
      </c>
      <c r="B87">
        <v>-15.379200000000001</v>
      </c>
      <c r="C87">
        <v>167.68889999999999</v>
      </c>
      <c r="D87" t="s">
        <v>7</v>
      </c>
      <c r="E87" t="s">
        <v>102</v>
      </c>
      <c r="F87">
        <f t="shared" si="2"/>
        <v>2013</v>
      </c>
      <c r="G87">
        <f t="shared" si="3"/>
        <v>7</v>
      </c>
      <c r="H87" t="str">
        <f>IF(ISNUMBER(FIND(",", E87)), TRIM(MID(E87, FIND(",", E87) + 1, LEN(E87))), E87)</f>
        <v>Vanuatu</v>
      </c>
    </row>
    <row r="88" spans="1:8" x14ac:dyDescent="0.25">
      <c r="A88" s="2">
        <v>41477</v>
      </c>
      <c r="B88">
        <v>-46.041699999999999</v>
      </c>
      <c r="C88">
        <v>34.825499999999998</v>
      </c>
      <c r="D88" t="s">
        <v>8</v>
      </c>
      <c r="E88" t="s">
        <v>103</v>
      </c>
      <c r="F88">
        <f t="shared" si="2"/>
        <v>2013</v>
      </c>
      <c r="G88">
        <f t="shared" si="3"/>
        <v>7</v>
      </c>
      <c r="H88" t="str">
        <f>IF(ISNUMBER(FIND(",", E88)), TRIM(MID(E88, FIND(",", E88) + 1, LEN(E88))), E88)</f>
        <v>Prince Edward Islands</v>
      </c>
    </row>
    <row r="89" spans="1:8" x14ac:dyDescent="0.25">
      <c r="A89" s="2">
        <v>41476</v>
      </c>
      <c r="B89">
        <v>-41.7134</v>
      </c>
      <c r="C89">
        <v>174.44309999999999</v>
      </c>
      <c r="D89" t="s">
        <v>9</v>
      </c>
      <c r="E89" t="s">
        <v>104</v>
      </c>
      <c r="F89">
        <f t="shared" si="2"/>
        <v>2013</v>
      </c>
      <c r="G89">
        <f t="shared" si="3"/>
        <v>7</v>
      </c>
      <c r="H89" t="str">
        <f>IF(ISNUMBER(FIND(",", E89)), TRIM(MID(E89, FIND(",", E89) + 1, LEN(E89))), E89)</f>
        <v>New Zealand</v>
      </c>
    </row>
    <row r="90" spans="1:8" x14ac:dyDescent="0.25">
      <c r="A90" s="2">
        <v>41472</v>
      </c>
      <c r="B90">
        <v>-15.634600000000001</v>
      </c>
      <c r="C90">
        <v>-71.772900000000007</v>
      </c>
      <c r="D90" t="s">
        <v>9</v>
      </c>
      <c r="E90" t="s">
        <v>105</v>
      </c>
      <c r="F90">
        <f t="shared" si="2"/>
        <v>2013</v>
      </c>
      <c r="G90">
        <f t="shared" si="3"/>
        <v>7</v>
      </c>
      <c r="H90" t="str">
        <f>IF(ISNUMBER(FIND(",", E90)), TRIM(MID(E90, FIND(",", E90) + 1, LEN(E90))), E90)</f>
        <v>Peru</v>
      </c>
    </row>
    <row r="91" spans="1:8" x14ac:dyDescent="0.25">
      <c r="A91" s="2">
        <v>41471</v>
      </c>
      <c r="B91">
        <v>-6.3085000000000004</v>
      </c>
      <c r="C91">
        <v>154.78219999999999</v>
      </c>
      <c r="D91" t="s">
        <v>8</v>
      </c>
      <c r="E91" t="s">
        <v>106</v>
      </c>
      <c r="F91">
        <f t="shared" si="2"/>
        <v>2013</v>
      </c>
      <c r="G91">
        <f t="shared" si="3"/>
        <v>7</v>
      </c>
      <c r="H91" t="str">
        <f>IF(ISNUMBER(FIND(",", E91)), TRIM(MID(E91, FIND(",", E91) + 1, LEN(E91))), E91)</f>
        <v>Papua New Guinea</v>
      </c>
    </row>
    <row r="92" spans="1:8" x14ac:dyDescent="0.25">
      <c r="A92" s="2">
        <v>41470</v>
      </c>
      <c r="B92">
        <v>-60.867899999999999</v>
      </c>
      <c r="C92">
        <v>-25.143599999999999</v>
      </c>
      <c r="D92" t="s">
        <v>9</v>
      </c>
      <c r="E92" t="s">
        <v>107</v>
      </c>
      <c r="F92">
        <f t="shared" si="2"/>
        <v>2013</v>
      </c>
      <c r="G92">
        <f t="shared" si="3"/>
        <v>7</v>
      </c>
      <c r="H92" t="str">
        <f>IF(ISNUMBER(FIND(",", E92)), TRIM(MID(E92, FIND(",", E92) + 1, LEN(E92))), E92)</f>
        <v>South Sandwich Islands</v>
      </c>
    </row>
    <row r="93" spans="1:8" x14ac:dyDescent="0.25">
      <c r="A93" s="2">
        <v>41462</v>
      </c>
      <c r="B93">
        <v>-6.0155000000000003</v>
      </c>
      <c r="C93">
        <v>149.72149999999999</v>
      </c>
      <c r="D93" t="s">
        <v>9</v>
      </c>
      <c r="E93" t="s">
        <v>108</v>
      </c>
      <c r="F93">
        <f t="shared" si="2"/>
        <v>2013</v>
      </c>
      <c r="G93">
        <f t="shared" si="3"/>
        <v>7</v>
      </c>
      <c r="H93" t="str">
        <f>IF(ISNUMBER(FIND(",", E93)), TRIM(MID(E93, FIND(",", E93) + 1, LEN(E93))), E93)</f>
        <v>Papua New Guinea</v>
      </c>
    </row>
    <row r="94" spans="1:8" x14ac:dyDescent="0.25">
      <c r="A94" s="2">
        <v>41462</v>
      </c>
      <c r="B94">
        <v>-3.9234</v>
      </c>
      <c r="C94">
        <v>153.9204</v>
      </c>
      <c r="D94" t="s">
        <v>9</v>
      </c>
      <c r="E94" t="s">
        <v>109</v>
      </c>
      <c r="F94">
        <f t="shared" si="2"/>
        <v>2013</v>
      </c>
      <c r="G94">
        <f t="shared" si="3"/>
        <v>7</v>
      </c>
      <c r="H94" t="str">
        <f>IF(ISNUMBER(FIND(",", E94)), TRIM(MID(E94, FIND(",", E94) + 1, LEN(E94))), E94)</f>
        <v>Papua New Guinea</v>
      </c>
    </row>
    <row r="95" spans="1:8" x14ac:dyDescent="0.25">
      <c r="A95" s="2">
        <v>41461</v>
      </c>
      <c r="B95">
        <v>-3.2490000000000001</v>
      </c>
      <c r="C95">
        <v>100.5668</v>
      </c>
      <c r="D95" t="s">
        <v>8</v>
      </c>
      <c r="E95" t="s">
        <v>110</v>
      </c>
      <c r="F95">
        <f t="shared" si="2"/>
        <v>2013</v>
      </c>
      <c r="G95">
        <f t="shared" si="3"/>
        <v>7</v>
      </c>
      <c r="H95" t="str">
        <f>IF(ISNUMBER(FIND(",", E95)), TRIM(MID(E95, FIND(",", E95) + 1, LEN(E95))), E95)</f>
        <v>Indonesia</v>
      </c>
    </row>
    <row r="96" spans="1:8" x14ac:dyDescent="0.25">
      <c r="A96" s="2">
        <v>41459</v>
      </c>
      <c r="B96">
        <v>-7.0389999999999997</v>
      </c>
      <c r="C96">
        <v>155.6438</v>
      </c>
      <c r="D96" t="s">
        <v>8</v>
      </c>
      <c r="E96" t="s">
        <v>111</v>
      </c>
      <c r="F96">
        <f t="shared" si="2"/>
        <v>2013</v>
      </c>
      <c r="G96">
        <f t="shared" si="3"/>
        <v>7</v>
      </c>
      <c r="H96" t="str">
        <f>IF(ISNUMBER(FIND(",", E96)), TRIM(MID(E96, FIND(",", E96) + 1, LEN(E96))), E96)</f>
        <v>Papua New Guinea</v>
      </c>
    </row>
    <row r="97" spans="1:8" x14ac:dyDescent="0.25">
      <c r="A97" s="2">
        <v>41457</v>
      </c>
      <c r="B97">
        <v>4.6980000000000004</v>
      </c>
      <c r="C97">
        <v>96.686999999999998</v>
      </c>
      <c r="D97" t="s">
        <v>6</v>
      </c>
      <c r="E97" t="s">
        <v>112</v>
      </c>
      <c r="F97">
        <f t="shared" si="2"/>
        <v>2013</v>
      </c>
      <c r="G97">
        <f t="shared" si="3"/>
        <v>7</v>
      </c>
      <c r="H97" t="str">
        <f>IF(ISNUMBER(FIND(",", E97)), TRIM(MID(E97, FIND(",", E97) + 1, LEN(E97))), E97)</f>
        <v>Indonesia</v>
      </c>
    </row>
    <row r="98" spans="1:8" x14ac:dyDescent="0.25">
      <c r="A98" s="2">
        <v>41449</v>
      </c>
      <c r="B98">
        <v>10.701000000000001</v>
      </c>
      <c r="C98">
        <v>-42.594000000000001</v>
      </c>
      <c r="D98" t="s">
        <v>6</v>
      </c>
      <c r="E98" t="s">
        <v>84</v>
      </c>
      <c r="F98">
        <f t="shared" si="2"/>
        <v>2013</v>
      </c>
      <c r="G98">
        <f t="shared" si="3"/>
        <v>6</v>
      </c>
      <c r="H98" t="str">
        <f>IF(ISNUMBER(FIND(",", E98)), TRIM(MID(E98, FIND(",", E98) + 1, LEN(E98))), E98)</f>
        <v>Northern Mid-Atlantic Ridge</v>
      </c>
    </row>
    <row r="99" spans="1:8" x14ac:dyDescent="0.25">
      <c r="A99" s="2">
        <v>41441</v>
      </c>
      <c r="B99">
        <v>34.270000000000003</v>
      </c>
      <c r="C99">
        <v>25.114000000000001</v>
      </c>
      <c r="D99" t="s">
        <v>6</v>
      </c>
      <c r="E99" t="s">
        <v>113</v>
      </c>
      <c r="F99">
        <f t="shared" si="2"/>
        <v>2013</v>
      </c>
      <c r="G99">
        <f t="shared" si="3"/>
        <v>6</v>
      </c>
      <c r="H99" t="str">
        <f>IF(ISNUMBER(FIND(",", E99)), TRIM(MID(E99, FIND(",", E99) + 1, LEN(E99))), E99)</f>
        <v>Greece</v>
      </c>
    </row>
    <row r="100" spans="1:8" x14ac:dyDescent="0.25">
      <c r="A100" s="2">
        <v>41440</v>
      </c>
      <c r="B100">
        <v>11.724600000000001</v>
      </c>
      <c r="C100">
        <v>-86.975399999999993</v>
      </c>
      <c r="D100" t="s">
        <v>8</v>
      </c>
      <c r="E100" t="s">
        <v>114</v>
      </c>
      <c r="F100">
        <f t="shared" si="2"/>
        <v>2013</v>
      </c>
      <c r="G100">
        <f t="shared" si="3"/>
        <v>6</v>
      </c>
      <c r="H100" t="str">
        <f>IF(ISNUMBER(FIND(",", E100)), TRIM(MID(E100, FIND(",", E100) + 1, LEN(E100))), E100)</f>
        <v>Nicaragua</v>
      </c>
    </row>
    <row r="101" spans="1:8" x14ac:dyDescent="0.25">
      <c r="A101" s="2">
        <v>41440</v>
      </c>
      <c r="B101">
        <v>34.448799999999999</v>
      </c>
      <c r="C101">
        <v>25.043500000000002</v>
      </c>
      <c r="D101" t="s">
        <v>10</v>
      </c>
      <c r="E101" t="s">
        <v>115</v>
      </c>
      <c r="F101">
        <f t="shared" si="2"/>
        <v>2013</v>
      </c>
      <c r="G101">
        <f t="shared" si="3"/>
        <v>6</v>
      </c>
      <c r="H101" t="str">
        <f>IF(ISNUMBER(FIND(",", E101)), TRIM(MID(E101, FIND(",", E101) + 1, LEN(E101))), E101)</f>
        <v>Greece</v>
      </c>
    </row>
    <row r="102" spans="1:8" x14ac:dyDescent="0.25">
      <c r="A102" s="2">
        <v>41440</v>
      </c>
      <c r="B102">
        <v>-33.853000000000002</v>
      </c>
      <c r="C102">
        <v>179.40199999999999</v>
      </c>
      <c r="D102" t="s">
        <v>6</v>
      </c>
      <c r="E102" t="s">
        <v>116</v>
      </c>
      <c r="F102">
        <f t="shared" si="2"/>
        <v>2013</v>
      </c>
      <c r="G102">
        <f t="shared" si="3"/>
        <v>6</v>
      </c>
      <c r="H102" t="str">
        <f>IF(ISNUMBER(FIND(",", E102)), TRIM(MID(E102, FIND(",", E102) + 1, LEN(E102))), E102)</f>
        <v>South of the Kermadec Islands</v>
      </c>
    </row>
    <row r="103" spans="1:8" x14ac:dyDescent="0.25">
      <c r="A103" s="2">
        <v>41438</v>
      </c>
      <c r="B103">
        <v>-9.9979999999999993</v>
      </c>
      <c r="C103">
        <v>107.24299999999999</v>
      </c>
      <c r="D103" t="s">
        <v>6</v>
      </c>
      <c r="E103" t="s">
        <v>117</v>
      </c>
      <c r="F103">
        <f t="shared" si="2"/>
        <v>2013</v>
      </c>
      <c r="G103">
        <f t="shared" si="3"/>
        <v>6</v>
      </c>
      <c r="H103" t="str">
        <f>IF(ISNUMBER(FIND(",", E103)), TRIM(MID(E103, FIND(",", E103) + 1, LEN(E103))), E103)</f>
        <v>Christmas Island</v>
      </c>
    </row>
    <row r="104" spans="1:8" x14ac:dyDescent="0.25">
      <c r="A104" s="2">
        <v>41430</v>
      </c>
      <c r="B104">
        <v>-11.401</v>
      </c>
      <c r="C104">
        <v>166.29900000000001</v>
      </c>
      <c r="D104" t="s">
        <v>6</v>
      </c>
      <c r="E104" t="s">
        <v>118</v>
      </c>
      <c r="F104">
        <f t="shared" si="2"/>
        <v>2013</v>
      </c>
      <c r="G104">
        <f t="shared" si="3"/>
        <v>6</v>
      </c>
      <c r="H104" t="str">
        <f>IF(ISNUMBER(FIND(",", E104)), TRIM(MID(E104, FIND(",", E104) + 1, LEN(E104))), E104)</f>
        <v>Solomon Islands</v>
      </c>
    </row>
    <row r="105" spans="1:8" x14ac:dyDescent="0.25">
      <c r="A105" s="2">
        <v>41427</v>
      </c>
      <c r="B105">
        <v>23.794</v>
      </c>
      <c r="C105">
        <v>121.133</v>
      </c>
      <c r="D105" t="s">
        <v>6</v>
      </c>
      <c r="E105" t="s">
        <v>119</v>
      </c>
      <c r="F105">
        <f t="shared" si="2"/>
        <v>2013</v>
      </c>
      <c r="G105">
        <f t="shared" si="3"/>
        <v>6</v>
      </c>
      <c r="H105" t="str">
        <f>IF(ISNUMBER(FIND(",", E105)), TRIM(MID(E105, FIND(",", E105) + 1, LEN(E105))), E105)</f>
        <v>Taiwan</v>
      </c>
    </row>
    <row r="106" spans="1:8" x14ac:dyDescent="0.25">
      <c r="A106" s="2">
        <v>41418</v>
      </c>
      <c r="B106">
        <v>52.222000000000001</v>
      </c>
      <c r="C106">
        <v>151.51499999999999</v>
      </c>
      <c r="D106" t="s">
        <v>11</v>
      </c>
      <c r="E106" t="s">
        <v>74</v>
      </c>
      <c r="F106">
        <f t="shared" si="2"/>
        <v>2013</v>
      </c>
      <c r="G106">
        <f t="shared" si="3"/>
        <v>5</v>
      </c>
      <c r="H106" t="str">
        <f>IF(ISNUMBER(FIND(",", E106)), TRIM(MID(E106, FIND(",", E106) + 1, LEN(E106))), E106)</f>
        <v>Sea of Okhotsk</v>
      </c>
    </row>
    <row r="107" spans="1:8" x14ac:dyDescent="0.25">
      <c r="A107" s="2">
        <v>41418</v>
      </c>
      <c r="B107">
        <v>54.874000000000002</v>
      </c>
      <c r="C107">
        <v>153.28100000000001</v>
      </c>
      <c r="D107" t="s">
        <v>6</v>
      </c>
      <c r="E107" t="s">
        <v>74</v>
      </c>
      <c r="F107">
        <f t="shared" si="2"/>
        <v>2013</v>
      </c>
      <c r="G107">
        <f t="shared" si="3"/>
        <v>5</v>
      </c>
      <c r="H107" t="str">
        <f>IF(ISNUMBER(FIND(",", E107)), TRIM(MID(E107, FIND(",", E107) + 1, LEN(E107))), E107)</f>
        <v>Sea of Okhotsk</v>
      </c>
    </row>
    <row r="108" spans="1:8" x14ac:dyDescent="0.25">
      <c r="A108" s="2">
        <v>41417</v>
      </c>
      <c r="B108">
        <v>-20.561</v>
      </c>
      <c r="C108">
        <v>-175.76499999999999</v>
      </c>
      <c r="D108" t="s">
        <v>6</v>
      </c>
      <c r="E108" t="s">
        <v>120</v>
      </c>
      <c r="F108">
        <f t="shared" si="2"/>
        <v>2013</v>
      </c>
      <c r="G108">
        <f t="shared" si="3"/>
        <v>5</v>
      </c>
      <c r="H108" t="str">
        <f>IF(ISNUMBER(FIND(",", E108)), TRIM(MID(E108, FIND(",", E108) + 1, LEN(E108))), E108)</f>
        <v>Tonga</v>
      </c>
    </row>
    <row r="109" spans="1:8" x14ac:dyDescent="0.25">
      <c r="A109" s="2">
        <v>41417</v>
      </c>
      <c r="B109">
        <v>-23.024999999999999</v>
      </c>
      <c r="C109">
        <v>-177.10900000000001</v>
      </c>
      <c r="D109" t="s">
        <v>6</v>
      </c>
      <c r="E109" t="s">
        <v>121</v>
      </c>
      <c r="F109">
        <f t="shared" si="2"/>
        <v>2013</v>
      </c>
      <c r="G109">
        <f t="shared" si="3"/>
        <v>5</v>
      </c>
      <c r="H109" t="str">
        <f>IF(ISNUMBER(FIND(",", E109)), TRIM(MID(E109, FIND(",", E109) + 1, LEN(E109))), E109)</f>
        <v>Tonga</v>
      </c>
    </row>
    <row r="110" spans="1:8" x14ac:dyDescent="0.25">
      <c r="A110" s="2">
        <v>41415</v>
      </c>
      <c r="B110">
        <v>52.307000000000002</v>
      </c>
      <c r="C110">
        <v>159.98599999999999</v>
      </c>
      <c r="D110" t="s">
        <v>6</v>
      </c>
      <c r="E110" t="s">
        <v>122</v>
      </c>
      <c r="F110">
        <f t="shared" si="2"/>
        <v>2013</v>
      </c>
      <c r="G110">
        <f t="shared" si="3"/>
        <v>5</v>
      </c>
      <c r="H110" t="str">
        <f>IF(ISNUMBER(FIND(",", E110)), TRIM(MID(E110, FIND(",", E110) + 1, LEN(E110))), E110)</f>
        <v>Russia</v>
      </c>
    </row>
    <row r="111" spans="1:8" x14ac:dyDescent="0.25">
      <c r="A111" s="2">
        <v>41415</v>
      </c>
      <c r="B111">
        <v>52.469000000000001</v>
      </c>
      <c r="C111">
        <v>160.48599999999999</v>
      </c>
      <c r="D111" t="s">
        <v>6</v>
      </c>
      <c r="E111" t="s">
        <v>123</v>
      </c>
      <c r="F111">
        <f t="shared" si="2"/>
        <v>2013</v>
      </c>
      <c r="G111">
        <f t="shared" si="3"/>
        <v>5</v>
      </c>
      <c r="H111" t="str">
        <f>IF(ISNUMBER(FIND(",", E111)), TRIM(MID(E111, FIND(",", E111) + 1, LEN(E111))), E111)</f>
        <v>Russia</v>
      </c>
    </row>
    <row r="112" spans="1:8" x14ac:dyDescent="0.25">
      <c r="A112" s="2">
        <v>41414</v>
      </c>
      <c r="B112">
        <v>-44.866</v>
      </c>
      <c r="C112">
        <v>-80.745999999999995</v>
      </c>
      <c r="D112" t="s">
        <v>6</v>
      </c>
      <c r="E112" t="s">
        <v>124</v>
      </c>
      <c r="F112">
        <f t="shared" si="2"/>
        <v>2013</v>
      </c>
      <c r="G112">
        <f t="shared" si="3"/>
        <v>5</v>
      </c>
      <c r="H112" t="str">
        <f>IF(ISNUMBER(FIND(",", E112)), TRIM(MID(E112, FIND(",", E112) + 1, LEN(E112))), E112)</f>
        <v>Chile</v>
      </c>
    </row>
    <row r="113" spans="1:8" x14ac:dyDescent="0.25">
      <c r="A113" s="2">
        <v>41412</v>
      </c>
      <c r="B113">
        <v>37.738999999999997</v>
      </c>
      <c r="C113">
        <v>141.471</v>
      </c>
      <c r="D113" t="s">
        <v>6</v>
      </c>
      <c r="E113" t="s">
        <v>125</v>
      </c>
      <c r="F113">
        <f t="shared" si="2"/>
        <v>2013</v>
      </c>
      <c r="G113">
        <f t="shared" si="3"/>
        <v>5</v>
      </c>
      <c r="H113" t="str">
        <f>IF(ISNUMBER(FIND(",", E113)), TRIM(MID(E113, FIND(",", E113) + 1, LEN(E113))), E113)</f>
        <v>Japan</v>
      </c>
    </row>
    <row r="114" spans="1:8" x14ac:dyDescent="0.25">
      <c r="A114" s="2">
        <v>41408</v>
      </c>
      <c r="B114">
        <v>18.728000000000002</v>
      </c>
      <c r="C114">
        <v>145.28700000000001</v>
      </c>
      <c r="D114" t="s">
        <v>6</v>
      </c>
      <c r="E114" t="s">
        <v>126</v>
      </c>
      <c r="F114">
        <f t="shared" si="2"/>
        <v>2013</v>
      </c>
      <c r="G114">
        <f t="shared" si="3"/>
        <v>5</v>
      </c>
      <c r="H114" t="str">
        <f>IF(ISNUMBER(FIND(",", E114)), TRIM(MID(E114, FIND(",", E114) + 1, LEN(E114))), E114)</f>
        <v>Northern Mariana Islands</v>
      </c>
    </row>
    <row r="115" spans="1:8" x14ac:dyDescent="0.25">
      <c r="A115" s="2">
        <v>41405</v>
      </c>
      <c r="B115">
        <v>-17.954000000000001</v>
      </c>
      <c r="C115">
        <v>-175.09899999999999</v>
      </c>
      <c r="D115" t="s">
        <v>6</v>
      </c>
      <c r="E115" t="s">
        <v>127</v>
      </c>
      <c r="F115">
        <f t="shared" si="2"/>
        <v>2013</v>
      </c>
      <c r="G115">
        <f t="shared" si="3"/>
        <v>5</v>
      </c>
      <c r="H115" t="str">
        <f>IF(ISNUMBER(FIND(",", E115)), TRIM(MID(E115, FIND(",", E115) + 1, LEN(E115))), E115)</f>
        <v>Tonga</v>
      </c>
    </row>
    <row r="116" spans="1:8" x14ac:dyDescent="0.25">
      <c r="A116" s="2">
        <v>41405</v>
      </c>
      <c r="B116">
        <v>26.56</v>
      </c>
      <c r="C116">
        <v>57.77</v>
      </c>
      <c r="D116" t="s">
        <v>6</v>
      </c>
      <c r="E116" t="s">
        <v>128</v>
      </c>
      <c r="F116">
        <f t="shared" si="2"/>
        <v>2013</v>
      </c>
      <c r="G116">
        <f t="shared" si="3"/>
        <v>5</v>
      </c>
      <c r="H116" t="str">
        <f>IF(ISNUMBER(FIND(",", E116)), TRIM(MID(E116, FIND(",", E116) + 1, LEN(E116))), E116)</f>
        <v>Iran</v>
      </c>
    </row>
    <row r="117" spans="1:8" x14ac:dyDescent="0.25">
      <c r="A117" s="2">
        <v>41401</v>
      </c>
      <c r="B117">
        <v>-19.638000000000002</v>
      </c>
      <c r="C117">
        <v>175.06399999999999</v>
      </c>
      <c r="D117" t="s">
        <v>6</v>
      </c>
      <c r="E117" t="s">
        <v>129</v>
      </c>
      <c r="F117">
        <f t="shared" si="2"/>
        <v>2013</v>
      </c>
      <c r="G117">
        <f t="shared" si="3"/>
        <v>5</v>
      </c>
      <c r="H117" t="str">
        <f>IF(ISNUMBER(FIND(",", E117)), TRIM(MID(E117, FIND(",", E117) + 1, LEN(E117))), E117)</f>
        <v>Fiji</v>
      </c>
    </row>
    <row r="118" spans="1:8" x14ac:dyDescent="0.25">
      <c r="A118" s="2">
        <v>41390</v>
      </c>
      <c r="B118">
        <v>-28.735700000000001</v>
      </c>
      <c r="C118">
        <v>-178.91550000000001</v>
      </c>
      <c r="D118" t="s">
        <v>12</v>
      </c>
      <c r="E118" t="s">
        <v>130</v>
      </c>
      <c r="F118">
        <f t="shared" si="2"/>
        <v>2013</v>
      </c>
      <c r="G118">
        <f t="shared" si="3"/>
        <v>4</v>
      </c>
      <c r="H118" t="str">
        <f>IF(ISNUMBER(FIND(",", E118)), TRIM(MID(E118, FIND(",", E118) + 1, LEN(E118))), E118)</f>
        <v>New Zealand</v>
      </c>
    </row>
    <row r="119" spans="1:8" x14ac:dyDescent="0.25">
      <c r="A119" s="2">
        <v>41390</v>
      </c>
      <c r="B119">
        <v>-28.681000000000001</v>
      </c>
      <c r="C119">
        <v>-178.916</v>
      </c>
      <c r="D119" t="s">
        <v>6</v>
      </c>
      <c r="E119" t="s">
        <v>131</v>
      </c>
      <c r="F119">
        <f t="shared" si="2"/>
        <v>2013</v>
      </c>
      <c r="G119">
        <f t="shared" si="3"/>
        <v>4</v>
      </c>
      <c r="H119" t="str">
        <f>IF(ISNUMBER(FIND(",", E119)), TRIM(MID(E119, FIND(",", E119) + 1, LEN(E119))), E119)</f>
        <v>New Zealand</v>
      </c>
    </row>
    <row r="120" spans="1:8" x14ac:dyDescent="0.25">
      <c r="A120" s="2">
        <v>41387</v>
      </c>
      <c r="B120">
        <v>-3.9129999999999998</v>
      </c>
      <c r="C120">
        <v>152.12</v>
      </c>
      <c r="D120" t="s">
        <v>6</v>
      </c>
      <c r="E120" t="s">
        <v>132</v>
      </c>
      <c r="F120">
        <f t="shared" si="2"/>
        <v>2013</v>
      </c>
      <c r="G120">
        <f t="shared" si="3"/>
        <v>4</v>
      </c>
      <c r="H120" t="str">
        <f>IF(ISNUMBER(FIND(",", E120)), TRIM(MID(E120, FIND(",", E120) + 1, LEN(E120))), E120)</f>
        <v>Papua New Guinea</v>
      </c>
    </row>
    <row r="121" spans="1:8" x14ac:dyDescent="0.25">
      <c r="A121" s="2">
        <v>41386</v>
      </c>
      <c r="B121">
        <v>18.126999999999999</v>
      </c>
      <c r="C121">
        <v>-101.908</v>
      </c>
      <c r="D121" t="s">
        <v>6</v>
      </c>
      <c r="E121" t="s">
        <v>133</v>
      </c>
      <c r="F121">
        <f t="shared" si="2"/>
        <v>2013</v>
      </c>
      <c r="G121">
        <f t="shared" si="3"/>
        <v>4</v>
      </c>
      <c r="H121" t="str">
        <f>IF(ISNUMBER(FIND(",", E121)), TRIM(MID(E121, FIND(",", E121) + 1, LEN(E121))), E121)</f>
        <v>Mexico</v>
      </c>
    </row>
    <row r="122" spans="1:8" x14ac:dyDescent="0.25">
      <c r="A122" s="2">
        <v>41385</v>
      </c>
      <c r="B122">
        <v>29.933</v>
      </c>
      <c r="C122">
        <v>138.887</v>
      </c>
      <c r="D122" t="s">
        <v>6</v>
      </c>
      <c r="E122" t="s">
        <v>88</v>
      </c>
      <c r="F122">
        <f t="shared" si="2"/>
        <v>2013</v>
      </c>
      <c r="G122">
        <f t="shared" si="3"/>
        <v>4</v>
      </c>
      <c r="H122" t="str">
        <f>IF(ISNUMBER(FIND(",", E122)), TRIM(MID(E122, FIND(",", E122) + 1, LEN(E122))), E122)</f>
        <v>Japan region</v>
      </c>
    </row>
    <row r="123" spans="1:8" x14ac:dyDescent="0.25">
      <c r="A123" s="2">
        <v>41384</v>
      </c>
      <c r="B123">
        <v>50.104999999999997</v>
      </c>
      <c r="C123">
        <v>157.16499999999999</v>
      </c>
      <c r="D123" t="s">
        <v>6</v>
      </c>
      <c r="E123" t="s">
        <v>134</v>
      </c>
      <c r="F123">
        <f t="shared" si="2"/>
        <v>2013</v>
      </c>
      <c r="G123">
        <f t="shared" si="3"/>
        <v>4</v>
      </c>
      <c r="H123" t="str">
        <f>IF(ISNUMBER(FIND(",", E123)), TRIM(MID(E123, FIND(",", E123) + 1, LEN(E123))), E123)</f>
        <v>Russia</v>
      </c>
    </row>
    <row r="124" spans="1:8" x14ac:dyDescent="0.25">
      <c r="A124" s="2">
        <v>41384</v>
      </c>
      <c r="B124">
        <v>30.308</v>
      </c>
      <c r="C124">
        <v>102.88800000000001</v>
      </c>
      <c r="D124" t="s">
        <v>6</v>
      </c>
      <c r="E124" t="s">
        <v>135</v>
      </c>
      <c r="F124">
        <f t="shared" si="2"/>
        <v>2013</v>
      </c>
      <c r="G124">
        <f t="shared" si="3"/>
        <v>4</v>
      </c>
      <c r="H124" t="str">
        <f>IF(ISNUMBER(FIND(",", E124)), TRIM(MID(E124, FIND(",", E124) + 1, LEN(E124))), E124)</f>
        <v>China</v>
      </c>
    </row>
    <row r="125" spans="1:8" x14ac:dyDescent="0.25">
      <c r="A125" s="2">
        <v>41383</v>
      </c>
      <c r="B125">
        <v>49.957999999999998</v>
      </c>
      <c r="C125">
        <v>157.66300000000001</v>
      </c>
      <c r="D125" t="s">
        <v>6</v>
      </c>
      <c r="E125" t="s">
        <v>136</v>
      </c>
      <c r="F125">
        <f t="shared" si="2"/>
        <v>2013</v>
      </c>
      <c r="G125">
        <f t="shared" si="3"/>
        <v>4</v>
      </c>
      <c r="H125" t="str">
        <f>IF(ISNUMBER(FIND(",", E125)), TRIM(MID(E125, FIND(",", E125) + 1, LEN(E125))), E125)</f>
        <v>Russia</v>
      </c>
    </row>
    <row r="126" spans="1:8" x14ac:dyDescent="0.25">
      <c r="A126" s="2">
        <v>41383</v>
      </c>
      <c r="B126">
        <v>46.223999999999997</v>
      </c>
      <c r="C126">
        <v>150.78299999999999</v>
      </c>
      <c r="D126" t="s">
        <v>6</v>
      </c>
      <c r="E126" t="s">
        <v>137</v>
      </c>
      <c r="F126">
        <f t="shared" si="2"/>
        <v>2013</v>
      </c>
      <c r="G126">
        <f t="shared" si="3"/>
        <v>4</v>
      </c>
      <c r="H126" t="str">
        <f>IF(ISNUMBER(FIND(",", E126)), TRIM(MID(E126, FIND(",", E126) + 1, LEN(E126))), E126)</f>
        <v>Russia</v>
      </c>
    </row>
    <row r="127" spans="1:8" x14ac:dyDescent="0.25">
      <c r="A127" s="2">
        <v>41380</v>
      </c>
      <c r="B127">
        <v>-3.218</v>
      </c>
      <c r="C127">
        <v>142.54300000000001</v>
      </c>
      <c r="D127" t="s">
        <v>6</v>
      </c>
      <c r="E127" t="s">
        <v>138</v>
      </c>
      <c r="F127">
        <f t="shared" si="2"/>
        <v>2013</v>
      </c>
      <c r="G127">
        <f t="shared" si="3"/>
        <v>4</v>
      </c>
      <c r="H127" t="str">
        <f>IF(ISNUMBER(FIND(",", E127)), TRIM(MID(E127, FIND(",", E127) + 1, LEN(E127))), E127)</f>
        <v>Papua New Guinea</v>
      </c>
    </row>
    <row r="128" spans="1:8" x14ac:dyDescent="0.25">
      <c r="A128" s="2">
        <v>41380</v>
      </c>
      <c r="B128">
        <v>28.106999999999999</v>
      </c>
      <c r="C128">
        <v>62.052999999999997</v>
      </c>
      <c r="D128" t="s">
        <v>6</v>
      </c>
      <c r="E128" t="s">
        <v>139</v>
      </c>
      <c r="F128">
        <f t="shared" si="2"/>
        <v>2013</v>
      </c>
      <c r="G128">
        <f t="shared" si="3"/>
        <v>4</v>
      </c>
      <c r="H128" t="str">
        <f>IF(ISNUMBER(FIND(",", E128)), TRIM(MID(E128, FIND(",", E128) + 1, LEN(E128))), E128)</f>
        <v>Iran</v>
      </c>
    </row>
    <row r="129" spans="1:8" x14ac:dyDescent="0.25">
      <c r="A129" s="2">
        <v>41378</v>
      </c>
      <c r="B129">
        <v>-6.4749999999999996</v>
      </c>
      <c r="C129">
        <v>154.607</v>
      </c>
      <c r="D129" t="s">
        <v>6</v>
      </c>
      <c r="E129" t="s">
        <v>140</v>
      </c>
      <c r="F129">
        <f t="shared" si="2"/>
        <v>2013</v>
      </c>
      <c r="G129">
        <f t="shared" si="3"/>
        <v>4</v>
      </c>
      <c r="H129" t="str">
        <f>IF(ISNUMBER(FIND(",", E129)), TRIM(MID(E129, FIND(",", E129) + 1, LEN(E129))), E129)</f>
        <v>Papua New Guinea</v>
      </c>
    </row>
    <row r="130" spans="1:8" x14ac:dyDescent="0.25">
      <c r="A130" s="2">
        <v>41377</v>
      </c>
      <c r="B130">
        <v>-19.140999999999998</v>
      </c>
      <c r="C130">
        <v>169.535</v>
      </c>
      <c r="D130" t="s">
        <v>6</v>
      </c>
      <c r="E130" t="s">
        <v>141</v>
      </c>
      <c r="F130">
        <f t="shared" ref="F130:F193" si="4">YEAR(A130)</f>
        <v>2013</v>
      </c>
      <c r="G130">
        <f t="shared" si="3"/>
        <v>4</v>
      </c>
      <c r="H130" t="str">
        <f>IF(ISNUMBER(FIND(",", E130)), TRIM(MID(E130, FIND(",", E130) + 1, LEN(E130))), E130)</f>
        <v>Vanuatu</v>
      </c>
    </row>
    <row r="131" spans="1:8" x14ac:dyDescent="0.25">
      <c r="A131" s="2">
        <v>41373</v>
      </c>
      <c r="B131">
        <v>28.5</v>
      </c>
      <c r="C131">
        <v>51.591000000000001</v>
      </c>
      <c r="D131" t="s">
        <v>6</v>
      </c>
      <c r="E131" t="s">
        <v>142</v>
      </c>
      <c r="F131">
        <f t="shared" si="4"/>
        <v>2013</v>
      </c>
      <c r="G131">
        <f t="shared" ref="G131:G194" si="5">MONTH(A131)</f>
        <v>4</v>
      </c>
      <c r="H131" t="str">
        <f>IF(ISNUMBER(FIND(",", E131)), TRIM(MID(E131, FIND(",", E131) + 1, LEN(E131))), E131)</f>
        <v>Iran</v>
      </c>
    </row>
    <row r="132" spans="1:8" x14ac:dyDescent="0.25">
      <c r="A132" s="2">
        <v>41370</v>
      </c>
      <c r="B132">
        <v>-3.5129999999999999</v>
      </c>
      <c r="C132">
        <v>138.477</v>
      </c>
      <c r="D132" t="s">
        <v>6</v>
      </c>
      <c r="E132" t="s">
        <v>143</v>
      </c>
      <c r="F132">
        <f t="shared" si="4"/>
        <v>2013</v>
      </c>
      <c r="G132">
        <f t="shared" si="5"/>
        <v>4</v>
      </c>
      <c r="H132" t="str">
        <f>IF(ISNUMBER(FIND(",", E132)), TRIM(MID(E132, FIND(",", E132) + 1, LEN(E132))), E132)</f>
        <v>Indonesia</v>
      </c>
    </row>
    <row r="133" spans="1:8" x14ac:dyDescent="0.25">
      <c r="A133" s="2">
        <v>41369</v>
      </c>
      <c r="B133">
        <v>42.713000000000001</v>
      </c>
      <c r="C133">
        <v>131.10499999999999</v>
      </c>
      <c r="D133" t="s">
        <v>6</v>
      </c>
      <c r="E133" t="s">
        <v>144</v>
      </c>
      <c r="F133">
        <f t="shared" si="4"/>
        <v>2013</v>
      </c>
      <c r="G133">
        <f t="shared" si="5"/>
        <v>4</v>
      </c>
      <c r="H133" t="str">
        <f>IF(ISNUMBER(FIND(",", E133)), TRIM(MID(E133, FIND(",", E133) + 1, LEN(E133))), E133)</f>
        <v>Russia</v>
      </c>
    </row>
    <row r="134" spans="1:8" x14ac:dyDescent="0.25">
      <c r="A134" s="2">
        <v>41365</v>
      </c>
      <c r="B134">
        <v>39.515999999999998</v>
      </c>
      <c r="C134">
        <v>143.20760000000001</v>
      </c>
      <c r="D134" t="s">
        <v>8</v>
      </c>
      <c r="E134" t="s">
        <v>145</v>
      </c>
      <c r="F134">
        <f t="shared" si="4"/>
        <v>2013</v>
      </c>
      <c r="G134">
        <f t="shared" si="5"/>
        <v>4</v>
      </c>
      <c r="H134" t="str">
        <f>IF(ISNUMBER(FIND(",", E134)), TRIM(MID(E134, FIND(",", E134) + 1, LEN(E134))), E134)</f>
        <v>Japan</v>
      </c>
    </row>
    <row r="135" spans="1:8" x14ac:dyDescent="0.25">
      <c r="A135" s="2">
        <v>41358</v>
      </c>
      <c r="B135">
        <v>14.596</v>
      </c>
      <c r="C135">
        <v>-90.438999999999993</v>
      </c>
      <c r="D135" t="s">
        <v>6</v>
      </c>
      <c r="E135" t="s">
        <v>146</v>
      </c>
      <c r="F135">
        <f t="shared" si="4"/>
        <v>2013</v>
      </c>
      <c r="G135">
        <f t="shared" si="5"/>
        <v>3</v>
      </c>
      <c r="H135" t="str">
        <f>IF(ISNUMBER(FIND(",", E135)), TRIM(MID(E135, FIND(",", E135) + 1, LEN(E135))), E135)</f>
        <v>Guatemala</v>
      </c>
    </row>
    <row r="136" spans="1:8" x14ac:dyDescent="0.25">
      <c r="A136" s="2">
        <v>41357</v>
      </c>
      <c r="B136">
        <v>-20.757000000000001</v>
      </c>
      <c r="C136">
        <v>173.37</v>
      </c>
      <c r="D136" t="s">
        <v>6</v>
      </c>
      <c r="E136" t="s">
        <v>147</v>
      </c>
      <c r="F136">
        <f t="shared" si="4"/>
        <v>2013</v>
      </c>
      <c r="G136">
        <f t="shared" si="5"/>
        <v>3</v>
      </c>
      <c r="H136" t="str">
        <f>IF(ISNUMBER(FIND(",", E136)), TRIM(MID(E136, FIND(",", E136) + 1, LEN(E136))), E136)</f>
        <v>Fiji</v>
      </c>
    </row>
    <row r="137" spans="1:8" x14ac:dyDescent="0.25">
      <c r="A137" s="2">
        <v>41343</v>
      </c>
      <c r="B137">
        <v>-6.6529999999999996</v>
      </c>
      <c r="C137">
        <v>148.155</v>
      </c>
      <c r="D137" t="s">
        <v>6</v>
      </c>
      <c r="E137" t="s">
        <v>148</v>
      </c>
      <c r="F137">
        <f t="shared" si="4"/>
        <v>2013</v>
      </c>
      <c r="G137">
        <f t="shared" si="5"/>
        <v>3</v>
      </c>
      <c r="H137" t="str">
        <f>IF(ISNUMBER(FIND(",", E137)), TRIM(MID(E137, FIND(",", E137) + 1, LEN(E137))), E137)</f>
        <v>Papua New Guinea</v>
      </c>
    </row>
    <row r="138" spans="1:8" x14ac:dyDescent="0.25">
      <c r="A138" s="2">
        <v>41334</v>
      </c>
      <c r="B138">
        <v>50.948999999999998</v>
      </c>
      <c r="C138">
        <v>157.44800000000001</v>
      </c>
      <c r="D138" t="s">
        <v>6</v>
      </c>
      <c r="E138" t="s">
        <v>149</v>
      </c>
      <c r="F138">
        <f t="shared" si="4"/>
        <v>2013</v>
      </c>
      <c r="G138">
        <f t="shared" si="5"/>
        <v>3</v>
      </c>
      <c r="H138" t="str">
        <f>IF(ISNUMBER(FIND(",", E138)), TRIM(MID(E138, FIND(",", E138) + 1, LEN(E138))), E138)</f>
        <v>Russia</v>
      </c>
    </row>
    <row r="139" spans="1:8" x14ac:dyDescent="0.25">
      <c r="A139" s="2">
        <v>41334</v>
      </c>
      <c r="B139">
        <v>50.938000000000002</v>
      </c>
      <c r="C139">
        <v>157.511</v>
      </c>
      <c r="D139" t="s">
        <v>6</v>
      </c>
      <c r="E139" t="s">
        <v>150</v>
      </c>
      <c r="F139">
        <f t="shared" si="4"/>
        <v>2013</v>
      </c>
      <c r="G139">
        <f t="shared" si="5"/>
        <v>3</v>
      </c>
      <c r="H139" t="str">
        <f>IF(ISNUMBER(FIND(",", E139)), TRIM(MID(E139, FIND(",", E139) + 1, LEN(E139))), E139)</f>
        <v>Russia</v>
      </c>
    </row>
    <row r="140" spans="1:8" x14ac:dyDescent="0.25">
      <c r="A140" s="2">
        <v>41333</v>
      </c>
      <c r="B140">
        <v>50.942</v>
      </c>
      <c r="C140">
        <v>157.339</v>
      </c>
      <c r="D140" t="s">
        <v>6</v>
      </c>
      <c r="E140" t="s">
        <v>151</v>
      </c>
      <c r="F140">
        <f t="shared" si="4"/>
        <v>2013</v>
      </c>
      <c r="G140">
        <f t="shared" si="5"/>
        <v>2</v>
      </c>
      <c r="H140" t="str">
        <f>IF(ISNUMBER(FIND(",", E140)), TRIM(MID(E140, FIND(",", E140) + 1, LEN(E140))), E140)</f>
        <v>Russia</v>
      </c>
    </row>
    <row r="141" spans="1:8" x14ac:dyDescent="0.25">
      <c r="A141" s="2">
        <v>41327</v>
      </c>
      <c r="B141">
        <v>-27.992999999999999</v>
      </c>
      <c r="C141">
        <v>-63.195</v>
      </c>
      <c r="D141" t="s">
        <v>6</v>
      </c>
      <c r="E141" t="s">
        <v>152</v>
      </c>
      <c r="F141">
        <f t="shared" si="4"/>
        <v>2013</v>
      </c>
      <c r="G141">
        <f t="shared" si="5"/>
        <v>2</v>
      </c>
      <c r="H141" t="str">
        <f>IF(ISNUMBER(FIND(",", E141)), TRIM(MID(E141, FIND(",", E141) + 1, LEN(E141))), E141)</f>
        <v>Argentina</v>
      </c>
    </row>
    <row r="142" spans="1:8" x14ac:dyDescent="0.25">
      <c r="A142" s="2">
        <v>41321</v>
      </c>
      <c r="B142">
        <v>5.8120000000000003</v>
      </c>
      <c r="C142">
        <v>125.748</v>
      </c>
      <c r="D142" t="s">
        <v>6</v>
      </c>
      <c r="E142" t="s">
        <v>153</v>
      </c>
      <c r="F142">
        <f t="shared" si="4"/>
        <v>2013</v>
      </c>
      <c r="G142">
        <f t="shared" si="5"/>
        <v>2</v>
      </c>
      <c r="H142" t="str">
        <f>IF(ISNUMBER(FIND(",", E142)), TRIM(MID(E142, FIND(",", E142) + 1, LEN(E142))), E142)</f>
        <v>Philippines</v>
      </c>
    </row>
    <row r="143" spans="1:8" x14ac:dyDescent="0.25">
      <c r="A143" s="2">
        <v>41319</v>
      </c>
      <c r="B143">
        <v>67.581999999999994</v>
      </c>
      <c r="C143">
        <v>142.56399999999999</v>
      </c>
      <c r="D143" t="s">
        <v>6</v>
      </c>
      <c r="E143" t="s">
        <v>154</v>
      </c>
      <c r="F143">
        <f t="shared" si="4"/>
        <v>2013</v>
      </c>
      <c r="G143">
        <f t="shared" si="5"/>
        <v>2</v>
      </c>
      <c r="H143" t="str">
        <f>IF(ISNUMBER(FIND(",", E143)), TRIM(MID(E143, FIND(",", E143) + 1, LEN(E143))), E143)</f>
        <v>Russia</v>
      </c>
    </row>
    <row r="144" spans="1:8" x14ac:dyDescent="0.25">
      <c r="A144" s="2">
        <v>41315</v>
      </c>
      <c r="B144">
        <v>-10.959</v>
      </c>
      <c r="C144">
        <v>165.459</v>
      </c>
      <c r="D144" t="s">
        <v>6</v>
      </c>
      <c r="E144" t="s">
        <v>155</v>
      </c>
      <c r="F144">
        <f t="shared" si="4"/>
        <v>2013</v>
      </c>
      <c r="G144">
        <f t="shared" si="5"/>
        <v>2</v>
      </c>
      <c r="H144" t="str">
        <f>IF(ISNUMBER(FIND(",", E144)), TRIM(MID(E144, FIND(",", E144) + 1, LEN(E144))), E144)</f>
        <v>Solomon Islands</v>
      </c>
    </row>
    <row r="145" spans="1:8" x14ac:dyDescent="0.25">
      <c r="A145" s="2">
        <v>41314</v>
      </c>
      <c r="B145">
        <v>-10.952</v>
      </c>
      <c r="C145">
        <v>165.83799999999999</v>
      </c>
      <c r="D145" t="s">
        <v>6</v>
      </c>
      <c r="E145" t="s">
        <v>156</v>
      </c>
      <c r="F145">
        <f t="shared" si="4"/>
        <v>2013</v>
      </c>
      <c r="G145">
        <f t="shared" si="5"/>
        <v>2</v>
      </c>
      <c r="H145" t="str">
        <f>IF(ISNUMBER(FIND(",", E145)), TRIM(MID(E145, FIND(",", E145) + 1, LEN(E145))), E145)</f>
        <v>Solomon Islands</v>
      </c>
    </row>
    <row r="146" spans="1:8" x14ac:dyDescent="0.25">
      <c r="A146" s="2">
        <v>41314</v>
      </c>
      <c r="B146">
        <v>1.1419999999999999</v>
      </c>
      <c r="C146">
        <v>-77.400000000000006</v>
      </c>
      <c r="D146" t="s">
        <v>6</v>
      </c>
      <c r="E146" t="s">
        <v>157</v>
      </c>
      <c r="F146">
        <f t="shared" si="4"/>
        <v>2013</v>
      </c>
      <c r="G146">
        <f t="shared" si="5"/>
        <v>2</v>
      </c>
      <c r="H146" t="str">
        <f>IF(ISNUMBER(FIND(",", E146)), TRIM(MID(E146, FIND(",", E146) + 1, LEN(E146))), E146)</f>
        <v>Colombia</v>
      </c>
    </row>
    <row r="147" spans="1:8" x14ac:dyDescent="0.25">
      <c r="A147" s="2">
        <v>41313</v>
      </c>
      <c r="B147">
        <v>-10.932</v>
      </c>
      <c r="C147">
        <v>166.02099999999999</v>
      </c>
      <c r="D147" t="s">
        <v>6</v>
      </c>
      <c r="E147" t="s">
        <v>158</v>
      </c>
      <c r="F147">
        <f t="shared" si="4"/>
        <v>2013</v>
      </c>
      <c r="G147">
        <f t="shared" si="5"/>
        <v>2</v>
      </c>
      <c r="H147" t="str">
        <f>IF(ISNUMBER(FIND(",", E147)), TRIM(MID(E147, FIND(",", E147) + 1, LEN(E147))), E147)</f>
        <v>Solomon Islands</v>
      </c>
    </row>
    <row r="148" spans="1:8" x14ac:dyDescent="0.25">
      <c r="A148" s="2">
        <v>41313</v>
      </c>
      <c r="B148">
        <v>-10.904999999999999</v>
      </c>
      <c r="C148">
        <v>165.886</v>
      </c>
      <c r="D148" t="s">
        <v>6</v>
      </c>
      <c r="E148" t="s">
        <v>159</v>
      </c>
      <c r="F148">
        <f t="shared" si="4"/>
        <v>2013</v>
      </c>
      <c r="G148">
        <f t="shared" si="5"/>
        <v>2</v>
      </c>
      <c r="H148" t="str">
        <f>IF(ISNUMBER(FIND(",", E148)), TRIM(MID(E148, FIND(",", E148) + 1, LEN(E148))), E148)</f>
        <v>Solomon Islands</v>
      </c>
    </row>
    <row r="149" spans="1:8" x14ac:dyDescent="0.25">
      <c r="A149" s="2">
        <v>41312</v>
      </c>
      <c r="B149">
        <v>-11.000999999999999</v>
      </c>
      <c r="C149">
        <v>165.65799999999999</v>
      </c>
      <c r="D149" t="s">
        <v>6</v>
      </c>
      <c r="E149" t="s">
        <v>160</v>
      </c>
      <c r="F149">
        <f t="shared" si="4"/>
        <v>2013</v>
      </c>
      <c r="G149">
        <f t="shared" si="5"/>
        <v>2</v>
      </c>
      <c r="H149" t="str">
        <f>IF(ISNUMBER(FIND(",", E149)), TRIM(MID(E149, FIND(",", E149) + 1, LEN(E149))), E149)</f>
        <v>Solomon Islands</v>
      </c>
    </row>
    <row r="150" spans="1:8" x14ac:dyDescent="0.25">
      <c r="A150" s="2">
        <v>41312</v>
      </c>
      <c r="B150">
        <v>-11.657999999999999</v>
      </c>
      <c r="C150">
        <v>164.94</v>
      </c>
      <c r="D150" t="s">
        <v>6</v>
      </c>
      <c r="E150" t="s">
        <v>161</v>
      </c>
      <c r="F150">
        <f t="shared" si="4"/>
        <v>2013</v>
      </c>
      <c r="G150">
        <f t="shared" si="5"/>
        <v>2</v>
      </c>
      <c r="H150" t="str">
        <f>IF(ISNUMBER(FIND(",", E150)), TRIM(MID(E150, FIND(",", E150) + 1, LEN(E150))), E150)</f>
        <v>Solomon Islands</v>
      </c>
    </row>
    <row r="151" spans="1:8" x14ac:dyDescent="0.25">
      <c r="A151" s="2">
        <v>41311</v>
      </c>
      <c r="B151">
        <v>-11.244999999999999</v>
      </c>
      <c r="C151">
        <v>165.727</v>
      </c>
      <c r="D151" t="s">
        <v>6</v>
      </c>
      <c r="E151" t="s">
        <v>162</v>
      </c>
      <c r="F151">
        <f t="shared" si="4"/>
        <v>2013</v>
      </c>
      <c r="G151">
        <f t="shared" si="5"/>
        <v>2</v>
      </c>
      <c r="H151" t="str">
        <f>IF(ISNUMBER(FIND(",", E151)), TRIM(MID(E151, FIND(",", E151) + 1, LEN(E151))), E151)</f>
        <v>Solomon Islands</v>
      </c>
    </row>
    <row r="152" spans="1:8" x14ac:dyDescent="0.25">
      <c r="A152" s="2">
        <v>41311</v>
      </c>
      <c r="B152">
        <v>-10.643000000000001</v>
      </c>
      <c r="C152">
        <v>164.76400000000001</v>
      </c>
      <c r="D152" t="s">
        <v>11</v>
      </c>
      <c r="E152" t="s">
        <v>163</v>
      </c>
      <c r="F152">
        <f t="shared" si="4"/>
        <v>2013</v>
      </c>
      <c r="G152">
        <f t="shared" si="5"/>
        <v>2</v>
      </c>
      <c r="H152" t="str">
        <f>IF(ISNUMBER(FIND(",", E152)), TRIM(MID(E152, FIND(",", E152) + 1, LEN(E152))), E152)</f>
        <v>Solomon Islands</v>
      </c>
    </row>
    <row r="153" spans="1:8" x14ac:dyDescent="0.25">
      <c r="A153" s="2">
        <v>41311</v>
      </c>
      <c r="B153">
        <v>-10.784000000000001</v>
      </c>
      <c r="C153">
        <v>164.512</v>
      </c>
      <c r="D153" t="s">
        <v>11</v>
      </c>
      <c r="E153" t="s">
        <v>164</v>
      </c>
      <c r="F153">
        <f t="shared" si="4"/>
        <v>2013</v>
      </c>
      <c r="G153">
        <f t="shared" si="5"/>
        <v>2</v>
      </c>
      <c r="H153" t="str">
        <f>IF(ISNUMBER(FIND(",", E153)), TRIM(MID(E153, FIND(",", E153) + 1, LEN(E153))), E153)</f>
        <v>Solomon Islands</v>
      </c>
    </row>
    <row r="154" spans="1:8" x14ac:dyDescent="0.25">
      <c r="A154" s="2">
        <v>41311</v>
      </c>
      <c r="B154">
        <v>-10.478999999999999</v>
      </c>
      <c r="C154">
        <v>165.77199999999999</v>
      </c>
      <c r="D154" t="s">
        <v>6</v>
      </c>
      <c r="E154" t="s">
        <v>165</v>
      </c>
      <c r="F154">
        <f t="shared" si="4"/>
        <v>2013</v>
      </c>
      <c r="G154">
        <f t="shared" si="5"/>
        <v>2</v>
      </c>
      <c r="H154" t="str">
        <f>IF(ISNUMBER(FIND(",", E154)), TRIM(MID(E154, FIND(",", E154) + 1, LEN(E154))), E154)</f>
        <v>Solomon Islands</v>
      </c>
    </row>
    <row r="155" spans="1:8" x14ac:dyDescent="0.25">
      <c r="A155" s="2">
        <v>41311</v>
      </c>
      <c r="B155">
        <v>-11.254099999999999</v>
      </c>
      <c r="C155">
        <v>164.9323</v>
      </c>
      <c r="D155" t="s">
        <v>9</v>
      </c>
      <c r="E155" t="s">
        <v>166</v>
      </c>
      <c r="F155">
        <f t="shared" si="4"/>
        <v>2013</v>
      </c>
      <c r="G155">
        <f t="shared" si="5"/>
        <v>2</v>
      </c>
      <c r="H155" t="str">
        <f>IF(ISNUMBER(FIND(",", E155)), TRIM(MID(E155, FIND(",", E155) + 1, LEN(E155))), E155)</f>
        <v>Solomon Islands</v>
      </c>
    </row>
    <row r="156" spans="1:8" x14ac:dyDescent="0.25">
      <c r="A156" s="2">
        <v>41311</v>
      </c>
      <c r="B156">
        <v>-10.738</v>
      </c>
      <c r="C156">
        <v>165.13800000000001</v>
      </c>
      <c r="D156" t="s">
        <v>6</v>
      </c>
      <c r="E156" t="s">
        <v>167</v>
      </c>
      <c r="F156">
        <f t="shared" si="4"/>
        <v>2013</v>
      </c>
      <c r="G156">
        <f t="shared" si="5"/>
        <v>2</v>
      </c>
      <c r="H156" t="str">
        <f>IF(ISNUMBER(FIND(",", E156)), TRIM(MID(E156, FIND(",", E156) + 1, LEN(E156))), E156)</f>
        <v>Solomon Islands</v>
      </c>
    </row>
    <row r="157" spans="1:8" x14ac:dyDescent="0.25">
      <c r="A157" s="2">
        <v>41311</v>
      </c>
      <c r="B157">
        <v>-10.865</v>
      </c>
      <c r="C157">
        <v>165.24799999999999</v>
      </c>
      <c r="D157" t="s">
        <v>6</v>
      </c>
      <c r="E157" t="s">
        <v>168</v>
      </c>
      <c r="F157">
        <f t="shared" si="4"/>
        <v>2013</v>
      </c>
      <c r="G157">
        <f t="shared" si="5"/>
        <v>2</v>
      </c>
      <c r="H157" t="str">
        <f>IF(ISNUMBER(FIND(",", E157)), TRIM(MID(E157, FIND(",", E157) + 1, LEN(E157))), E157)</f>
        <v>Solomon Islands</v>
      </c>
    </row>
    <row r="158" spans="1:8" x14ac:dyDescent="0.25">
      <c r="A158" s="2">
        <v>41307</v>
      </c>
      <c r="B158">
        <v>-10.938000000000001</v>
      </c>
      <c r="C158">
        <v>165.255</v>
      </c>
      <c r="D158" t="s">
        <v>11</v>
      </c>
      <c r="E158" t="s">
        <v>169</v>
      </c>
      <c r="F158">
        <f t="shared" si="4"/>
        <v>2013</v>
      </c>
      <c r="G158">
        <f t="shared" si="5"/>
        <v>2</v>
      </c>
      <c r="H158" t="str">
        <f>IF(ISNUMBER(FIND(",", E158)), TRIM(MID(E158, FIND(",", E158) + 1, LEN(E158))), E158)</f>
        <v>Solomon Islands</v>
      </c>
    </row>
    <row r="159" spans="1:8" x14ac:dyDescent="0.25">
      <c r="A159" s="2">
        <v>41307</v>
      </c>
      <c r="B159">
        <v>42.758000000000003</v>
      </c>
      <c r="C159">
        <v>143.10599999999999</v>
      </c>
      <c r="D159" t="s">
        <v>6</v>
      </c>
      <c r="E159" t="s">
        <v>170</v>
      </c>
      <c r="F159">
        <f t="shared" si="4"/>
        <v>2013</v>
      </c>
      <c r="G159">
        <f t="shared" si="5"/>
        <v>2</v>
      </c>
      <c r="H159" t="str">
        <f>IF(ISNUMBER(FIND(",", E159)), TRIM(MID(E159, FIND(",", E159) + 1, LEN(E159))), E159)</f>
        <v>Japan</v>
      </c>
    </row>
    <row r="160" spans="1:8" x14ac:dyDescent="0.25">
      <c r="A160" s="2">
        <v>41306</v>
      </c>
      <c r="B160">
        <v>-11.12</v>
      </c>
      <c r="C160">
        <v>165.37799999999999</v>
      </c>
      <c r="D160" t="s">
        <v>6</v>
      </c>
      <c r="E160" t="s">
        <v>171</v>
      </c>
      <c r="F160">
        <f t="shared" si="4"/>
        <v>2013</v>
      </c>
      <c r="G160">
        <f t="shared" si="5"/>
        <v>2</v>
      </c>
      <c r="H160" t="str">
        <f>IF(ISNUMBER(FIND(",", E160)), TRIM(MID(E160, FIND(",", E160) + 1, LEN(E160))), E160)</f>
        <v>Solomon Islands</v>
      </c>
    </row>
    <row r="161" spans="1:8" x14ac:dyDescent="0.25">
      <c r="A161" s="2">
        <v>41306</v>
      </c>
      <c r="B161">
        <v>-10.896000000000001</v>
      </c>
      <c r="C161">
        <v>165.37899999999999</v>
      </c>
      <c r="D161" t="s">
        <v>6</v>
      </c>
      <c r="E161" t="s">
        <v>172</v>
      </c>
      <c r="F161">
        <f t="shared" si="4"/>
        <v>2013</v>
      </c>
      <c r="G161">
        <f t="shared" si="5"/>
        <v>2</v>
      </c>
      <c r="H161" t="str">
        <f>IF(ISNUMBER(FIND(",", E161)), TRIM(MID(E161, FIND(",", E161) + 1, LEN(E161))), E161)</f>
        <v>Solomon Islands</v>
      </c>
    </row>
    <row r="162" spans="1:8" x14ac:dyDescent="0.25">
      <c r="A162" s="2">
        <v>41306</v>
      </c>
      <c r="B162">
        <v>-11.103999999999999</v>
      </c>
      <c r="C162">
        <v>165.53200000000001</v>
      </c>
      <c r="D162" t="s">
        <v>6</v>
      </c>
      <c r="E162" t="s">
        <v>173</v>
      </c>
      <c r="F162">
        <f t="shared" si="4"/>
        <v>2013</v>
      </c>
      <c r="G162">
        <f t="shared" si="5"/>
        <v>2</v>
      </c>
      <c r="H162" t="str">
        <f>IF(ISNUMBER(FIND(",", E162)), TRIM(MID(E162, FIND(",", E162) + 1, LEN(E162))), E162)</f>
        <v>Solomon Islands</v>
      </c>
    </row>
    <row r="163" spans="1:8" x14ac:dyDescent="0.25">
      <c r="A163" s="2">
        <v>41305</v>
      </c>
      <c r="B163">
        <v>-10.628</v>
      </c>
      <c r="C163">
        <v>166.38200000000001</v>
      </c>
      <c r="D163" t="s">
        <v>6</v>
      </c>
      <c r="E163" t="s">
        <v>174</v>
      </c>
      <c r="F163">
        <f t="shared" si="4"/>
        <v>2013</v>
      </c>
      <c r="G163">
        <f t="shared" si="5"/>
        <v>1</v>
      </c>
      <c r="H163" t="str">
        <f>IF(ISNUMBER(FIND(",", E163)), TRIM(MID(E163, FIND(",", E163) + 1, LEN(E163))), E163)</f>
        <v>Solomon Islands</v>
      </c>
    </row>
    <row r="164" spans="1:8" x14ac:dyDescent="0.25">
      <c r="A164" s="2">
        <v>41304</v>
      </c>
      <c r="B164">
        <v>-10.635</v>
      </c>
      <c r="C164">
        <v>166.37100000000001</v>
      </c>
      <c r="D164" t="s">
        <v>6</v>
      </c>
      <c r="E164" t="s">
        <v>175</v>
      </c>
      <c r="F164">
        <f t="shared" si="4"/>
        <v>2013</v>
      </c>
      <c r="G164">
        <f t="shared" si="5"/>
        <v>1</v>
      </c>
      <c r="H164" t="str">
        <f>IF(ISNUMBER(FIND(",", E164)), TRIM(MID(E164, FIND(",", E164) + 1, LEN(E164))), E164)</f>
        <v>Solomon Islands</v>
      </c>
    </row>
    <row r="165" spans="1:8" x14ac:dyDescent="0.25">
      <c r="A165" s="2">
        <v>41304</v>
      </c>
      <c r="B165">
        <v>-28.08</v>
      </c>
      <c r="C165">
        <v>-70.620999999999995</v>
      </c>
      <c r="D165" t="s">
        <v>6</v>
      </c>
      <c r="E165" t="s">
        <v>176</v>
      </c>
      <c r="F165">
        <f t="shared" si="4"/>
        <v>2013</v>
      </c>
      <c r="G165">
        <f t="shared" si="5"/>
        <v>1</v>
      </c>
      <c r="H165" t="str">
        <f>IF(ISNUMBER(FIND(",", E165)), TRIM(MID(E165, FIND(",", E165) + 1, LEN(E165))), E165)</f>
        <v>Chile</v>
      </c>
    </row>
    <row r="166" spans="1:8" x14ac:dyDescent="0.25">
      <c r="A166" s="2">
        <v>41302</v>
      </c>
      <c r="B166">
        <v>42.604999999999997</v>
      </c>
      <c r="C166">
        <v>79.707999999999998</v>
      </c>
      <c r="D166" t="s">
        <v>6</v>
      </c>
      <c r="E166" t="s">
        <v>177</v>
      </c>
      <c r="F166">
        <f t="shared" si="4"/>
        <v>2013</v>
      </c>
      <c r="G166">
        <f t="shared" si="5"/>
        <v>1</v>
      </c>
      <c r="H166" t="str">
        <f>IF(ISNUMBER(FIND(",", E166)), TRIM(MID(E166, FIND(",", E166) + 1, LEN(E166))), E166)</f>
        <v>Kazakhstan</v>
      </c>
    </row>
    <row r="167" spans="1:8" x14ac:dyDescent="0.25">
      <c r="A167" s="2">
        <v>41295</v>
      </c>
      <c r="B167">
        <v>4.9660000000000002</v>
      </c>
      <c r="C167">
        <v>95.855999999999995</v>
      </c>
      <c r="D167" t="s">
        <v>6</v>
      </c>
      <c r="E167" t="s">
        <v>178</v>
      </c>
      <c r="F167">
        <f t="shared" si="4"/>
        <v>2013</v>
      </c>
      <c r="G167">
        <f t="shared" si="5"/>
        <v>1</v>
      </c>
      <c r="H167" t="str">
        <f>IF(ISNUMBER(FIND(",", E167)), TRIM(MID(E167, FIND(",", E167) + 1, LEN(E167))), E167)</f>
        <v>Indonesia</v>
      </c>
    </row>
    <row r="168" spans="1:8" x14ac:dyDescent="0.25">
      <c r="A168" s="2">
        <v>41289</v>
      </c>
      <c r="B168">
        <v>-62.570999999999998</v>
      </c>
      <c r="C168">
        <v>-161.43199999999999</v>
      </c>
      <c r="D168" t="s">
        <v>3</v>
      </c>
      <c r="E168" t="s">
        <v>179</v>
      </c>
      <c r="F168">
        <f t="shared" si="4"/>
        <v>2013</v>
      </c>
      <c r="G168">
        <f t="shared" si="5"/>
        <v>1</v>
      </c>
      <c r="H168" t="str">
        <f>IF(ISNUMBER(FIND(",", E168)), TRIM(MID(E168, FIND(",", E168) + 1, LEN(E168))), E168)</f>
        <v>Pacific-Antarctic Ridge</v>
      </c>
    </row>
    <row r="169" spans="1:8" x14ac:dyDescent="0.25">
      <c r="A169" s="2">
        <v>41279</v>
      </c>
      <c r="B169">
        <v>55.393999999999998</v>
      </c>
      <c r="C169">
        <v>-134.65</v>
      </c>
      <c r="D169" t="s">
        <v>3</v>
      </c>
      <c r="E169" t="s">
        <v>180</v>
      </c>
      <c r="F169">
        <f t="shared" si="4"/>
        <v>2013</v>
      </c>
      <c r="G169">
        <f t="shared" si="5"/>
        <v>1</v>
      </c>
      <c r="H169" t="str">
        <f>IF(ISNUMBER(FIND(",", E169)), TRIM(MID(E169, FIND(",", E169) + 1, LEN(E169))), E169)</f>
        <v>Southeastern Alaska</v>
      </c>
    </row>
    <row r="170" spans="1:8" x14ac:dyDescent="0.25">
      <c r="A170" s="2">
        <v>41264</v>
      </c>
      <c r="B170">
        <v>-14.343999999999999</v>
      </c>
      <c r="C170">
        <v>167.286</v>
      </c>
      <c r="D170" t="s">
        <v>3</v>
      </c>
      <c r="E170" t="s">
        <v>181</v>
      </c>
      <c r="F170">
        <f t="shared" si="4"/>
        <v>2012</v>
      </c>
      <c r="G170">
        <f t="shared" si="5"/>
        <v>12</v>
      </c>
      <c r="H170" t="str">
        <f>IF(ISNUMBER(FIND(",", E170)), TRIM(MID(E170, FIND(",", E170) + 1, LEN(E170))), E170)</f>
        <v>Vanuatu</v>
      </c>
    </row>
    <row r="171" spans="1:8" x14ac:dyDescent="0.25">
      <c r="A171" s="2">
        <v>41260</v>
      </c>
      <c r="B171">
        <v>-0.64900000000000002</v>
      </c>
      <c r="C171">
        <v>123.807</v>
      </c>
      <c r="D171" t="s">
        <v>3</v>
      </c>
      <c r="E171" t="s">
        <v>182</v>
      </c>
      <c r="F171">
        <f t="shared" si="4"/>
        <v>2012</v>
      </c>
      <c r="G171">
        <f t="shared" si="5"/>
        <v>12</v>
      </c>
      <c r="H171" t="str">
        <f>IF(ISNUMBER(FIND(",", E171)), TRIM(MID(E171, FIND(",", E171) + 1, LEN(E171))), E171)</f>
        <v>Indonesia</v>
      </c>
    </row>
    <row r="172" spans="1:8" x14ac:dyDescent="0.25">
      <c r="A172" s="2">
        <v>41258</v>
      </c>
      <c r="B172">
        <v>-4.6319999999999997</v>
      </c>
      <c r="C172">
        <v>153.01599999999999</v>
      </c>
      <c r="D172" t="s">
        <v>3</v>
      </c>
      <c r="E172" t="s">
        <v>183</v>
      </c>
      <c r="F172">
        <f t="shared" si="4"/>
        <v>2012</v>
      </c>
      <c r="G172">
        <f t="shared" si="5"/>
        <v>12</v>
      </c>
      <c r="H172" t="str">
        <f>IF(ISNUMBER(FIND(",", E172)), TRIM(MID(E172, FIND(",", E172) + 1, LEN(E172))), E172)</f>
        <v>Papua New Guinea</v>
      </c>
    </row>
    <row r="173" spans="1:8" x14ac:dyDescent="0.25">
      <c r="A173" s="2">
        <v>41258</v>
      </c>
      <c r="B173">
        <v>52.290999999999997</v>
      </c>
      <c r="C173">
        <v>174.011</v>
      </c>
      <c r="D173" t="s">
        <v>3</v>
      </c>
      <c r="E173" t="s">
        <v>184</v>
      </c>
      <c r="F173">
        <f t="shared" si="4"/>
        <v>2012</v>
      </c>
      <c r="G173">
        <f t="shared" si="5"/>
        <v>12</v>
      </c>
      <c r="H173" t="str">
        <f>IF(ISNUMBER(FIND(",", E173)), TRIM(MID(E173, FIND(",", E173) + 1, LEN(E173))), E173)</f>
        <v>Aleutian Islands, Alaska</v>
      </c>
    </row>
    <row r="174" spans="1:8" x14ac:dyDescent="0.25">
      <c r="A174" s="2">
        <v>41257</v>
      </c>
      <c r="B174">
        <v>31.094999999999999</v>
      </c>
      <c r="C174">
        <v>-119.66</v>
      </c>
      <c r="D174" t="s">
        <v>3</v>
      </c>
      <c r="E174" t="s">
        <v>185</v>
      </c>
      <c r="F174">
        <f t="shared" si="4"/>
        <v>2012</v>
      </c>
      <c r="G174">
        <f t="shared" si="5"/>
        <v>12</v>
      </c>
      <c r="H174" t="str">
        <f>IF(ISNUMBER(FIND(",", E174)), TRIM(MID(E174, FIND(",", E174) + 1, LEN(E174))), E174)</f>
        <v>off the west coast of Baja California</v>
      </c>
    </row>
    <row r="175" spans="1:8" x14ac:dyDescent="0.25">
      <c r="A175" s="2">
        <v>41254</v>
      </c>
      <c r="B175">
        <v>0.53300000000000003</v>
      </c>
      <c r="C175">
        <v>126.23099999999999</v>
      </c>
      <c r="D175" t="s">
        <v>3</v>
      </c>
      <c r="E175" t="s">
        <v>186</v>
      </c>
      <c r="F175">
        <f t="shared" si="4"/>
        <v>2012</v>
      </c>
      <c r="G175">
        <f t="shared" si="5"/>
        <v>12</v>
      </c>
      <c r="H175" t="str">
        <f>IF(ISNUMBER(FIND(",", E175)), TRIM(MID(E175, FIND(",", E175) + 1, LEN(E175))), E175)</f>
        <v>Molucca Sea</v>
      </c>
    </row>
    <row r="176" spans="1:8" x14ac:dyDescent="0.25">
      <c r="A176" s="2">
        <v>41253</v>
      </c>
      <c r="B176">
        <v>-6.5330000000000004</v>
      </c>
      <c r="C176">
        <v>129.82499999999999</v>
      </c>
      <c r="D176" t="s">
        <v>3</v>
      </c>
      <c r="E176" t="s">
        <v>187</v>
      </c>
      <c r="F176">
        <f t="shared" si="4"/>
        <v>2012</v>
      </c>
      <c r="G176">
        <f t="shared" si="5"/>
        <v>12</v>
      </c>
      <c r="H176" t="str">
        <f>IF(ISNUMBER(FIND(",", E176)), TRIM(MID(E176, FIND(",", E176) + 1, LEN(E176))), E176)</f>
        <v>Banda Sea</v>
      </c>
    </row>
    <row r="177" spans="1:8" x14ac:dyDescent="0.25">
      <c r="A177" s="2">
        <v>41250</v>
      </c>
      <c r="B177">
        <v>-38.470999999999997</v>
      </c>
      <c r="C177">
        <v>176.09899999999999</v>
      </c>
      <c r="D177" t="s">
        <v>3</v>
      </c>
      <c r="E177" t="s">
        <v>188</v>
      </c>
      <c r="F177">
        <f t="shared" si="4"/>
        <v>2012</v>
      </c>
      <c r="G177">
        <f t="shared" si="5"/>
        <v>12</v>
      </c>
      <c r="H177" t="str">
        <f>IF(ISNUMBER(FIND(",", E177)), TRIM(MID(E177, FIND(",", E177) + 1, LEN(E177))), E177)</f>
        <v>North Island of New Zealand</v>
      </c>
    </row>
    <row r="178" spans="1:8" x14ac:dyDescent="0.25">
      <c r="A178" s="2">
        <v>41250</v>
      </c>
      <c r="B178">
        <v>37.914000000000001</v>
      </c>
      <c r="C178">
        <v>143.76400000000001</v>
      </c>
      <c r="D178" t="s">
        <v>3</v>
      </c>
      <c r="E178" t="s">
        <v>189</v>
      </c>
      <c r="F178">
        <f t="shared" si="4"/>
        <v>2012</v>
      </c>
      <c r="G178">
        <f t="shared" si="5"/>
        <v>12</v>
      </c>
      <c r="H178" t="str">
        <f>IF(ISNUMBER(FIND(",", E178)), TRIM(MID(E178, FIND(",", E178) + 1, LEN(E178))), E178)</f>
        <v>Japan</v>
      </c>
    </row>
    <row r="179" spans="1:8" x14ac:dyDescent="0.25">
      <c r="A179" s="2">
        <v>41250</v>
      </c>
      <c r="B179">
        <v>37.89</v>
      </c>
      <c r="C179">
        <v>143.94900000000001</v>
      </c>
      <c r="D179" t="s">
        <v>3</v>
      </c>
      <c r="E179" t="s">
        <v>189</v>
      </c>
      <c r="F179">
        <f t="shared" si="4"/>
        <v>2012</v>
      </c>
      <c r="G179">
        <f t="shared" si="5"/>
        <v>12</v>
      </c>
      <c r="H179" t="str">
        <f>IF(ISNUMBER(FIND(",", E179)), TRIM(MID(E179, FIND(",", E179) + 1, LEN(E179))), E179)</f>
        <v>Japan</v>
      </c>
    </row>
    <row r="180" spans="1:8" x14ac:dyDescent="0.25">
      <c r="A180" s="2">
        <v>41245</v>
      </c>
      <c r="B180">
        <v>-16.975000000000001</v>
      </c>
      <c r="C180">
        <v>167.64500000000001</v>
      </c>
      <c r="D180" t="s">
        <v>3</v>
      </c>
      <c r="E180" t="s">
        <v>181</v>
      </c>
      <c r="F180">
        <f t="shared" si="4"/>
        <v>2012</v>
      </c>
      <c r="G180">
        <f t="shared" si="5"/>
        <v>12</v>
      </c>
      <c r="H180" t="str">
        <f>IF(ISNUMBER(FIND(",", E180)), TRIM(MID(E180, FIND(",", E180) + 1, LEN(E180))), E180)</f>
        <v>Vanuatu</v>
      </c>
    </row>
    <row r="181" spans="1:8" x14ac:dyDescent="0.25">
      <c r="A181" s="2">
        <v>41232</v>
      </c>
      <c r="B181">
        <v>-5.7050000000000001</v>
      </c>
      <c r="C181">
        <v>151.602</v>
      </c>
      <c r="D181" t="s">
        <v>3</v>
      </c>
      <c r="E181" t="s">
        <v>190</v>
      </c>
      <c r="F181">
        <f t="shared" si="4"/>
        <v>2012</v>
      </c>
      <c r="G181">
        <f t="shared" si="5"/>
        <v>11</v>
      </c>
      <c r="H181" t="str">
        <f>IF(ISNUMBER(FIND(",", E181)), TRIM(MID(E181, FIND(",", E181) + 1, LEN(E181))), E181)</f>
        <v>Papua New Guinea</v>
      </c>
    </row>
    <row r="182" spans="1:8" x14ac:dyDescent="0.25">
      <c r="A182" s="2">
        <v>41229</v>
      </c>
      <c r="B182">
        <v>49.28</v>
      </c>
      <c r="C182">
        <v>155.42500000000001</v>
      </c>
      <c r="D182" t="s">
        <v>3</v>
      </c>
      <c r="E182" t="s">
        <v>191</v>
      </c>
      <c r="F182">
        <f t="shared" si="4"/>
        <v>2012</v>
      </c>
      <c r="G182">
        <f t="shared" si="5"/>
        <v>11</v>
      </c>
      <c r="H182" t="str">
        <f>IF(ISNUMBER(FIND(",", E182)), TRIM(MID(E182, FIND(",", E182) + 1, LEN(E182))), E182)</f>
        <v>Kuril Islands</v>
      </c>
    </row>
    <row r="183" spans="1:8" x14ac:dyDescent="0.25">
      <c r="A183" s="2">
        <v>41228</v>
      </c>
      <c r="B183">
        <v>18.346</v>
      </c>
      <c r="C183">
        <v>-100.38200000000001</v>
      </c>
      <c r="D183" t="s">
        <v>3</v>
      </c>
      <c r="E183" t="s">
        <v>192</v>
      </c>
      <c r="F183">
        <f t="shared" si="4"/>
        <v>2012</v>
      </c>
      <c r="G183">
        <f t="shared" si="5"/>
        <v>11</v>
      </c>
      <c r="H183" t="str">
        <f>IF(ISNUMBER(FIND(",", E183)), TRIM(MID(E183, FIND(",", E183) + 1, LEN(E183))), E183)</f>
        <v>Mexico</v>
      </c>
    </row>
    <row r="184" spans="1:8" x14ac:dyDescent="0.25">
      <c r="A184" s="2">
        <v>41227</v>
      </c>
      <c r="B184">
        <v>-29.117999999999999</v>
      </c>
      <c r="C184">
        <v>-71.19</v>
      </c>
      <c r="D184" t="s">
        <v>3</v>
      </c>
      <c r="E184" t="s">
        <v>193</v>
      </c>
      <c r="F184">
        <f t="shared" si="4"/>
        <v>2012</v>
      </c>
      <c r="G184">
        <f t="shared" si="5"/>
        <v>11</v>
      </c>
      <c r="H184" t="str">
        <f>IF(ISNUMBER(FIND(",", E184)), TRIM(MID(E184, FIND(",", E184) + 1, LEN(E184))), E184)</f>
        <v>Chile</v>
      </c>
    </row>
    <row r="185" spans="1:8" x14ac:dyDescent="0.25">
      <c r="A185" s="2">
        <v>41226</v>
      </c>
      <c r="B185">
        <v>-45.761000000000003</v>
      </c>
      <c r="C185">
        <v>-77.052999999999997</v>
      </c>
      <c r="D185" t="s">
        <v>3</v>
      </c>
      <c r="E185" t="s">
        <v>194</v>
      </c>
      <c r="F185">
        <f t="shared" si="4"/>
        <v>2012</v>
      </c>
      <c r="G185">
        <f t="shared" si="5"/>
        <v>11</v>
      </c>
      <c r="H185" t="str">
        <f>IF(ISNUMBER(FIND(",", E185)), TRIM(MID(E185, FIND(",", E185) + 1, LEN(E185))), E185)</f>
        <v>Chile</v>
      </c>
    </row>
    <row r="186" spans="1:8" x14ac:dyDescent="0.25">
      <c r="A186" s="2">
        <v>41225</v>
      </c>
      <c r="B186">
        <v>57.792000000000002</v>
      </c>
      <c r="C186">
        <v>-142.85499999999999</v>
      </c>
      <c r="D186" t="s">
        <v>3</v>
      </c>
      <c r="E186" t="s">
        <v>195</v>
      </c>
      <c r="F186">
        <f t="shared" si="4"/>
        <v>2012</v>
      </c>
      <c r="G186">
        <f t="shared" si="5"/>
        <v>11</v>
      </c>
      <c r="H186" t="str">
        <f>IF(ISNUMBER(FIND(",", E186)), TRIM(MID(E186, FIND(",", E186) + 1, LEN(E186))), E186)</f>
        <v>Gulf of Alaska</v>
      </c>
    </row>
    <row r="187" spans="1:8" x14ac:dyDescent="0.25">
      <c r="A187" s="2">
        <v>41224</v>
      </c>
      <c r="B187">
        <v>14.129</v>
      </c>
      <c r="C187">
        <v>-92.164000000000001</v>
      </c>
      <c r="D187" t="s">
        <v>3</v>
      </c>
      <c r="E187" t="s">
        <v>196</v>
      </c>
      <c r="F187">
        <f t="shared" si="4"/>
        <v>2012</v>
      </c>
      <c r="G187">
        <f t="shared" si="5"/>
        <v>11</v>
      </c>
      <c r="H187" t="str">
        <f>IF(ISNUMBER(FIND(",", E187)), TRIM(MID(E187, FIND(",", E187) + 1, LEN(E187))), E187)</f>
        <v>offshore Guatemala</v>
      </c>
    </row>
    <row r="188" spans="1:8" x14ac:dyDescent="0.25">
      <c r="A188" s="2">
        <v>41224</v>
      </c>
      <c r="B188">
        <v>23.004999999999999</v>
      </c>
      <c r="C188">
        <v>95.885000000000005</v>
      </c>
      <c r="D188" t="s">
        <v>3</v>
      </c>
      <c r="E188" t="s">
        <v>197</v>
      </c>
      <c r="F188">
        <f t="shared" si="4"/>
        <v>2012</v>
      </c>
      <c r="G188">
        <f t="shared" si="5"/>
        <v>11</v>
      </c>
      <c r="H188" t="str">
        <f>IF(ISNUMBER(FIND(",", E188)), TRIM(MID(E188, FIND(",", E188) + 1, LEN(E188))), E188)</f>
        <v>Myanmar</v>
      </c>
    </row>
    <row r="189" spans="1:8" x14ac:dyDescent="0.25">
      <c r="A189" s="2">
        <v>41223</v>
      </c>
      <c r="B189">
        <v>-8.8659999999999997</v>
      </c>
      <c r="C189">
        <v>-75.070999999999998</v>
      </c>
      <c r="D189" t="s">
        <v>3</v>
      </c>
      <c r="E189" t="s">
        <v>198</v>
      </c>
      <c r="F189">
        <f t="shared" si="4"/>
        <v>2012</v>
      </c>
      <c r="G189">
        <f t="shared" si="5"/>
        <v>11</v>
      </c>
      <c r="H189" t="str">
        <f>IF(ISNUMBER(FIND(",", E189)), TRIM(MID(E189, FIND(",", E189) + 1, LEN(E189))), E189)</f>
        <v>central Peru</v>
      </c>
    </row>
    <row r="190" spans="1:8" x14ac:dyDescent="0.25">
      <c r="A190" s="2">
        <v>41221</v>
      </c>
      <c r="B190">
        <v>49.231000000000002</v>
      </c>
      <c r="C190">
        <v>-128.477</v>
      </c>
      <c r="D190" t="s">
        <v>3</v>
      </c>
      <c r="E190" t="s">
        <v>199</v>
      </c>
      <c r="F190">
        <f t="shared" si="4"/>
        <v>2012</v>
      </c>
      <c r="G190">
        <f t="shared" si="5"/>
        <v>11</v>
      </c>
      <c r="H190" t="str">
        <f>IF(ISNUMBER(FIND(",", E190)), TRIM(MID(E190, FIND(",", E190) + 1, LEN(E190))), E190)</f>
        <v>Canada region</v>
      </c>
    </row>
    <row r="191" spans="1:8" x14ac:dyDescent="0.25">
      <c r="A191" s="2">
        <v>41220</v>
      </c>
      <c r="B191">
        <v>13.962999999999999</v>
      </c>
      <c r="C191">
        <v>-91.853999999999999</v>
      </c>
      <c r="D191" t="s">
        <v>3</v>
      </c>
      <c r="E191" t="s">
        <v>196</v>
      </c>
      <c r="F191">
        <f t="shared" si="4"/>
        <v>2012</v>
      </c>
      <c r="G191">
        <f t="shared" si="5"/>
        <v>11</v>
      </c>
      <c r="H191" t="str">
        <f>IF(ISNUMBER(FIND(",", E191)), TRIM(MID(E191, FIND(",", E191) + 1, LEN(E191))), E191)</f>
        <v>offshore Guatemala</v>
      </c>
    </row>
    <row r="192" spans="1:8" x14ac:dyDescent="0.25">
      <c r="A192" s="2">
        <v>41215</v>
      </c>
      <c r="B192">
        <v>9.2119999999999997</v>
      </c>
      <c r="C192">
        <v>126.158</v>
      </c>
      <c r="D192" t="s">
        <v>3</v>
      </c>
      <c r="E192" t="s">
        <v>200</v>
      </c>
      <c r="F192">
        <f t="shared" si="4"/>
        <v>2012</v>
      </c>
      <c r="G192">
        <f t="shared" si="5"/>
        <v>11</v>
      </c>
      <c r="H192" t="str">
        <f>IF(ISNUMBER(FIND(",", E192)), TRIM(MID(E192, FIND(",", E192) + 1, LEN(E192))), E192)</f>
        <v>Philippines</v>
      </c>
    </row>
    <row r="193" spans="1:8" x14ac:dyDescent="0.25">
      <c r="A193" s="2">
        <v>41212</v>
      </c>
      <c r="B193">
        <v>52.365000000000002</v>
      </c>
      <c r="C193">
        <v>-131.90199999999999</v>
      </c>
      <c r="D193" t="s">
        <v>3</v>
      </c>
      <c r="E193" t="s">
        <v>201</v>
      </c>
      <c r="F193">
        <f t="shared" si="4"/>
        <v>2012</v>
      </c>
      <c r="G193">
        <f t="shared" si="5"/>
        <v>10</v>
      </c>
      <c r="H193" t="str">
        <f>IF(ISNUMBER(FIND(",", E193)), TRIM(MID(E193, FIND(",", E193) + 1, LEN(E193))), E193)</f>
        <v>Canada</v>
      </c>
    </row>
    <row r="194" spans="1:8" x14ac:dyDescent="0.25">
      <c r="A194" s="2">
        <v>41210</v>
      </c>
      <c r="B194">
        <v>52.673999999999999</v>
      </c>
      <c r="C194">
        <v>-132.602</v>
      </c>
      <c r="D194" t="s">
        <v>3</v>
      </c>
      <c r="E194" t="s">
        <v>201</v>
      </c>
      <c r="F194">
        <f t="shared" ref="F194:F257" si="6">YEAR(A194)</f>
        <v>2012</v>
      </c>
      <c r="G194">
        <f t="shared" si="5"/>
        <v>10</v>
      </c>
      <c r="H194" t="str">
        <f>IF(ISNUMBER(FIND(",", E194)), TRIM(MID(E194, FIND(",", E194) + 1, LEN(E194))), E194)</f>
        <v>Canada</v>
      </c>
    </row>
    <row r="195" spans="1:8" x14ac:dyDescent="0.25">
      <c r="A195" s="2">
        <v>41210</v>
      </c>
      <c r="B195">
        <v>52.787999999999997</v>
      </c>
      <c r="C195">
        <v>-132.101</v>
      </c>
      <c r="D195" t="s">
        <v>3</v>
      </c>
      <c r="E195" t="s">
        <v>201</v>
      </c>
      <c r="F195">
        <f t="shared" si="6"/>
        <v>2012</v>
      </c>
      <c r="G195">
        <f t="shared" ref="G195:G258" si="7">MONTH(A195)</f>
        <v>10</v>
      </c>
      <c r="H195" t="str">
        <f>IF(ISNUMBER(FIND(",", E195)), TRIM(MID(E195, FIND(",", E195) + 1, LEN(E195))), E195)</f>
        <v>Canada</v>
      </c>
    </row>
    <row r="196" spans="1:8" x14ac:dyDescent="0.25">
      <c r="A196" s="2">
        <v>41206</v>
      </c>
      <c r="B196">
        <v>10.086</v>
      </c>
      <c r="C196">
        <v>-85.298000000000002</v>
      </c>
      <c r="D196" t="s">
        <v>3</v>
      </c>
      <c r="E196" t="s">
        <v>202</v>
      </c>
      <c r="F196">
        <f t="shared" si="6"/>
        <v>2012</v>
      </c>
      <c r="G196">
        <f t="shared" si="7"/>
        <v>10</v>
      </c>
      <c r="H196" t="str">
        <f>IF(ISNUMBER(FIND(",", E196)), TRIM(MID(E196, FIND(",", E196) + 1, LEN(E196))), E196)</f>
        <v>Costa Rica</v>
      </c>
    </row>
    <row r="197" spans="1:8" x14ac:dyDescent="0.25">
      <c r="A197" s="2">
        <v>41202</v>
      </c>
      <c r="B197">
        <v>-13.552</v>
      </c>
      <c r="C197">
        <v>166.56399999999999</v>
      </c>
      <c r="D197" t="s">
        <v>3</v>
      </c>
      <c r="E197" t="s">
        <v>181</v>
      </c>
      <c r="F197">
        <f t="shared" si="6"/>
        <v>2012</v>
      </c>
      <c r="G197">
        <f t="shared" si="7"/>
        <v>10</v>
      </c>
      <c r="H197" t="str">
        <f>IF(ISNUMBER(FIND(",", E197)), TRIM(MID(E197, FIND(",", E197) + 1, LEN(E197))), E197)</f>
        <v>Vanuatu</v>
      </c>
    </row>
    <row r="198" spans="1:8" x14ac:dyDescent="0.25">
      <c r="A198" s="2">
        <v>41199</v>
      </c>
      <c r="B198">
        <v>4.2320000000000002</v>
      </c>
      <c r="C198">
        <v>124.52</v>
      </c>
      <c r="D198" t="s">
        <v>3</v>
      </c>
      <c r="E198" t="s">
        <v>203</v>
      </c>
      <c r="F198">
        <f t="shared" si="6"/>
        <v>2012</v>
      </c>
      <c r="G198">
        <f t="shared" si="7"/>
        <v>10</v>
      </c>
      <c r="H198" t="str">
        <f>IF(ISNUMBER(FIND(",", E198)), TRIM(MID(E198, FIND(",", E198) + 1, LEN(E198))), E198)</f>
        <v>Celebes Sea</v>
      </c>
    </row>
    <row r="199" spans="1:8" x14ac:dyDescent="0.25">
      <c r="A199" s="2">
        <v>41194</v>
      </c>
      <c r="B199">
        <v>-4.8920000000000003</v>
      </c>
      <c r="C199">
        <v>134.03</v>
      </c>
      <c r="D199" t="s">
        <v>3</v>
      </c>
      <c r="E199" t="s">
        <v>204</v>
      </c>
      <c r="F199">
        <f t="shared" si="6"/>
        <v>2012</v>
      </c>
      <c r="G199">
        <f t="shared" si="7"/>
        <v>10</v>
      </c>
      <c r="H199" t="str">
        <f>IF(ISNUMBER(FIND(",", E199)), TRIM(MID(E199, FIND(",", E199) + 1, LEN(E199))), E199)</f>
        <v>Indonesia</v>
      </c>
    </row>
    <row r="200" spans="1:8" x14ac:dyDescent="0.25">
      <c r="A200" s="2">
        <v>41191</v>
      </c>
      <c r="B200">
        <v>-60.326000000000001</v>
      </c>
      <c r="C200">
        <v>153.69900000000001</v>
      </c>
      <c r="D200" t="s">
        <v>3</v>
      </c>
      <c r="E200" t="s">
        <v>205</v>
      </c>
      <c r="F200">
        <f t="shared" si="6"/>
        <v>2012</v>
      </c>
      <c r="G200">
        <f t="shared" si="7"/>
        <v>10</v>
      </c>
      <c r="H200" t="str">
        <f>IF(ISNUMBER(FIND(",", E200)), TRIM(MID(E200, FIND(",", E200) + 1, LEN(E200))), E200)</f>
        <v>west of Macquarie Island</v>
      </c>
    </row>
    <row r="201" spans="1:8" x14ac:dyDescent="0.25">
      <c r="A201" s="2">
        <v>41190</v>
      </c>
      <c r="B201">
        <v>-4.4720000000000004</v>
      </c>
      <c r="C201">
        <v>129.12899999999999</v>
      </c>
      <c r="D201" t="s">
        <v>3</v>
      </c>
      <c r="E201" t="s">
        <v>187</v>
      </c>
      <c r="F201">
        <f t="shared" si="6"/>
        <v>2012</v>
      </c>
      <c r="G201">
        <f t="shared" si="7"/>
        <v>10</v>
      </c>
      <c r="H201" t="str">
        <f>IF(ISNUMBER(FIND(",", E201)), TRIM(MID(E201, FIND(",", E201) + 1, LEN(E201))), E201)</f>
        <v>Banda Sea</v>
      </c>
    </row>
    <row r="202" spans="1:8" x14ac:dyDescent="0.25">
      <c r="A202" s="2">
        <v>41183</v>
      </c>
      <c r="B202">
        <v>39.808</v>
      </c>
      <c r="C202">
        <v>143.09899999999999</v>
      </c>
      <c r="D202" t="s">
        <v>3</v>
      </c>
      <c r="E202" t="s">
        <v>189</v>
      </c>
      <c r="F202">
        <f t="shared" si="6"/>
        <v>2012</v>
      </c>
      <c r="G202">
        <f t="shared" si="7"/>
        <v>10</v>
      </c>
      <c r="H202" t="str">
        <f>IF(ISNUMBER(FIND(",", E202)), TRIM(MID(E202, FIND(",", E202) + 1, LEN(E202))), E202)</f>
        <v>Japan</v>
      </c>
    </row>
    <row r="203" spans="1:8" x14ac:dyDescent="0.25">
      <c r="A203" s="2">
        <v>41182</v>
      </c>
      <c r="B203">
        <v>1.929</v>
      </c>
      <c r="C203">
        <v>-76.361999999999995</v>
      </c>
      <c r="D203" t="s">
        <v>3</v>
      </c>
      <c r="E203" t="s">
        <v>206</v>
      </c>
      <c r="F203">
        <f t="shared" si="6"/>
        <v>2012</v>
      </c>
      <c r="G203">
        <f t="shared" si="7"/>
        <v>9</v>
      </c>
      <c r="H203" t="str">
        <f>IF(ISNUMBER(FIND(",", E203)), TRIM(MID(E203, FIND(",", E203) + 1, LEN(E203))), E203)</f>
        <v>Colombia</v>
      </c>
    </row>
    <row r="204" spans="1:8" x14ac:dyDescent="0.25">
      <c r="A204" s="2">
        <v>41178</v>
      </c>
      <c r="B204">
        <v>51.591999999999999</v>
      </c>
      <c r="C204">
        <v>-178.29499999999999</v>
      </c>
      <c r="D204" t="s">
        <v>3</v>
      </c>
      <c r="E204" t="s">
        <v>207</v>
      </c>
      <c r="F204">
        <f t="shared" si="6"/>
        <v>2012</v>
      </c>
      <c r="G204">
        <f t="shared" si="7"/>
        <v>9</v>
      </c>
      <c r="H204" t="str">
        <f>IF(ISNUMBER(FIND(",", E204)), TRIM(MID(E204, FIND(",", E204) + 1, LEN(E204))), E204)</f>
        <v>Aleutian Islands, Alaska</v>
      </c>
    </row>
    <row r="205" spans="1:8" x14ac:dyDescent="0.25">
      <c r="A205" s="2">
        <v>41177</v>
      </c>
      <c r="B205">
        <v>24.666</v>
      </c>
      <c r="C205">
        <v>-110.173</v>
      </c>
      <c r="D205" t="s">
        <v>3</v>
      </c>
      <c r="E205" t="s">
        <v>208</v>
      </c>
      <c r="F205">
        <f t="shared" si="6"/>
        <v>2012</v>
      </c>
      <c r="G205">
        <f t="shared" si="7"/>
        <v>9</v>
      </c>
      <c r="H205" t="str">
        <f>IF(ISNUMBER(FIND(",", E205)), TRIM(MID(E205, FIND(",", E205) + 1, LEN(E205))), E205)</f>
        <v>Mexico</v>
      </c>
    </row>
    <row r="206" spans="1:8" x14ac:dyDescent="0.25">
      <c r="A206" s="2">
        <v>41166</v>
      </c>
      <c r="B206">
        <v>-3.319</v>
      </c>
      <c r="C206">
        <v>100.59399999999999</v>
      </c>
      <c r="D206" t="s">
        <v>3</v>
      </c>
      <c r="E206" t="s">
        <v>209</v>
      </c>
      <c r="F206">
        <f t="shared" si="6"/>
        <v>2012</v>
      </c>
      <c r="G206">
        <f t="shared" si="7"/>
        <v>9</v>
      </c>
      <c r="H206" t="str">
        <f>IF(ISNUMBER(FIND(",", E206)), TRIM(MID(E206, FIND(",", E206) + 1, LEN(E206))), E206)</f>
        <v>Indonesia</v>
      </c>
    </row>
    <row r="207" spans="1:8" x14ac:dyDescent="0.25">
      <c r="A207" s="2">
        <v>41160</v>
      </c>
      <c r="B207">
        <v>-3.177</v>
      </c>
      <c r="C207">
        <v>135.10900000000001</v>
      </c>
      <c r="D207" t="s">
        <v>3</v>
      </c>
      <c r="E207" t="s">
        <v>210</v>
      </c>
      <c r="F207">
        <f t="shared" si="6"/>
        <v>2012</v>
      </c>
      <c r="G207">
        <f t="shared" si="7"/>
        <v>9</v>
      </c>
      <c r="H207" t="str">
        <f>IF(ISNUMBER(FIND(",", E207)), TRIM(MID(E207, FIND(",", E207) + 1, LEN(E207))), E207)</f>
        <v>Indonesia</v>
      </c>
    </row>
    <row r="208" spans="1:8" x14ac:dyDescent="0.25">
      <c r="A208" s="2">
        <v>41157</v>
      </c>
      <c r="B208">
        <v>10.085000000000001</v>
      </c>
      <c r="C208">
        <v>-85.314999999999998</v>
      </c>
      <c r="D208" t="s">
        <v>3</v>
      </c>
      <c r="E208" t="s">
        <v>202</v>
      </c>
      <c r="F208">
        <f t="shared" si="6"/>
        <v>2012</v>
      </c>
      <c r="G208">
        <f t="shared" si="7"/>
        <v>9</v>
      </c>
      <c r="H208" t="str">
        <f>IF(ISNUMBER(FIND(",", E208)), TRIM(MID(E208, FIND(",", E208) + 1, LEN(E208))), E208)</f>
        <v>Costa Rica</v>
      </c>
    </row>
    <row r="209" spans="1:8" x14ac:dyDescent="0.25">
      <c r="A209" s="2">
        <v>41157</v>
      </c>
      <c r="B209">
        <v>-12.476000000000001</v>
      </c>
      <c r="C209">
        <v>166.51300000000001</v>
      </c>
      <c r="D209" t="s">
        <v>3</v>
      </c>
      <c r="E209" t="s">
        <v>211</v>
      </c>
      <c r="F209">
        <f t="shared" si="6"/>
        <v>2012</v>
      </c>
      <c r="G209">
        <f t="shared" si="7"/>
        <v>9</v>
      </c>
      <c r="H209" t="str">
        <f>IF(ISNUMBER(FIND(",", E209)), TRIM(MID(E209, FIND(",", E209) + 1, LEN(E209))), E209)</f>
        <v>Santa Cruz Islands</v>
      </c>
    </row>
    <row r="210" spans="1:8" x14ac:dyDescent="0.25">
      <c r="A210" s="2">
        <v>41155</v>
      </c>
      <c r="B210">
        <v>-10.708</v>
      </c>
      <c r="C210">
        <v>113.931</v>
      </c>
      <c r="D210" t="s">
        <v>3</v>
      </c>
      <c r="E210" t="s">
        <v>212</v>
      </c>
      <c r="F210">
        <f t="shared" si="6"/>
        <v>2012</v>
      </c>
      <c r="G210">
        <f t="shared" si="7"/>
        <v>9</v>
      </c>
      <c r="H210" t="str">
        <f>IF(ISNUMBER(FIND(",", E210)), TRIM(MID(E210, FIND(",", E210) + 1, LEN(E210))), E210)</f>
        <v>Indonesia</v>
      </c>
    </row>
    <row r="211" spans="1:8" x14ac:dyDescent="0.25">
      <c r="A211" s="2">
        <v>41152</v>
      </c>
      <c r="B211">
        <v>10.811</v>
      </c>
      <c r="C211">
        <v>126.63800000000001</v>
      </c>
      <c r="D211" t="s">
        <v>3</v>
      </c>
      <c r="E211" t="s">
        <v>213</v>
      </c>
      <c r="F211">
        <f t="shared" si="6"/>
        <v>2012</v>
      </c>
      <c r="G211">
        <f t="shared" si="7"/>
        <v>8</v>
      </c>
      <c r="H211" t="str">
        <f>IF(ISNUMBER(FIND(",", E211)), TRIM(MID(E211, FIND(",", E211) + 1, LEN(E211))), E211)</f>
        <v>Philippine Islands region</v>
      </c>
    </row>
    <row r="212" spans="1:8" x14ac:dyDescent="0.25">
      <c r="A212" s="2">
        <v>41151</v>
      </c>
      <c r="B212">
        <v>71.441000000000003</v>
      </c>
      <c r="C212">
        <v>-10.605</v>
      </c>
      <c r="D212" t="s">
        <v>3</v>
      </c>
      <c r="E212" t="s">
        <v>214</v>
      </c>
      <c r="F212">
        <f t="shared" si="6"/>
        <v>2012</v>
      </c>
      <c r="G212">
        <f t="shared" si="7"/>
        <v>8</v>
      </c>
      <c r="H212" t="str">
        <f>IF(ISNUMBER(FIND(",", E212)), TRIM(MID(E212, FIND(",", E212) + 1, LEN(E212))), E212)</f>
        <v>Jan Mayen Island region</v>
      </c>
    </row>
    <row r="213" spans="1:8" x14ac:dyDescent="0.25">
      <c r="A213" s="2">
        <v>41148</v>
      </c>
      <c r="B213">
        <v>12.138999999999999</v>
      </c>
      <c r="C213">
        <v>-88.59</v>
      </c>
      <c r="D213" t="s">
        <v>3</v>
      </c>
      <c r="E213" t="s">
        <v>215</v>
      </c>
      <c r="F213">
        <f t="shared" si="6"/>
        <v>2012</v>
      </c>
      <c r="G213">
        <f t="shared" si="7"/>
        <v>8</v>
      </c>
      <c r="H213" t="str">
        <f>IF(ISNUMBER(FIND(",", E213)), TRIM(MID(E213, FIND(",", E213) + 1, LEN(E213))), E213)</f>
        <v>off the coast of El Salvador</v>
      </c>
    </row>
    <row r="214" spans="1:8" x14ac:dyDescent="0.25">
      <c r="A214" s="2">
        <v>41147</v>
      </c>
      <c r="B214">
        <v>2.19</v>
      </c>
      <c r="C214">
        <v>126.837</v>
      </c>
      <c r="D214" t="s">
        <v>3</v>
      </c>
      <c r="E214" t="s">
        <v>186</v>
      </c>
      <c r="F214">
        <f t="shared" si="6"/>
        <v>2012</v>
      </c>
      <c r="G214">
        <f t="shared" si="7"/>
        <v>8</v>
      </c>
      <c r="H214" t="str">
        <f>IF(ISNUMBER(FIND(",", E214)), TRIM(MID(E214, FIND(",", E214) + 1, LEN(E214))), E214)</f>
        <v>Molucca Sea</v>
      </c>
    </row>
    <row r="215" spans="1:8" x14ac:dyDescent="0.25">
      <c r="A215" s="2">
        <v>41140</v>
      </c>
      <c r="B215">
        <v>-4.766</v>
      </c>
      <c r="C215">
        <v>144.57</v>
      </c>
      <c r="D215" t="s">
        <v>3</v>
      </c>
      <c r="E215" t="s">
        <v>216</v>
      </c>
      <c r="F215">
        <f t="shared" si="6"/>
        <v>2012</v>
      </c>
      <c r="G215">
        <f t="shared" si="7"/>
        <v>8</v>
      </c>
      <c r="H215" t="str">
        <f>IF(ISNUMBER(FIND(",", E215)), TRIM(MID(E215, FIND(",", E215) + 1, LEN(E215))), E215)</f>
        <v>Papua New Guinea</v>
      </c>
    </row>
    <row r="216" spans="1:8" x14ac:dyDescent="0.25">
      <c r="A216" s="2">
        <v>41139</v>
      </c>
      <c r="B216">
        <v>-1.3149999999999999</v>
      </c>
      <c r="C216">
        <v>120.096</v>
      </c>
      <c r="D216" t="s">
        <v>3</v>
      </c>
      <c r="E216" t="s">
        <v>182</v>
      </c>
      <c r="F216">
        <f t="shared" si="6"/>
        <v>2012</v>
      </c>
      <c r="G216">
        <f t="shared" si="7"/>
        <v>8</v>
      </c>
      <c r="H216" t="str">
        <f>IF(ISNUMBER(FIND(",", E216)), TRIM(MID(E216, FIND(",", E216) + 1, LEN(E216))), E216)</f>
        <v>Indonesia</v>
      </c>
    </row>
    <row r="217" spans="1:8" x14ac:dyDescent="0.25">
      <c r="A217" s="2">
        <v>41135</v>
      </c>
      <c r="B217">
        <v>49.8</v>
      </c>
      <c r="C217">
        <v>145.06399999999999</v>
      </c>
      <c r="D217" t="s">
        <v>3</v>
      </c>
      <c r="E217" t="s">
        <v>74</v>
      </c>
      <c r="F217">
        <f t="shared" si="6"/>
        <v>2012</v>
      </c>
      <c r="G217">
        <f t="shared" si="7"/>
        <v>8</v>
      </c>
      <c r="H217" t="str">
        <f>IF(ISNUMBER(FIND(",", E217)), TRIM(MID(E217, FIND(",", E217) + 1, LEN(E217))), E217)</f>
        <v>Sea of Okhotsk</v>
      </c>
    </row>
    <row r="218" spans="1:8" x14ac:dyDescent="0.25">
      <c r="A218" s="2">
        <v>41133</v>
      </c>
      <c r="B218">
        <v>35.661000000000001</v>
      </c>
      <c r="C218">
        <v>82.518000000000001</v>
      </c>
      <c r="D218" t="s">
        <v>3</v>
      </c>
      <c r="E218" t="s">
        <v>217</v>
      </c>
      <c r="F218">
        <f t="shared" si="6"/>
        <v>2012</v>
      </c>
      <c r="G218">
        <f t="shared" si="7"/>
        <v>8</v>
      </c>
      <c r="H218" t="str">
        <f>IF(ISNUMBER(FIND(",", E218)), TRIM(MID(E218, FIND(",", E218) + 1, LEN(E218))), E218)</f>
        <v>Xinjiang-Xizang border region</v>
      </c>
    </row>
    <row r="219" spans="1:8" x14ac:dyDescent="0.25">
      <c r="A219" s="2">
        <v>41132</v>
      </c>
      <c r="B219">
        <v>38.389000000000003</v>
      </c>
      <c r="C219">
        <v>46.744999999999997</v>
      </c>
      <c r="D219" t="s">
        <v>3</v>
      </c>
      <c r="E219" t="s">
        <v>218</v>
      </c>
      <c r="F219">
        <f t="shared" si="6"/>
        <v>2012</v>
      </c>
      <c r="G219">
        <f t="shared" si="7"/>
        <v>8</v>
      </c>
      <c r="H219" t="str">
        <f>IF(ISNUMBER(FIND(",", E219)), TRIM(MID(E219, FIND(",", E219) + 1, LEN(E219))), E219)</f>
        <v>northwestern Iran</v>
      </c>
    </row>
    <row r="220" spans="1:8" x14ac:dyDescent="0.25">
      <c r="A220" s="2">
        <v>41132</v>
      </c>
      <c r="B220">
        <v>38.329000000000001</v>
      </c>
      <c r="C220">
        <v>46.826000000000001</v>
      </c>
      <c r="D220" t="s">
        <v>3</v>
      </c>
      <c r="E220" t="s">
        <v>218</v>
      </c>
      <c r="F220">
        <f t="shared" si="6"/>
        <v>2012</v>
      </c>
      <c r="G220">
        <f t="shared" si="7"/>
        <v>8</v>
      </c>
      <c r="H220" t="str">
        <f>IF(ISNUMBER(FIND(",", E220)), TRIM(MID(E220, FIND(",", E220) + 1, LEN(E220))), E220)</f>
        <v>northwestern Iran</v>
      </c>
    </row>
    <row r="221" spans="1:8" x14ac:dyDescent="0.25">
      <c r="A221" s="2">
        <v>41131</v>
      </c>
      <c r="B221">
        <v>52.633000000000003</v>
      </c>
      <c r="C221">
        <v>-167.42099999999999</v>
      </c>
      <c r="D221" t="s">
        <v>3</v>
      </c>
      <c r="E221" t="s">
        <v>219</v>
      </c>
      <c r="F221">
        <f t="shared" si="6"/>
        <v>2012</v>
      </c>
      <c r="G221">
        <f t="shared" si="7"/>
        <v>8</v>
      </c>
      <c r="H221" t="str">
        <f>IF(ISNUMBER(FIND(",", E221)), TRIM(MID(E221, FIND(",", E221) + 1, LEN(E221))), E221)</f>
        <v>Aleutian Islands, Alaska</v>
      </c>
    </row>
    <row r="222" spans="1:8" x14ac:dyDescent="0.25">
      <c r="A222" s="2">
        <v>41123</v>
      </c>
      <c r="B222">
        <v>-4.6539999999999999</v>
      </c>
      <c r="C222">
        <v>153.27500000000001</v>
      </c>
      <c r="D222" t="s">
        <v>3</v>
      </c>
      <c r="E222" t="s">
        <v>183</v>
      </c>
      <c r="F222">
        <f t="shared" si="6"/>
        <v>2012</v>
      </c>
      <c r="G222">
        <f t="shared" si="7"/>
        <v>8</v>
      </c>
      <c r="H222" t="str">
        <f>IF(ISNUMBER(FIND(",", E222)), TRIM(MID(E222, FIND(",", E222) + 1, LEN(E222))), E222)</f>
        <v>Papua New Guinea</v>
      </c>
    </row>
    <row r="223" spans="1:8" x14ac:dyDescent="0.25">
      <c r="A223" s="2">
        <v>41123</v>
      </c>
      <c r="B223">
        <v>-8.4139999999999997</v>
      </c>
      <c r="C223">
        <v>-74.259</v>
      </c>
      <c r="D223" t="s">
        <v>3</v>
      </c>
      <c r="E223" t="s">
        <v>198</v>
      </c>
      <c r="F223">
        <f t="shared" si="6"/>
        <v>2012</v>
      </c>
      <c r="G223">
        <f t="shared" si="7"/>
        <v>8</v>
      </c>
      <c r="H223" t="str">
        <f>IF(ISNUMBER(FIND(",", E223)), TRIM(MID(E223, FIND(",", E223) + 1, LEN(E223))), E223)</f>
        <v>central Peru</v>
      </c>
    </row>
    <row r="224" spans="1:8" x14ac:dyDescent="0.25">
      <c r="A224" s="2">
        <v>41118</v>
      </c>
      <c r="B224">
        <v>-4.6509999999999998</v>
      </c>
      <c r="C224">
        <v>153.173</v>
      </c>
      <c r="D224" t="s">
        <v>3</v>
      </c>
      <c r="E224" t="s">
        <v>183</v>
      </c>
      <c r="F224">
        <f t="shared" si="6"/>
        <v>2012</v>
      </c>
      <c r="G224">
        <f t="shared" si="7"/>
        <v>7</v>
      </c>
      <c r="H224" t="str">
        <f>IF(ISNUMBER(FIND(",", E224)), TRIM(MID(E224, FIND(",", E224) + 1, LEN(E224))), E224)</f>
        <v>Papua New Guinea</v>
      </c>
    </row>
    <row r="225" spans="1:8" x14ac:dyDescent="0.25">
      <c r="A225" s="2">
        <v>41116</v>
      </c>
      <c r="B225">
        <v>-17.591999999999999</v>
      </c>
      <c r="C225">
        <v>66.391000000000005</v>
      </c>
      <c r="D225" t="s">
        <v>3</v>
      </c>
      <c r="E225" t="s">
        <v>220</v>
      </c>
      <c r="F225">
        <f t="shared" si="6"/>
        <v>2012</v>
      </c>
      <c r="G225">
        <f t="shared" si="7"/>
        <v>7</v>
      </c>
      <c r="H225" t="str">
        <f>IF(ISNUMBER(FIND(",", E225)), TRIM(MID(E225, FIND(",", E225) + 1, LEN(E225))), E225)</f>
        <v>Mauritius - Reunion region</v>
      </c>
    </row>
    <row r="226" spans="1:8" x14ac:dyDescent="0.25">
      <c r="A226" s="2">
        <v>41115</v>
      </c>
      <c r="B226">
        <v>-9.6940000000000008</v>
      </c>
      <c r="C226">
        <v>159.727</v>
      </c>
      <c r="D226" t="s">
        <v>3</v>
      </c>
      <c r="E226" t="s">
        <v>221</v>
      </c>
      <c r="F226">
        <f t="shared" si="6"/>
        <v>2012</v>
      </c>
      <c r="G226">
        <f t="shared" si="7"/>
        <v>7</v>
      </c>
      <c r="H226" t="str">
        <f>IF(ISNUMBER(FIND(",", E226)), TRIM(MID(E226, FIND(",", E226) + 1, LEN(E226))), E226)</f>
        <v>Solomon Islands</v>
      </c>
    </row>
    <row r="227" spans="1:8" x14ac:dyDescent="0.25">
      <c r="A227" s="2">
        <v>41115</v>
      </c>
      <c r="B227">
        <v>2.7069999999999999</v>
      </c>
      <c r="C227">
        <v>96.045000000000002</v>
      </c>
      <c r="D227" t="s">
        <v>3</v>
      </c>
      <c r="E227" t="s">
        <v>222</v>
      </c>
      <c r="F227">
        <f t="shared" si="6"/>
        <v>2012</v>
      </c>
      <c r="G227">
        <f t="shared" si="7"/>
        <v>7</v>
      </c>
      <c r="H227" t="str">
        <f>IF(ISNUMBER(FIND(",", E227)), TRIM(MID(E227, FIND(",", E227) + 1, LEN(E227))), E227)</f>
        <v>Indonesia</v>
      </c>
    </row>
    <row r="228" spans="1:8" x14ac:dyDescent="0.25">
      <c r="A228" s="2">
        <v>41110</v>
      </c>
      <c r="B228">
        <v>49.406999999999996</v>
      </c>
      <c r="C228">
        <v>155.90700000000001</v>
      </c>
      <c r="D228" t="s">
        <v>3</v>
      </c>
      <c r="E228" t="s">
        <v>191</v>
      </c>
      <c r="F228">
        <f t="shared" si="6"/>
        <v>2012</v>
      </c>
      <c r="G228">
        <f t="shared" si="7"/>
        <v>7</v>
      </c>
      <c r="H228" t="str">
        <f>IF(ISNUMBER(FIND(",", E228)), TRIM(MID(E228, FIND(",", E228) + 1, LEN(E228))), E228)</f>
        <v>Kuril Islands</v>
      </c>
    </row>
    <row r="229" spans="1:8" x14ac:dyDescent="0.25">
      <c r="A229" s="2">
        <v>41098</v>
      </c>
      <c r="B229">
        <v>45.497</v>
      </c>
      <c r="C229">
        <v>151.28800000000001</v>
      </c>
      <c r="D229" t="s">
        <v>3</v>
      </c>
      <c r="E229" t="s">
        <v>191</v>
      </c>
      <c r="F229">
        <f t="shared" si="6"/>
        <v>2012</v>
      </c>
      <c r="G229">
        <f t="shared" si="7"/>
        <v>7</v>
      </c>
      <c r="H229" t="str">
        <f>IF(ISNUMBER(FIND(",", E229)), TRIM(MID(E229, FIND(",", E229) + 1, LEN(E229))), E229)</f>
        <v>Kuril Islands</v>
      </c>
    </row>
    <row r="230" spans="1:8" x14ac:dyDescent="0.25">
      <c r="A230" s="2">
        <v>41096</v>
      </c>
      <c r="B230">
        <v>-14.657</v>
      </c>
      <c r="C230">
        <v>167.34</v>
      </c>
      <c r="D230" t="s">
        <v>3</v>
      </c>
      <c r="E230" t="s">
        <v>181</v>
      </c>
      <c r="F230">
        <f t="shared" si="6"/>
        <v>2012</v>
      </c>
      <c r="G230">
        <f t="shared" si="7"/>
        <v>7</v>
      </c>
      <c r="H230" t="str">
        <f>IF(ISNUMBER(FIND(",", E230)), TRIM(MID(E230, FIND(",", E230) + 1, LEN(E230))), E230)</f>
        <v>Vanuatu</v>
      </c>
    </row>
    <row r="231" spans="1:8" x14ac:dyDescent="0.25">
      <c r="A231" s="2">
        <v>41093</v>
      </c>
      <c r="B231">
        <v>-40.023000000000003</v>
      </c>
      <c r="C231">
        <v>173.756</v>
      </c>
      <c r="D231" t="s">
        <v>3</v>
      </c>
      <c r="E231" t="s">
        <v>223</v>
      </c>
      <c r="F231">
        <f t="shared" si="6"/>
        <v>2012</v>
      </c>
      <c r="G231">
        <f t="shared" si="7"/>
        <v>7</v>
      </c>
      <c r="H231" t="str">
        <f>IF(ISNUMBER(FIND(",", E231)), TRIM(MID(E231, FIND(",", E231) + 1, LEN(E231))), E231)</f>
        <v>New Zealand</v>
      </c>
    </row>
    <row r="232" spans="1:8" x14ac:dyDescent="0.25">
      <c r="A232" s="2">
        <v>41089</v>
      </c>
      <c r="B232">
        <v>43.433</v>
      </c>
      <c r="C232">
        <v>84.7</v>
      </c>
      <c r="D232" t="s">
        <v>3</v>
      </c>
      <c r="E232" t="s">
        <v>224</v>
      </c>
      <c r="F232">
        <f t="shared" si="6"/>
        <v>2012</v>
      </c>
      <c r="G232">
        <f t="shared" si="7"/>
        <v>6</v>
      </c>
      <c r="H232" t="str">
        <f>IF(ISNUMBER(FIND(",", E232)), TRIM(MID(E232, FIND(",", E232) + 1, LEN(E232))), E232)</f>
        <v>China</v>
      </c>
    </row>
    <row r="233" spans="1:8" x14ac:dyDescent="0.25">
      <c r="A233" s="2">
        <v>41084</v>
      </c>
      <c r="B233">
        <v>57.600999999999999</v>
      </c>
      <c r="C233">
        <v>163.19499999999999</v>
      </c>
      <c r="D233" t="s">
        <v>3</v>
      </c>
      <c r="E233" t="s">
        <v>225</v>
      </c>
      <c r="F233">
        <f t="shared" si="6"/>
        <v>2012</v>
      </c>
      <c r="G233">
        <f t="shared" si="7"/>
        <v>6</v>
      </c>
      <c r="H233" t="str">
        <f>IF(ISNUMBER(FIND(",", E233)), TRIM(MID(E233, FIND(",", E233) + 1, LEN(E233))), E233)</f>
        <v>Russia</v>
      </c>
    </row>
    <row r="234" spans="1:8" x14ac:dyDescent="0.25">
      <c r="A234" s="2">
        <v>41083</v>
      </c>
      <c r="B234">
        <v>3.0089999999999999</v>
      </c>
      <c r="C234">
        <v>97.896000000000001</v>
      </c>
      <c r="D234" t="s">
        <v>3</v>
      </c>
      <c r="E234" t="s">
        <v>226</v>
      </c>
      <c r="F234">
        <f t="shared" si="6"/>
        <v>2012</v>
      </c>
      <c r="G234">
        <f t="shared" si="7"/>
        <v>6</v>
      </c>
      <c r="H234" t="str">
        <f>IF(ISNUMBER(FIND(",", E234)), TRIM(MID(E234, FIND(",", E234) + 1, LEN(E234))), E234)</f>
        <v>Indonesia</v>
      </c>
    </row>
    <row r="235" spans="1:8" x14ac:dyDescent="0.25">
      <c r="A235" s="2">
        <v>41079</v>
      </c>
      <c r="B235">
        <v>53.350999999999999</v>
      </c>
      <c r="C235">
        <v>171.619</v>
      </c>
      <c r="D235" t="s">
        <v>3</v>
      </c>
      <c r="E235" t="s">
        <v>184</v>
      </c>
      <c r="F235">
        <f t="shared" si="6"/>
        <v>2012</v>
      </c>
      <c r="G235">
        <f t="shared" si="7"/>
        <v>6</v>
      </c>
      <c r="H235" t="str">
        <f>IF(ISNUMBER(FIND(",", E235)), TRIM(MID(E235, FIND(",", E235) + 1, LEN(E235))), E235)</f>
        <v>Aleutian Islands, Alaska</v>
      </c>
    </row>
    <row r="236" spans="1:8" x14ac:dyDescent="0.25">
      <c r="A236" s="2">
        <v>41077</v>
      </c>
      <c r="B236">
        <v>38.918999999999997</v>
      </c>
      <c r="C236">
        <v>141.83099999999999</v>
      </c>
      <c r="D236" t="s">
        <v>3</v>
      </c>
      <c r="E236" t="s">
        <v>227</v>
      </c>
      <c r="F236">
        <f t="shared" si="6"/>
        <v>2012</v>
      </c>
      <c r="G236">
        <f t="shared" si="7"/>
        <v>6</v>
      </c>
      <c r="H236" t="str">
        <f>IF(ISNUMBER(FIND(",", E236)), TRIM(MID(E236, FIND(",", E236) + 1, LEN(E236))), E236)</f>
        <v>Japan</v>
      </c>
    </row>
    <row r="237" spans="1:8" x14ac:dyDescent="0.25">
      <c r="A237" s="2">
        <v>41070</v>
      </c>
      <c r="B237">
        <v>36.42</v>
      </c>
      <c r="C237">
        <v>28.88</v>
      </c>
      <c r="D237" t="s">
        <v>3</v>
      </c>
      <c r="E237" t="s">
        <v>228</v>
      </c>
      <c r="F237">
        <f t="shared" si="6"/>
        <v>2012</v>
      </c>
      <c r="G237">
        <f t="shared" si="7"/>
        <v>6</v>
      </c>
      <c r="H237" t="str">
        <f>IF(ISNUMBER(FIND(",", E237)), TRIM(MID(E237, FIND(",", E237) + 1, LEN(E237))), E237)</f>
        <v>Greece</v>
      </c>
    </row>
    <row r="238" spans="1:8" x14ac:dyDescent="0.25">
      <c r="A238" s="2">
        <v>41067</v>
      </c>
      <c r="B238">
        <v>-15.877000000000001</v>
      </c>
      <c r="C238">
        <v>-72.412999999999997</v>
      </c>
      <c r="D238" t="s">
        <v>3</v>
      </c>
      <c r="E238" t="s">
        <v>229</v>
      </c>
      <c r="F238">
        <f t="shared" si="6"/>
        <v>2012</v>
      </c>
      <c r="G238">
        <f t="shared" si="7"/>
        <v>6</v>
      </c>
      <c r="H238" t="str">
        <f>IF(ISNUMBER(FIND(",", E238)), TRIM(MID(E238, FIND(",", E238) + 1, LEN(E238))), E238)</f>
        <v>southern Peru</v>
      </c>
    </row>
    <row r="239" spans="1:8" x14ac:dyDescent="0.25">
      <c r="A239" s="2">
        <v>41067</v>
      </c>
      <c r="B239">
        <v>-36.073999999999998</v>
      </c>
      <c r="C239">
        <v>-70.569999999999993</v>
      </c>
      <c r="D239" t="s">
        <v>3</v>
      </c>
      <c r="E239" t="s">
        <v>230</v>
      </c>
      <c r="F239">
        <f t="shared" si="6"/>
        <v>2012</v>
      </c>
      <c r="G239">
        <f t="shared" si="7"/>
        <v>6</v>
      </c>
      <c r="H239" t="str">
        <f>IF(ISNUMBER(FIND(",", E239)), TRIM(MID(E239, FIND(",", E239) + 1, LEN(E239))), E239)</f>
        <v>Chile</v>
      </c>
    </row>
    <row r="240" spans="1:8" x14ac:dyDescent="0.25">
      <c r="A240" s="2">
        <v>41065</v>
      </c>
      <c r="B240">
        <v>34.942999999999998</v>
      </c>
      <c r="C240">
        <v>141.13200000000001</v>
      </c>
      <c r="D240" t="s">
        <v>3</v>
      </c>
      <c r="E240" t="s">
        <v>189</v>
      </c>
      <c r="F240">
        <f t="shared" si="6"/>
        <v>2012</v>
      </c>
      <c r="G240">
        <f t="shared" si="7"/>
        <v>6</v>
      </c>
      <c r="H240" t="str">
        <f>IF(ISNUMBER(FIND(",", E240)), TRIM(MID(E240, FIND(",", E240) + 1, LEN(E240))), E240)</f>
        <v>Japan</v>
      </c>
    </row>
    <row r="241" spans="1:8" x14ac:dyDescent="0.25">
      <c r="A241" s="2">
        <v>41064</v>
      </c>
      <c r="B241">
        <v>5.508</v>
      </c>
      <c r="C241">
        <v>-82.563000000000002</v>
      </c>
      <c r="D241" t="s">
        <v>3</v>
      </c>
      <c r="E241" t="s">
        <v>231</v>
      </c>
      <c r="F241">
        <f t="shared" si="6"/>
        <v>2012</v>
      </c>
      <c r="G241">
        <f t="shared" si="7"/>
        <v>6</v>
      </c>
      <c r="H241" t="str">
        <f>IF(ISNUMBER(FIND(",", E241)), TRIM(MID(E241, FIND(",", E241) + 1, LEN(E241))), E241)</f>
        <v>south of Panama</v>
      </c>
    </row>
    <row r="242" spans="1:8" x14ac:dyDescent="0.25">
      <c r="A242" s="2">
        <v>41064</v>
      </c>
      <c r="B242">
        <v>5.3049999999999997</v>
      </c>
      <c r="C242">
        <v>-82.629000000000005</v>
      </c>
      <c r="D242" t="s">
        <v>3</v>
      </c>
      <c r="E242" t="s">
        <v>231</v>
      </c>
      <c r="F242">
        <f t="shared" si="6"/>
        <v>2012</v>
      </c>
      <c r="G242">
        <f t="shared" si="7"/>
        <v>6</v>
      </c>
      <c r="H242" t="str">
        <f>IF(ISNUMBER(FIND(",", E242)), TRIM(MID(E242, FIND(",", E242) + 1, LEN(E242))), E242)</f>
        <v>south of Panama</v>
      </c>
    </row>
    <row r="243" spans="1:8" x14ac:dyDescent="0.25">
      <c r="A243" s="2">
        <v>41057</v>
      </c>
      <c r="B243">
        <v>-28.042999999999999</v>
      </c>
      <c r="C243">
        <v>-63.094000000000001</v>
      </c>
      <c r="D243" t="s">
        <v>3</v>
      </c>
      <c r="E243" t="s">
        <v>232</v>
      </c>
      <c r="F243">
        <f t="shared" si="6"/>
        <v>2012</v>
      </c>
      <c r="G243">
        <f t="shared" si="7"/>
        <v>5</v>
      </c>
      <c r="H243" t="str">
        <f>IF(ISNUMBER(FIND(",", E243)), TRIM(MID(E243, FIND(",", E243) + 1, LEN(E243))), E243)</f>
        <v>Argentina</v>
      </c>
    </row>
    <row r="244" spans="1:8" x14ac:dyDescent="0.25">
      <c r="A244" s="2">
        <v>41055</v>
      </c>
      <c r="B244">
        <v>26.91</v>
      </c>
      <c r="C244">
        <v>140.05500000000001</v>
      </c>
      <c r="D244" t="s">
        <v>7</v>
      </c>
      <c r="E244" t="s">
        <v>233</v>
      </c>
      <c r="F244">
        <f t="shared" si="6"/>
        <v>2012</v>
      </c>
      <c r="G244">
        <f t="shared" si="7"/>
        <v>5</v>
      </c>
      <c r="H244" t="str">
        <f>IF(ISNUMBER(FIND(",", E244)), TRIM(MID(E244, FIND(",", E244) + 1, LEN(E244))), E244)</f>
        <v>Japan region</v>
      </c>
    </row>
    <row r="245" spans="1:8" x14ac:dyDescent="0.25">
      <c r="A245" s="2">
        <v>41053</v>
      </c>
      <c r="B245">
        <v>72.959999999999994</v>
      </c>
      <c r="C245">
        <v>5.6829999999999998</v>
      </c>
      <c r="D245" t="s">
        <v>3</v>
      </c>
      <c r="E245" t="s">
        <v>234</v>
      </c>
      <c r="F245">
        <f t="shared" si="6"/>
        <v>2012</v>
      </c>
      <c r="G245">
        <f t="shared" si="7"/>
        <v>5</v>
      </c>
      <c r="H245" t="str">
        <f>IF(ISNUMBER(FIND(",", E245)), TRIM(MID(E245, FIND(",", E245) + 1, LEN(E245))), E245)</f>
        <v>Norwegian Sea</v>
      </c>
    </row>
    <row r="246" spans="1:8" x14ac:dyDescent="0.25">
      <c r="A246" s="2">
        <v>41052</v>
      </c>
      <c r="B246">
        <v>-50.42</v>
      </c>
      <c r="C246">
        <v>139.51599999999999</v>
      </c>
      <c r="D246" t="s">
        <v>3</v>
      </c>
      <c r="E246" t="s">
        <v>235</v>
      </c>
      <c r="F246">
        <f t="shared" si="6"/>
        <v>2012</v>
      </c>
      <c r="G246">
        <f t="shared" si="7"/>
        <v>5</v>
      </c>
      <c r="H246" t="str">
        <f>IF(ISNUMBER(FIND(",", E246)), TRIM(MID(E246, FIND(",", E246) + 1, LEN(E246))), E246)</f>
        <v>western Indian-Antarctic Ridge</v>
      </c>
    </row>
    <row r="247" spans="1:8" x14ac:dyDescent="0.25">
      <c r="A247" s="2">
        <v>41049</v>
      </c>
      <c r="B247">
        <v>39.646000000000001</v>
      </c>
      <c r="C247">
        <v>143.16399999999999</v>
      </c>
      <c r="D247" t="s">
        <v>3</v>
      </c>
      <c r="E247" t="s">
        <v>189</v>
      </c>
      <c r="F247">
        <f t="shared" si="6"/>
        <v>2012</v>
      </c>
      <c r="G247">
        <f t="shared" si="7"/>
        <v>5</v>
      </c>
      <c r="H247" t="str">
        <f>IF(ISNUMBER(FIND(",", E247)), TRIM(MID(E247, FIND(",", E247) + 1, LEN(E247))), E247)</f>
        <v>Japan</v>
      </c>
    </row>
    <row r="248" spans="1:8" x14ac:dyDescent="0.25">
      <c r="A248" s="2">
        <v>41049</v>
      </c>
      <c r="B248">
        <v>44.89</v>
      </c>
      <c r="C248">
        <v>11.23</v>
      </c>
      <c r="D248" t="s">
        <v>3</v>
      </c>
      <c r="E248" t="s">
        <v>236</v>
      </c>
      <c r="F248">
        <f t="shared" si="6"/>
        <v>2012</v>
      </c>
      <c r="G248">
        <f t="shared" si="7"/>
        <v>5</v>
      </c>
      <c r="H248" t="str">
        <f>IF(ISNUMBER(FIND(",", E248)), TRIM(MID(E248, FIND(",", E248) + 1, LEN(E248))), E248)</f>
        <v>northern Italy</v>
      </c>
    </row>
    <row r="249" spans="1:8" x14ac:dyDescent="0.25">
      <c r="A249" s="2">
        <v>41047</v>
      </c>
      <c r="B249">
        <v>-44.805999999999997</v>
      </c>
      <c r="C249">
        <v>-80.159000000000006</v>
      </c>
      <c r="D249" t="s">
        <v>3</v>
      </c>
      <c r="E249" t="s">
        <v>194</v>
      </c>
      <c r="F249">
        <f t="shared" si="6"/>
        <v>2012</v>
      </c>
      <c r="G249">
        <f t="shared" si="7"/>
        <v>5</v>
      </c>
      <c r="H249" t="str">
        <f>IF(ISNUMBER(FIND(",", E249)), TRIM(MID(E249, FIND(",", E249) + 1, LEN(E249))), E249)</f>
        <v>Chile</v>
      </c>
    </row>
    <row r="250" spans="1:8" x14ac:dyDescent="0.25">
      <c r="A250" s="2">
        <v>41043</v>
      </c>
      <c r="B250">
        <v>-17.678000000000001</v>
      </c>
      <c r="C250">
        <v>-69.590999999999994</v>
      </c>
      <c r="D250" t="s">
        <v>3</v>
      </c>
      <c r="E250" t="s">
        <v>237</v>
      </c>
      <c r="F250">
        <f t="shared" si="6"/>
        <v>2012</v>
      </c>
      <c r="G250">
        <f t="shared" si="7"/>
        <v>5</v>
      </c>
      <c r="H250" t="str">
        <f>IF(ISNUMBER(FIND(",", E250)), TRIM(MID(E250, FIND(",", E250) + 1, LEN(E250))), E250)</f>
        <v>Chile</v>
      </c>
    </row>
    <row r="251" spans="1:8" x14ac:dyDescent="0.25">
      <c r="A251" s="2">
        <v>41030</v>
      </c>
      <c r="B251">
        <v>14.375999999999999</v>
      </c>
      <c r="C251">
        <v>-92.897000000000006</v>
      </c>
      <c r="D251" t="s">
        <v>3</v>
      </c>
      <c r="E251" t="s">
        <v>238</v>
      </c>
      <c r="F251">
        <f t="shared" si="6"/>
        <v>2012</v>
      </c>
      <c r="G251">
        <f t="shared" si="7"/>
        <v>5</v>
      </c>
      <c r="H251" t="str">
        <f>IF(ISNUMBER(FIND(",", E251)), TRIM(MID(E251, FIND(",", E251) + 1, LEN(E251))), E251)</f>
        <v>Mexico</v>
      </c>
    </row>
    <row r="252" spans="1:8" x14ac:dyDescent="0.25">
      <c r="A252" s="2">
        <v>41027</v>
      </c>
      <c r="B252">
        <v>-18.684999999999999</v>
      </c>
      <c r="C252">
        <v>-174.70500000000001</v>
      </c>
      <c r="D252" t="s">
        <v>3</v>
      </c>
      <c r="E252" t="s">
        <v>239</v>
      </c>
      <c r="F252">
        <f t="shared" si="6"/>
        <v>2012</v>
      </c>
      <c r="G252">
        <f t="shared" si="7"/>
        <v>4</v>
      </c>
      <c r="H252" t="str">
        <f>IF(ISNUMBER(FIND(",", E252)), TRIM(MID(E252, FIND(",", E252) + 1, LEN(E252))), E252)</f>
        <v>Tonga</v>
      </c>
    </row>
    <row r="253" spans="1:8" x14ac:dyDescent="0.25">
      <c r="A253" s="2">
        <v>41022</v>
      </c>
      <c r="B253">
        <v>-28.556000000000001</v>
      </c>
      <c r="C253">
        <v>-177.41200000000001</v>
      </c>
      <c r="D253" t="s">
        <v>3</v>
      </c>
      <c r="E253" t="s">
        <v>240</v>
      </c>
      <c r="F253">
        <f t="shared" si="6"/>
        <v>2012</v>
      </c>
      <c r="G253">
        <f t="shared" si="7"/>
        <v>4</v>
      </c>
      <c r="H253" t="str">
        <f>IF(ISNUMBER(FIND(",", E253)), TRIM(MID(E253, FIND(",", E253) + 1, LEN(E253))), E253)</f>
        <v>Kermadec Islands region</v>
      </c>
    </row>
    <row r="254" spans="1:8" x14ac:dyDescent="0.25">
      <c r="A254" s="2">
        <v>41020</v>
      </c>
      <c r="B254">
        <v>-1.635</v>
      </c>
      <c r="C254">
        <v>134.197</v>
      </c>
      <c r="D254" t="s">
        <v>7</v>
      </c>
      <c r="E254" t="s">
        <v>241</v>
      </c>
      <c r="F254">
        <f t="shared" si="6"/>
        <v>2012</v>
      </c>
      <c r="G254">
        <f t="shared" si="7"/>
        <v>4</v>
      </c>
      <c r="H254" t="str">
        <f>IF(ISNUMBER(FIND(",", E254)), TRIM(MID(E254, FIND(",", E254) + 1, LEN(E254))), E254)</f>
        <v>Indonesia</v>
      </c>
    </row>
    <row r="255" spans="1:8" x14ac:dyDescent="0.25">
      <c r="A255" s="2">
        <v>41020</v>
      </c>
      <c r="B255">
        <v>-1.617</v>
      </c>
      <c r="C255">
        <v>134.27600000000001</v>
      </c>
      <c r="D255" t="s">
        <v>3</v>
      </c>
      <c r="E255" t="s">
        <v>241</v>
      </c>
      <c r="F255">
        <f t="shared" si="6"/>
        <v>2012</v>
      </c>
      <c r="G255">
        <f t="shared" si="7"/>
        <v>4</v>
      </c>
      <c r="H255" t="str">
        <f>IF(ISNUMBER(FIND(",", E255)), TRIM(MID(E255, FIND(",", E255) + 1, LEN(E255))), E255)</f>
        <v>Indonesia</v>
      </c>
    </row>
    <row r="256" spans="1:8" x14ac:dyDescent="0.25">
      <c r="A256" s="2">
        <v>41016</v>
      </c>
      <c r="B256">
        <v>-59.015999999999998</v>
      </c>
      <c r="C256">
        <v>-16.611999999999998</v>
      </c>
      <c r="D256" t="s">
        <v>3</v>
      </c>
      <c r="E256" t="s">
        <v>242</v>
      </c>
      <c r="F256">
        <f t="shared" si="6"/>
        <v>2012</v>
      </c>
      <c r="G256">
        <f t="shared" si="7"/>
        <v>4</v>
      </c>
      <c r="H256" t="str">
        <f>IF(ISNUMBER(FIND(",", E256)), TRIM(MID(E256, FIND(",", E256) + 1, LEN(E256))), E256)</f>
        <v>east of the South Sandwich Islands</v>
      </c>
    </row>
    <row r="257" spans="1:8" x14ac:dyDescent="0.25">
      <c r="A257" s="2">
        <v>41016</v>
      </c>
      <c r="B257">
        <v>-5.4619999999999997</v>
      </c>
      <c r="C257">
        <v>147.11699999999999</v>
      </c>
      <c r="D257" t="s">
        <v>3</v>
      </c>
      <c r="E257" t="s">
        <v>243</v>
      </c>
      <c r="F257">
        <f t="shared" si="6"/>
        <v>2012</v>
      </c>
      <c r="G257">
        <f t="shared" si="7"/>
        <v>4</v>
      </c>
      <c r="H257" t="str">
        <f>IF(ISNUMBER(FIND(",", E257)), TRIM(MID(E257, FIND(",", E257) + 1, LEN(E257))), E257)</f>
        <v>Papua New Guinea</v>
      </c>
    </row>
    <row r="258" spans="1:8" x14ac:dyDescent="0.25">
      <c r="A258" s="2">
        <v>41016</v>
      </c>
      <c r="B258">
        <v>-32.625</v>
      </c>
      <c r="C258">
        <v>-71.364999999999995</v>
      </c>
      <c r="D258" t="s">
        <v>3</v>
      </c>
      <c r="E258" t="s">
        <v>244</v>
      </c>
      <c r="F258">
        <f t="shared" ref="F258:F321" si="8">YEAR(A258)</f>
        <v>2012</v>
      </c>
      <c r="G258">
        <f t="shared" si="7"/>
        <v>4</v>
      </c>
      <c r="H258" t="str">
        <f>IF(ISNUMBER(FIND(",", E258)), TRIM(MID(E258, FIND(",", E258) + 1, LEN(E258))), E258)</f>
        <v>Chile</v>
      </c>
    </row>
    <row r="259" spans="1:8" x14ac:dyDescent="0.25">
      <c r="A259" s="2">
        <v>41014</v>
      </c>
      <c r="B259">
        <v>2.581</v>
      </c>
      <c r="C259">
        <v>90.269000000000005</v>
      </c>
      <c r="D259" t="s">
        <v>3</v>
      </c>
      <c r="E259" t="s">
        <v>245</v>
      </c>
      <c r="F259">
        <f t="shared" si="8"/>
        <v>2012</v>
      </c>
      <c r="G259">
        <f t="shared" ref="G259:G322" si="9">MONTH(A259)</f>
        <v>4</v>
      </c>
      <c r="H259" t="str">
        <f>IF(ISNUMBER(FIND(",", E259)), TRIM(MID(E259, FIND(",", E259) + 1, LEN(E259))), E259)</f>
        <v>off the west coast of northern Sumatra</v>
      </c>
    </row>
    <row r="260" spans="1:8" x14ac:dyDescent="0.25">
      <c r="A260" s="2">
        <v>41013</v>
      </c>
      <c r="B260">
        <v>-18.972000000000001</v>
      </c>
      <c r="C260">
        <v>168.74100000000001</v>
      </c>
      <c r="D260" t="s">
        <v>3</v>
      </c>
      <c r="E260" t="s">
        <v>181</v>
      </c>
      <c r="F260">
        <f t="shared" si="8"/>
        <v>2012</v>
      </c>
      <c r="G260">
        <f t="shared" si="9"/>
        <v>4</v>
      </c>
      <c r="H260" t="str">
        <f>IF(ISNUMBER(FIND(",", E260)), TRIM(MID(E260, FIND(",", E260) + 1, LEN(E260))), E260)</f>
        <v>Vanuatu</v>
      </c>
    </row>
    <row r="261" spans="1:8" x14ac:dyDescent="0.25">
      <c r="A261" s="2">
        <v>41013</v>
      </c>
      <c r="B261">
        <v>-57.679000000000002</v>
      </c>
      <c r="C261">
        <v>-65.308000000000007</v>
      </c>
      <c r="D261" t="s">
        <v>3</v>
      </c>
      <c r="E261" t="s">
        <v>246</v>
      </c>
      <c r="F261">
        <f t="shared" si="8"/>
        <v>2012</v>
      </c>
      <c r="G261">
        <f t="shared" si="9"/>
        <v>4</v>
      </c>
      <c r="H261" t="str">
        <f>IF(ISNUMBER(FIND(",", E261)), TRIM(MID(E261, FIND(",", E261) + 1, LEN(E261))), E261)</f>
        <v>Drake Passage</v>
      </c>
    </row>
    <row r="262" spans="1:8" x14ac:dyDescent="0.25">
      <c r="A262" s="2">
        <v>41011</v>
      </c>
      <c r="B262">
        <v>28.696000000000002</v>
      </c>
      <c r="C262">
        <v>-113.104</v>
      </c>
      <c r="D262" t="s">
        <v>3</v>
      </c>
      <c r="E262" t="s">
        <v>247</v>
      </c>
      <c r="F262">
        <f t="shared" si="8"/>
        <v>2012</v>
      </c>
      <c r="G262">
        <f t="shared" si="9"/>
        <v>4</v>
      </c>
      <c r="H262" t="str">
        <f>IF(ISNUMBER(FIND(",", E262)), TRIM(MID(E262, FIND(",", E262) + 1, LEN(E262))), E262)</f>
        <v>Mexico</v>
      </c>
    </row>
    <row r="263" spans="1:8" x14ac:dyDescent="0.25">
      <c r="A263" s="2">
        <v>41011</v>
      </c>
      <c r="B263">
        <v>28.837</v>
      </c>
      <c r="C263">
        <v>-113.027</v>
      </c>
      <c r="D263" t="s">
        <v>5</v>
      </c>
      <c r="E263" t="s">
        <v>247</v>
      </c>
      <c r="F263">
        <f t="shared" si="8"/>
        <v>2012</v>
      </c>
      <c r="G263">
        <f t="shared" si="9"/>
        <v>4</v>
      </c>
      <c r="H263" t="str">
        <f>IF(ISNUMBER(FIND(",", E263)), TRIM(MID(E263, FIND(",", E263) + 1, LEN(E263))), E263)</f>
        <v>Mexico</v>
      </c>
    </row>
    <row r="264" spans="1:8" x14ac:dyDescent="0.25">
      <c r="A264" s="2">
        <v>41010</v>
      </c>
      <c r="B264">
        <v>18.228999999999999</v>
      </c>
      <c r="C264">
        <v>-102.68899999999999</v>
      </c>
      <c r="D264" t="s">
        <v>5</v>
      </c>
      <c r="E264" t="s">
        <v>248</v>
      </c>
      <c r="F264">
        <f t="shared" si="8"/>
        <v>2012</v>
      </c>
      <c r="G264">
        <f t="shared" si="9"/>
        <v>4</v>
      </c>
      <c r="H264" t="str">
        <f>IF(ISNUMBER(FIND(",", E264)), TRIM(MID(E264, FIND(",", E264) + 1, LEN(E264))), E264)</f>
        <v>Mexico</v>
      </c>
    </row>
    <row r="265" spans="1:8" x14ac:dyDescent="0.25">
      <c r="A265" s="2">
        <v>41010</v>
      </c>
      <c r="B265">
        <v>43.584000000000003</v>
      </c>
      <c r="C265">
        <v>-127.63800000000001</v>
      </c>
      <c r="D265" t="s">
        <v>7</v>
      </c>
      <c r="E265" t="s">
        <v>249</v>
      </c>
      <c r="F265">
        <f t="shared" si="8"/>
        <v>2012</v>
      </c>
      <c r="G265">
        <f t="shared" si="9"/>
        <v>4</v>
      </c>
      <c r="H265" t="str">
        <f>IF(ISNUMBER(FIND(",", E265)), TRIM(MID(E265, FIND(",", E265) + 1, LEN(E265))), E265)</f>
        <v>off the coast of Oregon</v>
      </c>
    </row>
    <row r="266" spans="1:8" x14ac:dyDescent="0.25">
      <c r="A266" s="2">
        <v>41010</v>
      </c>
      <c r="B266">
        <v>0.80200000000000005</v>
      </c>
      <c r="C266">
        <v>92.462999999999994</v>
      </c>
      <c r="D266" t="s">
        <v>7</v>
      </c>
      <c r="E266" t="s">
        <v>245</v>
      </c>
      <c r="F266">
        <f t="shared" si="8"/>
        <v>2012</v>
      </c>
      <c r="G266">
        <f t="shared" si="9"/>
        <v>4</v>
      </c>
      <c r="H266" t="str">
        <f>IF(ISNUMBER(FIND(",", E266)), TRIM(MID(E266, FIND(",", E266) + 1, LEN(E266))), E266)</f>
        <v>off the west coast of northern Sumatra</v>
      </c>
    </row>
    <row r="267" spans="1:8" x14ac:dyDescent="0.25">
      <c r="A267" s="2">
        <v>41010</v>
      </c>
      <c r="B267">
        <v>1.254</v>
      </c>
      <c r="C267">
        <v>91.734999999999999</v>
      </c>
      <c r="D267" t="s">
        <v>13</v>
      </c>
      <c r="E267" t="s">
        <v>250</v>
      </c>
      <c r="F267">
        <f t="shared" si="8"/>
        <v>2012</v>
      </c>
      <c r="G267">
        <f t="shared" si="9"/>
        <v>4</v>
      </c>
      <c r="H267" t="str">
        <f>IF(ISNUMBER(FIND(",", E267)), TRIM(MID(E267, FIND(",", E267) + 1, LEN(E267))), E267)</f>
        <v>North Indian Ocean</v>
      </c>
    </row>
    <row r="268" spans="1:8" x14ac:dyDescent="0.25">
      <c r="A268" s="2">
        <v>41010</v>
      </c>
      <c r="B268">
        <v>2.327</v>
      </c>
      <c r="C268">
        <v>93.063000000000002</v>
      </c>
      <c r="D268" t="s">
        <v>3</v>
      </c>
      <c r="E268" t="s">
        <v>245</v>
      </c>
      <c r="F268">
        <f t="shared" si="8"/>
        <v>2012</v>
      </c>
      <c r="G268">
        <f t="shared" si="9"/>
        <v>4</v>
      </c>
      <c r="H268" t="str">
        <f>IF(ISNUMBER(FIND(",", E268)), TRIM(MID(E268, FIND(",", E268) + 1, LEN(E268))), E268)</f>
        <v>off the west coast of northern Sumatra</v>
      </c>
    </row>
    <row r="269" spans="1:8" x14ac:dyDescent="0.25">
      <c r="A269" s="2">
        <v>41005</v>
      </c>
      <c r="B269">
        <v>-4.5510000000000002</v>
      </c>
      <c r="C269">
        <v>153.45699999999999</v>
      </c>
      <c r="D269" t="s">
        <v>3</v>
      </c>
      <c r="E269" t="s">
        <v>183</v>
      </c>
      <c r="F269">
        <f t="shared" si="8"/>
        <v>2012</v>
      </c>
      <c r="G269">
        <f t="shared" si="9"/>
        <v>4</v>
      </c>
      <c r="H269" t="str">
        <f>IF(ISNUMBER(FIND(",", E269)), TRIM(MID(E269, FIND(",", E269) + 1, LEN(E269))), E269)</f>
        <v>Papua New Guinea</v>
      </c>
    </row>
    <row r="270" spans="1:8" x14ac:dyDescent="0.25">
      <c r="A270" s="2">
        <v>41001</v>
      </c>
      <c r="B270">
        <v>16.395</v>
      </c>
      <c r="C270">
        <v>-98.316000000000003</v>
      </c>
      <c r="D270" t="s">
        <v>3</v>
      </c>
      <c r="E270" t="s">
        <v>251</v>
      </c>
      <c r="F270">
        <f t="shared" si="8"/>
        <v>2012</v>
      </c>
      <c r="G270">
        <f t="shared" si="9"/>
        <v>4</v>
      </c>
      <c r="H270" t="str">
        <f>IF(ISNUMBER(FIND(",", E270)), TRIM(MID(E270, FIND(",", E270) + 1, LEN(E270))), E270)</f>
        <v>Mexico</v>
      </c>
    </row>
    <row r="271" spans="1:8" x14ac:dyDescent="0.25">
      <c r="A271" s="2">
        <v>40995</v>
      </c>
      <c r="B271">
        <v>39.859000000000002</v>
      </c>
      <c r="C271">
        <v>142.017</v>
      </c>
      <c r="D271" t="s">
        <v>7</v>
      </c>
      <c r="E271" t="s">
        <v>227</v>
      </c>
      <c r="F271">
        <f t="shared" si="8"/>
        <v>2012</v>
      </c>
      <c r="G271">
        <f t="shared" si="9"/>
        <v>3</v>
      </c>
      <c r="H271" t="str">
        <f>IF(ISNUMBER(FIND(",", E271)), TRIM(MID(E271, FIND(",", E271) + 1, LEN(E271))), E271)</f>
        <v>Japan</v>
      </c>
    </row>
    <row r="272" spans="1:8" x14ac:dyDescent="0.25">
      <c r="A272" s="2">
        <v>40994</v>
      </c>
      <c r="B272">
        <v>10.071</v>
      </c>
      <c r="C272">
        <v>-104.16</v>
      </c>
      <c r="D272" t="s">
        <v>5</v>
      </c>
      <c r="E272" t="s">
        <v>252</v>
      </c>
      <c r="F272">
        <f t="shared" si="8"/>
        <v>2012</v>
      </c>
      <c r="G272">
        <f t="shared" si="9"/>
        <v>3</v>
      </c>
      <c r="H272" t="str">
        <f>IF(ISNUMBER(FIND(",", E272)), TRIM(MID(E272, FIND(",", E272) + 1, LEN(E272))), E272)</f>
        <v>northern East Pacific Rise</v>
      </c>
    </row>
    <row r="273" spans="1:8" x14ac:dyDescent="0.25">
      <c r="A273" s="2">
        <v>40993</v>
      </c>
      <c r="B273">
        <v>-35.200000000000003</v>
      </c>
      <c r="C273">
        <v>-72.216999999999999</v>
      </c>
      <c r="D273" t="s">
        <v>3</v>
      </c>
      <c r="E273" t="s">
        <v>230</v>
      </c>
      <c r="F273">
        <f t="shared" si="8"/>
        <v>2012</v>
      </c>
      <c r="G273">
        <f t="shared" si="9"/>
        <v>3</v>
      </c>
      <c r="H273" t="str">
        <f>IF(ISNUMBER(FIND(",", E273)), TRIM(MID(E273, FIND(",", E273) + 1, LEN(E273))), E273)</f>
        <v>Chile</v>
      </c>
    </row>
    <row r="274" spans="1:8" x14ac:dyDescent="0.25">
      <c r="A274" s="2">
        <v>40989</v>
      </c>
      <c r="B274">
        <v>-6.242</v>
      </c>
      <c r="C274">
        <v>145.95500000000001</v>
      </c>
      <c r="D274" t="s">
        <v>3</v>
      </c>
      <c r="E274" t="s">
        <v>253</v>
      </c>
      <c r="F274">
        <f t="shared" si="8"/>
        <v>2012</v>
      </c>
      <c r="G274">
        <f t="shared" si="9"/>
        <v>3</v>
      </c>
      <c r="H274" t="str">
        <f>IF(ISNUMBER(FIND(",", E274)), TRIM(MID(E274, FIND(",", E274) + 1, LEN(E274))), E274)</f>
        <v>Papua New Guinea</v>
      </c>
    </row>
    <row r="275" spans="1:8" x14ac:dyDescent="0.25">
      <c r="A275" s="2">
        <v>40988</v>
      </c>
      <c r="B275">
        <v>16.492999999999999</v>
      </c>
      <c r="C275">
        <v>-98.230999999999995</v>
      </c>
      <c r="D275" t="s">
        <v>3</v>
      </c>
      <c r="E275" t="s">
        <v>251</v>
      </c>
      <c r="F275">
        <f t="shared" si="8"/>
        <v>2012</v>
      </c>
      <c r="G275">
        <f t="shared" si="9"/>
        <v>3</v>
      </c>
      <c r="H275" t="str">
        <f>IF(ISNUMBER(FIND(",", E275)), TRIM(MID(E275, FIND(",", E275) + 1, LEN(E275))), E275)</f>
        <v>Mexico</v>
      </c>
    </row>
    <row r="276" spans="1:8" x14ac:dyDescent="0.25">
      <c r="A276" s="2">
        <v>40988</v>
      </c>
      <c r="B276">
        <v>-3.8119999999999998</v>
      </c>
      <c r="C276">
        <v>140.26599999999999</v>
      </c>
      <c r="D276" t="s">
        <v>3</v>
      </c>
      <c r="E276" t="s">
        <v>210</v>
      </c>
      <c r="F276">
        <f t="shared" si="8"/>
        <v>2012</v>
      </c>
      <c r="G276">
        <f t="shared" si="9"/>
        <v>3</v>
      </c>
      <c r="H276" t="str">
        <f>IF(ISNUMBER(FIND(",", E276)), TRIM(MID(E276, FIND(",", E276) + 1, LEN(E276))), E276)</f>
        <v>Indonesia</v>
      </c>
    </row>
    <row r="277" spans="1:8" x14ac:dyDescent="0.25">
      <c r="A277" s="2">
        <v>40982</v>
      </c>
      <c r="B277">
        <v>-5.5949999999999998</v>
      </c>
      <c r="C277">
        <v>151.042</v>
      </c>
      <c r="D277" t="s">
        <v>3</v>
      </c>
      <c r="E277" t="s">
        <v>190</v>
      </c>
      <c r="F277">
        <f t="shared" si="8"/>
        <v>2012</v>
      </c>
      <c r="G277">
        <f t="shared" si="9"/>
        <v>3</v>
      </c>
      <c r="H277" t="str">
        <f>IF(ISNUMBER(FIND(",", E277)), TRIM(MID(E277, FIND(",", E277) + 1, LEN(E277))), E277)</f>
        <v>Papua New Guinea</v>
      </c>
    </row>
    <row r="278" spans="1:8" x14ac:dyDescent="0.25">
      <c r="A278" s="2">
        <v>40982</v>
      </c>
      <c r="B278">
        <v>35.686999999999998</v>
      </c>
      <c r="C278">
        <v>140.69499999999999</v>
      </c>
      <c r="D278" t="s">
        <v>7</v>
      </c>
      <c r="E278" t="s">
        <v>227</v>
      </c>
      <c r="F278">
        <f t="shared" si="8"/>
        <v>2012</v>
      </c>
      <c r="G278">
        <f t="shared" si="9"/>
        <v>3</v>
      </c>
      <c r="H278" t="str">
        <f>IF(ISNUMBER(FIND(",", E278)), TRIM(MID(E278, FIND(",", E278) + 1, LEN(E278))), E278)</f>
        <v>Japan</v>
      </c>
    </row>
    <row r="279" spans="1:8" x14ac:dyDescent="0.25">
      <c r="A279" s="2">
        <v>40982</v>
      </c>
      <c r="B279">
        <v>40.780999999999999</v>
      </c>
      <c r="C279">
        <v>144.761</v>
      </c>
      <c r="D279" t="s">
        <v>7</v>
      </c>
      <c r="E279" t="s">
        <v>189</v>
      </c>
      <c r="F279">
        <f t="shared" si="8"/>
        <v>2012</v>
      </c>
      <c r="G279">
        <f t="shared" si="9"/>
        <v>3</v>
      </c>
      <c r="H279" t="str">
        <f>IF(ISNUMBER(FIND(",", E279)), TRIM(MID(E279, FIND(",", E279) + 1, LEN(E279))), E279)</f>
        <v>Japan</v>
      </c>
    </row>
    <row r="280" spans="1:8" x14ac:dyDescent="0.25">
      <c r="A280" s="2">
        <v>40982</v>
      </c>
      <c r="B280">
        <v>40.887</v>
      </c>
      <c r="C280">
        <v>144.94399999999999</v>
      </c>
      <c r="D280" t="s">
        <v>3</v>
      </c>
      <c r="E280" t="s">
        <v>189</v>
      </c>
      <c r="F280">
        <f t="shared" si="8"/>
        <v>2012</v>
      </c>
      <c r="G280">
        <f t="shared" si="9"/>
        <v>3</v>
      </c>
      <c r="H280" t="str">
        <f>IF(ISNUMBER(FIND(",", E280)), TRIM(MID(E280, FIND(",", E280) + 1, LEN(E280))), E280)</f>
        <v>Japan</v>
      </c>
    </row>
    <row r="281" spans="1:8" x14ac:dyDescent="0.25">
      <c r="A281" s="2">
        <v>40977</v>
      </c>
      <c r="B281">
        <v>-19.125</v>
      </c>
      <c r="C281">
        <v>169.613</v>
      </c>
      <c r="D281" t="s">
        <v>3</v>
      </c>
      <c r="E281" t="s">
        <v>181</v>
      </c>
      <c r="F281">
        <f t="shared" si="8"/>
        <v>2012</v>
      </c>
      <c r="G281">
        <f t="shared" si="9"/>
        <v>3</v>
      </c>
      <c r="H281" t="str">
        <f>IF(ISNUMBER(FIND(",", E281)), TRIM(MID(E281, FIND(",", E281) + 1, LEN(E281))), E281)</f>
        <v>Vanuatu</v>
      </c>
    </row>
    <row r="282" spans="1:8" x14ac:dyDescent="0.25">
      <c r="A282" s="2">
        <v>40973</v>
      </c>
      <c r="B282">
        <v>-28.245999999999999</v>
      </c>
      <c r="C282">
        <v>-63.293999999999997</v>
      </c>
      <c r="D282" t="s">
        <v>3</v>
      </c>
      <c r="E282" t="s">
        <v>232</v>
      </c>
      <c r="F282">
        <f t="shared" si="8"/>
        <v>2012</v>
      </c>
      <c r="G282">
        <f t="shared" si="9"/>
        <v>3</v>
      </c>
      <c r="H282" t="str">
        <f>IF(ISNUMBER(FIND(",", E282)), TRIM(MID(E282, FIND(",", E282) + 1, LEN(E282))), E282)</f>
        <v>Argentina</v>
      </c>
    </row>
    <row r="283" spans="1:8" x14ac:dyDescent="0.25">
      <c r="A283" s="2">
        <v>40971</v>
      </c>
      <c r="B283">
        <v>-22.140999999999998</v>
      </c>
      <c r="C283">
        <v>170.34</v>
      </c>
      <c r="D283" t="s">
        <v>3</v>
      </c>
      <c r="E283" t="s">
        <v>254</v>
      </c>
      <c r="F283">
        <f t="shared" si="8"/>
        <v>2012</v>
      </c>
      <c r="G283">
        <f t="shared" si="9"/>
        <v>3</v>
      </c>
      <c r="H283" t="str">
        <f>IF(ISNUMBER(FIND(",", E283)), TRIM(MID(E283, FIND(",", E283) + 1, LEN(E283))), E283)</f>
        <v>southeast of the Loyalty Islands</v>
      </c>
    </row>
    <row r="284" spans="1:8" x14ac:dyDescent="0.25">
      <c r="A284" s="2">
        <v>40965</v>
      </c>
      <c r="B284">
        <v>51.707999999999998</v>
      </c>
      <c r="C284">
        <v>95.991</v>
      </c>
      <c r="D284" t="s">
        <v>3</v>
      </c>
      <c r="E284" t="s">
        <v>255</v>
      </c>
      <c r="F284">
        <f t="shared" si="8"/>
        <v>2012</v>
      </c>
      <c r="G284">
        <f t="shared" si="9"/>
        <v>2</v>
      </c>
      <c r="H284" t="str">
        <f>IF(ISNUMBER(FIND(",", E284)), TRIM(MID(E284, FIND(",", E284) + 1, LEN(E284))), E284)</f>
        <v>Russia</v>
      </c>
    </row>
    <row r="285" spans="1:8" x14ac:dyDescent="0.25">
      <c r="A285" s="2">
        <v>40965</v>
      </c>
      <c r="B285">
        <v>-24.495000000000001</v>
      </c>
      <c r="C285">
        <v>-177.238</v>
      </c>
      <c r="D285" t="s">
        <v>3</v>
      </c>
      <c r="E285" t="s">
        <v>256</v>
      </c>
      <c r="F285">
        <f t="shared" si="8"/>
        <v>2012</v>
      </c>
      <c r="G285">
        <f t="shared" si="9"/>
        <v>2</v>
      </c>
      <c r="H285" t="str">
        <f>IF(ISNUMBER(FIND(",", E285)), TRIM(MID(E285, FIND(",", E285) + 1, LEN(E285))), E285)</f>
        <v>south of the Fiji Islands</v>
      </c>
    </row>
    <row r="286" spans="1:8" x14ac:dyDescent="0.25">
      <c r="A286" s="2">
        <v>40953</v>
      </c>
      <c r="B286">
        <v>-10.39</v>
      </c>
      <c r="C286">
        <v>161.102</v>
      </c>
      <c r="D286" t="s">
        <v>3</v>
      </c>
      <c r="E286" t="s">
        <v>221</v>
      </c>
      <c r="F286">
        <f t="shared" si="8"/>
        <v>2012</v>
      </c>
      <c r="G286">
        <f t="shared" si="9"/>
        <v>2</v>
      </c>
      <c r="H286" t="str">
        <f>IF(ISNUMBER(FIND(",", E286)), TRIM(MID(E286, FIND(",", E286) + 1, LEN(E286))), E286)</f>
        <v>Solomon Islands</v>
      </c>
    </row>
    <row r="287" spans="1:8" x14ac:dyDescent="0.25">
      <c r="A287" s="2">
        <v>40945</v>
      </c>
      <c r="B287">
        <v>9.8849999999999998</v>
      </c>
      <c r="C287">
        <v>123.095</v>
      </c>
      <c r="D287" t="s">
        <v>3</v>
      </c>
      <c r="E287" t="s">
        <v>257</v>
      </c>
      <c r="F287">
        <f t="shared" si="8"/>
        <v>2012</v>
      </c>
      <c r="G287">
        <f t="shared" si="9"/>
        <v>2</v>
      </c>
      <c r="H287" t="str">
        <f>IF(ISNUMBER(FIND(",", E287)), TRIM(MID(E287, FIND(",", E287) + 1, LEN(E287))), E287)</f>
        <v>Philippines</v>
      </c>
    </row>
    <row r="288" spans="1:8" x14ac:dyDescent="0.25">
      <c r="A288" s="2">
        <v>40945</v>
      </c>
      <c r="B288">
        <v>9.9990000000000006</v>
      </c>
      <c r="C288">
        <v>123.206</v>
      </c>
      <c r="D288" t="s">
        <v>3</v>
      </c>
      <c r="E288" t="s">
        <v>257</v>
      </c>
      <c r="F288">
        <f t="shared" si="8"/>
        <v>2012</v>
      </c>
      <c r="G288">
        <f t="shared" si="9"/>
        <v>2</v>
      </c>
      <c r="H288" t="str">
        <f>IF(ISNUMBER(FIND(",", E288)), TRIM(MID(E288, FIND(",", E288) + 1, LEN(E288))), E288)</f>
        <v>Philippines</v>
      </c>
    </row>
    <row r="289" spans="1:8" x14ac:dyDescent="0.25">
      <c r="A289" s="2">
        <v>40944</v>
      </c>
      <c r="B289">
        <v>-17.948</v>
      </c>
      <c r="C289">
        <v>167.226</v>
      </c>
      <c r="D289" t="s">
        <v>3</v>
      </c>
      <c r="E289" t="s">
        <v>181</v>
      </c>
      <c r="F289">
        <f t="shared" si="8"/>
        <v>2012</v>
      </c>
      <c r="G289">
        <f t="shared" si="9"/>
        <v>2</v>
      </c>
      <c r="H289" t="str">
        <f>IF(ISNUMBER(FIND(",", E289)), TRIM(MID(E289, FIND(",", E289) + 1, LEN(E289))), E289)</f>
        <v>Vanuatu</v>
      </c>
    </row>
    <row r="290" spans="1:8" x14ac:dyDescent="0.25">
      <c r="A290" s="2">
        <v>40944</v>
      </c>
      <c r="B290">
        <v>-18.893999999999998</v>
      </c>
      <c r="C290">
        <v>168.917</v>
      </c>
      <c r="D290" t="s">
        <v>3</v>
      </c>
      <c r="E290" t="s">
        <v>181</v>
      </c>
      <c r="F290">
        <f t="shared" si="8"/>
        <v>2012</v>
      </c>
      <c r="G290">
        <f t="shared" si="9"/>
        <v>2</v>
      </c>
      <c r="H290" t="str">
        <f>IF(ISNUMBER(FIND(",", E290)), TRIM(MID(E290, FIND(",", E290) + 1, LEN(E290))), E290)</f>
        <v>Vanuatu</v>
      </c>
    </row>
    <row r="291" spans="1:8" x14ac:dyDescent="0.25">
      <c r="A291" s="2">
        <v>40942</v>
      </c>
      <c r="B291">
        <v>-17.378</v>
      </c>
      <c r="C291">
        <v>167.27699999999999</v>
      </c>
      <c r="D291" t="s">
        <v>3</v>
      </c>
      <c r="E291" t="s">
        <v>181</v>
      </c>
      <c r="F291">
        <f t="shared" si="8"/>
        <v>2012</v>
      </c>
      <c r="G291">
        <f t="shared" si="9"/>
        <v>2</v>
      </c>
      <c r="H291" t="str">
        <f>IF(ISNUMBER(FIND(",", E291)), TRIM(MID(E291, FIND(",", E291) + 1, LEN(E291))), E291)</f>
        <v>Vanuatu</v>
      </c>
    </row>
    <row r="292" spans="1:8" x14ac:dyDescent="0.25">
      <c r="A292" s="2">
        <v>40941</v>
      </c>
      <c r="B292">
        <v>-17.827000000000002</v>
      </c>
      <c r="C292">
        <v>167.13300000000001</v>
      </c>
      <c r="D292" t="s">
        <v>3</v>
      </c>
      <c r="E292" t="s">
        <v>181</v>
      </c>
      <c r="F292">
        <f t="shared" si="8"/>
        <v>2012</v>
      </c>
      <c r="G292">
        <f t="shared" si="9"/>
        <v>2</v>
      </c>
      <c r="H292" t="str">
        <f>IF(ISNUMBER(FIND(",", E292)), TRIM(MID(E292, FIND(",", E292) + 1, LEN(E292))), E292)</f>
        <v>Vanuatu</v>
      </c>
    </row>
    <row r="293" spans="1:8" x14ac:dyDescent="0.25">
      <c r="A293" s="2">
        <v>40938</v>
      </c>
      <c r="B293">
        <v>-14.167999999999999</v>
      </c>
      <c r="C293">
        <v>-75.635000000000005</v>
      </c>
      <c r="D293" t="s">
        <v>3</v>
      </c>
      <c r="E293" t="s">
        <v>258</v>
      </c>
      <c r="F293">
        <f t="shared" si="8"/>
        <v>2012</v>
      </c>
      <c r="G293">
        <f t="shared" si="9"/>
        <v>1</v>
      </c>
      <c r="H293" t="str">
        <f>IF(ISNUMBER(FIND(",", E293)), TRIM(MID(E293, FIND(",", E293) + 1, LEN(E293))), E293)</f>
        <v>near the coast of central Peru</v>
      </c>
    </row>
    <row r="294" spans="1:8" x14ac:dyDescent="0.25">
      <c r="A294" s="2">
        <v>40932</v>
      </c>
      <c r="B294">
        <v>-24.977</v>
      </c>
      <c r="C294">
        <v>178.52</v>
      </c>
      <c r="D294" t="s">
        <v>3</v>
      </c>
      <c r="E294" t="s">
        <v>256</v>
      </c>
      <c r="F294">
        <f t="shared" si="8"/>
        <v>2012</v>
      </c>
      <c r="G294">
        <f t="shared" si="9"/>
        <v>1</v>
      </c>
      <c r="H294" t="str">
        <f>IF(ISNUMBER(FIND(",", E294)), TRIM(MID(E294, FIND(",", E294) + 1, LEN(E294))), E294)</f>
        <v>south of the Fiji Islands</v>
      </c>
    </row>
    <row r="295" spans="1:8" x14ac:dyDescent="0.25">
      <c r="A295" s="2">
        <v>40931</v>
      </c>
      <c r="B295">
        <v>-36.408999999999999</v>
      </c>
      <c r="C295">
        <v>-73.03</v>
      </c>
      <c r="D295" t="s">
        <v>3</v>
      </c>
      <c r="E295" t="s">
        <v>259</v>
      </c>
      <c r="F295">
        <f t="shared" si="8"/>
        <v>2012</v>
      </c>
      <c r="G295">
        <f t="shared" si="9"/>
        <v>1</v>
      </c>
      <c r="H295" t="str">
        <f>IF(ISNUMBER(FIND(",", E295)), TRIM(MID(E295, FIND(",", E295) + 1, LEN(E295))), E295)</f>
        <v>Chile</v>
      </c>
    </row>
    <row r="296" spans="1:8" x14ac:dyDescent="0.25">
      <c r="A296" s="2">
        <v>40930</v>
      </c>
      <c r="B296">
        <v>-56.759</v>
      </c>
      <c r="C296">
        <v>-25.146999999999998</v>
      </c>
      <c r="D296" t="s">
        <v>3</v>
      </c>
      <c r="E296" t="s">
        <v>260</v>
      </c>
      <c r="F296">
        <f t="shared" si="8"/>
        <v>2012</v>
      </c>
      <c r="G296">
        <f t="shared" si="9"/>
        <v>1</v>
      </c>
      <c r="H296" t="str">
        <f>IF(ISNUMBER(FIND(",", E296)), TRIM(MID(E296, FIND(",", E296) + 1, LEN(E296))), E296)</f>
        <v>South Sandwich Islands region</v>
      </c>
    </row>
    <row r="297" spans="1:8" x14ac:dyDescent="0.25">
      <c r="A297" s="2">
        <v>40929</v>
      </c>
      <c r="B297">
        <v>14.872999999999999</v>
      </c>
      <c r="C297">
        <v>-93.004999999999995</v>
      </c>
      <c r="D297" t="s">
        <v>3</v>
      </c>
      <c r="E297" t="s">
        <v>238</v>
      </c>
      <c r="F297">
        <f t="shared" si="8"/>
        <v>2012</v>
      </c>
      <c r="G297">
        <f t="shared" si="9"/>
        <v>1</v>
      </c>
      <c r="H297" t="str">
        <f>IF(ISNUMBER(FIND(",", E297)), TRIM(MID(E297, FIND(",", E297) + 1, LEN(E297))), E297)</f>
        <v>Mexico</v>
      </c>
    </row>
    <row r="298" spans="1:8" x14ac:dyDescent="0.25">
      <c r="A298" s="2">
        <v>40923</v>
      </c>
      <c r="B298">
        <v>-60.881999999999998</v>
      </c>
      <c r="C298">
        <v>-55.965000000000003</v>
      </c>
      <c r="D298" t="s">
        <v>7</v>
      </c>
      <c r="E298" t="s">
        <v>261</v>
      </c>
      <c r="F298">
        <f t="shared" si="8"/>
        <v>2012</v>
      </c>
      <c r="G298">
        <f t="shared" si="9"/>
        <v>1</v>
      </c>
      <c r="H298" t="str">
        <f>IF(ISNUMBER(FIND(",", E298)), TRIM(MID(E298, FIND(",", E298) + 1, LEN(E298))), E298)</f>
        <v>South Shetland Islands</v>
      </c>
    </row>
    <row r="299" spans="1:8" x14ac:dyDescent="0.25">
      <c r="A299" s="2">
        <v>40923</v>
      </c>
      <c r="B299">
        <v>-60.948</v>
      </c>
      <c r="C299">
        <v>-56.113</v>
      </c>
      <c r="D299" t="s">
        <v>3</v>
      </c>
      <c r="E299" t="s">
        <v>261</v>
      </c>
      <c r="F299">
        <f t="shared" si="8"/>
        <v>2012</v>
      </c>
      <c r="G299">
        <f t="shared" si="9"/>
        <v>1</v>
      </c>
      <c r="H299" t="str">
        <f>IF(ISNUMBER(FIND(",", E299)), TRIM(MID(E299, FIND(",", E299) + 1, LEN(E299))), E299)</f>
        <v>South Shetland Islands</v>
      </c>
    </row>
    <row r="300" spans="1:8" x14ac:dyDescent="0.25">
      <c r="A300" s="2">
        <v>40918</v>
      </c>
      <c r="B300">
        <v>2.4329999999999998</v>
      </c>
      <c r="C300">
        <v>93.21</v>
      </c>
      <c r="D300" t="s">
        <v>3</v>
      </c>
      <c r="E300" t="s">
        <v>245</v>
      </c>
      <c r="F300">
        <f t="shared" si="8"/>
        <v>2012</v>
      </c>
      <c r="G300">
        <f t="shared" si="9"/>
        <v>1</v>
      </c>
      <c r="H300" t="str">
        <f>IF(ISNUMBER(FIND(",", E300)), TRIM(MID(E300, FIND(",", E300) + 1, LEN(E300))), E300)</f>
        <v>off the west coast of northern Sumatra</v>
      </c>
    </row>
    <row r="301" spans="1:8" x14ac:dyDescent="0.25">
      <c r="A301" s="2">
        <v>40917</v>
      </c>
      <c r="B301">
        <v>-10.617000000000001</v>
      </c>
      <c r="C301">
        <v>165.16</v>
      </c>
      <c r="D301" t="s">
        <v>3</v>
      </c>
      <c r="E301" t="s">
        <v>211</v>
      </c>
      <c r="F301">
        <f t="shared" si="8"/>
        <v>2012</v>
      </c>
      <c r="G301">
        <f t="shared" si="9"/>
        <v>1</v>
      </c>
      <c r="H301" t="str">
        <f>IF(ISNUMBER(FIND(",", E301)), TRIM(MID(E301, FIND(",", E301) + 1, LEN(E301))), E301)</f>
        <v>Santa Cruz Islands</v>
      </c>
    </row>
    <row r="302" spans="1:8" x14ac:dyDescent="0.25">
      <c r="A302" s="2">
        <v>40909</v>
      </c>
      <c r="B302">
        <v>31.456</v>
      </c>
      <c r="C302">
        <v>138.072</v>
      </c>
      <c r="D302" t="s">
        <v>3</v>
      </c>
      <c r="E302" t="s">
        <v>88</v>
      </c>
      <c r="F302">
        <f t="shared" si="8"/>
        <v>2012</v>
      </c>
      <c r="G302">
        <f t="shared" si="9"/>
        <v>1</v>
      </c>
      <c r="H302" t="str">
        <f>IF(ISNUMBER(FIND(",", E302)), TRIM(MID(E302, FIND(",", E302) + 1, LEN(E302))), E302)</f>
        <v>Japan region</v>
      </c>
    </row>
    <row r="303" spans="1:8" x14ac:dyDescent="0.25">
      <c r="A303" s="2">
        <v>40904</v>
      </c>
      <c r="B303">
        <v>51.841999999999999</v>
      </c>
      <c r="C303">
        <v>95.911000000000001</v>
      </c>
      <c r="D303" t="s">
        <v>3</v>
      </c>
      <c r="E303" t="s">
        <v>255</v>
      </c>
      <c r="F303">
        <f t="shared" si="8"/>
        <v>2011</v>
      </c>
      <c r="G303">
        <f t="shared" si="9"/>
        <v>12</v>
      </c>
      <c r="H303" t="str">
        <f>IF(ISNUMBER(FIND(",", E303)), TRIM(MID(E303, FIND(",", E303) + 1, LEN(E303))), E303)</f>
        <v>Russia</v>
      </c>
    </row>
    <row r="304" spans="1:8" x14ac:dyDescent="0.25">
      <c r="A304" s="2">
        <v>40903</v>
      </c>
      <c r="B304">
        <v>-16.198</v>
      </c>
      <c r="C304">
        <v>-173.86199999999999</v>
      </c>
      <c r="D304" t="s">
        <v>3</v>
      </c>
      <c r="E304" t="s">
        <v>239</v>
      </c>
      <c r="F304">
        <f t="shared" si="8"/>
        <v>2011</v>
      </c>
      <c r="G304">
        <f t="shared" si="9"/>
        <v>12</v>
      </c>
      <c r="H304" t="str">
        <f>IF(ISNUMBER(FIND(",", E304)), TRIM(MID(E304, FIND(",", E304) + 1, LEN(E304))), E304)</f>
        <v>Tonga</v>
      </c>
    </row>
    <row r="305" spans="1:8" x14ac:dyDescent="0.25">
      <c r="A305" s="2">
        <v>40892</v>
      </c>
      <c r="B305">
        <v>-32.718000000000004</v>
      </c>
      <c r="C305">
        <v>-179.09899999999999</v>
      </c>
      <c r="D305" t="s">
        <v>3</v>
      </c>
      <c r="E305" t="s">
        <v>262</v>
      </c>
      <c r="F305">
        <f t="shared" si="8"/>
        <v>2011</v>
      </c>
      <c r="G305">
        <f t="shared" si="9"/>
        <v>12</v>
      </c>
      <c r="H305" t="str">
        <f>IF(ISNUMBER(FIND(",", E305)), TRIM(MID(E305, FIND(",", E305) + 1, LEN(E305))), E305)</f>
        <v>south of the Kermadec Islands</v>
      </c>
    </row>
    <row r="306" spans="1:8" x14ac:dyDescent="0.25">
      <c r="A306" s="2">
        <v>40891</v>
      </c>
      <c r="B306">
        <v>-7.5609999999999999</v>
      </c>
      <c r="C306">
        <v>146.804</v>
      </c>
      <c r="D306" t="s">
        <v>3</v>
      </c>
      <c r="E306" t="s">
        <v>243</v>
      </c>
      <c r="F306">
        <f t="shared" si="8"/>
        <v>2011</v>
      </c>
      <c r="G306">
        <f t="shared" si="9"/>
        <v>12</v>
      </c>
      <c r="H306" t="str">
        <f>IF(ISNUMBER(FIND(",", E306)), TRIM(MID(E306, FIND(",", E306) + 1, LEN(E306))), E306)</f>
        <v>Papua New Guinea</v>
      </c>
    </row>
    <row r="307" spans="1:8" x14ac:dyDescent="0.25">
      <c r="A307" s="2">
        <v>40890</v>
      </c>
      <c r="B307">
        <v>4.1000000000000002E-2</v>
      </c>
      <c r="C307">
        <v>123.03</v>
      </c>
      <c r="D307" t="s">
        <v>3</v>
      </c>
      <c r="E307" t="s">
        <v>263</v>
      </c>
      <c r="F307">
        <f t="shared" si="8"/>
        <v>2011</v>
      </c>
      <c r="G307">
        <f t="shared" si="9"/>
        <v>12</v>
      </c>
      <c r="H307" t="str">
        <f>IF(ISNUMBER(FIND(",", E307)), TRIM(MID(E307, FIND(",", E307) + 1, LEN(E307))), E307)</f>
        <v>Sulawesi, Indonesia</v>
      </c>
    </row>
    <row r="308" spans="1:8" x14ac:dyDescent="0.25">
      <c r="A308" s="2">
        <v>40888</v>
      </c>
      <c r="B308">
        <v>-56.009</v>
      </c>
      <c r="C308">
        <v>-28.184000000000001</v>
      </c>
      <c r="D308" t="s">
        <v>3</v>
      </c>
      <c r="E308" t="s">
        <v>260</v>
      </c>
      <c r="F308">
        <f t="shared" si="8"/>
        <v>2011</v>
      </c>
      <c r="G308">
        <f t="shared" si="9"/>
        <v>12</v>
      </c>
      <c r="H308" t="str">
        <f>IF(ISNUMBER(FIND(",", E308)), TRIM(MID(E308, FIND(",", E308) + 1, LEN(E308))), E308)</f>
        <v>South Sandwich Islands region</v>
      </c>
    </row>
    <row r="309" spans="1:8" x14ac:dyDescent="0.25">
      <c r="A309" s="2">
        <v>40888</v>
      </c>
      <c r="B309">
        <v>17.844000000000001</v>
      </c>
      <c r="C309">
        <v>-99.962999999999994</v>
      </c>
      <c r="D309" t="s">
        <v>3</v>
      </c>
      <c r="E309" t="s">
        <v>192</v>
      </c>
      <c r="F309">
        <f t="shared" si="8"/>
        <v>2011</v>
      </c>
      <c r="G309">
        <f t="shared" si="9"/>
        <v>12</v>
      </c>
      <c r="H309" t="str">
        <f>IF(ISNUMBER(FIND(",", E309)), TRIM(MID(E309, FIND(",", E309) + 1, LEN(E309))), E309)</f>
        <v>Mexico</v>
      </c>
    </row>
    <row r="310" spans="1:8" x14ac:dyDescent="0.25">
      <c r="A310" s="2">
        <v>40884</v>
      </c>
      <c r="B310">
        <v>-27.899000000000001</v>
      </c>
      <c r="C310">
        <v>-70.918000000000006</v>
      </c>
      <c r="D310" t="s">
        <v>3</v>
      </c>
      <c r="E310" t="s">
        <v>264</v>
      </c>
      <c r="F310">
        <f t="shared" si="8"/>
        <v>2011</v>
      </c>
      <c r="G310">
        <f t="shared" si="9"/>
        <v>12</v>
      </c>
      <c r="H310" t="str">
        <f>IF(ISNUMBER(FIND(",", E310)), TRIM(MID(E310, FIND(",", E310) + 1, LEN(E310))), E310)</f>
        <v>Chile</v>
      </c>
    </row>
    <row r="311" spans="1:8" x14ac:dyDescent="0.25">
      <c r="A311" s="2">
        <v>40877</v>
      </c>
      <c r="B311">
        <v>15.455</v>
      </c>
      <c r="C311">
        <v>118.999</v>
      </c>
      <c r="D311" t="s">
        <v>3</v>
      </c>
      <c r="E311" t="s">
        <v>213</v>
      </c>
      <c r="F311">
        <f t="shared" si="8"/>
        <v>2011</v>
      </c>
      <c r="G311">
        <f t="shared" si="9"/>
        <v>11</v>
      </c>
      <c r="H311" t="str">
        <f>IF(ISNUMBER(FIND(",", E311)), TRIM(MID(E311, FIND(",", E311) + 1, LEN(E311))), E311)</f>
        <v>Philippine Islands region</v>
      </c>
    </row>
    <row r="312" spans="1:8" x14ac:dyDescent="0.25">
      <c r="A312" s="2">
        <v>40875</v>
      </c>
      <c r="B312">
        <v>-5.48</v>
      </c>
      <c r="C312">
        <v>153.733</v>
      </c>
      <c r="D312" t="s">
        <v>3</v>
      </c>
      <c r="E312" t="s">
        <v>183</v>
      </c>
      <c r="F312">
        <f t="shared" si="8"/>
        <v>2011</v>
      </c>
      <c r="G312">
        <f t="shared" si="9"/>
        <v>11</v>
      </c>
      <c r="H312" t="str">
        <f>IF(ISNUMBER(FIND(",", E312)), TRIM(MID(E312, FIND(",", E312) + 1, LEN(E312))), E312)</f>
        <v>Papua New Guinea</v>
      </c>
    </row>
    <row r="313" spans="1:8" x14ac:dyDescent="0.25">
      <c r="A313" s="2">
        <v>40871</v>
      </c>
      <c r="B313">
        <v>41.898000000000003</v>
      </c>
      <c r="C313">
        <v>142.63900000000001</v>
      </c>
      <c r="D313" t="s">
        <v>3</v>
      </c>
      <c r="E313" t="s">
        <v>265</v>
      </c>
      <c r="F313">
        <f t="shared" si="8"/>
        <v>2011</v>
      </c>
      <c r="G313">
        <f t="shared" si="9"/>
        <v>11</v>
      </c>
      <c r="H313" t="str">
        <f>IF(ISNUMBER(FIND(",", E313)), TRIM(MID(E313, FIND(",", E313) + 1, LEN(E313))), E313)</f>
        <v>Japan region</v>
      </c>
    </row>
    <row r="314" spans="1:8" x14ac:dyDescent="0.25">
      <c r="A314" s="2">
        <v>40870</v>
      </c>
      <c r="B314">
        <v>37.365000000000002</v>
      </c>
      <c r="C314">
        <v>141.36799999999999</v>
      </c>
      <c r="D314" t="s">
        <v>3</v>
      </c>
      <c r="E314" t="s">
        <v>227</v>
      </c>
      <c r="F314">
        <f t="shared" si="8"/>
        <v>2011</v>
      </c>
      <c r="G314">
        <f t="shared" si="9"/>
        <v>11</v>
      </c>
      <c r="H314" t="str">
        <f>IF(ISNUMBER(FIND(",", E314)), TRIM(MID(E314, FIND(",", E314) + 1, LEN(E314))), E314)</f>
        <v>Japan</v>
      </c>
    </row>
    <row r="315" spans="1:8" x14ac:dyDescent="0.25">
      <c r="A315" s="2">
        <v>40869</v>
      </c>
      <c r="B315">
        <v>-15.364000000000001</v>
      </c>
      <c r="C315">
        <v>-65.09</v>
      </c>
      <c r="D315" t="s">
        <v>3</v>
      </c>
      <c r="E315" t="s">
        <v>266</v>
      </c>
      <c r="F315">
        <f t="shared" si="8"/>
        <v>2011</v>
      </c>
      <c r="G315">
        <f t="shared" si="9"/>
        <v>11</v>
      </c>
      <c r="H315" t="str">
        <f>IF(ISNUMBER(FIND(",", E315)), TRIM(MID(E315, FIND(",", E315) + 1, LEN(E315))), E315)</f>
        <v>Bolivia</v>
      </c>
    </row>
    <row r="316" spans="1:8" x14ac:dyDescent="0.25">
      <c r="A316" s="2">
        <v>40864</v>
      </c>
      <c r="B316">
        <v>-1.702</v>
      </c>
      <c r="C316">
        <v>-81.546000000000006</v>
      </c>
      <c r="D316" t="s">
        <v>3</v>
      </c>
      <c r="E316" t="s">
        <v>267</v>
      </c>
      <c r="F316">
        <f t="shared" si="8"/>
        <v>2011</v>
      </c>
      <c r="G316">
        <f t="shared" si="9"/>
        <v>11</v>
      </c>
      <c r="H316" t="str">
        <f>IF(ISNUMBER(FIND(",", E316)), TRIM(MID(E316, FIND(",", E316) + 1, LEN(E316))), E316)</f>
        <v>off the coast of Ecuador</v>
      </c>
    </row>
    <row r="317" spans="1:8" x14ac:dyDescent="0.25">
      <c r="A317" s="2">
        <v>40861</v>
      </c>
      <c r="B317">
        <v>-0.94899999999999995</v>
      </c>
      <c r="C317">
        <v>126.91</v>
      </c>
      <c r="D317" t="s">
        <v>3</v>
      </c>
      <c r="E317" t="s">
        <v>186</v>
      </c>
      <c r="F317">
        <f t="shared" si="8"/>
        <v>2011</v>
      </c>
      <c r="G317">
        <f t="shared" si="9"/>
        <v>11</v>
      </c>
      <c r="H317" t="str">
        <f>IF(ISNUMBER(FIND(",", E317)), TRIM(MID(E317, FIND(",", E317) + 1, LEN(E317))), E317)</f>
        <v>Molucca Sea</v>
      </c>
    </row>
    <row r="318" spans="1:8" x14ac:dyDescent="0.25">
      <c r="A318" s="2">
        <v>40858</v>
      </c>
      <c r="B318">
        <v>-55.981000000000002</v>
      </c>
      <c r="C318">
        <v>-124.43899999999999</v>
      </c>
      <c r="D318" t="s">
        <v>3</v>
      </c>
      <c r="E318" t="s">
        <v>268</v>
      </c>
      <c r="F318">
        <f t="shared" si="8"/>
        <v>2011</v>
      </c>
      <c r="G318">
        <f t="shared" si="9"/>
        <v>11</v>
      </c>
      <c r="H318" t="str">
        <f>IF(ISNUMBER(FIND(",", E318)), TRIM(MID(E318, FIND(",", E318) + 1, LEN(E318))), E318)</f>
        <v>southern East Pacific Rise</v>
      </c>
    </row>
    <row r="319" spans="1:8" x14ac:dyDescent="0.25">
      <c r="A319" s="2">
        <v>40855</v>
      </c>
      <c r="B319">
        <v>27.324000000000002</v>
      </c>
      <c r="C319">
        <v>125.621</v>
      </c>
      <c r="D319" t="s">
        <v>3</v>
      </c>
      <c r="E319" t="s">
        <v>269</v>
      </c>
      <c r="F319">
        <f t="shared" si="8"/>
        <v>2011</v>
      </c>
      <c r="G319">
        <f t="shared" si="9"/>
        <v>11</v>
      </c>
      <c r="H319" t="str">
        <f>IF(ISNUMBER(FIND(",", E319)), TRIM(MID(E319, FIND(",", E319) + 1, LEN(E319))), E319)</f>
        <v>northeast of Taiwan</v>
      </c>
    </row>
    <row r="320" spans="1:8" x14ac:dyDescent="0.25">
      <c r="A320" s="2">
        <v>40854</v>
      </c>
      <c r="B320">
        <v>11.56</v>
      </c>
      <c r="C320">
        <v>-85.861000000000004</v>
      </c>
      <c r="D320" t="s">
        <v>3</v>
      </c>
      <c r="E320" t="s">
        <v>270</v>
      </c>
      <c r="F320">
        <f t="shared" si="8"/>
        <v>2011</v>
      </c>
      <c r="G320">
        <f t="shared" si="9"/>
        <v>11</v>
      </c>
      <c r="H320" t="str">
        <f>IF(ISNUMBER(FIND(",", E320)), TRIM(MID(E320, FIND(",", E320) + 1, LEN(E320))), E320)</f>
        <v>Nicaragua</v>
      </c>
    </row>
    <row r="321" spans="1:8" x14ac:dyDescent="0.25">
      <c r="A321" s="2">
        <v>40849</v>
      </c>
      <c r="B321">
        <v>-55.293999999999997</v>
      </c>
      <c r="C321">
        <v>-128.84299999999999</v>
      </c>
      <c r="D321" t="s">
        <v>3</v>
      </c>
      <c r="E321" t="s">
        <v>179</v>
      </c>
      <c r="F321">
        <f t="shared" si="8"/>
        <v>2011</v>
      </c>
      <c r="G321">
        <f t="shared" si="9"/>
        <v>11</v>
      </c>
      <c r="H321" t="str">
        <f>IF(ISNUMBER(FIND(",", E321)), TRIM(MID(E321, FIND(",", E321) + 1, LEN(E321))), E321)</f>
        <v>Pacific-Antarctic Ridge</v>
      </c>
    </row>
    <row r="322" spans="1:8" x14ac:dyDescent="0.25">
      <c r="A322" s="2">
        <v>40848</v>
      </c>
      <c r="B322">
        <v>19.831</v>
      </c>
      <c r="C322">
        <v>-109.205</v>
      </c>
      <c r="D322" t="s">
        <v>3</v>
      </c>
      <c r="E322" t="s">
        <v>271</v>
      </c>
      <c r="F322">
        <f t="shared" ref="F322:F385" si="10">YEAR(A322)</f>
        <v>2011</v>
      </c>
      <c r="G322">
        <f t="shared" si="9"/>
        <v>11</v>
      </c>
      <c r="H322" t="str">
        <f>IF(ISNUMBER(FIND(",", E322)), TRIM(MID(E322, FIND(",", E322) + 1, LEN(E322))), E322)</f>
        <v>Revilla Gigedo Islands region</v>
      </c>
    </row>
    <row r="323" spans="1:8" x14ac:dyDescent="0.25">
      <c r="A323" s="2">
        <v>40844</v>
      </c>
      <c r="B323">
        <v>-14.438000000000001</v>
      </c>
      <c r="C323">
        <v>-75.965999999999994</v>
      </c>
      <c r="D323" t="s">
        <v>3</v>
      </c>
      <c r="E323" t="s">
        <v>258</v>
      </c>
      <c r="F323">
        <f t="shared" si="10"/>
        <v>2011</v>
      </c>
      <c r="G323">
        <f t="shared" ref="G323:G386" si="11">MONTH(A323)</f>
        <v>10</v>
      </c>
      <c r="H323" t="str">
        <f>IF(ISNUMBER(FIND(",", E323)), TRIM(MID(E323, FIND(",", E323) + 1, LEN(E323))), E323)</f>
        <v>near the coast of central Peru</v>
      </c>
    </row>
    <row r="324" spans="1:8" x14ac:dyDescent="0.25">
      <c r="A324" s="2">
        <v>40843</v>
      </c>
      <c r="B324">
        <v>-17.940999999999999</v>
      </c>
      <c r="C324">
        <v>-179.53100000000001</v>
      </c>
      <c r="D324" t="s">
        <v>3</v>
      </c>
      <c r="E324" t="s">
        <v>53</v>
      </c>
      <c r="F324">
        <f t="shared" si="10"/>
        <v>2011</v>
      </c>
      <c r="G324">
        <f t="shared" si="11"/>
        <v>10</v>
      </c>
      <c r="H324" t="str">
        <f>IF(ISNUMBER(FIND(",", E324)), TRIM(MID(E324, FIND(",", E324) + 1, LEN(E324))), E324)</f>
        <v>Fiji region</v>
      </c>
    </row>
    <row r="325" spans="1:8" x14ac:dyDescent="0.25">
      <c r="A325" s="2">
        <v>40839</v>
      </c>
      <c r="B325">
        <v>38.722000000000001</v>
      </c>
      <c r="C325">
        <v>43.512999999999998</v>
      </c>
      <c r="D325" t="s">
        <v>3</v>
      </c>
      <c r="E325" t="s">
        <v>272</v>
      </c>
      <c r="F325">
        <f t="shared" si="10"/>
        <v>2011</v>
      </c>
      <c r="G325">
        <f t="shared" si="11"/>
        <v>10</v>
      </c>
      <c r="H325" t="str">
        <f>IF(ISNUMBER(FIND(",", E325)), TRIM(MID(E325, FIND(",", E325) + 1, LEN(E325))), E325)</f>
        <v>eastern Turkey</v>
      </c>
    </row>
    <row r="326" spans="1:8" x14ac:dyDescent="0.25">
      <c r="A326" s="2">
        <v>40837</v>
      </c>
      <c r="B326">
        <v>-28.992999999999999</v>
      </c>
      <c r="C326">
        <v>-176.238</v>
      </c>
      <c r="D326" t="s">
        <v>3</v>
      </c>
      <c r="E326" t="s">
        <v>240</v>
      </c>
      <c r="F326">
        <f t="shared" si="10"/>
        <v>2011</v>
      </c>
      <c r="G326">
        <f t="shared" si="11"/>
        <v>10</v>
      </c>
      <c r="H326" t="str">
        <f>IF(ISNUMBER(FIND(",", E326)), TRIM(MID(E326, FIND(",", E326) + 1, LEN(E326))), E326)</f>
        <v>Kermadec Islands region</v>
      </c>
    </row>
    <row r="327" spans="1:8" x14ac:dyDescent="0.25">
      <c r="A327" s="2">
        <v>40837</v>
      </c>
      <c r="B327">
        <v>43.892000000000003</v>
      </c>
      <c r="C327">
        <v>142.47900000000001</v>
      </c>
      <c r="D327" t="s">
        <v>3</v>
      </c>
      <c r="E327" t="s">
        <v>265</v>
      </c>
      <c r="F327">
        <f t="shared" si="10"/>
        <v>2011</v>
      </c>
      <c r="G327">
        <f t="shared" si="11"/>
        <v>10</v>
      </c>
      <c r="H327" t="str">
        <f>IF(ISNUMBER(FIND(",", E327)), TRIM(MID(E327, FIND(",", E327) + 1, LEN(E327))), E327)</f>
        <v>Japan region</v>
      </c>
    </row>
    <row r="328" spans="1:8" x14ac:dyDescent="0.25">
      <c r="A328" s="2">
        <v>40834</v>
      </c>
      <c r="B328">
        <v>-5.7850000000000001</v>
      </c>
      <c r="C328">
        <v>151.03700000000001</v>
      </c>
      <c r="D328" t="s">
        <v>3</v>
      </c>
      <c r="E328" t="s">
        <v>190</v>
      </c>
      <c r="F328">
        <f t="shared" si="10"/>
        <v>2011</v>
      </c>
      <c r="G328">
        <f t="shared" si="11"/>
        <v>10</v>
      </c>
      <c r="H328" t="str">
        <f>IF(ISNUMBER(FIND(",", E328)), TRIM(MID(E328, FIND(",", E328) + 1, LEN(E328))), E328)</f>
        <v>Papua New Guinea</v>
      </c>
    </row>
    <row r="329" spans="1:8" x14ac:dyDescent="0.25">
      <c r="A329" s="2">
        <v>40830</v>
      </c>
      <c r="B329">
        <v>54.08</v>
      </c>
      <c r="C329">
        <v>123.72199999999999</v>
      </c>
      <c r="D329" t="s">
        <v>3</v>
      </c>
      <c r="E329" t="s">
        <v>273</v>
      </c>
      <c r="F329">
        <f t="shared" si="10"/>
        <v>2011</v>
      </c>
      <c r="G329">
        <f t="shared" si="11"/>
        <v>10</v>
      </c>
      <c r="H329" t="str">
        <f>IF(ISNUMBER(FIND(",", E329)), TRIM(MID(E329, FIND(",", E329) + 1, LEN(E329))), E329)</f>
        <v>Russia</v>
      </c>
    </row>
    <row r="330" spans="1:8" x14ac:dyDescent="0.25">
      <c r="A330" s="2">
        <v>40830</v>
      </c>
      <c r="B330">
        <v>-6.57</v>
      </c>
      <c r="C330">
        <v>147.881</v>
      </c>
      <c r="D330" t="s">
        <v>3</v>
      </c>
      <c r="E330" t="s">
        <v>243</v>
      </c>
      <c r="F330">
        <f t="shared" si="10"/>
        <v>2011</v>
      </c>
      <c r="G330">
        <f t="shared" si="11"/>
        <v>10</v>
      </c>
      <c r="H330" t="str">
        <f>IF(ISNUMBER(FIND(",", E330)), TRIM(MID(E330, FIND(",", E330) + 1, LEN(E330))), E330)</f>
        <v>Papua New Guinea</v>
      </c>
    </row>
    <row r="331" spans="1:8" x14ac:dyDescent="0.25">
      <c r="A331" s="2">
        <v>40829</v>
      </c>
      <c r="B331">
        <v>-9.35</v>
      </c>
      <c r="C331">
        <v>114.587</v>
      </c>
      <c r="D331" t="s">
        <v>3</v>
      </c>
      <c r="E331" t="s">
        <v>274</v>
      </c>
      <c r="F331">
        <f t="shared" si="10"/>
        <v>2011</v>
      </c>
      <c r="G331">
        <f t="shared" si="11"/>
        <v>10</v>
      </c>
      <c r="H331" t="str">
        <f>IF(ISNUMBER(FIND(",", E331)), TRIM(MID(E331, FIND(",", E331) + 1, LEN(E331))), E331)</f>
        <v>Indonesia</v>
      </c>
    </row>
    <row r="332" spans="1:8" x14ac:dyDescent="0.25">
      <c r="A332" s="2">
        <v>40823</v>
      </c>
      <c r="B332">
        <v>-32.514000000000003</v>
      </c>
      <c r="C332">
        <v>-179.03800000000001</v>
      </c>
      <c r="D332" t="s">
        <v>3</v>
      </c>
      <c r="E332" t="s">
        <v>262</v>
      </c>
      <c r="F332">
        <f t="shared" si="10"/>
        <v>2011</v>
      </c>
      <c r="G332">
        <f t="shared" si="11"/>
        <v>10</v>
      </c>
      <c r="H332" t="str">
        <f>IF(ISNUMBER(FIND(",", E332)), TRIM(MID(E332, FIND(",", E332) + 1, LEN(E332))), E332)</f>
        <v>south of the Kermadec Islands</v>
      </c>
    </row>
    <row r="333" spans="1:8" x14ac:dyDescent="0.25">
      <c r="A333" s="2">
        <v>40808</v>
      </c>
      <c r="B333">
        <v>-15.436999999999999</v>
      </c>
      <c r="C333">
        <v>-175.31100000000001</v>
      </c>
      <c r="D333" t="s">
        <v>3</v>
      </c>
      <c r="E333" t="s">
        <v>239</v>
      </c>
      <c r="F333">
        <f t="shared" si="10"/>
        <v>2011</v>
      </c>
      <c r="G333">
        <f t="shared" si="11"/>
        <v>9</v>
      </c>
      <c r="H333" t="str">
        <f>IF(ISNUMBER(FIND(",", E333)), TRIM(MID(E333, FIND(",", E333) + 1, LEN(E333))), E333)</f>
        <v>Tonga</v>
      </c>
    </row>
    <row r="334" spans="1:8" x14ac:dyDescent="0.25">
      <c r="A334" s="2">
        <v>40804</v>
      </c>
      <c r="B334">
        <v>27.73</v>
      </c>
      <c r="C334">
        <v>88.155000000000001</v>
      </c>
      <c r="D334" t="s">
        <v>3</v>
      </c>
      <c r="E334" t="s">
        <v>275</v>
      </c>
      <c r="F334">
        <f t="shared" si="10"/>
        <v>2011</v>
      </c>
      <c r="G334">
        <f t="shared" si="11"/>
        <v>9</v>
      </c>
      <c r="H334" t="str">
        <f>IF(ISNUMBER(FIND(",", E334)), TRIM(MID(E334, FIND(",", E334) + 1, LEN(E334))), E334)</f>
        <v>India</v>
      </c>
    </row>
    <row r="335" spans="1:8" x14ac:dyDescent="0.25">
      <c r="A335" s="2">
        <v>40802</v>
      </c>
      <c r="B335">
        <v>40.271000000000001</v>
      </c>
      <c r="C335">
        <v>142.78</v>
      </c>
      <c r="D335" t="s">
        <v>3</v>
      </c>
      <c r="E335" t="s">
        <v>227</v>
      </c>
      <c r="F335">
        <f t="shared" si="10"/>
        <v>2011</v>
      </c>
      <c r="G335">
        <f t="shared" si="11"/>
        <v>9</v>
      </c>
      <c r="H335" t="str">
        <f>IF(ISNUMBER(FIND(",", E335)), TRIM(MID(E335, FIND(",", E335) + 1, LEN(E335))), E335)</f>
        <v>Japan</v>
      </c>
    </row>
    <row r="336" spans="1:8" x14ac:dyDescent="0.25">
      <c r="A336" s="2">
        <v>40801</v>
      </c>
      <c r="B336">
        <v>-21.611000000000001</v>
      </c>
      <c r="C336">
        <v>-179.52799999999999</v>
      </c>
      <c r="D336" t="s">
        <v>3</v>
      </c>
      <c r="E336" t="s">
        <v>53</v>
      </c>
      <c r="F336">
        <f t="shared" si="10"/>
        <v>2011</v>
      </c>
      <c r="G336">
        <f t="shared" si="11"/>
        <v>9</v>
      </c>
      <c r="H336" t="str">
        <f>IF(ISNUMBER(FIND(",", E336)), TRIM(MID(E336, FIND(",", E336) + 1, LEN(E336))), E336)</f>
        <v>Fiji region</v>
      </c>
    </row>
    <row r="337" spans="1:8" x14ac:dyDescent="0.25">
      <c r="A337" s="2">
        <v>40801</v>
      </c>
      <c r="B337">
        <v>36.256</v>
      </c>
      <c r="C337">
        <v>141.33799999999999</v>
      </c>
      <c r="D337" t="s">
        <v>3</v>
      </c>
      <c r="E337" t="s">
        <v>227</v>
      </c>
      <c r="F337">
        <f t="shared" si="10"/>
        <v>2011</v>
      </c>
      <c r="G337">
        <f t="shared" si="11"/>
        <v>9</v>
      </c>
      <c r="H337" t="str">
        <f>IF(ISNUMBER(FIND(",", E337)), TRIM(MID(E337, FIND(",", E337) + 1, LEN(E337))), E337)</f>
        <v>Japan</v>
      </c>
    </row>
    <row r="338" spans="1:8" x14ac:dyDescent="0.25">
      <c r="A338" s="2">
        <v>40801</v>
      </c>
      <c r="B338">
        <v>-35.366</v>
      </c>
      <c r="C338">
        <v>-179.03899999999999</v>
      </c>
      <c r="D338" t="s">
        <v>3</v>
      </c>
      <c r="E338" t="s">
        <v>276</v>
      </c>
      <c r="F338">
        <f t="shared" si="10"/>
        <v>2011</v>
      </c>
      <c r="G338">
        <f t="shared" si="11"/>
        <v>9</v>
      </c>
      <c r="H338" t="str">
        <f>IF(ISNUMBER(FIND(",", E338)), TRIM(MID(E338, FIND(",", E338) + 1, LEN(E338))), E338)</f>
        <v>east of the North Island of New Zealand</v>
      </c>
    </row>
    <row r="339" spans="1:8" x14ac:dyDescent="0.25">
      <c r="A339" s="2">
        <v>40800</v>
      </c>
      <c r="B339">
        <v>53.106999999999999</v>
      </c>
      <c r="C339">
        <v>172.98400000000001</v>
      </c>
      <c r="D339" t="s">
        <v>3</v>
      </c>
      <c r="E339" t="s">
        <v>184</v>
      </c>
      <c r="F339">
        <f t="shared" si="10"/>
        <v>2011</v>
      </c>
      <c r="G339">
        <f t="shared" si="11"/>
        <v>9</v>
      </c>
      <c r="H339" t="str">
        <f>IF(ISNUMBER(FIND(",", E339)), TRIM(MID(E339, FIND(",", E339) + 1, LEN(E339))), E339)</f>
        <v>Aleutian Islands, Alaska</v>
      </c>
    </row>
    <row r="340" spans="1:8" x14ac:dyDescent="0.25">
      <c r="A340" s="2">
        <v>40795</v>
      </c>
      <c r="B340">
        <v>49.534999999999997</v>
      </c>
      <c r="C340">
        <v>-126.893</v>
      </c>
      <c r="D340" t="s">
        <v>3</v>
      </c>
      <c r="E340" t="s">
        <v>199</v>
      </c>
      <c r="F340">
        <f t="shared" si="10"/>
        <v>2011</v>
      </c>
      <c r="G340">
        <f t="shared" si="11"/>
        <v>9</v>
      </c>
      <c r="H340" t="str">
        <f>IF(ISNUMBER(FIND(",", E340)), TRIM(MID(E340, FIND(",", E340) + 1, LEN(E340))), E340)</f>
        <v>Canada region</v>
      </c>
    </row>
    <row r="341" spans="1:8" x14ac:dyDescent="0.25">
      <c r="A341" s="2">
        <v>40791</v>
      </c>
      <c r="B341">
        <v>2.9649999999999999</v>
      </c>
      <c r="C341">
        <v>97.893000000000001</v>
      </c>
      <c r="D341" t="s">
        <v>3</v>
      </c>
      <c r="E341" t="s">
        <v>226</v>
      </c>
      <c r="F341">
        <f t="shared" si="10"/>
        <v>2011</v>
      </c>
      <c r="G341">
        <f t="shared" si="11"/>
        <v>9</v>
      </c>
      <c r="H341" t="str">
        <f>IF(ISNUMBER(FIND(",", E341)), TRIM(MID(E341, FIND(",", E341) + 1, LEN(E341))), E341)</f>
        <v>Indonesia</v>
      </c>
    </row>
    <row r="342" spans="1:8" x14ac:dyDescent="0.25">
      <c r="A342" s="2">
        <v>40791</v>
      </c>
      <c r="B342">
        <v>-15.295</v>
      </c>
      <c r="C342">
        <v>-173.62100000000001</v>
      </c>
      <c r="D342" t="s">
        <v>3</v>
      </c>
      <c r="E342" t="s">
        <v>239</v>
      </c>
      <c r="F342">
        <f t="shared" si="10"/>
        <v>2011</v>
      </c>
      <c r="G342">
        <f t="shared" si="11"/>
        <v>9</v>
      </c>
      <c r="H342" t="str">
        <f>IF(ISNUMBER(FIND(",", E342)), TRIM(MID(E342, FIND(",", E342) + 1, LEN(E342))), E342)</f>
        <v>Tonga</v>
      </c>
    </row>
    <row r="343" spans="1:8" x14ac:dyDescent="0.25">
      <c r="A343" s="2">
        <v>40789</v>
      </c>
      <c r="B343">
        <v>-20.670999999999999</v>
      </c>
      <c r="C343">
        <v>169.71600000000001</v>
      </c>
      <c r="D343" t="s">
        <v>3</v>
      </c>
      <c r="E343" t="s">
        <v>181</v>
      </c>
      <c r="F343">
        <f t="shared" si="10"/>
        <v>2011</v>
      </c>
      <c r="G343">
        <f t="shared" si="11"/>
        <v>9</v>
      </c>
      <c r="H343" t="str">
        <f>IF(ISNUMBER(FIND(",", E343)), TRIM(MID(E343, FIND(",", E343) + 1, LEN(E343))), E343)</f>
        <v>Vanuatu</v>
      </c>
    </row>
    <row r="344" spans="1:8" x14ac:dyDescent="0.25">
      <c r="A344" s="2">
        <v>40789</v>
      </c>
      <c r="B344">
        <v>-56.451000000000001</v>
      </c>
      <c r="C344">
        <v>-26.847000000000001</v>
      </c>
      <c r="D344" t="s">
        <v>3</v>
      </c>
      <c r="E344" t="s">
        <v>260</v>
      </c>
      <c r="F344">
        <f t="shared" si="10"/>
        <v>2011</v>
      </c>
      <c r="G344">
        <f t="shared" si="11"/>
        <v>9</v>
      </c>
      <c r="H344" t="str">
        <f>IF(ISNUMBER(FIND(",", E344)), TRIM(MID(E344, FIND(",", E344) + 1, LEN(E344))), E344)</f>
        <v>South Sandwich Islands region</v>
      </c>
    </row>
    <row r="345" spans="1:8" x14ac:dyDescent="0.25">
      <c r="A345" s="2">
        <v>40788</v>
      </c>
      <c r="B345">
        <v>-28.398</v>
      </c>
      <c r="C345">
        <v>-63.029000000000003</v>
      </c>
      <c r="D345" t="s">
        <v>3</v>
      </c>
      <c r="E345" t="s">
        <v>232</v>
      </c>
      <c r="F345">
        <f t="shared" si="10"/>
        <v>2011</v>
      </c>
      <c r="G345">
        <f t="shared" si="11"/>
        <v>9</v>
      </c>
      <c r="H345" t="str">
        <f>IF(ISNUMBER(FIND(",", E345)), TRIM(MID(E345, FIND(",", E345) + 1, LEN(E345))), E345)</f>
        <v>Argentina</v>
      </c>
    </row>
    <row r="346" spans="1:8" x14ac:dyDescent="0.25">
      <c r="A346" s="2">
        <v>40788</v>
      </c>
      <c r="B346">
        <v>52.170999999999999</v>
      </c>
      <c r="C346">
        <v>-171.708</v>
      </c>
      <c r="D346" t="s">
        <v>3</v>
      </c>
      <c r="E346" t="s">
        <v>219</v>
      </c>
      <c r="F346">
        <f t="shared" si="10"/>
        <v>2011</v>
      </c>
      <c r="G346">
        <f t="shared" si="11"/>
        <v>9</v>
      </c>
      <c r="H346" t="str">
        <f>IF(ISNUMBER(FIND(",", E346)), TRIM(MID(E346, FIND(",", E346) + 1, LEN(E346))), E346)</f>
        <v>Aleutian Islands, Alaska</v>
      </c>
    </row>
    <row r="347" spans="1:8" x14ac:dyDescent="0.25">
      <c r="A347" s="2">
        <v>40787</v>
      </c>
      <c r="B347">
        <v>-12.356999999999999</v>
      </c>
      <c r="C347">
        <v>166.65700000000001</v>
      </c>
      <c r="D347" t="s">
        <v>3</v>
      </c>
      <c r="E347" t="s">
        <v>211</v>
      </c>
      <c r="F347">
        <f t="shared" si="10"/>
        <v>2011</v>
      </c>
      <c r="G347">
        <f t="shared" si="11"/>
        <v>9</v>
      </c>
      <c r="H347" t="str">
        <f>IF(ISNUMBER(FIND(",", E347)), TRIM(MID(E347, FIND(",", E347) + 1, LEN(E347))), E347)</f>
        <v>Santa Cruz Islands</v>
      </c>
    </row>
    <row r="348" spans="1:8" x14ac:dyDescent="0.25">
      <c r="A348" s="2">
        <v>40785</v>
      </c>
      <c r="B348">
        <v>-6.3620000000000001</v>
      </c>
      <c r="C348">
        <v>126.752</v>
      </c>
      <c r="D348" t="s">
        <v>3</v>
      </c>
      <c r="E348" t="s">
        <v>187</v>
      </c>
      <c r="F348">
        <f t="shared" si="10"/>
        <v>2011</v>
      </c>
      <c r="G348">
        <f t="shared" si="11"/>
        <v>8</v>
      </c>
      <c r="H348" t="str">
        <f>IF(ISNUMBER(FIND(",", E348)), TRIM(MID(E348, FIND(",", E348) + 1, LEN(E348))), E348)</f>
        <v>Banda Sea</v>
      </c>
    </row>
    <row r="349" spans="1:8" x14ac:dyDescent="0.25">
      <c r="A349" s="2">
        <v>40779</v>
      </c>
      <c r="B349">
        <v>-18.155000000000001</v>
      </c>
      <c r="C349">
        <v>167.727</v>
      </c>
      <c r="D349" t="s">
        <v>3</v>
      </c>
      <c r="E349" t="s">
        <v>181</v>
      </c>
      <c r="F349">
        <f t="shared" si="10"/>
        <v>2011</v>
      </c>
      <c r="G349">
        <f t="shared" si="11"/>
        <v>8</v>
      </c>
      <c r="H349" t="str">
        <f>IF(ISNUMBER(FIND(",", E349)), TRIM(MID(E349, FIND(",", E349) + 1, LEN(E349))), E349)</f>
        <v>Vanuatu</v>
      </c>
    </row>
    <row r="350" spans="1:8" x14ac:dyDescent="0.25">
      <c r="A350" s="2">
        <v>40779</v>
      </c>
      <c r="B350">
        <v>-7.641</v>
      </c>
      <c r="C350">
        <v>-74.525000000000006</v>
      </c>
      <c r="D350" t="s">
        <v>3</v>
      </c>
      <c r="E350" t="s">
        <v>277</v>
      </c>
      <c r="F350">
        <f t="shared" si="10"/>
        <v>2011</v>
      </c>
      <c r="G350">
        <f t="shared" si="11"/>
        <v>8</v>
      </c>
      <c r="H350" t="str">
        <f>IF(ISNUMBER(FIND(",", E350)), TRIM(MID(E350, FIND(",", E350) + 1, LEN(E350))), E350)</f>
        <v>northern Peru</v>
      </c>
    </row>
    <row r="351" spans="1:8" x14ac:dyDescent="0.25">
      <c r="A351" s="2">
        <v>40777</v>
      </c>
      <c r="B351">
        <v>-6.282</v>
      </c>
      <c r="C351">
        <v>104.054</v>
      </c>
      <c r="D351" t="s">
        <v>3</v>
      </c>
      <c r="E351" t="s">
        <v>278</v>
      </c>
      <c r="F351">
        <f t="shared" si="10"/>
        <v>2011</v>
      </c>
      <c r="G351">
        <f t="shared" si="11"/>
        <v>8</v>
      </c>
      <c r="H351" t="str">
        <f>IF(ISNUMBER(FIND(",", E351)), TRIM(MID(E351, FIND(",", E351) + 1, LEN(E351))), E351)</f>
        <v>Indonesia</v>
      </c>
    </row>
    <row r="352" spans="1:8" x14ac:dyDescent="0.25">
      <c r="A352" s="2">
        <v>40775</v>
      </c>
      <c r="B352">
        <v>-18.311</v>
      </c>
      <c r="C352">
        <v>168.21799999999999</v>
      </c>
      <c r="D352" t="s">
        <v>3</v>
      </c>
      <c r="E352" t="s">
        <v>181</v>
      </c>
      <c r="F352">
        <f t="shared" si="10"/>
        <v>2011</v>
      </c>
      <c r="G352">
        <f t="shared" si="11"/>
        <v>8</v>
      </c>
      <c r="H352" t="str">
        <f>IF(ISNUMBER(FIND(",", E352)), TRIM(MID(E352, FIND(",", E352) + 1, LEN(E352))), E352)</f>
        <v>Vanuatu</v>
      </c>
    </row>
    <row r="353" spans="1:8" x14ac:dyDescent="0.25">
      <c r="A353" s="2">
        <v>40775</v>
      </c>
      <c r="B353">
        <v>-18.308</v>
      </c>
      <c r="C353">
        <v>168.15600000000001</v>
      </c>
      <c r="D353" t="s">
        <v>7</v>
      </c>
      <c r="E353" t="s">
        <v>181</v>
      </c>
      <c r="F353">
        <f t="shared" si="10"/>
        <v>2011</v>
      </c>
      <c r="G353">
        <f t="shared" si="11"/>
        <v>8</v>
      </c>
      <c r="H353" t="str">
        <f>IF(ISNUMBER(FIND(",", E353)), TRIM(MID(E353, FIND(",", E353) + 1, LEN(E353))), E353)</f>
        <v>Vanuatu</v>
      </c>
    </row>
    <row r="354" spans="1:8" x14ac:dyDescent="0.25">
      <c r="A354" s="2">
        <v>40775</v>
      </c>
      <c r="B354">
        <v>-18.364999999999998</v>
      </c>
      <c r="C354">
        <v>168.143</v>
      </c>
      <c r="D354" t="s">
        <v>3</v>
      </c>
      <c r="E354" t="s">
        <v>181</v>
      </c>
      <c r="F354">
        <f t="shared" si="10"/>
        <v>2011</v>
      </c>
      <c r="G354">
        <f t="shared" si="11"/>
        <v>8</v>
      </c>
      <c r="H354" t="str">
        <f>IF(ISNUMBER(FIND(",", E354)), TRIM(MID(E354, FIND(",", E354) + 1, LEN(E354))), E354)</f>
        <v>Vanuatu</v>
      </c>
    </row>
    <row r="355" spans="1:8" x14ac:dyDescent="0.25">
      <c r="A355" s="2">
        <v>40774</v>
      </c>
      <c r="B355">
        <v>37.670999999999999</v>
      </c>
      <c r="C355">
        <v>141.65199999999999</v>
      </c>
      <c r="D355" t="s">
        <v>3</v>
      </c>
      <c r="E355" t="s">
        <v>227</v>
      </c>
      <c r="F355">
        <f t="shared" si="10"/>
        <v>2011</v>
      </c>
      <c r="G355">
        <f t="shared" si="11"/>
        <v>8</v>
      </c>
      <c r="H355" t="str">
        <f>IF(ISNUMBER(FIND(",", E355)), TRIM(MID(E355, FIND(",", E355) + 1, LEN(E355))), E355)</f>
        <v>Japan</v>
      </c>
    </row>
    <row r="356" spans="1:8" x14ac:dyDescent="0.25">
      <c r="A356" s="2">
        <v>40774</v>
      </c>
      <c r="B356">
        <v>-16.521999999999998</v>
      </c>
      <c r="C356">
        <v>-177.00399999999999</v>
      </c>
      <c r="D356" t="s">
        <v>3</v>
      </c>
      <c r="E356" t="s">
        <v>53</v>
      </c>
      <c r="F356">
        <f t="shared" si="10"/>
        <v>2011</v>
      </c>
      <c r="G356">
        <f t="shared" si="11"/>
        <v>8</v>
      </c>
      <c r="H356" t="str">
        <f>IF(ISNUMBER(FIND(",", E356)), TRIM(MID(E356, FIND(",", E356) + 1, LEN(E356))), E356)</f>
        <v>Fiji region</v>
      </c>
    </row>
    <row r="357" spans="1:8" x14ac:dyDescent="0.25">
      <c r="A357" s="2">
        <v>40772</v>
      </c>
      <c r="B357">
        <v>36.765000000000001</v>
      </c>
      <c r="C357">
        <v>143.77000000000001</v>
      </c>
      <c r="D357" t="s">
        <v>3</v>
      </c>
      <c r="E357" t="s">
        <v>189</v>
      </c>
      <c r="F357">
        <f t="shared" si="10"/>
        <v>2011</v>
      </c>
      <c r="G357">
        <f t="shared" si="11"/>
        <v>8</v>
      </c>
      <c r="H357" t="str">
        <f>IF(ISNUMBER(FIND(",", E357)), TRIM(MID(E357, FIND(",", E357) + 1, LEN(E357))), E357)</f>
        <v>Japan</v>
      </c>
    </row>
    <row r="358" spans="1:8" x14ac:dyDescent="0.25">
      <c r="A358" s="2">
        <v>40771</v>
      </c>
      <c r="B358">
        <v>-2.331</v>
      </c>
      <c r="C358">
        <v>128.00200000000001</v>
      </c>
      <c r="D358" t="s">
        <v>3</v>
      </c>
      <c r="E358" t="s">
        <v>279</v>
      </c>
      <c r="F358">
        <f t="shared" si="10"/>
        <v>2011</v>
      </c>
      <c r="G358">
        <f t="shared" si="11"/>
        <v>8</v>
      </c>
      <c r="H358" t="str">
        <f>IF(ISNUMBER(FIND(",", E358)), TRIM(MID(E358, FIND(",", E358) + 1, LEN(E358))), E358)</f>
        <v>Indonesia</v>
      </c>
    </row>
    <row r="359" spans="1:8" x14ac:dyDescent="0.25">
      <c r="A359" s="2">
        <v>40765</v>
      </c>
      <c r="B359">
        <v>-7.04</v>
      </c>
      <c r="C359">
        <v>-12.618</v>
      </c>
      <c r="D359" t="s">
        <v>3</v>
      </c>
      <c r="E359" t="s">
        <v>280</v>
      </c>
      <c r="F359">
        <f t="shared" si="10"/>
        <v>2011</v>
      </c>
      <c r="G359">
        <f t="shared" si="11"/>
        <v>8</v>
      </c>
      <c r="H359" t="str">
        <f>IF(ISNUMBER(FIND(",", E359)), TRIM(MID(E359, FIND(",", E359) + 1, LEN(E359))), E359)</f>
        <v>Ascension Island region</v>
      </c>
    </row>
    <row r="360" spans="1:8" x14ac:dyDescent="0.25">
      <c r="A360" s="2">
        <v>40759</v>
      </c>
      <c r="B360">
        <v>48.832999999999998</v>
      </c>
      <c r="C360">
        <v>154.76900000000001</v>
      </c>
      <c r="D360" t="s">
        <v>3</v>
      </c>
      <c r="E360" t="s">
        <v>191</v>
      </c>
      <c r="F360">
        <f t="shared" si="10"/>
        <v>2011</v>
      </c>
      <c r="G360">
        <f t="shared" si="11"/>
        <v>8</v>
      </c>
      <c r="H360" t="str">
        <f>IF(ISNUMBER(FIND(",", E360)), TRIM(MID(E360, FIND(",", E360) + 1, LEN(E360))), E360)</f>
        <v>Kuril Islands</v>
      </c>
    </row>
    <row r="361" spans="1:8" x14ac:dyDescent="0.25">
      <c r="A361" s="2">
        <v>40755</v>
      </c>
      <c r="B361">
        <v>-3.5179999999999998</v>
      </c>
      <c r="C361">
        <v>144.828</v>
      </c>
      <c r="D361" t="s">
        <v>3</v>
      </c>
      <c r="E361" t="s">
        <v>216</v>
      </c>
      <c r="F361">
        <f t="shared" si="10"/>
        <v>2011</v>
      </c>
      <c r="G361">
        <f t="shared" si="11"/>
        <v>7</v>
      </c>
      <c r="H361" t="str">
        <f>IF(ISNUMBER(FIND(",", E361)), TRIM(MID(E361, FIND(",", E361) + 1, LEN(E361))), E361)</f>
        <v>Papua New Guinea</v>
      </c>
    </row>
    <row r="362" spans="1:8" x14ac:dyDescent="0.25">
      <c r="A362" s="2">
        <v>40755</v>
      </c>
      <c r="B362">
        <v>-17.015999999999998</v>
      </c>
      <c r="C362">
        <v>171.57900000000001</v>
      </c>
      <c r="D362" t="s">
        <v>3</v>
      </c>
      <c r="E362" t="s">
        <v>281</v>
      </c>
      <c r="F362">
        <f t="shared" si="10"/>
        <v>2011</v>
      </c>
      <c r="G362">
        <f t="shared" si="11"/>
        <v>7</v>
      </c>
      <c r="H362" t="str">
        <f>IF(ISNUMBER(FIND(",", E362)), TRIM(MID(E362, FIND(",", E362) + 1, LEN(E362))), E362)</f>
        <v>Vanuatu region</v>
      </c>
    </row>
    <row r="363" spans="1:8" x14ac:dyDescent="0.25">
      <c r="A363" s="2">
        <v>40754</v>
      </c>
      <c r="B363">
        <v>36.942999999999998</v>
      </c>
      <c r="C363">
        <v>140.959</v>
      </c>
      <c r="D363" t="s">
        <v>3</v>
      </c>
      <c r="E363" t="s">
        <v>227</v>
      </c>
      <c r="F363">
        <f t="shared" si="10"/>
        <v>2011</v>
      </c>
      <c r="G363">
        <f t="shared" si="11"/>
        <v>7</v>
      </c>
      <c r="H363" t="str">
        <f>IF(ISNUMBER(FIND(",", E363)), TRIM(MID(E363, FIND(",", E363) + 1, LEN(E363))), E363)</f>
        <v>Japan</v>
      </c>
    </row>
    <row r="364" spans="1:8" x14ac:dyDescent="0.25">
      <c r="A364" s="2">
        <v>40753</v>
      </c>
      <c r="B364">
        <v>-23.783999999999999</v>
      </c>
      <c r="C364">
        <v>179.76</v>
      </c>
      <c r="D364" t="s">
        <v>3</v>
      </c>
      <c r="E364" t="s">
        <v>256</v>
      </c>
      <c r="F364">
        <f t="shared" si="10"/>
        <v>2011</v>
      </c>
      <c r="G364">
        <f t="shared" si="11"/>
        <v>7</v>
      </c>
      <c r="H364" t="str">
        <f>IF(ISNUMBER(FIND(",", E364)), TRIM(MID(E364, FIND(",", E364) + 1, LEN(E364))), E364)</f>
        <v>south of the Fiji Islands</v>
      </c>
    </row>
    <row r="365" spans="1:8" x14ac:dyDescent="0.25">
      <c r="A365" s="2">
        <v>40750</v>
      </c>
      <c r="B365">
        <v>25.100999999999999</v>
      </c>
      <c r="C365">
        <v>-109.52500000000001</v>
      </c>
      <c r="D365" t="s">
        <v>3</v>
      </c>
      <c r="E365" t="s">
        <v>282</v>
      </c>
      <c r="F365">
        <f t="shared" si="10"/>
        <v>2011</v>
      </c>
      <c r="G365">
        <f t="shared" si="11"/>
        <v>7</v>
      </c>
      <c r="H365" t="str">
        <f>IF(ISNUMBER(FIND(",", E365)), TRIM(MID(E365, FIND(",", E365) + 1, LEN(E365))), E365)</f>
        <v>Gulf of California</v>
      </c>
    </row>
    <row r="366" spans="1:8" x14ac:dyDescent="0.25">
      <c r="A366" s="2">
        <v>40749</v>
      </c>
      <c r="B366">
        <v>-3.1819999999999999</v>
      </c>
      <c r="C366">
        <v>150.61099999999999</v>
      </c>
      <c r="D366" t="s">
        <v>3</v>
      </c>
      <c r="E366" t="s">
        <v>183</v>
      </c>
      <c r="F366">
        <f t="shared" si="10"/>
        <v>2011</v>
      </c>
      <c r="G366">
        <f t="shared" si="11"/>
        <v>7</v>
      </c>
      <c r="H366" t="str">
        <f>IF(ISNUMBER(FIND(",", E366)), TRIM(MID(E366, FIND(",", E366) + 1, LEN(E366))), E366)</f>
        <v>Papua New Guinea</v>
      </c>
    </row>
    <row r="367" spans="1:8" x14ac:dyDescent="0.25">
      <c r="A367" s="2">
        <v>40748</v>
      </c>
      <c r="B367">
        <v>37.726999999999997</v>
      </c>
      <c r="C367">
        <v>141.39400000000001</v>
      </c>
      <c r="D367" t="s">
        <v>3</v>
      </c>
      <c r="E367" t="s">
        <v>227</v>
      </c>
      <c r="F367">
        <f t="shared" si="10"/>
        <v>2011</v>
      </c>
      <c r="G367">
        <f t="shared" si="11"/>
        <v>7</v>
      </c>
      <c r="H367" t="str">
        <f>IF(ISNUMBER(FIND(",", E367)), TRIM(MID(E367, FIND(",", E367) + 1, LEN(E367))), E367)</f>
        <v>Japan</v>
      </c>
    </row>
    <row r="368" spans="1:8" x14ac:dyDescent="0.25">
      <c r="A368" s="2">
        <v>40747</v>
      </c>
      <c r="B368">
        <v>38.898000000000003</v>
      </c>
      <c r="C368">
        <v>141.815</v>
      </c>
      <c r="D368" t="s">
        <v>3</v>
      </c>
      <c r="E368" t="s">
        <v>227</v>
      </c>
      <c r="F368">
        <f t="shared" si="10"/>
        <v>2011</v>
      </c>
      <c r="G368">
        <f t="shared" si="11"/>
        <v>7</v>
      </c>
      <c r="H368" t="str">
        <f>IF(ISNUMBER(FIND(",", E368)), TRIM(MID(E368, FIND(",", E368) + 1, LEN(E368))), E368)</f>
        <v>Japan</v>
      </c>
    </row>
    <row r="369" spans="1:8" x14ac:dyDescent="0.25">
      <c r="A369" s="2">
        <v>40745</v>
      </c>
      <c r="B369">
        <v>-62.496000000000002</v>
      </c>
      <c r="C369">
        <v>164.452</v>
      </c>
      <c r="D369" t="s">
        <v>3</v>
      </c>
      <c r="E369" t="s">
        <v>283</v>
      </c>
      <c r="F369">
        <f t="shared" si="10"/>
        <v>2011</v>
      </c>
      <c r="G369">
        <f t="shared" si="11"/>
        <v>7</v>
      </c>
      <c r="H369" t="str">
        <f>IF(ISNUMBER(FIND(",", E369)), TRIM(MID(E369, FIND(",", E369) + 1, LEN(E369))), E369)</f>
        <v>Balleny Islands region</v>
      </c>
    </row>
    <row r="370" spans="1:8" x14ac:dyDescent="0.25">
      <c r="A370" s="2">
        <v>40744</v>
      </c>
      <c r="B370">
        <v>-10.34</v>
      </c>
      <c r="C370">
        <v>162.01</v>
      </c>
      <c r="D370" t="s">
        <v>3</v>
      </c>
      <c r="E370" t="s">
        <v>221</v>
      </c>
      <c r="F370">
        <f t="shared" si="10"/>
        <v>2011</v>
      </c>
      <c r="G370">
        <f t="shared" si="11"/>
        <v>7</v>
      </c>
      <c r="H370" t="str">
        <f>IF(ISNUMBER(FIND(",", E370)), TRIM(MID(E370, FIND(",", E370) + 1, LEN(E370))), E370)</f>
        <v>Solomon Islands</v>
      </c>
    </row>
    <row r="371" spans="1:8" x14ac:dyDescent="0.25">
      <c r="A371" s="2">
        <v>40743</v>
      </c>
      <c r="B371">
        <v>40.081000000000003</v>
      </c>
      <c r="C371">
        <v>71.41</v>
      </c>
      <c r="D371" t="s">
        <v>3</v>
      </c>
      <c r="E371" t="s">
        <v>284</v>
      </c>
      <c r="F371">
        <f t="shared" si="10"/>
        <v>2011</v>
      </c>
      <c r="G371">
        <f t="shared" si="11"/>
        <v>7</v>
      </c>
      <c r="H371" t="str">
        <f>IF(ISNUMBER(FIND(",", E371)), TRIM(MID(E371, FIND(",", E371) + 1, LEN(E371))), E371)</f>
        <v>Kyrgyzstan</v>
      </c>
    </row>
    <row r="372" spans="1:8" x14ac:dyDescent="0.25">
      <c r="A372" s="2">
        <v>40740</v>
      </c>
      <c r="B372">
        <v>54.786999999999999</v>
      </c>
      <c r="C372">
        <v>-161.29</v>
      </c>
      <c r="D372" t="s">
        <v>3</v>
      </c>
      <c r="E372" t="s">
        <v>285</v>
      </c>
      <c r="F372">
        <f t="shared" si="10"/>
        <v>2011</v>
      </c>
      <c r="G372">
        <f t="shared" si="11"/>
        <v>7</v>
      </c>
      <c r="H372" t="str">
        <f>IF(ISNUMBER(FIND(",", E372)), TRIM(MID(E372, FIND(",", E372) + 1, LEN(E372))), E372)</f>
        <v>Alaska Peninsula</v>
      </c>
    </row>
    <row r="373" spans="1:8" x14ac:dyDescent="0.25">
      <c r="A373" s="2">
        <v>40740</v>
      </c>
      <c r="B373">
        <v>-33.819000000000003</v>
      </c>
      <c r="C373">
        <v>-71.831999999999994</v>
      </c>
      <c r="D373" t="s">
        <v>3</v>
      </c>
      <c r="E373" t="s">
        <v>286</v>
      </c>
      <c r="F373">
        <f t="shared" si="10"/>
        <v>2011</v>
      </c>
      <c r="G373">
        <f t="shared" si="11"/>
        <v>7</v>
      </c>
      <c r="H373" t="str">
        <f>IF(ISNUMBER(FIND(",", E373)), TRIM(MID(E373, FIND(",", E373) + 1, LEN(E373))), E373)</f>
        <v>Chile</v>
      </c>
    </row>
    <row r="374" spans="1:8" x14ac:dyDescent="0.25">
      <c r="A374" s="2">
        <v>40739</v>
      </c>
      <c r="B374">
        <v>-60.762</v>
      </c>
      <c r="C374">
        <v>-23.523</v>
      </c>
      <c r="D374" t="s">
        <v>3</v>
      </c>
      <c r="E374" t="s">
        <v>260</v>
      </c>
      <c r="F374">
        <f t="shared" si="10"/>
        <v>2011</v>
      </c>
      <c r="G374">
        <f t="shared" si="11"/>
        <v>7</v>
      </c>
      <c r="H374" t="str">
        <f>IF(ISNUMBER(FIND(",", E374)), TRIM(MID(E374, FIND(",", E374) + 1, LEN(E374))), E374)</f>
        <v>South Sandwich Islands region</v>
      </c>
    </row>
    <row r="375" spans="1:8" x14ac:dyDescent="0.25">
      <c r="A375" s="2">
        <v>40735</v>
      </c>
      <c r="B375">
        <v>9.5090000000000003</v>
      </c>
      <c r="C375">
        <v>122.175</v>
      </c>
      <c r="D375" t="s">
        <v>3</v>
      </c>
      <c r="E375" t="s">
        <v>287</v>
      </c>
      <c r="F375">
        <f t="shared" si="10"/>
        <v>2011</v>
      </c>
      <c r="G375">
        <f t="shared" si="11"/>
        <v>7</v>
      </c>
      <c r="H375" t="str">
        <f>IF(ISNUMBER(FIND(",", E375)), TRIM(MID(E375, FIND(",", E375) + 1, LEN(E375))), E375)</f>
        <v>Philippines</v>
      </c>
    </row>
    <row r="376" spans="1:8" x14ac:dyDescent="0.25">
      <c r="A376" s="2">
        <v>40734</v>
      </c>
      <c r="B376">
        <v>38.033999999999999</v>
      </c>
      <c r="C376">
        <v>143.26400000000001</v>
      </c>
      <c r="D376" t="s">
        <v>3</v>
      </c>
      <c r="E376" t="s">
        <v>189</v>
      </c>
      <c r="F376">
        <f t="shared" si="10"/>
        <v>2011</v>
      </c>
      <c r="G376">
        <f t="shared" si="11"/>
        <v>7</v>
      </c>
      <c r="H376" t="str">
        <f>IF(ISNUMBER(FIND(",", E376)), TRIM(MID(E376, FIND(",", E376) + 1, LEN(E376))), E376)</f>
        <v>Japan</v>
      </c>
    </row>
    <row r="377" spans="1:8" x14ac:dyDescent="0.25">
      <c r="A377" s="2">
        <v>40733</v>
      </c>
      <c r="B377">
        <v>-29.436</v>
      </c>
      <c r="C377">
        <v>-177.00700000000001</v>
      </c>
      <c r="D377" t="s">
        <v>3</v>
      </c>
      <c r="E377" t="s">
        <v>288</v>
      </c>
      <c r="F377">
        <f t="shared" si="10"/>
        <v>2011</v>
      </c>
      <c r="G377">
        <f t="shared" si="11"/>
        <v>7</v>
      </c>
      <c r="H377" t="str">
        <f>IF(ISNUMBER(FIND(",", E377)), TRIM(MID(E377, FIND(",", E377) + 1, LEN(E377))), E377)</f>
        <v>New Zealand</v>
      </c>
    </row>
    <row r="378" spans="1:8" x14ac:dyDescent="0.25">
      <c r="A378" s="2">
        <v>40733</v>
      </c>
      <c r="B378">
        <v>-29.337</v>
      </c>
      <c r="C378">
        <v>-177.05099999999999</v>
      </c>
      <c r="D378" t="s">
        <v>3</v>
      </c>
      <c r="E378" t="s">
        <v>288</v>
      </c>
      <c r="F378">
        <f t="shared" si="10"/>
        <v>2011</v>
      </c>
      <c r="G378">
        <f t="shared" si="11"/>
        <v>7</v>
      </c>
      <c r="H378" t="str">
        <f>IF(ISNUMBER(FIND(",", E378)), TRIM(MID(E378, FIND(",", E378) + 1, LEN(E378))), E378)</f>
        <v>New Zealand</v>
      </c>
    </row>
    <row r="379" spans="1:8" x14ac:dyDescent="0.25">
      <c r="A379" s="2">
        <v>40730</v>
      </c>
      <c r="B379">
        <v>-29.539000000000001</v>
      </c>
      <c r="C379">
        <v>-176.34</v>
      </c>
      <c r="D379" t="s">
        <v>3</v>
      </c>
      <c r="E379" t="s">
        <v>240</v>
      </c>
      <c r="F379">
        <f t="shared" si="10"/>
        <v>2011</v>
      </c>
      <c r="G379">
        <f t="shared" si="11"/>
        <v>7</v>
      </c>
      <c r="H379" t="str">
        <f>IF(ISNUMBER(FIND(",", E379)), TRIM(MID(E379, FIND(",", E379) + 1, LEN(E379))), E379)</f>
        <v>Kermadec Islands region</v>
      </c>
    </row>
    <row r="380" spans="1:8" x14ac:dyDescent="0.25">
      <c r="A380" s="2">
        <v>40720</v>
      </c>
      <c r="B380">
        <v>-2.3839999999999999</v>
      </c>
      <c r="C380">
        <v>136.631</v>
      </c>
      <c r="D380" t="s">
        <v>3</v>
      </c>
      <c r="E380" t="s">
        <v>241</v>
      </c>
      <c r="F380">
        <f t="shared" si="10"/>
        <v>2011</v>
      </c>
      <c r="G380">
        <f t="shared" si="11"/>
        <v>6</v>
      </c>
      <c r="H380" t="str">
        <f>IF(ISNUMBER(FIND(",", E380)), TRIM(MID(E380, FIND(",", E380) + 1, LEN(E380))), E380)</f>
        <v>Indonesia</v>
      </c>
    </row>
    <row r="381" spans="1:8" x14ac:dyDescent="0.25">
      <c r="A381" s="2">
        <v>40718</v>
      </c>
      <c r="B381">
        <v>52.05</v>
      </c>
      <c r="C381">
        <v>-171.83600000000001</v>
      </c>
      <c r="D381" t="s">
        <v>3</v>
      </c>
      <c r="E381" t="s">
        <v>219</v>
      </c>
      <c r="F381">
        <f t="shared" si="10"/>
        <v>2011</v>
      </c>
      <c r="G381">
        <f t="shared" si="11"/>
        <v>6</v>
      </c>
      <c r="H381" t="str">
        <f>IF(ISNUMBER(FIND(",", E381)), TRIM(MID(E381, FIND(",", E381) + 1, LEN(E381))), E381)</f>
        <v>Aleutian Islands, Alaska</v>
      </c>
    </row>
    <row r="382" spans="1:8" x14ac:dyDescent="0.25">
      <c r="A382" s="2">
        <v>40716</v>
      </c>
      <c r="B382">
        <v>39.954999999999998</v>
      </c>
      <c r="C382">
        <v>142.20500000000001</v>
      </c>
      <c r="D382" t="s">
        <v>3</v>
      </c>
      <c r="E382" t="s">
        <v>227</v>
      </c>
      <c r="F382">
        <f t="shared" si="10"/>
        <v>2011</v>
      </c>
      <c r="G382">
        <f t="shared" si="11"/>
        <v>6</v>
      </c>
      <c r="H382" t="str">
        <f>IF(ISNUMBER(FIND(",", E382)), TRIM(MID(E382, FIND(",", E382) + 1, LEN(E382))), E382)</f>
        <v>Japan</v>
      </c>
    </row>
    <row r="383" spans="1:8" x14ac:dyDescent="0.25">
      <c r="A383" s="2">
        <v>40715</v>
      </c>
      <c r="B383">
        <v>-11.478999999999999</v>
      </c>
      <c r="C383">
        <v>165.55099999999999</v>
      </c>
      <c r="D383" t="s">
        <v>3</v>
      </c>
      <c r="E383" t="s">
        <v>211</v>
      </c>
      <c r="F383">
        <f t="shared" si="10"/>
        <v>2011</v>
      </c>
      <c r="G383">
        <f t="shared" si="11"/>
        <v>6</v>
      </c>
      <c r="H383" t="str">
        <f>IF(ISNUMBER(FIND(",", E383)), TRIM(MID(E383, FIND(",", E383) + 1, LEN(E383))), E383)</f>
        <v>Santa Cruz Islands</v>
      </c>
    </row>
    <row r="384" spans="1:8" x14ac:dyDescent="0.25">
      <c r="A384" s="2">
        <v>40714</v>
      </c>
      <c r="B384">
        <v>-21.701000000000001</v>
      </c>
      <c r="C384">
        <v>-68.227999999999994</v>
      </c>
      <c r="D384" t="s">
        <v>3</v>
      </c>
      <c r="E384" t="s">
        <v>289</v>
      </c>
      <c r="F384">
        <f t="shared" si="10"/>
        <v>2011</v>
      </c>
      <c r="G384">
        <f t="shared" si="11"/>
        <v>6</v>
      </c>
      <c r="H384" t="str">
        <f>IF(ISNUMBER(FIND(",", E384)), TRIM(MID(E384, FIND(",", E384) + 1, LEN(E384))), E384)</f>
        <v>Chile</v>
      </c>
    </row>
    <row r="385" spans="1:8" x14ac:dyDescent="0.25">
      <c r="A385" s="2">
        <v>40710</v>
      </c>
      <c r="B385">
        <v>-5.9279999999999999</v>
      </c>
      <c r="C385">
        <v>151.04</v>
      </c>
      <c r="D385" t="s">
        <v>3</v>
      </c>
      <c r="E385" t="s">
        <v>190</v>
      </c>
      <c r="F385">
        <f t="shared" si="10"/>
        <v>2011</v>
      </c>
      <c r="G385">
        <f t="shared" si="11"/>
        <v>6</v>
      </c>
      <c r="H385" t="str">
        <f>IF(ISNUMBER(FIND(",", E385)), TRIM(MID(E385, FIND(",", E385) + 1, LEN(E385))), E385)</f>
        <v>Papua New Guinea</v>
      </c>
    </row>
    <row r="386" spans="1:8" x14ac:dyDescent="0.25">
      <c r="A386" s="2">
        <v>40707</v>
      </c>
      <c r="B386">
        <v>2.5150000000000001</v>
      </c>
      <c r="C386">
        <v>126.45699999999999</v>
      </c>
      <c r="D386" t="s">
        <v>3</v>
      </c>
      <c r="E386" t="s">
        <v>186</v>
      </c>
      <c r="F386">
        <f t="shared" ref="F386:F449" si="12">YEAR(A386)</f>
        <v>2011</v>
      </c>
      <c r="G386">
        <f t="shared" si="11"/>
        <v>6</v>
      </c>
      <c r="H386" t="str">
        <f>IF(ISNUMBER(FIND(",", E386)), TRIM(MID(E386, FIND(",", E386) + 1, LEN(E386))), E386)</f>
        <v>Molucca Sea</v>
      </c>
    </row>
    <row r="387" spans="1:8" x14ac:dyDescent="0.25">
      <c r="A387" s="2">
        <v>40699</v>
      </c>
      <c r="B387">
        <v>-55.843000000000004</v>
      </c>
      <c r="C387">
        <v>146.62</v>
      </c>
      <c r="D387" t="s">
        <v>3</v>
      </c>
      <c r="E387" t="s">
        <v>205</v>
      </c>
      <c r="F387">
        <f t="shared" si="12"/>
        <v>2011</v>
      </c>
      <c r="G387">
        <f t="shared" ref="G387:G450" si="13">MONTH(A387)</f>
        <v>6</v>
      </c>
      <c r="H387" t="str">
        <f>IF(ISNUMBER(FIND(",", E387)), TRIM(MID(E387, FIND(",", E387) + 1, LEN(E387))), E387)</f>
        <v>west of Macquarie Island</v>
      </c>
    </row>
    <row r="388" spans="1:8" x14ac:dyDescent="0.25">
      <c r="A388" s="2">
        <v>40697</v>
      </c>
      <c r="B388">
        <v>37.284999999999997</v>
      </c>
      <c r="C388">
        <v>143.90700000000001</v>
      </c>
      <c r="D388" t="s">
        <v>3</v>
      </c>
      <c r="E388" t="s">
        <v>189</v>
      </c>
      <c r="F388">
        <f t="shared" si="12"/>
        <v>2011</v>
      </c>
      <c r="G388">
        <f t="shared" si="13"/>
        <v>6</v>
      </c>
      <c r="H388" t="str">
        <f>IF(ISNUMBER(FIND(",", E388)), TRIM(MID(E388, FIND(",", E388) + 1, LEN(E388))), E388)</f>
        <v>Japan</v>
      </c>
    </row>
    <row r="389" spans="1:8" x14ac:dyDescent="0.25">
      <c r="A389" s="2">
        <v>40695</v>
      </c>
      <c r="B389">
        <v>-37.578000000000003</v>
      </c>
      <c r="C389">
        <v>-73.691000000000003</v>
      </c>
      <c r="D389" t="s">
        <v>3</v>
      </c>
      <c r="E389" t="s">
        <v>259</v>
      </c>
      <c r="F389">
        <f t="shared" si="12"/>
        <v>2011</v>
      </c>
      <c r="G389">
        <f t="shared" si="13"/>
        <v>6</v>
      </c>
      <c r="H389" t="str">
        <f>IF(ISNUMBER(FIND(",", E389)), TRIM(MID(E389, FIND(",", E389) + 1, LEN(E389))), E389)</f>
        <v>Chile</v>
      </c>
    </row>
    <row r="390" spans="1:8" x14ac:dyDescent="0.25">
      <c r="A390" s="2">
        <v>40678</v>
      </c>
      <c r="B390">
        <v>-6.1040000000000001</v>
      </c>
      <c r="C390">
        <v>154.41399999999999</v>
      </c>
      <c r="D390" t="s">
        <v>3</v>
      </c>
      <c r="E390" t="s">
        <v>290</v>
      </c>
      <c r="F390">
        <f t="shared" si="12"/>
        <v>2011</v>
      </c>
      <c r="G390">
        <f t="shared" si="13"/>
        <v>5</v>
      </c>
      <c r="H390" t="str">
        <f>IF(ISNUMBER(FIND(",", E390)), TRIM(MID(E390, FIND(",", E390) + 1, LEN(E390))), E390)</f>
        <v>Papua New Guinea</v>
      </c>
    </row>
    <row r="391" spans="1:8" x14ac:dyDescent="0.25">
      <c r="A391" s="2">
        <v>40678</v>
      </c>
      <c r="B391">
        <v>0.56899999999999995</v>
      </c>
      <c r="C391">
        <v>-25.646999999999998</v>
      </c>
      <c r="D391" t="s">
        <v>3</v>
      </c>
      <c r="E391" t="s">
        <v>291</v>
      </c>
      <c r="F391">
        <f t="shared" si="12"/>
        <v>2011</v>
      </c>
      <c r="G391">
        <f t="shared" si="13"/>
        <v>5</v>
      </c>
      <c r="H391" t="str">
        <f>IF(ISNUMBER(FIND(",", E391)), TRIM(MID(E391, FIND(",", E391) + 1, LEN(E391))), E391)</f>
        <v>central Mid-Atlantic Ridge</v>
      </c>
    </row>
    <row r="392" spans="1:8" x14ac:dyDescent="0.25">
      <c r="A392" s="2">
        <v>40676</v>
      </c>
      <c r="B392">
        <v>37.396000000000001</v>
      </c>
      <c r="C392">
        <v>141.34100000000001</v>
      </c>
      <c r="D392" t="s">
        <v>3</v>
      </c>
      <c r="E392" t="s">
        <v>227</v>
      </c>
      <c r="F392">
        <f t="shared" si="12"/>
        <v>2011</v>
      </c>
      <c r="G392">
        <f t="shared" si="13"/>
        <v>5</v>
      </c>
      <c r="H392" t="str">
        <f>IF(ISNUMBER(FIND(",", E392)), TRIM(MID(E392, FIND(",", E392) + 1, LEN(E392))), E392)</f>
        <v>Japan</v>
      </c>
    </row>
    <row r="393" spans="1:8" x14ac:dyDescent="0.25">
      <c r="A393" s="2">
        <v>40673</v>
      </c>
      <c r="B393">
        <v>-20.244</v>
      </c>
      <c r="C393">
        <v>168.226</v>
      </c>
      <c r="D393" t="s">
        <v>3</v>
      </c>
      <c r="E393" t="s">
        <v>292</v>
      </c>
      <c r="F393">
        <f t="shared" si="12"/>
        <v>2011</v>
      </c>
      <c r="G393">
        <f t="shared" si="13"/>
        <v>5</v>
      </c>
      <c r="H393" t="str">
        <f>IF(ISNUMBER(FIND(",", E393)), TRIM(MID(E393, FIND(",", E393) + 1, LEN(E393))), E393)</f>
        <v>New Caledonia</v>
      </c>
    </row>
    <row r="394" spans="1:8" x14ac:dyDescent="0.25">
      <c r="A394" s="2">
        <v>40668</v>
      </c>
      <c r="B394">
        <v>38.17</v>
      </c>
      <c r="C394">
        <v>144.03200000000001</v>
      </c>
      <c r="D394" t="s">
        <v>3</v>
      </c>
      <c r="E394" t="s">
        <v>189</v>
      </c>
      <c r="F394">
        <f t="shared" si="12"/>
        <v>2011</v>
      </c>
      <c r="G394">
        <f t="shared" si="13"/>
        <v>5</v>
      </c>
      <c r="H394" t="str">
        <f>IF(ISNUMBER(FIND(",", E394)), TRIM(MID(E394, FIND(",", E394) + 1, LEN(E394))), E394)</f>
        <v>Japan</v>
      </c>
    </row>
    <row r="395" spans="1:8" x14ac:dyDescent="0.25">
      <c r="A395" s="2">
        <v>40663</v>
      </c>
      <c r="B395">
        <v>6.851</v>
      </c>
      <c r="C395">
        <v>-82.332999999999998</v>
      </c>
      <c r="D395" t="s">
        <v>3</v>
      </c>
      <c r="E395" t="s">
        <v>231</v>
      </c>
      <c r="F395">
        <f t="shared" si="12"/>
        <v>2011</v>
      </c>
      <c r="G395">
        <f t="shared" si="13"/>
        <v>4</v>
      </c>
      <c r="H395" t="str">
        <f>IF(ISNUMBER(FIND(",", E395)), TRIM(MID(E395, FIND(",", E395) + 1, LEN(E395))), E395)</f>
        <v>south of Panama</v>
      </c>
    </row>
    <row r="396" spans="1:8" x14ac:dyDescent="0.25">
      <c r="A396" s="2">
        <v>40657</v>
      </c>
      <c r="B396">
        <v>-4.5860000000000003</v>
      </c>
      <c r="C396">
        <v>122.771</v>
      </c>
      <c r="D396" t="s">
        <v>3</v>
      </c>
      <c r="E396" t="s">
        <v>182</v>
      </c>
      <c r="F396">
        <f t="shared" si="12"/>
        <v>2011</v>
      </c>
      <c r="G396">
        <f t="shared" si="13"/>
        <v>4</v>
      </c>
      <c r="H396" t="str">
        <f>IF(ISNUMBER(FIND(",", E396)), TRIM(MID(E396, FIND(",", E396) + 1, LEN(E396))), E396)</f>
        <v>Indonesia</v>
      </c>
    </row>
    <row r="397" spans="1:8" x14ac:dyDescent="0.25">
      <c r="A397" s="2">
        <v>40656</v>
      </c>
      <c r="B397">
        <v>-10.375</v>
      </c>
      <c r="C397">
        <v>161.19999999999999</v>
      </c>
      <c r="D397" t="s">
        <v>3</v>
      </c>
      <c r="E397" t="s">
        <v>221</v>
      </c>
      <c r="F397">
        <f t="shared" si="12"/>
        <v>2011</v>
      </c>
      <c r="G397">
        <f t="shared" si="13"/>
        <v>4</v>
      </c>
      <c r="H397" t="str">
        <f>IF(ISNUMBER(FIND(",", E397)), TRIM(MID(E397, FIND(",", E397) + 1, LEN(E397))), E397)</f>
        <v>Solomon Islands</v>
      </c>
    </row>
    <row r="398" spans="1:8" x14ac:dyDescent="0.25">
      <c r="A398" s="2">
        <v>40654</v>
      </c>
      <c r="B398">
        <v>35.579000000000001</v>
      </c>
      <c r="C398">
        <v>140.30500000000001</v>
      </c>
      <c r="D398" t="s">
        <v>3</v>
      </c>
      <c r="E398" t="s">
        <v>227</v>
      </c>
      <c r="F398">
        <f t="shared" si="12"/>
        <v>2011</v>
      </c>
      <c r="G398">
        <f t="shared" si="13"/>
        <v>4</v>
      </c>
      <c r="H398" t="str">
        <f>IF(ISNUMBER(FIND(",", E398)), TRIM(MID(E398, FIND(",", E398) + 1, LEN(E398))), E398)</f>
        <v>Japan</v>
      </c>
    </row>
    <row r="399" spans="1:8" x14ac:dyDescent="0.25">
      <c r="A399" s="2">
        <v>40651</v>
      </c>
      <c r="B399">
        <v>-34.335999999999999</v>
      </c>
      <c r="C399">
        <v>179.874</v>
      </c>
      <c r="D399" t="s">
        <v>3</v>
      </c>
      <c r="E399" t="s">
        <v>262</v>
      </c>
      <c r="F399">
        <f t="shared" si="12"/>
        <v>2011</v>
      </c>
      <c r="G399">
        <f t="shared" si="13"/>
        <v>4</v>
      </c>
      <c r="H399" t="str">
        <f>IF(ISNUMBER(FIND(",", E399)), TRIM(MID(E399, FIND(",", E399) + 1, LEN(E399))), E399)</f>
        <v>south of the Kermadec Islands</v>
      </c>
    </row>
    <row r="400" spans="1:8" x14ac:dyDescent="0.25">
      <c r="A400" s="2">
        <v>40646</v>
      </c>
      <c r="B400">
        <v>39.582999999999998</v>
      </c>
      <c r="C400">
        <v>143.34</v>
      </c>
      <c r="D400" t="s">
        <v>3</v>
      </c>
      <c r="E400" t="s">
        <v>189</v>
      </c>
      <c r="F400">
        <f t="shared" si="12"/>
        <v>2011</v>
      </c>
      <c r="G400">
        <f t="shared" si="13"/>
        <v>4</v>
      </c>
      <c r="H400" t="str">
        <f>IF(ISNUMBER(FIND(",", E400)), TRIM(MID(E400, FIND(",", E400) + 1, LEN(E400))), E400)</f>
        <v>Japan</v>
      </c>
    </row>
    <row r="401" spans="1:8" x14ac:dyDescent="0.25">
      <c r="A401" s="2">
        <v>40644</v>
      </c>
      <c r="B401">
        <v>35.417000000000002</v>
      </c>
      <c r="C401">
        <v>140.57499999999999</v>
      </c>
      <c r="D401" t="s">
        <v>3</v>
      </c>
      <c r="E401" t="s">
        <v>227</v>
      </c>
      <c r="F401">
        <f t="shared" si="12"/>
        <v>2011</v>
      </c>
      <c r="G401">
        <f t="shared" si="13"/>
        <v>4</v>
      </c>
      <c r="H401" t="str">
        <f>IF(ISNUMBER(FIND(",", E401)), TRIM(MID(E401, FIND(",", E401) + 1, LEN(E401))), E401)</f>
        <v>Japan</v>
      </c>
    </row>
    <row r="402" spans="1:8" x14ac:dyDescent="0.25">
      <c r="A402" s="2">
        <v>40644</v>
      </c>
      <c r="B402">
        <v>37.000999999999998</v>
      </c>
      <c r="C402">
        <v>140.40100000000001</v>
      </c>
      <c r="D402" t="s">
        <v>3</v>
      </c>
      <c r="E402" t="s">
        <v>293</v>
      </c>
      <c r="F402">
        <f t="shared" si="12"/>
        <v>2011</v>
      </c>
      <c r="G402">
        <f t="shared" si="13"/>
        <v>4</v>
      </c>
      <c r="H402" t="str">
        <f>IF(ISNUMBER(FIND(",", E402)), TRIM(MID(E402, FIND(",", E402) + 1, LEN(E402))), E402)</f>
        <v>Japan</v>
      </c>
    </row>
    <row r="403" spans="1:8" x14ac:dyDescent="0.25">
      <c r="A403" s="2">
        <v>40640</v>
      </c>
      <c r="B403">
        <v>38.276000000000003</v>
      </c>
      <c r="C403">
        <v>141.58799999999999</v>
      </c>
      <c r="D403" t="s">
        <v>3</v>
      </c>
      <c r="E403" t="s">
        <v>227</v>
      </c>
      <c r="F403">
        <f t="shared" si="12"/>
        <v>2011</v>
      </c>
      <c r="G403">
        <f t="shared" si="13"/>
        <v>4</v>
      </c>
      <c r="H403" t="str">
        <f>IF(ISNUMBER(FIND(",", E403)), TRIM(MID(E403, FIND(",", E403) + 1, LEN(E403))), E403)</f>
        <v>Japan</v>
      </c>
    </row>
    <row r="404" spans="1:8" x14ac:dyDescent="0.25">
      <c r="A404" s="2">
        <v>40640</v>
      </c>
      <c r="B404">
        <v>17.207999999999998</v>
      </c>
      <c r="C404">
        <v>-94.337999999999994</v>
      </c>
      <c r="D404" t="s">
        <v>3</v>
      </c>
      <c r="E404" t="s">
        <v>294</v>
      </c>
      <c r="F404">
        <f t="shared" si="12"/>
        <v>2011</v>
      </c>
      <c r="G404">
        <f t="shared" si="13"/>
        <v>4</v>
      </c>
      <c r="H404" t="str">
        <f>IF(ISNUMBER(FIND(",", E404)), TRIM(MID(E404, FIND(",", E404) + 1, LEN(E404))), E404)</f>
        <v>Mexico</v>
      </c>
    </row>
    <row r="405" spans="1:8" x14ac:dyDescent="0.25">
      <c r="A405" s="2">
        <v>40639</v>
      </c>
      <c r="B405">
        <v>1.615</v>
      </c>
      <c r="C405">
        <v>97.096999999999994</v>
      </c>
      <c r="D405" t="s">
        <v>3</v>
      </c>
      <c r="E405" t="s">
        <v>295</v>
      </c>
      <c r="F405">
        <f t="shared" si="12"/>
        <v>2011</v>
      </c>
      <c r="G405">
        <f t="shared" si="13"/>
        <v>4</v>
      </c>
      <c r="H405" t="str">
        <f>IF(ISNUMBER(FIND(",", E405)), TRIM(MID(E405, FIND(",", E405) + 1, LEN(E405))), E405)</f>
        <v>Indonesia</v>
      </c>
    </row>
    <row r="406" spans="1:8" x14ac:dyDescent="0.25">
      <c r="A406" s="2">
        <v>40636</v>
      </c>
      <c r="B406">
        <v>-9.8480000000000008</v>
      </c>
      <c r="C406">
        <v>107.693</v>
      </c>
      <c r="D406" t="s">
        <v>3</v>
      </c>
      <c r="E406" t="s">
        <v>212</v>
      </c>
      <c r="F406">
        <f t="shared" si="12"/>
        <v>2011</v>
      </c>
      <c r="G406">
        <f t="shared" si="13"/>
        <v>4</v>
      </c>
      <c r="H406" t="str">
        <f>IF(ISNUMBER(FIND(",", E406)), TRIM(MID(E406, FIND(",", E406) + 1, LEN(E406))), E406)</f>
        <v>Indonesia</v>
      </c>
    </row>
    <row r="407" spans="1:8" x14ac:dyDescent="0.25">
      <c r="A407" s="2">
        <v>40636</v>
      </c>
      <c r="B407">
        <v>-17.641999999999999</v>
      </c>
      <c r="C407">
        <v>-178.58500000000001</v>
      </c>
      <c r="D407" t="s">
        <v>3</v>
      </c>
      <c r="E407" t="s">
        <v>53</v>
      </c>
      <c r="F407">
        <f t="shared" si="12"/>
        <v>2011</v>
      </c>
      <c r="G407">
        <f t="shared" si="13"/>
        <v>4</v>
      </c>
      <c r="H407" t="str">
        <f>IF(ISNUMBER(FIND(",", E407)), TRIM(MID(E407, FIND(",", E407) + 1, LEN(E407))), E407)</f>
        <v>Fiji region</v>
      </c>
    </row>
    <row r="408" spans="1:8" x14ac:dyDescent="0.25">
      <c r="A408" s="2">
        <v>40634</v>
      </c>
      <c r="B408">
        <v>35.661999999999999</v>
      </c>
      <c r="C408">
        <v>26.56</v>
      </c>
      <c r="D408" t="s">
        <v>3</v>
      </c>
      <c r="E408" t="s">
        <v>296</v>
      </c>
      <c r="F408">
        <f t="shared" si="12"/>
        <v>2011</v>
      </c>
      <c r="G408">
        <f t="shared" si="13"/>
        <v>4</v>
      </c>
      <c r="H408" t="str">
        <f>IF(ISNUMBER(FIND(",", E408)), TRIM(MID(E408, FIND(",", E408) + 1, LEN(E408))), E408)</f>
        <v>Greece</v>
      </c>
    </row>
    <row r="409" spans="1:8" x14ac:dyDescent="0.25">
      <c r="A409" s="2">
        <v>40633</v>
      </c>
      <c r="B409">
        <v>38.921999999999997</v>
      </c>
      <c r="C409">
        <v>141.821</v>
      </c>
      <c r="D409" t="s">
        <v>3</v>
      </c>
      <c r="E409" t="s">
        <v>227</v>
      </c>
      <c r="F409">
        <f t="shared" si="12"/>
        <v>2011</v>
      </c>
      <c r="G409">
        <f t="shared" si="13"/>
        <v>3</v>
      </c>
      <c r="H409" t="str">
        <f>IF(ISNUMBER(FIND(",", E409)), TRIM(MID(E409, FIND(",", E409) + 1, LEN(E409))), E409)</f>
        <v>Japan</v>
      </c>
    </row>
    <row r="410" spans="1:8" x14ac:dyDescent="0.25">
      <c r="A410" s="2">
        <v>40633</v>
      </c>
      <c r="B410">
        <v>-16.541</v>
      </c>
      <c r="C410">
        <v>-177.517</v>
      </c>
      <c r="D410" t="s">
        <v>3</v>
      </c>
      <c r="E410" t="s">
        <v>53</v>
      </c>
      <c r="F410">
        <f t="shared" si="12"/>
        <v>2011</v>
      </c>
      <c r="G410">
        <f t="shared" si="13"/>
        <v>3</v>
      </c>
      <c r="H410" t="str">
        <f>IF(ISNUMBER(FIND(",", E410)), TRIM(MID(E410, FIND(",", E410) + 1, LEN(E410))), E410)</f>
        <v>Fiji region</v>
      </c>
    </row>
    <row r="411" spans="1:8" x14ac:dyDescent="0.25">
      <c r="A411" s="2">
        <v>40631</v>
      </c>
      <c r="B411">
        <v>37.401000000000003</v>
      </c>
      <c r="C411">
        <v>142.29</v>
      </c>
      <c r="D411" t="s">
        <v>3</v>
      </c>
      <c r="E411" t="s">
        <v>189</v>
      </c>
      <c r="F411">
        <f t="shared" si="12"/>
        <v>2011</v>
      </c>
      <c r="G411">
        <f t="shared" si="13"/>
        <v>3</v>
      </c>
      <c r="H411" t="str">
        <f>IF(ISNUMBER(FIND(",", E411)), TRIM(MID(E411, FIND(",", E411) + 1, LEN(E411))), E411)</f>
        <v>Japan</v>
      </c>
    </row>
    <row r="412" spans="1:8" x14ac:dyDescent="0.25">
      <c r="A412" s="2">
        <v>40629</v>
      </c>
      <c r="B412">
        <v>38.414999999999999</v>
      </c>
      <c r="C412">
        <v>142.011</v>
      </c>
      <c r="D412" t="s">
        <v>3</v>
      </c>
      <c r="E412" t="s">
        <v>227</v>
      </c>
      <c r="F412">
        <f t="shared" si="12"/>
        <v>2011</v>
      </c>
      <c r="G412">
        <f t="shared" si="13"/>
        <v>3</v>
      </c>
      <c r="H412" t="str">
        <f>IF(ISNUMBER(FIND(",", E412)), TRIM(MID(E412, FIND(",", E412) + 1, LEN(E412))), E412)</f>
        <v>Japan</v>
      </c>
    </row>
    <row r="413" spans="1:8" x14ac:dyDescent="0.25">
      <c r="A413" s="2">
        <v>40628</v>
      </c>
      <c r="B413">
        <v>-15.851000000000001</v>
      </c>
      <c r="C413">
        <v>-179.40600000000001</v>
      </c>
      <c r="D413" t="s">
        <v>3</v>
      </c>
      <c r="E413" t="s">
        <v>53</v>
      </c>
      <c r="F413">
        <f t="shared" si="12"/>
        <v>2011</v>
      </c>
      <c r="G413">
        <f t="shared" si="13"/>
        <v>3</v>
      </c>
      <c r="H413" t="str">
        <f>IF(ISNUMBER(FIND(",", E413)), TRIM(MID(E413, FIND(",", E413) + 1, LEN(E413))), E413)</f>
        <v>Fiji region</v>
      </c>
    </row>
    <row r="414" spans="1:8" x14ac:dyDescent="0.25">
      <c r="A414" s="2">
        <v>40628</v>
      </c>
      <c r="B414">
        <v>-15.848000000000001</v>
      </c>
      <c r="C414">
        <v>-179.405</v>
      </c>
      <c r="D414" t="s">
        <v>3</v>
      </c>
      <c r="E414" t="s">
        <v>53</v>
      </c>
      <c r="F414">
        <f t="shared" si="12"/>
        <v>2011</v>
      </c>
      <c r="G414">
        <f t="shared" si="13"/>
        <v>3</v>
      </c>
      <c r="H414" t="str">
        <f>IF(ISNUMBER(FIND(",", E414)), TRIM(MID(E414, FIND(",", E414) + 1, LEN(E414))), E414)</f>
        <v>Fiji region</v>
      </c>
    </row>
    <row r="415" spans="1:8" x14ac:dyDescent="0.25">
      <c r="A415" s="2">
        <v>40627</v>
      </c>
      <c r="B415">
        <v>38.771999999999998</v>
      </c>
      <c r="C415">
        <v>141.88</v>
      </c>
      <c r="D415" t="s">
        <v>3</v>
      </c>
      <c r="E415" t="s">
        <v>227</v>
      </c>
      <c r="F415">
        <f t="shared" si="12"/>
        <v>2011</v>
      </c>
      <c r="G415">
        <f t="shared" si="13"/>
        <v>3</v>
      </c>
      <c r="H415" t="str">
        <f>IF(ISNUMBER(FIND(",", E415)), TRIM(MID(E415, FIND(",", E415) + 1, LEN(E415))), E415)</f>
        <v>Japan</v>
      </c>
    </row>
    <row r="416" spans="1:8" x14ac:dyDescent="0.25">
      <c r="A416" s="2">
        <v>40626</v>
      </c>
      <c r="B416">
        <v>20.687000000000001</v>
      </c>
      <c r="C416">
        <v>99.822000000000003</v>
      </c>
      <c r="D416" t="s">
        <v>3</v>
      </c>
      <c r="E416" t="s">
        <v>197</v>
      </c>
      <c r="F416">
        <f t="shared" si="12"/>
        <v>2011</v>
      </c>
      <c r="G416">
        <f t="shared" si="13"/>
        <v>3</v>
      </c>
      <c r="H416" t="str">
        <f>IF(ISNUMBER(FIND(",", E416)), TRIM(MID(E416, FIND(",", E416) + 1, LEN(E416))), E416)</f>
        <v>Myanmar</v>
      </c>
    </row>
    <row r="417" spans="1:8" x14ac:dyDescent="0.25">
      <c r="A417" s="2">
        <v>40624</v>
      </c>
      <c r="B417">
        <v>39.850999999999999</v>
      </c>
      <c r="C417">
        <v>143.43700000000001</v>
      </c>
      <c r="D417" t="s">
        <v>3</v>
      </c>
      <c r="E417" t="s">
        <v>189</v>
      </c>
      <c r="F417">
        <f t="shared" si="12"/>
        <v>2011</v>
      </c>
      <c r="G417">
        <f t="shared" si="13"/>
        <v>3</v>
      </c>
      <c r="H417" t="str">
        <f>IF(ISNUMBER(FIND(",", E417)), TRIM(MID(E417, FIND(",", E417) + 1, LEN(E417))), E417)</f>
        <v>Japan</v>
      </c>
    </row>
    <row r="418" spans="1:8" x14ac:dyDescent="0.25">
      <c r="A418" s="2">
        <v>40624</v>
      </c>
      <c r="B418">
        <v>37.325000000000003</v>
      </c>
      <c r="C418">
        <v>141.791</v>
      </c>
      <c r="D418" t="s">
        <v>3</v>
      </c>
      <c r="E418" t="s">
        <v>227</v>
      </c>
      <c r="F418">
        <f t="shared" si="12"/>
        <v>2011</v>
      </c>
      <c r="G418">
        <f t="shared" si="13"/>
        <v>3</v>
      </c>
      <c r="H418" t="str">
        <f>IF(ISNUMBER(FIND(",", E418)), TRIM(MID(E418, FIND(",", E418) + 1, LEN(E418))), E418)</f>
        <v>Japan</v>
      </c>
    </row>
    <row r="419" spans="1:8" x14ac:dyDescent="0.25">
      <c r="A419" s="2">
        <v>40624</v>
      </c>
      <c r="B419">
        <v>37.244</v>
      </c>
      <c r="C419">
        <v>144.00299999999999</v>
      </c>
      <c r="D419" t="s">
        <v>3</v>
      </c>
      <c r="E419" t="s">
        <v>189</v>
      </c>
      <c r="F419">
        <f t="shared" si="12"/>
        <v>2011</v>
      </c>
      <c r="G419">
        <f t="shared" si="13"/>
        <v>3</v>
      </c>
      <c r="H419" t="str">
        <f>IF(ISNUMBER(FIND(",", E419)), TRIM(MID(E419, FIND(",", E419) + 1, LEN(E419))), E419)</f>
        <v>Japan</v>
      </c>
    </row>
    <row r="420" spans="1:8" x14ac:dyDescent="0.25">
      <c r="A420" s="2">
        <v>40622</v>
      </c>
      <c r="B420">
        <v>18.994</v>
      </c>
      <c r="C420">
        <v>121.246</v>
      </c>
      <c r="D420" t="s">
        <v>3</v>
      </c>
      <c r="E420" t="s">
        <v>297</v>
      </c>
      <c r="F420">
        <f t="shared" si="12"/>
        <v>2011</v>
      </c>
      <c r="G420">
        <f t="shared" si="13"/>
        <v>3</v>
      </c>
      <c r="H420" t="str">
        <f>IF(ISNUMBER(FIND(",", E420)), TRIM(MID(E420, FIND(",", E420) + 1, LEN(E420))), E420)</f>
        <v>Philippines</v>
      </c>
    </row>
    <row r="421" spans="1:8" x14ac:dyDescent="0.25">
      <c r="A421" s="2">
        <v>40619</v>
      </c>
      <c r="B421">
        <v>40.136000000000003</v>
      </c>
      <c r="C421">
        <v>142.16800000000001</v>
      </c>
      <c r="D421" t="s">
        <v>3</v>
      </c>
      <c r="E421" t="s">
        <v>227</v>
      </c>
      <c r="F421">
        <f t="shared" si="12"/>
        <v>2011</v>
      </c>
      <c r="G421">
        <f t="shared" si="13"/>
        <v>3</v>
      </c>
      <c r="H421" t="str">
        <f>IF(ISNUMBER(FIND(",", E421)), TRIM(MID(E421, FIND(",", E421) + 1, LEN(E421))), E421)</f>
        <v>Japan</v>
      </c>
    </row>
    <row r="422" spans="1:8" x14ac:dyDescent="0.25">
      <c r="A422" s="2">
        <v>40619</v>
      </c>
      <c r="B422">
        <v>-17.274999999999999</v>
      </c>
      <c r="C422">
        <v>167.82599999999999</v>
      </c>
      <c r="D422" t="s">
        <v>3</v>
      </c>
      <c r="E422" t="s">
        <v>181</v>
      </c>
      <c r="F422">
        <f t="shared" si="12"/>
        <v>2011</v>
      </c>
      <c r="G422">
        <f t="shared" si="13"/>
        <v>3</v>
      </c>
      <c r="H422" t="str">
        <f>IF(ISNUMBER(FIND(",", E422)), TRIM(MID(E422, FIND(",", E422) + 1, LEN(E422))), E422)</f>
        <v>Vanuatu</v>
      </c>
    </row>
    <row r="423" spans="1:8" x14ac:dyDescent="0.25">
      <c r="A423" s="2">
        <v>40617</v>
      </c>
      <c r="B423">
        <v>40.335000000000001</v>
      </c>
      <c r="C423">
        <v>143.28800000000001</v>
      </c>
      <c r="D423" t="s">
        <v>7</v>
      </c>
      <c r="E423" t="s">
        <v>189</v>
      </c>
      <c r="F423">
        <f t="shared" si="12"/>
        <v>2011</v>
      </c>
      <c r="G423">
        <f t="shared" si="13"/>
        <v>3</v>
      </c>
      <c r="H423" t="str">
        <f>IF(ISNUMBER(FIND(",", E423)), TRIM(MID(E423, FIND(",", E423) + 1, LEN(E423))), E423)</f>
        <v>Japan</v>
      </c>
    </row>
    <row r="424" spans="1:8" x14ac:dyDescent="0.25">
      <c r="A424" s="2">
        <v>40617</v>
      </c>
      <c r="B424">
        <v>35.271999999999998</v>
      </c>
      <c r="C424">
        <v>138.58199999999999</v>
      </c>
      <c r="D424" t="s">
        <v>3</v>
      </c>
      <c r="E424" t="s">
        <v>293</v>
      </c>
      <c r="F424">
        <f t="shared" si="12"/>
        <v>2011</v>
      </c>
      <c r="G424">
        <f t="shared" si="13"/>
        <v>3</v>
      </c>
      <c r="H424" t="str">
        <f>IF(ISNUMBER(FIND(",", E424)), TRIM(MID(E424, FIND(",", E424) + 1, LEN(E424))), E424)</f>
        <v>Japan</v>
      </c>
    </row>
    <row r="425" spans="1:8" x14ac:dyDescent="0.25">
      <c r="A425" s="2">
        <v>40617</v>
      </c>
      <c r="B425">
        <v>37.576000000000001</v>
      </c>
      <c r="C425">
        <v>142.23699999999999</v>
      </c>
      <c r="D425" t="s">
        <v>3</v>
      </c>
      <c r="E425" t="s">
        <v>189</v>
      </c>
      <c r="F425">
        <f t="shared" si="12"/>
        <v>2011</v>
      </c>
      <c r="G425">
        <f t="shared" si="13"/>
        <v>3</v>
      </c>
      <c r="H425" t="str">
        <f>IF(ISNUMBER(FIND(",", E425)), TRIM(MID(E425, FIND(",", E425) + 1, LEN(E425))), E425)</f>
        <v>Japan</v>
      </c>
    </row>
    <row r="426" spans="1:8" x14ac:dyDescent="0.25">
      <c r="A426" s="2">
        <v>40616</v>
      </c>
      <c r="B426">
        <v>37.784999999999997</v>
      </c>
      <c r="C426">
        <v>142.45599999999999</v>
      </c>
      <c r="D426" t="s">
        <v>3</v>
      </c>
      <c r="E426" t="s">
        <v>189</v>
      </c>
      <c r="F426">
        <f t="shared" si="12"/>
        <v>2011</v>
      </c>
      <c r="G426">
        <f t="shared" si="13"/>
        <v>3</v>
      </c>
      <c r="H426" t="str">
        <f>IF(ISNUMBER(FIND(",", E426)), TRIM(MID(E426, FIND(",", E426) + 1, LEN(E426))), E426)</f>
        <v>Japan</v>
      </c>
    </row>
    <row r="427" spans="1:8" x14ac:dyDescent="0.25">
      <c r="A427" s="2">
        <v>40615</v>
      </c>
      <c r="B427">
        <v>35.722999999999999</v>
      </c>
      <c r="C427">
        <v>141.637</v>
      </c>
      <c r="D427" t="s">
        <v>3</v>
      </c>
      <c r="E427" t="s">
        <v>227</v>
      </c>
      <c r="F427">
        <f t="shared" si="12"/>
        <v>2011</v>
      </c>
      <c r="G427">
        <f t="shared" si="13"/>
        <v>3</v>
      </c>
      <c r="H427" t="str">
        <f>IF(ISNUMBER(FIND(",", E427)), TRIM(MID(E427, FIND(",", E427) + 1, LEN(E427))), E427)</f>
        <v>Japan</v>
      </c>
    </row>
    <row r="428" spans="1:8" x14ac:dyDescent="0.25">
      <c r="A428" s="2">
        <v>40614</v>
      </c>
      <c r="B428">
        <v>38.046999999999997</v>
      </c>
      <c r="C428">
        <v>141.72</v>
      </c>
      <c r="D428" t="s">
        <v>5</v>
      </c>
      <c r="E428" t="s">
        <v>227</v>
      </c>
      <c r="F428">
        <f t="shared" si="12"/>
        <v>2011</v>
      </c>
      <c r="G428">
        <f t="shared" si="13"/>
        <v>3</v>
      </c>
      <c r="H428" t="str">
        <f>IF(ISNUMBER(FIND(",", E428)), TRIM(MID(E428, FIND(",", E428) + 1, LEN(E428))), E428)</f>
        <v>Japan</v>
      </c>
    </row>
    <row r="429" spans="1:8" x14ac:dyDescent="0.25">
      <c r="A429" s="2">
        <v>40614</v>
      </c>
      <c r="B429">
        <v>37.249000000000002</v>
      </c>
      <c r="C429">
        <v>141.15899999999999</v>
      </c>
      <c r="D429" t="s">
        <v>3</v>
      </c>
      <c r="E429" t="s">
        <v>227</v>
      </c>
      <c r="F429">
        <f t="shared" si="12"/>
        <v>2011</v>
      </c>
      <c r="G429">
        <f t="shared" si="13"/>
        <v>3</v>
      </c>
      <c r="H429" t="str">
        <f>IF(ISNUMBER(FIND(",", E429)), TRIM(MID(E429, FIND(",", E429) + 1, LEN(E429))), E429)</f>
        <v>Japan</v>
      </c>
    </row>
    <row r="430" spans="1:8" x14ac:dyDescent="0.25">
      <c r="A430" s="2">
        <v>40614</v>
      </c>
      <c r="B430">
        <v>37.594000000000001</v>
      </c>
      <c r="C430">
        <v>142.648</v>
      </c>
      <c r="D430" t="s">
        <v>3</v>
      </c>
      <c r="E430" t="s">
        <v>189</v>
      </c>
      <c r="F430">
        <f t="shared" si="12"/>
        <v>2011</v>
      </c>
      <c r="G430">
        <f t="shared" si="13"/>
        <v>3</v>
      </c>
      <c r="H430" t="str">
        <f>IF(ISNUMBER(FIND(",", E430)), TRIM(MID(E430, FIND(",", E430) + 1, LEN(E430))), E430)</f>
        <v>Japan</v>
      </c>
    </row>
    <row r="431" spans="1:8" x14ac:dyDescent="0.25">
      <c r="A431" s="2">
        <v>40613</v>
      </c>
      <c r="B431">
        <v>39.005000000000003</v>
      </c>
      <c r="C431">
        <v>142.63300000000001</v>
      </c>
      <c r="D431" t="s">
        <v>7</v>
      </c>
      <c r="E431" t="s">
        <v>227</v>
      </c>
      <c r="F431">
        <f t="shared" si="12"/>
        <v>2011</v>
      </c>
      <c r="G431">
        <f t="shared" si="13"/>
        <v>3</v>
      </c>
      <c r="H431" t="str">
        <f>IF(ISNUMBER(FIND(",", E431)), TRIM(MID(E431, FIND(",", E431) + 1, LEN(E431))), E431)</f>
        <v>Japan</v>
      </c>
    </row>
    <row r="432" spans="1:8" x14ac:dyDescent="0.25">
      <c r="A432" s="2">
        <v>40613</v>
      </c>
      <c r="B432">
        <v>40.482999999999997</v>
      </c>
      <c r="C432">
        <v>139.05500000000001</v>
      </c>
      <c r="D432" t="s">
        <v>7</v>
      </c>
      <c r="E432" t="s">
        <v>298</v>
      </c>
      <c r="F432">
        <f t="shared" si="12"/>
        <v>2011</v>
      </c>
      <c r="G432">
        <f t="shared" si="13"/>
        <v>3</v>
      </c>
      <c r="H432" t="str">
        <f>IF(ISNUMBER(FIND(",", E432)), TRIM(MID(E432, FIND(",", E432) + 1, LEN(E432))), E432)</f>
        <v>Japan</v>
      </c>
    </row>
    <row r="433" spans="1:8" x14ac:dyDescent="0.25">
      <c r="A433" s="2">
        <v>40613</v>
      </c>
      <c r="B433">
        <v>39.341999999999999</v>
      </c>
      <c r="C433">
        <v>142.87200000000001</v>
      </c>
      <c r="D433" t="s">
        <v>5</v>
      </c>
      <c r="E433" t="s">
        <v>227</v>
      </c>
      <c r="F433">
        <f t="shared" si="12"/>
        <v>2011</v>
      </c>
      <c r="G433">
        <f t="shared" si="13"/>
        <v>3</v>
      </c>
      <c r="H433" t="str">
        <f>IF(ISNUMBER(FIND(",", E433)), TRIM(MID(E433, FIND(",", E433) + 1, LEN(E433))), E433)</f>
        <v>Japan</v>
      </c>
    </row>
    <row r="434" spans="1:8" x14ac:dyDescent="0.25">
      <c r="A434" s="2">
        <v>40613</v>
      </c>
      <c r="B434">
        <v>37.014000000000003</v>
      </c>
      <c r="C434">
        <v>138.376</v>
      </c>
      <c r="D434" t="s">
        <v>5</v>
      </c>
      <c r="E434" t="s">
        <v>298</v>
      </c>
      <c r="F434">
        <f t="shared" si="12"/>
        <v>2011</v>
      </c>
      <c r="G434">
        <f t="shared" si="13"/>
        <v>3</v>
      </c>
      <c r="H434" t="str">
        <f>IF(ISNUMBER(FIND(",", E434)), TRIM(MID(E434, FIND(",", E434) + 1, LEN(E434))), E434)</f>
        <v>Japan</v>
      </c>
    </row>
    <row r="435" spans="1:8" x14ac:dyDescent="0.25">
      <c r="A435" s="2">
        <v>40613</v>
      </c>
      <c r="B435">
        <v>36.398000000000003</v>
      </c>
      <c r="C435">
        <v>141.864</v>
      </c>
      <c r="D435" t="s">
        <v>13</v>
      </c>
      <c r="E435" t="s">
        <v>227</v>
      </c>
      <c r="F435">
        <f t="shared" si="12"/>
        <v>2011</v>
      </c>
      <c r="G435">
        <f t="shared" si="13"/>
        <v>3</v>
      </c>
      <c r="H435" t="str">
        <f>IF(ISNUMBER(FIND(",", E435)), TRIM(MID(E435, FIND(",", E435) + 1, LEN(E435))), E435)</f>
        <v>Japan</v>
      </c>
    </row>
    <row r="436" spans="1:8" x14ac:dyDescent="0.25">
      <c r="A436" s="2">
        <v>40613</v>
      </c>
      <c r="B436">
        <v>35.994</v>
      </c>
      <c r="C436">
        <v>141.80799999999999</v>
      </c>
      <c r="D436" t="s">
        <v>5</v>
      </c>
      <c r="E436" t="s">
        <v>227</v>
      </c>
      <c r="F436">
        <f t="shared" si="12"/>
        <v>2011</v>
      </c>
      <c r="G436">
        <f t="shared" si="13"/>
        <v>3</v>
      </c>
      <c r="H436" t="str">
        <f>IF(ISNUMBER(FIND(",", E436)), TRIM(MID(E436, FIND(",", E436) + 1, LEN(E436))), E436)</f>
        <v>Japan</v>
      </c>
    </row>
    <row r="437" spans="1:8" x14ac:dyDescent="0.25">
      <c r="A437" s="2">
        <v>40613</v>
      </c>
      <c r="B437">
        <v>39.241</v>
      </c>
      <c r="C437">
        <v>142.46299999999999</v>
      </c>
      <c r="D437" t="s">
        <v>14</v>
      </c>
      <c r="E437" t="s">
        <v>227</v>
      </c>
      <c r="F437">
        <f t="shared" si="12"/>
        <v>2011</v>
      </c>
      <c r="G437">
        <f t="shared" si="13"/>
        <v>3</v>
      </c>
      <c r="H437" t="str">
        <f>IF(ISNUMBER(FIND(",", E437)), TRIM(MID(E437, FIND(",", E437) + 1, LEN(E437))), E437)</f>
        <v>Japan</v>
      </c>
    </row>
    <row r="438" spans="1:8" x14ac:dyDescent="0.25">
      <c r="A438" s="2">
        <v>40613</v>
      </c>
      <c r="B438">
        <v>39.185000000000002</v>
      </c>
      <c r="C438">
        <v>142.76</v>
      </c>
      <c r="D438" t="s">
        <v>13</v>
      </c>
      <c r="E438" t="s">
        <v>227</v>
      </c>
      <c r="F438">
        <f t="shared" si="12"/>
        <v>2011</v>
      </c>
      <c r="G438">
        <f t="shared" si="13"/>
        <v>3</v>
      </c>
      <c r="H438" t="str">
        <f>IF(ISNUMBER(FIND(",", E438)), TRIM(MID(E438, FIND(",", E438) + 1, LEN(E438))), E438)</f>
        <v>Japan</v>
      </c>
    </row>
    <row r="439" spans="1:8" x14ac:dyDescent="0.25">
      <c r="A439" s="2">
        <v>40613</v>
      </c>
      <c r="B439">
        <v>39.14</v>
      </c>
      <c r="C439">
        <v>142.96700000000001</v>
      </c>
      <c r="D439" t="s">
        <v>13</v>
      </c>
      <c r="E439" t="s">
        <v>227</v>
      </c>
      <c r="F439">
        <f t="shared" si="12"/>
        <v>2011</v>
      </c>
      <c r="G439">
        <f t="shared" si="13"/>
        <v>3</v>
      </c>
      <c r="H439" t="str">
        <f>IF(ISNUMBER(FIND(",", E439)), TRIM(MID(E439, FIND(",", E439) + 1, LEN(E439))), E439)</f>
        <v>Japan</v>
      </c>
    </row>
    <row r="440" spans="1:8" x14ac:dyDescent="0.25">
      <c r="A440" s="2">
        <v>40613</v>
      </c>
      <c r="B440">
        <v>37.469000000000001</v>
      </c>
      <c r="C440">
        <v>141.17599999999999</v>
      </c>
      <c r="D440" t="s">
        <v>13</v>
      </c>
      <c r="E440" t="s">
        <v>227</v>
      </c>
      <c r="F440">
        <f t="shared" si="12"/>
        <v>2011</v>
      </c>
      <c r="G440">
        <f t="shared" si="13"/>
        <v>3</v>
      </c>
      <c r="H440" t="str">
        <f>IF(ISNUMBER(FIND(",", E440)), TRIM(MID(E440, FIND(",", E440) + 1, LEN(E440))), E440)</f>
        <v>Japan</v>
      </c>
    </row>
    <row r="441" spans="1:8" x14ac:dyDescent="0.25">
      <c r="A441" s="2">
        <v>40613</v>
      </c>
      <c r="B441">
        <v>38.017000000000003</v>
      </c>
      <c r="C441">
        <v>142.65700000000001</v>
      </c>
      <c r="D441" t="s">
        <v>13</v>
      </c>
      <c r="E441" t="s">
        <v>227</v>
      </c>
      <c r="F441">
        <f t="shared" si="12"/>
        <v>2011</v>
      </c>
      <c r="G441">
        <f t="shared" si="13"/>
        <v>3</v>
      </c>
      <c r="H441" t="str">
        <f>IF(ISNUMBER(FIND(",", E441)), TRIM(MID(E441, FIND(",", E441) + 1, LEN(E441))), E441)</f>
        <v>Japan</v>
      </c>
    </row>
    <row r="442" spans="1:8" x14ac:dyDescent="0.25">
      <c r="A442" s="2">
        <v>40613</v>
      </c>
      <c r="B442">
        <v>37.366999999999997</v>
      </c>
      <c r="C442">
        <v>143.017</v>
      </c>
      <c r="D442" t="s">
        <v>13</v>
      </c>
      <c r="E442" t="s">
        <v>189</v>
      </c>
      <c r="F442">
        <f t="shared" si="12"/>
        <v>2011</v>
      </c>
      <c r="G442">
        <f t="shared" si="13"/>
        <v>3</v>
      </c>
      <c r="H442" t="str">
        <f>IF(ISNUMBER(FIND(",", E442)), TRIM(MID(E442, FIND(",", E442) + 1, LEN(E442))), E442)</f>
        <v>Japan</v>
      </c>
    </row>
    <row r="443" spans="1:8" x14ac:dyDescent="0.25">
      <c r="A443" s="2">
        <v>40613</v>
      </c>
      <c r="B443">
        <v>36.165999999999997</v>
      </c>
      <c r="C443">
        <v>141.56200000000001</v>
      </c>
      <c r="D443" t="s">
        <v>13</v>
      </c>
      <c r="E443" t="s">
        <v>227</v>
      </c>
      <c r="F443">
        <f t="shared" si="12"/>
        <v>2011</v>
      </c>
      <c r="G443">
        <f t="shared" si="13"/>
        <v>3</v>
      </c>
      <c r="H443" t="str">
        <f>IF(ISNUMBER(FIND(",", E443)), TRIM(MID(E443, FIND(",", E443) + 1, LEN(E443))), E443)</f>
        <v>Japan</v>
      </c>
    </row>
    <row r="444" spans="1:8" x14ac:dyDescent="0.25">
      <c r="A444" s="2">
        <v>40613</v>
      </c>
      <c r="B444">
        <v>37.046999999999997</v>
      </c>
      <c r="C444">
        <v>144.541</v>
      </c>
      <c r="D444" t="s">
        <v>13</v>
      </c>
      <c r="E444" t="s">
        <v>189</v>
      </c>
      <c r="F444">
        <f t="shared" si="12"/>
        <v>2011</v>
      </c>
      <c r="G444">
        <f t="shared" si="13"/>
        <v>3</v>
      </c>
      <c r="H444" t="str">
        <f>IF(ISNUMBER(FIND(",", E444)), TRIM(MID(E444, FIND(",", E444) + 1, LEN(E444))), E444)</f>
        <v>Japan</v>
      </c>
    </row>
    <row r="445" spans="1:8" x14ac:dyDescent="0.25">
      <c r="A445" s="2">
        <v>40613</v>
      </c>
      <c r="B445">
        <v>36.569000000000003</v>
      </c>
      <c r="C445">
        <v>141.48599999999999</v>
      </c>
      <c r="D445" t="s">
        <v>13</v>
      </c>
      <c r="E445" t="s">
        <v>227</v>
      </c>
      <c r="F445">
        <f t="shared" si="12"/>
        <v>2011</v>
      </c>
      <c r="G445">
        <f t="shared" si="13"/>
        <v>3</v>
      </c>
      <c r="H445" t="str">
        <f>IF(ISNUMBER(FIND(",", E445)), TRIM(MID(E445, FIND(",", E445) + 1, LEN(E445))), E445)</f>
        <v>Japan</v>
      </c>
    </row>
    <row r="446" spans="1:8" x14ac:dyDescent="0.25">
      <c r="A446" s="2">
        <v>40613</v>
      </c>
      <c r="B446">
        <v>37.442</v>
      </c>
      <c r="C446">
        <v>141.19499999999999</v>
      </c>
      <c r="D446" t="s">
        <v>13</v>
      </c>
      <c r="E446" t="s">
        <v>227</v>
      </c>
      <c r="F446">
        <f t="shared" si="12"/>
        <v>2011</v>
      </c>
      <c r="G446">
        <f t="shared" si="13"/>
        <v>3</v>
      </c>
      <c r="H446" t="str">
        <f>IF(ISNUMBER(FIND(",", E446)), TRIM(MID(E446, FIND(",", E446) + 1, LEN(E446))), E446)</f>
        <v>Japan</v>
      </c>
    </row>
    <row r="447" spans="1:8" x14ac:dyDescent="0.25">
      <c r="A447" s="2">
        <v>40613</v>
      </c>
      <c r="B447">
        <v>39.030999999999999</v>
      </c>
      <c r="C447">
        <v>142.34899999999999</v>
      </c>
      <c r="D447" t="s">
        <v>13</v>
      </c>
      <c r="E447" t="s">
        <v>227</v>
      </c>
      <c r="F447">
        <f t="shared" si="12"/>
        <v>2011</v>
      </c>
      <c r="G447">
        <f t="shared" si="13"/>
        <v>3</v>
      </c>
      <c r="H447" t="str">
        <f>IF(ISNUMBER(FIND(",", E447)), TRIM(MID(E447, FIND(",", E447) + 1, LEN(E447))), E447)</f>
        <v>Japan</v>
      </c>
    </row>
    <row r="448" spans="1:8" x14ac:dyDescent="0.25">
      <c r="A448" s="2">
        <v>40613</v>
      </c>
      <c r="B448">
        <v>36.823</v>
      </c>
      <c r="C448">
        <v>141.82400000000001</v>
      </c>
      <c r="D448" t="s">
        <v>13</v>
      </c>
      <c r="E448" t="s">
        <v>227</v>
      </c>
      <c r="F448">
        <f t="shared" si="12"/>
        <v>2011</v>
      </c>
      <c r="G448">
        <f t="shared" si="13"/>
        <v>3</v>
      </c>
      <c r="H448" t="str">
        <f>IF(ISNUMBER(FIND(",", E448)), TRIM(MID(E448, FIND(",", E448) + 1, LEN(E448))), E448)</f>
        <v>Japan</v>
      </c>
    </row>
    <row r="449" spans="1:8" x14ac:dyDescent="0.25">
      <c r="A449" s="2">
        <v>40613</v>
      </c>
      <c r="B449">
        <v>37.933999999999997</v>
      </c>
      <c r="C449">
        <v>144.529</v>
      </c>
      <c r="D449" t="s">
        <v>13</v>
      </c>
      <c r="E449" t="s">
        <v>189</v>
      </c>
      <c r="F449">
        <f t="shared" si="12"/>
        <v>2011</v>
      </c>
      <c r="G449">
        <f t="shared" si="13"/>
        <v>3</v>
      </c>
      <c r="H449" t="str">
        <f>IF(ISNUMBER(FIND(",", E449)), TRIM(MID(E449, FIND(",", E449) + 1, LEN(E449))), E449)</f>
        <v>Japan</v>
      </c>
    </row>
    <row r="450" spans="1:8" x14ac:dyDescent="0.25">
      <c r="A450" s="2">
        <v>40613</v>
      </c>
      <c r="B450">
        <v>36.585999999999999</v>
      </c>
      <c r="C450">
        <v>141.82300000000001</v>
      </c>
      <c r="D450" t="s">
        <v>13</v>
      </c>
      <c r="E450" t="s">
        <v>227</v>
      </c>
      <c r="F450">
        <f t="shared" ref="F450:F513" si="14">YEAR(A450)</f>
        <v>2011</v>
      </c>
      <c r="G450">
        <f t="shared" si="13"/>
        <v>3</v>
      </c>
      <c r="H450" t="str">
        <f>IF(ISNUMBER(FIND(",", E450)), TRIM(MID(E450, FIND(",", E450) + 1, LEN(E450))), E450)</f>
        <v>Japan</v>
      </c>
    </row>
    <row r="451" spans="1:8" x14ac:dyDescent="0.25">
      <c r="A451" s="2">
        <v>40613</v>
      </c>
      <c r="B451">
        <v>37.356999999999999</v>
      </c>
      <c r="C451">
        <v>144.72499999999999</v>
      </c>
      <c r="D451" t="s">
        <v>13</v>
      </c>
      <c r="E451" t="s">
        <v>189</v>
      </c>
      <c r="F451">
        <f t="shared" si="14"/>
        <v>2011</v>
      </c>
      <c r="G451">
        <f t="shared" ref="G451:G514" si="15">MONTH(A451)</f>
        <v>3</v>
      </c>
      <c r="H451" t="str">
        <f>IF(ISNUMBER(FIND(",", E451)), TRIM(MID(E451, FIND(",", E451) + 1, LEN(E451))), E451)</f>
        <v>Japan</v>
      </c>
    </row>
    <row r="452" spans="1:8" x14ac:dyDescent="0.25">
      <c r="A452" s="2">
        <v>40613</v>
      </c>
      <c r="B452">
        <v>35.712000000000003</v>
      </c>
      <c r="C452">
        <v>140.875</v>
      </c>
      <c r="D452" t="s">
        <v>13</v>
      </c>
      <c r="E452" t="s">
        <v>227</v>
      </c>
      <c r="F452">
        <f t="shared" si="14"/>
        <v>2011</v>
      </c>
      <c r="G452">
        <f t="shared" si="15"/>
        <v>3</v>
      </c>
      <c r="H452" t="str">
        <f>IF(ISNUMBER(FIND(",", E452)), TRIM(MID(E452, FIND(",", E452) + 1, LEN(E452))), E452)</f>
        <v>Japan</v>
      </c>
    </row>
    <row r="453" spans="1:8" x14ac:dyDescent="0.25">
      <c r="A453" s="2">
        <v>40613</v>
      </c>
      <c r="B453">
        <v>37.337000000000003</v>
      </c>
      <c r="C453">
        <v>144.23699999999999</v>
      </c>
      <c r="D453" t="s">
        <v>13</v>
      </c>
      <c r="E453" t="s">
        <v>189</v>
      </c>
      <c r="F453">
        <f t="shared" si="14"/>
        <v>2011</v>
      </c>
      <c r="G453">
        <f t="shared" si="15"/>
        <v>3</v>
      </c>
      <c r="H453" t="str">
        <f>IF(ISNUMBER(FIND(",", E453)), TRIM(MID(E453, FIND(",", E453) + 1, LEN(E453))), E453)</f>
        <v>Japan</v>
      </c>
    </row>
    <row r="454" spans="1:8" x14ac:dyDescent="0.25">
      <c r="A454" s="2">
        <v>40613</v>
      </c>
      <c r="B454">
        <v>37.960999999999999</v>
      </c>
      <c r="C454">
        <v>142.72399999999999</v>
      </c>
      <c r="D454" t="s">
        <v>13</v>
      </c>
      <c r="E454" t="s">
        <v>189</v>
      </c>
      <c r="F454">
        <f t="shared" si="14"/>
        <v>2011</v>
      </c>
      <c r="G454">
        <f t="shared" si="15"/>
        <v>3</v>
      </c>
      <c r="H454" t="str">
        <f>IF(ISNUMBER(FIND(",", E454)), TRIM(MID(E454, FIND(",", E454) + 1, LEN(E454))), E454)</f>
        <v>Japan</v>
      </c>
    </row>
    <row r="455" spans="1:8" x14ac:dyDescent="0.25">
      <c r="A455" s="2">
        <v>40613</v>
      </c>
      <c r="B455">
        <v>37.811999999999998</v>
      </c>
      <c r="C455">
        <v>144.233</v>
      </c>
      <c r="D455" t="s">
        <v>13</v>
      </c>
      <c r="E455" t="s">
        <v>189</v>
      </c>
      <c r="F455">
        <f t="shared" si="14"/>
        <v>2011</v>
      </c>
      <c r="G455">
        <f t="shared" si="15"/>
        <v>3</v>
      </c>
      <c r="H455" t="str">
        <f>IF(ISNUMBER(FIND(",", E455)), TRIM(MID(E455, FIND(",", E455) + 1, LEN(E455))), E455)</f>
        <v>Japan</v>
      </c>
    </row>
    <row r="456" spans="1:8" x14ac:dyDescent="0.25">
      <c r="A456" s="2">
        <v>40613</v>
      </c>
      <c r="B456">
        <v>38.058</v>
      </c>
      <c r="C456">
        <v>144.59</v>
      </c>
      <c r="D456" t="s">
        <v>7</v>
      </c>
      <c r="E456" t="s">
        <v>189</v>
      </c>
      <c r="F456">
        <f t="shared" si="14"/>
        <v>2011</v>
      </c>
      <c r="G456">
        <f t="shared" si="15"/>
        <v>3</v>
      </c>
      <c r="H456" t="str">
        <f>IF(ISNUMBER(FIND(",", E456)), TRIM(MID(E456, FIND(",", E456) + 1, LEN(E456))), E456)</f>
        <v>Japan</v>
      </c>
    </row>
    <row r="457" spans="1:8" x14ac:dyDescent="0.25">
      <c r="A457" s="2">
        <v>40613</v>
      </c>
      <c r="B457">
        <v>39.03</v>
      </c>
      <c r="C457">
        <v>142.28399999999999</v>
      </c>
      <c r="D457" t="s">
        <v>13</v>
      </c>
      <c r="E457" t="s">
        <v>227</v>
      </c>
      <c r="F457">
        <f t="shared" si="14"/>
        <v>2011</v>
      </c>
      <c r="G457">
        <f t="shared" si="15"/>
        <v>3</v>
      </c>
      <c r="H457" t="str">
        <f>IF(ISNUMBER(FIND(",", E457)), TRIM(MID(E457, FIND(",", E457) + 1, LEN(E457))), E457)</f>
        <v>Japan</v>
      </c>
    </row>
    <row r="458" spans="1:8" x14ac:dyDescent="0.25">
      <c r="A458" s="2">
        <v>40613</v>
      </c>
      <c r="B458">
        <v>38.29</v>
      </c>
      <c r="C458">
        <v>142.81299999999999</v>
      </c>
      <c r="D458" t="s">
        <v>13</v>
      </c>
      <c r="E458" t="s">
        <v>227</v>
      </c>
      <c r="F458">
        <f t="shared" si="14"/>
        <v>2011</v>
      </c>
      <c r="G458">
        <f t="shared" si="15"/>
        <v>3</v>
      </c>
      <c r="H458" t="str">
        <f>IF(ISNUMBER(FIND(",", E458)), TRIM(MID(E458, FIND(",", E458) + 1, LEN(E458))), E458)</f>
        <v>Japan</v>
      </c>
    </row>
    <row r="459" spans="1:8" x14ac:dyDescent="0.25">
      <c r="A459" s="2">
        <v>40613</v>
      </c>
      <c r="B459">
        <v>36.003999999999998</v>
      </c>
      <c r="C459">
        <v>142.06700000000001</v>
      </c>
      <c r="D459" t="s">
        <v>13</v>
      </c>
      <c r="E459" t="s">
        <v>189</v>
      </c>
      <c r="F459">
        <f t="shared" si="14"/>
        <v>2011</v>
      </c>
      <c r="G459">
        <f t="shared" si="15"/>
        <v>3</v>
      </c>
      <c r="H459" t="str">
        <f>IF(ISNUMBER(FIND(",", E459)), TRIM(MID(E459, FIND(",", E459) + 1, LEN(E459))), E459)</f>
        <v>Japan</v>
      </c>
    </row>
    <row r="460" spans="1:8" x14ac:dyDescent="0.25">
      <c r="A460" s="2">
        <v>40613</v>
      </c>
      <c r="B460">
        <v>36.023000000000003</v>
      </c>
      <c r="C460">
        <v>142.26900000000001</v>
      </c>
      <c r="D460" t="s">
        <v>13</v>
      </c>
      <c r="E460" t="s">
        <v>189</v>
      </c>
      <c r="F460">
        <f t="shared" si="14"/>
        <v>2011</v>
      </c>
      <c r="G460">
        <f t="shared" si="15"/>
        <v>3</v>
      </c>
      <c r="H460" t="str">
        <f>IF(ISNUMBER(FIND(",", E460)), TRIM(MID(E460, FIND(",", E460) + 1, LEN(E460))), E460)</f>
        <v>Japan</v>
      </c>
    </row>
    <row r="461" spans="1:8" x14ac:dyDescent="0.25">
      <c r="A461" s="2">
        <v>40613</v>
      </c>
      <c r="B461">
        <v>36.280999999999999</v>
      </c>
      <c r="C461">
        <v>141.11099999999999</v>
      </c>
      <c r="D461" t="s">
        <v>7</v>
      </c>
      <c r="E461" t="s">
        <v>227</v>
      </c>
      <c r="F461">
        <f t="shared" si="14"/>
        <v>2011</v>
      </c>
      <c r="G461">
        <f t="shared" si="15"/>
        <v>3</v>
      </c>
      <c r="H461" t="str">
        <f>IF(ISNUMBER(FIND(",", E461)), TRIM(MID(E461, FIND(",", E461) + 1, LEN(E461))), E461)</f>
        <v>Japan</v>
      </c>
    </row>
    <row r="462" spans="1:8" x14ac:dyDescent="0.25">
      <c r="A462" s="2">
        <v>40613</v>
      </c>
      <c r="B462">
        <v>37.93</v>
      </c>
      <c r="C462">
        <v>143.80199999999999</v>
      </c>
      <c r="D462" t="s">
        <v>13</v>
      </c>
      <c r="E462" t="s">
        <v>189</v>
      </c>
      <c r="F462">
        <f t="shared" si="14"/>
        <v>2011</v>
      </c>
      <c r="G462">
        <f t="shared" si="15"/>
        <v>3</v>
      </c>
      <c r="H462" t="str">
        <f>IF(ISNUMBER(FIND(",", E462)), TRIM(MID(E462, FIND(",", E462) + 1, LEN(E462))), E462)</f>
        <v>Japan</v>
      </c>
    </row>
    <row r="463" spans="1:8" x14ac:dyDescent="0.25">
      <c r="A463" s="2">
        <v>40613</v>
      </c>
      <c r="B463">
        <v>37.210999999999999</v>
      </c>
      <c r="C463">
        <v>141.601</v>
      </c>
      <c r="D463" t="s">
        <v>13</v>
      </c>
      <c r="E463" t="s">
        <v>227</v>
      </c>
      <c r="F463">
        <f t="shared" si="14"/>
        <v>2011</v>
      </c>
      <c r="G463">
        <f t="shared" si="15"/>
        <v>3</v>
      </c>
      <c r="H463" t="str">
        <f>IF(ISNUMBER(FIND(",", E463)), TRIM(MID(E463, FIND(",", E463) + 1, LEN(E463))), E463)</f>
        <v>Japan</v>
      </c>
    </row>
    <row r="464" spans="1:8" x14ac:dyDescent="0.25">
      <c r="A464" s="2">
        <v>40613</v>
      </c>
      <c r="B464">
        <v>37.787999999999997</v>
      </c>
      <c r="C464">
        <v>144.233</v>
      </c>
      <c r="D464" t="s">
        <v>13</v>
      </c>
      <c r="E464" t="s">
        <v>189</v>
      </c>
      <c r="F464">
        <f t="shared" si="14"/>
        <v>2011</v>
      </c>
      <c r="G464">
        <f t="shared" si="15"/>
        <v>3</v>
      </c>
      <c r="H464" t="str">
        <f>IF(ISNUMBER(FIND(",", E464)), TRIM(MID(E464, FIND(",", E464) + 1, LEN(E464))), E464)</f>
        <v>Japan</v>
      </c>
    </row>
    <row r="465" spans="1:8" x14ac:dyDescent="0.25">
      <c r="A465" s="2">
        <v>40613</v>
      </c>
      <c r="B465">
        <v>38.969000000000001</v>
      </c>
      <c r="C465">
        <v>143.37</v>
      </c>
      <c r="D465" t="s">
        <v>13</v>
      </c>
      <c r="E465" t="s">
        <v>189</v>
      </c>
      <c r="F465">
        <f t="shared" si="14"/>
        <v>2011</v>
      </c>
      <c r="G465">
        <f t="shared" si="15"/>
        <v>3</v>
      </c>
      <c r="H465" t="str">
        <f>IF(ISNUMBER(FIND(",", E465)), TRIM(MID(E465, FIND(",", E465) + 1, LEN(E465))), E465)</f>
        <v>Japan</v>
      </c>
    </row>
    <row r="466" spans="1:8" x14ac:dyDescent="0.25">
      <c r="A466" s="2">
        <v>40613</v>
      </c>
      <c r="B466">
        <v>36.418999999999997</v>
      </c>
      <c r="C466">
        <v>141.876</v>
      </c>
      <c r="D466" t="s">
        <v>13</v>
      </c>
      <c r="E466" t="s">
        <v>227</v>
      </c>
      <c r="F466">
        <f t="shared" si="14"/>
        <v>2011</v>
      </c>
      <c r="G466">
        <f t="shared" si="15"/>
        <v>3</v>
      </c>
      <c r="H466" t="str">
        <f>IF(ISNUMBER(FIND(",", E466)), TRIM(MID(E466, FIND(",", E466) + 1, LEN(E466))), E466)</f>
        <v>Japan</v>
      </c>
    </row>
    <row r="467" spans="1:8" x14ac:dyDescent="0.25">
      <c r="A467" s="2">
        <v>40613</v>
      </c>
      <c r="B467">
        <v>39.003</v>
      </c>
      <c r="C467">
        <v>142.29</v>
      </c>
      <c r="D467" t="s">
        <v>13</v>
      </c>
      <c r="E467" t="s">
        <v>227</v>
      </c>
      <c r="F467">
        <f t="shared" si="14"/>
        <v>2011</v>
      </c>
      <c r="G467">
        <f t="shared" si="15"/>
        <v>3</v>
      </c>
      <c r="H467" t="str">
        <f>IF(ISNUMBER(FIND(",", E467)), TRIM(MID(E467, FIND(",", E467) + 1, LEN(E467))), E467)</f>
        <v>Japan</v>
      </c>
    </row>
    <row r="468" spans="1:8" x14ac:dyDescent="0.25">
      <c r="A468" s="2">
        <v>40613</v>
      </c>
      <c r="B468">
        <v>38.094999999999999</v>
      </c>
      <c r="C468">
        <v>142.49199999999999</v>
      </c>
      <c r="D468" t="s">
        <v>13</v>
      </c>
      <c r="E468" t="s">
        <v>227</v>
      </c>
      <c r="F468">
        <f t="shared" si="14"/>
        <v>2011</v>
      </c>
      <c r="G468">
        <f t="shared" si="15"/>
        <v>3</v>
      </c>
      <c r="H468" t="str">
        <f>IF(ISNUMBER(FIND(",", E468)), TRIM(MID(E468, FIND(",", E468) + 1, LEN(E468))), E468)</f>
        <v>Japan</v>
      </c>
    </row>
    <row r="469" spans="1:8" x14ac:dyDescent="0.25">
      <c r="A469" s="2">
        <v>40613</v>
      </c>
      <c r="B469">
        <v>37.622999999999998</v>
      </c>
      <c r="C469">
        <v>142.155</v>
      </c>
      <c r="D469" t="s">
        <v>13</v>
      </c>
      <c r="E469" t="s">
        <v>189</v>
      </c>
      <c r="F469">
        <f t="shared" si="14"/>
        <v>2011</v>
      </c>
      <c r="G469">
        <f t="shared" si="15"/>
        <v>3</v>
      </c>
      <c r="H469" t="str">
        <f>IF(ISNUMBER(FIND(",", E469)), TRIM(MID(E469, FIND(",", E469) + 1, LEN(E469))), E469)</f>
        <v>Japan</v>
      </c>
    </row>
    <row r="470" spans="1:8" x14ac:dyDescent="0.25">
      <c r="A470" s="2">
        <v>40613</v>
      </c>
      <c r="B470">
        <v>37.359000000000002</v>
      </c>
      <c r="C470">
        <v>143.351</v>
      </c>
      <c r="D470" t="s">
        <v>13</v>
      </c>
      <c r="E470" t="s">
        <v>189</v>
      </c>
      <c r="F470">
        <f t="shared" si="14"/>
        <v>2011</v>
      </c>
      <c r="G470">
        <f t="shared" si="15"/>
        <v>3</v>
      </c>
      <c r="H470" t="str">
        <f>IF(ISNUMBER(FIND(",", E470)), TRIM(MID(E470, FIND(",", E470) + 1, LEN(E470))), E470)</f>
        <v>Japan</v>
      </c>
    </row>
    <row r="471" spans="1:8" x14ac:dyDescent="0.25">
      <c r="A471" s="2">
        <v>40613</v>
      </c>
      <c r="B471">
        <v>37.712000000000003</v>
      </c>
      <c r="C471">
        <v>141.184</v>
      </c>
      <c r="D471" t="s">
        <v>13</v>
      </c>
      <c r="E471" t="s">
        <v>227</v>
      </c>
      <c r="F471">
        <f t="shared" si="14"/>
        <v>2011</v>
      </c>
      <c r="G471">
        <f t="shared" si="15"/>
        <v>3</v>
      </c>
      <c r="H471" t="str">
        <f>IF(ISNUMBER(FIND(",", E471)), TRIM(MID(E471, FIND(",", E471) + 1, LEN(E471))), E471)</f>
        <v>Japan</v>
      </c>
    </row>
    <row r="472" spans="1:8" x14ac:dyDescent="0.25">
      <c r="A472" s="2">
        <v>40613</v>
      </c>
      <c r="B472">
        <v>38.296999999999997</v>
      </c>
      <c r="C472">
        <v>142.37299999999999</v>
      </c>
      <c r="D472" t="s">
        <v>3</v>
      </c>
      <c r="E472" t="s">
        <v>227</v>
      </c>
      <c r="F472">
        <f t="shared" si="14"/>
        <v>2011</v>
      </c>
      <c r="G472">
        <f t="shared" si="15"/>
        <v>3</v>
      </c>
      <c r="H472" t="str">
        <f>IF(ISNUMBER(FIND(",", E472)), TRIM(MID(E472, FIND(",", E472) + 1, LEN(E472))), E472)</f>
        <v>Japan</v>
      </c>
    </row>
    <row r="473" spans="1:8" x14ac:dyDescent="0.25">
      <c r="A473" s="2">
        <v>40612</v>
      </c>
      <c r="B473">
        <v>-6.8730000000000002</v>
      </c>
      <c r="C473">
        <v>116.72</v>
      </c>
      <c r="D473" t="s">
        <v>3</v>
      </c>
      <c r="E473" t="s">
        <v>299</v>
      </c>
      <c r="F473">
        <f t="shared" si="14"/>
        <v>2011</v>
      </c>
      <c r="G473">
        <f t="shared" si="15"/>
        <v>3</v>
      </c>
      <c r="H473" t="str">
        <f>IF(ISNUMBER(FIND(",", E473)), TRIM(MID(E473, FIND(",", E473) + 1, LEN(E473))), E473)</f>
        <v>Bali Sea</v>
      </c>
    </row>
    <row r="474" spans="1:8" x14ac:dyDescent="0.25">
      <c r="A474" s="2">
        <v>40611</v>
      </c>
      <c r="B474">
        <v>-5.9850000000000003</v>
      </c>
      <c r="C474">
        <v>149.77699999999999</v>
      </c>
      <c r="D474" t="s">
        <v>3</v>
      </c>
      <c r="E474" t="s">
        <v>190</v>
      </c>
      <c r="F474">
        <f t="shared" si="14"/>
        <v>2011</v>
      </c>
      <c r="G474">
        <f t="shared" si="15"/>
        <v>3</v>
      </c>
      <c r="H474" t="str">
        <f>IF(ISNUMBER(FIND(",", E474)), TRIM(MID(E474, FIND(",", E474) + 1, LEN(E474))), E474)</f>
        <v>Papua New Guinea</v>
      </c>
    </row>
    <row r="475" spans="1:8" x14ac:dyDescent="0.25">
      <c r="A475" s="2">
        <v>40611</v>
      </c>
      <c r="B475">
        <v>38.295999999999999</v>
      </c>
      <c r="C475">
        <v>142.80799999999999</v>
      </c>
      <c r="D475" t="s">
        <v>7</v>
      </c>
      <c r="E475" t="s">
        <v>227</v>
      </c>
      <c r="F475">
        <f t="shared" si="14"/>
        <v>2011</v>
      </c>
      <c r="G475">
        <f t="shared" si="15"/>
        <v>3</v>
      </c>
      <c r="H475" t="str">
        <f>IF(ISNUMBER(FIND(",", E475)), TRIM(MID(E475, FIND(",", E475) + 1, LEN(E475))), E475)</f>
        <v>Japan</v>
      </c>
    </row>
    <row r="476" spans="1:8" x14ac:dyDescent="0.25">
      <c r="A476" s="2">
        <v>40611</v>
      </c>
      <c r="B476">
        <v>38.344999999999999</v>
      </c>
      <c r="C476">
        <v>142.648</v>
      </c>
      <c r="D476" t="s">
        <v>7</v>
      </c>
      <c r="E476" t="s">
        <v>227</v>
      </c>
      <c r="F476">
        <f t="shared" si="14"/>
        <v>2011</v>
      </c>
      <c r="G476">
        <f t="shared" si="15"/>
        <v>3</v>
      </c>
      <c r="H476" t="str">
        <f>IF(ISNUMBER(FIND(",", E476)), TRIM(MID(E476, FIND(",", E476) + 1, LEN(E476))), E476)</f>
        <v>Japan</v>
      </c>
    </row>
    <row r="477" spans="1:8" x14ac:dyDescent="0.25">
      <c r="A477" s="2">
        <v>40611</v>
      </c>
      <c r="B477">
        <v>38.314999999999998</v>
      </c>
      <c r="C477">
        <v>142.434</v>
      </c>
      <c r="D477" t="s">
        <v>3</v>
      </c>
      <c r="E477" t="s">
        <v>227</v>
      </c>
      <c r="F477">
        <f t="shared" si="14"/>
        <v>2011</v>
      </c>
      <c r="G477">
        <f t="shared" si="15"/>
        <v>3</v>
      </c>
      <c r="H477" t="str">
        <f>IF(ISNUMBER(FIND(",", E477)), TRIM(MID(E477, FIND(",", E477) + 1, LEN(E477))), E477)</f>
        <v>Japan</v>
      </c>
    </row>
    <row r="478" spans="1:8" x14ac:dyDescent="0.25">
      <c r="A478" s="2">
        <v>40611</v>
      </c>
      <c r="B478">
        <v>38.435000000000002</v>
      </c>
      <c r="C478">
        <v>142.84200000000001</v>
      </c>
      <c r="D478" t="s">
        <v>3</v>
      </c>
      <c r="E478" t="s">
        <v>227</v>
      </c>
      <c r="F478">
        <f t="shared" si="14"/>
        <v>2011</v>
      </c>
      <c r="G478">
        <f t="shared" si="15"/>
        <v>3</v>
      </c>
      <c r="H478" t="str">
        <f>IF(ISNUMBER(FIND(",", E478)), TRIM(MID(E478, FIND(",", E478) + 1, LEN(E478))), E478)</f>
        <v>Japan</v>
      </c>
    </row>
    <row r="479" spans="1:8" x14ac:dyDescent="0.25">
      <c r="A479" s="2">
        <v>40609</v>
      </c>
      <c r="B479">
        <v>-10.349</v>
      </c>
      <c r="C479">
        <v>160.76599999999999</v>
      </c>
      <c r="D479" t="s">
        <v>3</v>
      </c>
      <c r="E479" t="s">
        <v>221</v>
      </c>
      <c r="F479">
        <f t="shared" si="14"/>
        <v>2011</v>
      </c>
      <c r="G479">
        <f t="shared" si="15"/>
        <v>3</v>
      </c>
      <c r="H479" t="str">
        <f>IF(ISNUMBER(FIND(",", E479)), TRIM(MID(E479, FIND(",", E479) + 1, LEN(E479))), E479)</f>
        <v>Solomon Islands</v>
      </c>
    </row>
    <row r="480" spans="1:8" x14ac:dyDescent="0.25">
      <c r="A480" s="2">
        <v>40608</v>
      </c>
      <c r="B480">
        <v>-56.421999999999997</v>
      </c>
      <c r="C480">
        <v>-27.062999999999999</v>
      </c>
      <c r="D480" t="s">
        <v>3</v>
      </c>
      <c r="E480" t="s">
        <v>260</v>
      </c>
      <c r="F480">
        <f t="shared" si="14"/>
        <v>2011</v>
      </c>
      <c r="G480">
        <f t="shared" si="15"/>
        <v>3</v>
      </c>
      <c r="H480" t="str">
        <f>IF(ISNUMBER(FIND(",", E480)), TRIM(MID(E480, FIND(",", E480) + 1, LEN(E480))), E480)</f>
        <v>South Sandwich Islands region</v>
      </c>
    </row>
    <row r="481" spans="1:8" x14ac:dyDescent="0.25">
      <c r="A481" s="2">
        <v>40608</v>
      </c>
      <c r="B481">
        <v>-18.021000000000001</v>
      </c>
      <c r="C481">
        <v>-69.361999999999995</v>
      </c>
      <c r="D481" t="s">
        <v>3</v>
      </c>
      <c r="E481" t="s">
        <v>237</v>
      </c>
      <c r="F481">
        <f t="shared" si="14"/>
        <v>2011</v>
      </c>
      <c r="G481">
        <f t="shared" si="15"/>
        <v>3</v>
      </c>
      <c r="H481" t="str">
        <f>IF(ISNUMBER(FIND(",", E481)), TRIM(MID(E481, FIND(",", E481) + 1, LEN(E481))), E481)</f>
        <v>Chile</v>
      </c>
    </row>
    <row r="482" spans="1:8" x14ac:dyDescent="0.25">
      <c r="A482" s="2">
        <v>40603</v>
      </c>
      <c r="B482">
        <v>-29.701000000000001</v>
      </c>
      <c r="C482">
        <v>-111.98099999999999</v>
      </c>
      <c r="D482" t="s">
        <v>3</v>
      </c>
      <c r="E482" t="s">
        <v>59</v>
      </c>
      <c r="F482">
        <f t="shared" si="14"/>
        <v>2011</v>
      </c>
      <c r="G482">
        <f t="shared" si="15"/>
        <v>3</v>
      </c>
      <c r="H482" t="str">
        <f>IF(ISNUMBER(FIND(",", E482)), TRIM(MID(E482, FIND(",", E482) + 1, LEN(E482))), E482)</f>
        <v>Easter Island region</v>
      </c>
    </row>
    <row r="483" spans="1:8" x14ac:dyDescent="0.25">
      <c r="A483" s="2">
        <v>40595</v>
      </c>
      <c r="B483">
        <v>-43.582999999999998</v>
      </c>
      <c r="C483">
        <v>172.68</v>
      </c>
      <c r="D483" t="s">
        <v>3</v>
      </c>
      <c r="E483" t="s">
        <v>300</v>
      </c>
      <c r="F483">
        <f t="shared" si="14"/>
        <v>2011</v>
      </c>
      <c r="G483">
        <f t="shared" si="15"/>
        <v>2</v>
      </c>
      <c r="H483" t="str">
        <f>IF(ISNUMBER(FIND(",", E483)), TRIM(MID(E483, FIND(",", E483) + 1, LEN(E483))), E483)</f>
        <v>South Island of New Zealand</v>
      </c>
    </row>
    <row r="484" spans="1:8" x14ac:dyDescent="0.25">
      <c r="A484" s="2">
        <v>40595</v>
      </c>
      <c r="B484">
        <v>-26.141999999999999</v>
      </c>
      <c r="C484">
        <v>178.39400000000001</v>
      </c>
      <c r="D484" t="s">
        <v>3</v>
      </c>
      <c r="E484" t="s">
        <v>256</v>
      </c>
      <c r="F484">
        <f t="shared" si="14"/>
        <v>2011</v>
      </c>
      <c r="G484">
        <f t="shared" si="15"/>
        <v>2</v>
      </c>
      <c r="H484" t="str">
        <f>IF(ISNUMBER(FIND(",", E484)), TRIM(MID(E484, FIND(",", E484) + 1, LEN(E484))), E484)</f>
        <v>south of the Fiji Islands</v>
      </c>
    </row>
    <row r="485" spans="1:8" x14ac:dyDescent="0.25">
      <c r="A485" s="2">
        <v>40594</v>
      </c>
      <c r="B485">
        <v>55.917999999999999</v>
      </c>
      <c r="C485">
        <v>162.11699999999999</v>
      </c>
      <c r="D485" t="s">
        <v>3</v>
      </c>
      <c r="E485" t="s">
        <v>225</v>
      </c>
      <c r="F485">
        <f t="shared" si="14"/>
        <v>2011</v>
      </c>
      <c r="G485">
        <f t="shared" si="15"/>
        <v>2</v>
      </c>
      <c r="H485" t="str">
        <f>IF(ISNUMBER(FIND(",", E485)), TRIM(MID(E485, FIND(",", E485) + 1, LEN(E485))), E485)</f>
        <v>Russia</v>
      </c>
    </row>
    <row r="486" spans="1:8" x14ac:dyDescent="0.25">
      <c r="A486" s="2">
        <v>40589</v>
      </c>
      <c r="B486">
        <v>-2.4969999999999999</v>
      </c>
      <c r="C486">
        <v>121.483</v>
      </c>
      <c r="D486" t="s">
        <v>3</v>
      </c>
      <c r="E486" t="s">
        <v>182</v>
      </c>
      <c r="F486">
        <f t="shared" si="14"/>
        <v>2011</v>
      </c>
      <c r="G486">
        <f t="shared" si="15"/>
        <v>2</v>
      </c>
      <c r="H486" t="str">
        <f>IF(ISNUMBER(FIND(",", E486)), TRIM(MID(E486, FIND(",", E486) + 1, LEN(E486))), E486)</f>
        <v>Indonesia</v>
      </c>
    </row>
    <row r="487" spans="1:8" x14ac:dyDescent="0.25">
      <c r="A487" s="2">
        <v>40588</v>
      </c>
      <c r="B487">
        <v>-35.380000000000003</v>
      </c>
      <c r="C487">
        <v>-72.834000000000003</v>
      </c>
      <c r="D487" t="s">
        <v>3</v>
      </c>
      <c r="E487" t="s">
        <v>301</v>
      </c>
      <c r="F487">
        <f t="shared" si="14"/>
        <v>2011</v>
      </c>
      <c r="G487">
        <f t="shared" si="15"/>
        <v>2</v>
      </c>
      <c r="H487" t="str">
        <f>IF(ISNUMBER(FIND(",", E487)), TRIM(MID(E487, FIND(",", E487) + 1, LEN(E487))), E487)</f>
        <v>Chile</v>
      </c>
    </row>
    <row r="488" spans="1:8" x14ac:dyDescent="0.25">
      <c r="A488" s="2">
        <v>40587</v>
      </c>
      <c r="B488">
        <v>-36.649000000000001</v>
      </c>
      <c r="C488">
        <v>-73.176000000000002</v>
      </c>
      <c r="D488" t="s">
        <v>7</v>
      </c>
      <c r="E488" t="s">
        <v>259</v>
      </c>
      <c r="F488">
        <f t="shared" si="14"/>
        <v>2011</v>
      </c>
      <c r="G488">
        <f t="shared" si="15"/>
        <v>2</v>
      </c>
      <c r="H488" t="str">
        <f>IF(ISNUMBER(FIND(",", E488)), TRIM(MID(E488, FIND(",", E488) + 1, LEN(E488))), E488)</f>
        <v>Chile</v>
      </c>
    </row>
    <row r="489" spans="1:8" x14ac:dyDescent="0.25">
      <c r="A489" s="2">
        <v>40586</v>
      </c>
      <c r="B489">
        <v>-20.879000000000001</v>
      </c>
      <c r="C489">
        <v>-175.672</v>
      </c>
      <c r="D489" t="s">
        <v>3</v>
      </c>
      <c r="E489" t="s">
        <v>239</v>
      </c>
      <c r="F489">
        <f t="shared" si="14"/>
        <v>2011</v>
      </c>
      <c r="G489">
        <f t="shared" si="15"/>
        <v>2</v>
      </c>
      <c r="H489" t="str">
        <f>IF(ISNUMBER(FIND(",", E489)), TRIM(MID(E489, FIND(",", E489) + 1, LEN(E489))), E489)</f>
        <v>Tonga</v>
      </c>
    </row>
    <row r="490" spans="1:8" x14ac:dyDescent="0.25">
      <c r="A490" s="2">
        <v>40586</v>
      </c>
      <c r="B490">
        <v>-37.027000000000001</v>
      </c>
      <c r="C490">
        <v>-72.953999999999994</v>
      </c>
      <c r="D490" t="s">
        <v>5</v>
      </c>
      <c r="E490" t="s">
        <v>302</v>
      </c>
      <c r="F490">
        <f t="shared" si="14"/>
        <v>2011</v>
      </c>
      <c r="G490">
        <f t="shared" si="15"/>
        <v>2</v>
      </c>
      <c r="H490" t="str">
        <f>IF(ISNUMBER(FIND(",", E490)), TRIM(MID(E490, FIND(",", E490) + 1, LEN(E490))), E490)</f>
        <v>Chile</v>
      </c>
    </row>
    <row r="491" spans="1:8" x14ac:dyDescent="0.25">
      <c r="A491" s="2">
        <v>40585</v>
      </c>
      <c r="B491">
        <v>-36.421999999999997</v>
      </c>
      <c r="C491">
        <v>-72.959999999999994</v>
      </c>
      <c r="D491" t="s">
        <v>3</v>
      </c>
      <c r="E491" t="s">
        <v>259</v>
      </c>
      <c r="F491">
        <f t="shared" si="14"/>
        <v>2011</v>
      </c>
      <c r="G491">
        <f t="shared" si="15"/>
        <v>2</v>
      </c>
      <c r="H491" t="str">
        <f>IF(ISNUMBER(FIND(",", E491)), TRIM(MID(E491, FIND(",", E491) + 1, LEN(E491))), E491)</f>
        <v>Chile</v>
      </c>
    </row>
    <row r="492" spans="1:8" x14ac:dyDescent="0.25">
      <c r="A492" s="2">
        <v>40584</v>
      </c>
      <c r="B492">
        <v>4.077</v>
      </c>
      <c r="C492">
        <v>123.039</v>
      </c>
      <c r="D492" t="s">
        <v>5</v>
      </c>
      <c r="E492" t="s">
        <v>203</v>
      </c>
      <c r="F492">
        <f t="shared" si="14"/>
        <v>2011</v>
      </c>
      <c r="G492">
        <f t="shared" si="15"/>
        <v>2</v>
      </c>
      <c r="H492" t="str">
        <f>IF(ISNUMBER(FIND(",", E492)), TRIM(MID(E492, FIND(",", E492) + 1, LEN(E492))), E492)</f>
        <v>Celebes Sea</v>
      </c>
    </row>
    <row r="493" spans="1:8" x14ac:dyDescent="0.25">
      <c r="A493" s="2">
        <v>40584</v>
      </c>
      <c r="B493">
        <v>4.1950000000000003</v>
      </c>
      <c r="C493">
        <v>122.974</v>
      </c>
      <c r="D493" t="s">
        <v>3</v>
      </c>
      <c r="E493" t="s">
        <v>203</v>
      </c>
      <c r="F493">
        <f t="shared" si="14"/>
        <v>2011</v>
      </c>
      <c r="G493">
        <f t="shared" si="15"/>
        <v>2</v>
      </c>
      <c r="H493" t="str">
        <f>IF(ISNUMBER(FIND(",", E493)), TRIM(MID(E493, FIND(",", E493) + 1, LEN(E493))), E493)</f>
        <v>Celebes Sea</v>
      </c>
    </row>
    <row r="494" spans="1:8" x14ac:dyDescent="0.25">
      <c r="A494" s="2">
        <v>40581</v>
      </c>
      <c r="B494">
        <v>-7.1539999999999999</v>
      </c>
      <c r="C494">
        <v>155.184</v>
      </c>
      <c r="D494" t="s">
        <v>3</v>
      </c>
      <c r="E494" t="s">
        <v>221</v>
      </c>
      <c r="F494">
        <f t="shared" si="14"/>
        <v>2011</v>
      </c>
      <c r="G494">
        <f t="shared" si="15"/>
        <v>2</v>
      </c>
      <c r="H494" t="str">
        <f>IF(ISNUMBER(FIND(",", E494)), TRIM(MID(E494, FIND(",", E494) + 1, LEN(E494))), E494)</f>
        <v>Solomon Islands</v>
      </c>
    </row>
    <row r="495" spans="1:8" x14ac:dyDescent="0.25">
      <c r="A495" s="2">
        <v>40578</v>
      </c>
      <c r="B495">
        <v>24.617999999999999</v>
      </c>
      <c r="C495">
        <v>94.68</v>
      </c>
      <c r="D495" t="s">
        <v>3</v>
      </c>
      <c r="E495" t="s">
        <v>303</v>
      </c>
      <c r="F495">
        <f t="shared" si="14"/>
        <v>2011</v>
      </c>
      <c r="G495">
        <f t="shared" si="15"/>
        <v>2</v>
      </c>
      <c r="H495" t="str">
        <f>IF(ISNUMBER(FIND(",", E495)), TRIM(MID(E495, FIND(",", E495) + 1, LEN(E495))), E495)</f>
        <v>Myanmar-India border region</v>
      </c>
    </row>
    <row r="496" spans="1:8" x14ac:dyDescent="0.25">
      <c r="A496" s="2">
        <v>40574</v>
      </c>
      <c r="B496">
        <v>-22.009</v>
      </c>
      <c r="C496">
        <v>-175.62200000000001</v>
      </c>
      <c r="D496" t="s">
        <v>3</v>
      </c>
      <c r="E496" t="s">
        <v>304</v>
      </c>
      <c r="F496">
        <f t="shared" si="14"/>
        <v>2011</v>
      </c>
      <c r="G496">
        <f t="shared" si="15"/>
        <v>1</v>
      </c>
      <c r="H496" t="str">
        <f>IF(ISNUMBER(FIND(",", E496)), TRIM(MID(E496, FIND(",", E496) + 1, LEN(E496))), E496)</f>
        <v>Tonga region</v>
      </c>
    </row>
    <row r="497" spans="1:8" x14ac:dyDescent="0.25">
      <c r="A497" s="2">
        <v>40572</v>
      </c>
      <c r="B497">
        <v>70.930999999999997</v>
      </c>
      <c r="C497">
        <v>-6.657</v>
      </c>
      <c r="D497" t="s">
        <v>7</v>
      </c>
      <c r="E497" t="s">
        <v>214</v>
      </c>
      <c r="F497">
        <f t="shared" si="14"/>
        <v>2011</v>
      </c>
      <c r="G497">
        <f t="shared" si="15"/>
        <v>1</v>
      </c>
      <c r="H497" t="str">
        <f>IF(ISNUMBER(FIND(",", E497)), TRIM(MID(E497, FIND(",", E497) + 1, LEN(E497))), E497)</f>
        <v>Jan Mayen Island region</v>
      </c>
    </row>
    <row r="498" spans="1:8" x14ac:dyDescent="0.25">
      <c r="A498" s="2">
        <v>40570</v>
      </c>
      <c r="B498">
        <v>28.195</v>
      </c>
      <c r="C498">
        <v>59.015000000000001</v>
      </c>
      <c r="D498" t="s">
        <v>3</v>
      </c>
      <c r="E498" t="s">
        <v>305</v>
      </c>
      <c r="F498">
        <f t="shared" si="14"/>
        <v>2011</v>
      </c>
      <c r="G498">
        <f t="shared" si="15"/>
        <v>1</v>
      </c>
      <c r="H498" t="str">
        <f>IF(ISNUMBER(FIND(",", E498)), TRIM(MID(E498, FIND(",", E498) + 1, LEN(E498))), E498)</f>
        <v>southeastern Iran</v>
      </c>
    </row>
    <row r="499" spans="1:8" x14ac:dyDescent="0.25">
      <c r="A499" s="2">
        <v>40569</v>
      </c>
      <c r="B499">
        <v>2.2050000000000001</v>
      </c>
      <c r="C499">
        <v>96.828999999999994</v>
      </c>
      <c r="D499" t="s">
        <v>3</v>
      </c>
      <c r="E499" t="s">
        <v>222</v>
      </c>
      <c r="F499">
        <f t="shared" si="14"/>
        <v>2011</v>
      </c>
      <c r="G499">
        <f t="shared" si="15"/>
        <v>1</v>
      </c>
      <c r="H499" t="str">
        <f>IF(ISNUMBER(FIND(",", E499)), TRIM(MID(E499, FIND(",", E499) + 1, LEN(E499))), E499)</f>
        <v>Indonesia</v>
      </c>
    </row>
    <row r="500" spans="1:8" x14ac:dyDescent="0.25">
      <c r="A500" s="2">
        <v>40567</v>
      </c>
      <c r="B500">
        <v>38.412999999999997</v>
      </c>
      <c r="C500">
        <v>72.790999999999997</v>
      </c>
      <c r="D500" t="s">
        <v>3</v>
      </c>
      <c r="E500" t="s">
        <v>306</v>
      </c>
      <c r="F500">
        <f t="shared" si="14"/>
        <v>2011</v>
      </c>
      <c r="G500">
        <f t="shared" si="15"/>
        <v>1</v>
      </c>
      <c r="H500" t="str">
        <f>IF(ISNUMBER(FIND(",", E500)), TRIM(MID(E500, FIND(",", E500) + 1, LEN(E500))), E500)</f>
        <v>Tajikistan</v>
      </c>
    </row>
    <row r="501" spans="1:8" x14ac:dyDescent="0.25">
      <c r="A501" s="2">
        <v>40561</v>
      </c>
      <c r="B501">
        <v>28.777000000000001</v>
      </c>
      <c r="C501">
        <v>63.951000000000001</v>
      </c>
      <c r="D501" t="s">
        <v>3</v>
      </c>
      <c r="E501" t="s">
        <v>307</v>
      </c>
      <c r="F501">
        <f t="shared" si="14"/>
        <v>2011</v>
      </c>
      <c r="G501">
        <f t="shared" si="15"/>
        <v>1</v>
      </c>
      <c r="H501" t="str">
        <f>IF(ISNUMBER(FIND(",", E501)), TRIM(MID(E501, FIND(",", E501) + 1, LEN(E501))), E501)</f>
        <v>southwestern Pakistan</v>
      </c>
    </row>
    <row r="502" spans="1:8" x14ac:dyDescent="0.25">
      <c r="A502" s="2">
        <v>40560</v>
      </c>
      <c r="B502">
        <v>-5.03</v>
      </c>
      <c r="C502">
        <v>102.64700000000001</v>
      </c>
      <c r="D502" t="s">
        <v>3</v>
      </c>
      <c r="E502" t="s">
        <v>308</v>
      </c>
      <c r="F502">
        <f t="shared" si="14"/>
        <v>2011</v>
      </c>
      <c r="G502">
        <f t="shared" si="15"/>
        <v>1</v>
      </c>
      <c r="H502" t="str">
        <f>IF(ISNUMBER(FIND(",", E502)), TRIM(MID(E502, FIND(",", E502) + 1, LEN(E502))), E502)</f>
        <v>Indonesia</v>
      </c>
    </row>
    <row r="503" spans="1:8" x14ac:dyDescent="0.25">
      <c r="A503" s="2">
        <v>40556</v>
      </c>
      <c r="B503">
        <v>-20.628</v>
      </c>
      <c r="C503">
        <v>168.471</v>
      </c>
      <c r="D503" t="s">
        <v>3</v>
      </c>
      <c r="E503" t="s">
        <v>292</v>
      </c>
      <c r="F503">
        <f t="shared" si="14"/>
        <v>2011</v>
      </c>
      <c r="G503">
        <f t="shared" si="15"/>
        <v>1</v>
      </c>
      <c r="H503" t="str">
        <f>IF(ISNUMBER(FIND(",", E503)), TRIM(MID(E503, FIND(",", E503) + 1, LEN(E503))), E503)</f>
        <v>New Caledonia</v>
      </c>
    </row>
    <row r="504" spans="1:8" x14ac:dyDescent="0.25">
      <c r="A504" s="2">
        <v>40555</v>
      </c>
      <c r="B504">
        <v>26.972999999999999</v>
      </c>
      <c r="C504">
        <v>139.88200000000001</v>
      </c>
      <c r="D504" t="s">
        <v>3</v>
      </c>
      <c r="E504" t="s">
        <v>233</v>
      </c>
      <c r="F504">
        <f t="shared" si="14"/>
        <v>2011</v>
      </c>
      <c r="G504">
        <f t="shared" si="15"/>
        <v>1</v>
      </c>
      <c r="H504" t="str">
        <f>IF(ISNUMBER(FIND(",", E504)), TRIM(MID(E504, FIND(",", E504) + 1, LEN(E504))), E504)</f>
        <v>Japan region</v>
      </c>
    </row>
    <row r="505" spans="1:8" x14ac:dyDescent="0.25">
      <c r="A505" s="2">
        <v>40552</v>
      </c>
      <c r="B505">
        <v>-19.201000000000001</v>
      </c>
      <c r="C505">
        <v>168.155</v>
      </c>
      <c r="D505" t="s">
        <v>3</v>
      </c>
      <c r="E505" t="s">
        <v>181</v>
      </c>
      <c r="F505">
        <f t="shared" si="14"/>
        <v>2011</v>
      </c>
      <c r="G505">
        <f t="shared" si="15"/>
        <v>1</v>
      </c>
      <c r="H505" t="str">
        <f>IF(ISNUMBER(FIND(",", E505)), TRIM(MID(E505, FIND(",", E505) + 1, LEN(E505))), E505)</f>
        <v>Vanuatu</v>
      </c>
    </row>
    <row r="506" spans="1:8" x14ac:dyDescent="0.25">
      <c r="A506" s="2">
        <v>40552</v>
      </c>
      <c r="B506">
        <v>-19.155000000000001</v>
      </c>
      <c r="C506">
        <v>168.31200000000001</v>
      </c>
      <c r="D506" t="s">
        <v>3</v>
      </c>
      <c r="E506" t="s">
        <v>181</v>
      </c>
      <c r="F506">
        <f t="shared" si="14"/>
        <v>2011</v>
      </c>
      <c r="G506">
        <f t="shared" si="15"/>
        <v>1</v>
      </c>
      <c r="H506" t="str">
        <f>IF(ISNUMBER(FIND(",", E506)), TRIM(MID(E506, FIND(",", E506) + 1, LEN(E506))), E506)</f>
        <v>Vanuatu</v>
      </c>
    </row>
    <row r="507" spans="1:8" x14ac:dyDescent="0.25">
      <c r="A507" s="2">
        <v>40548</v>
      </c>
      <c r="B507">
        <v>-22.26</v>
      </c>
      <c r="C507">
        <v>171.631</v>
      </c>
      <c r="D507" t="s">
        <v>3</v>
      </c>
      <c r="E507" t="s">
        <v>254</v>
      </c>
      <c r="F507">
        <f t="shared" si="14"/>
        <v>2011</v>
      </c>
      <c r="G507">
        <f t="shared" si="15"/>
        <v>1</v>
      </c>
      <c r="H507" t="str">
        <f>IF(ISNUMBER(FIND(",", E507)), TRIM(MID(E507, FIND(",", E507) + 1, LEN(E507))), E507)</f>
        <v>southeast of the Loyalty Islands</v>
      </c>
    </row>
    <row r="508" spans="1:8" x14ac:dyDescent="0.25">
      <c r="A508" s="2">
        <v>40545</v>
      </c>
      <c r="B508">
        <v>-38.354999999999997</v>
      </c>
      <c r="C508">
        <v>-73.325999999999993</v>
      </c>
      <c r="D508" t="s">
        <v>3</v>
      </c>
      <c r="E508" t="s">
        <v>309</v>
      </c>
      <c r="F508">
        <f t="shared" si="14"/>
        <v>2011</v>
      </c>
      <c r="G508">
        <f t="shared" si="15"/>
        <v>1</v>
      </c>
      <c r="H508" t="str">
        <f>IF(ISNUMBER(FIND(",", E508)), TRIM(MID(E508, FIND(",", E508) + 1, LEN(E508))), E508)</f>
        <v>Chile</v>
      </c>
    </row>
    <row r="509" spans="1:8" x14ac:dyDescent="0.25">
      <c r="A509" s="2">
        <v>40544</v>
      </c>
      <c r="B509">
        <v>-26.803000000000001</v>
      </c>
      <c r="C509">
        <v>-63.136000000000003</v>
      </c>
      <c r="D509" t="s">
        <v>3</v>
      </c>
      <c r="E509" t="s">
        <v>232</v>
      </c>
      <c r="F509">
        <f t="shared" si="14"/>
        <v>2011</v>
      </c>
      <c r="G509">
        <f t="shared" si="15"/>
        <v>1</v>
      </c>
      <c r="H509" t="str">
        <f>IF(ISNUMBER(FIND(",", E509)), TRIM(MID(E509, FIND(",", E509) + 1, LEN(E509))), E509)</f>
        <v>Argentina</v>
      </c>
    </row>
    <row r="510" spans="1:8" x14ac:dyDescent="0.25">
      <c r="A510" s="2">
        <v>40541</v>
      </c>
      <c r="B510">
        <v>-19.661000000000001</v>
      </c>
      <c r="C510">
        <v>168.14</v>
      </c>
      <c r="D510" t="s">
        <v>7</v>
      </c>
      <c r="E510" t="s">
        <v>181</v>
      </c>
      <c r="F510">
        <f t="shared" si="14"/>
        <v>2010</v>
      </c>
      <c r="G510">
        <f t="shared" si="15"/>
        <v>12</v>
      </c>
      <c r="H510" t="str">
        <f>IF(ISNUMBER(FIND(",", E510)), TRIM(MID(E510, FIND(",", E510) + 1, LEN(E510))), E510)</f>
        <v>Vanuatu</v>
      </c>
    </row>
    <row r="511" spans="1:8" x14ac:dyDescent="0.25">
      <c r="A511" s="2">
        <v>40540</v>
      </c>
      <c r="B511">
        <v>-23.407</v>
      </c>
      <c r="C511">
        <v>-179.80199999999999</v>
      </c>
      <c r="D511" t="s">
        <v>7</v>
      </c>
      <c r="E511" t="s">
        <v>256</v>
      </c>
      <c r="F511">
        <f t="shared" si="14"/>
        <v>2010</v>
      </c>
      <c r="G511">
        <f t="shared" si="15"/>
        <v>12</v>
      </c>
      <c r="H511" t="str">
        <f>IF(ISNUMBER(FIND(",", E511)), TRIM(MID(E511, FIND(",", E511) + 1, LEN(E511))), E511)</f>
        <v>south of the Fiji Islands</v>
      </c>
    </row>
    <row r="512" spans="1:8" x14ac:dyDescent="0.25">
      <c r="A512" s="2">
        <v>40538</v>
      </c>
      <c r="B512">
        <v>-19.616</v>
      </c>
      <c r="C512">
        <v>168.28399999999999</v>
      </c>
      <c r="D512" t="s">
        <v>5</v>
      </c>
      <c r="E512" t="s">
        <v>181</v>
      </c>
      <c r="F512">
        <f t="shared" si="14"/>
        <v>2010</v>
      </c>
      <c r="G512">
        <f t="shared" si="15"/>
        <v>12</v>
      </c>
      <c r="H512" t="str">
        <f>IF(ISNUMBER(FIND(",", E512)), TRIM(MID(E512, FIND(",", E512) + 1, LEN(E512))), E512)</f>
        <v>Vanuatu</v>
      </c>
    </row>
    <row r="513" spans="1:8" x14ac:dyDescent="0.25">
      <c r="A513" s="2">
        <v>40537</v>
      </c>
      <c r="B513">
        <v>-19.702000000000002</v>
      </c>
      <c r="C513">
        <v>167.947</v>
      </c>
      <c r="D513" t="s">
        <v>7</v>
      </c>
      <c r="E513" t="s">
        <v>281</v>
      </c>
      <c r="F513">
        <f t="shared" si="14"/>
        <v>2010</v>
      </c>
      <c r="G513">
        <f t="shared" si="15"/>
        <v>12</v>
      </c>
      <c r="H513" t="str">
        <f>IF(ISNUMBER(FIND(",", E513)), TRIM(MID(E513, FIND(",", E513) + 1, LEN(E513))), E513)</f>
        <v>Vanuatu region</v>
      </c>
    </row>
    <row r="514" spans="1:8" x14ac:dyDescent="0.25">
      <c r="A514" s="2">
        <v>40535</v>
      </c>
      <c r="B514">
        <v>53.127000000000002</v>
      </c>
      <c r="C514">
        <v>171.161</v>
      </c>
      <c r="D514" t="s">
        <v>7</v>
      </c>
      <c r="E514" t="s">
        <v>184</v>
      </c>
      <c r="F514">
        <f t="shared" ref="F514:F577" si="16">YEAR(A514)</f>
        <v>2010</v>
      </c>
      <c r="G514">
        <f t="shared" si="15"/>
        <v>12</v>
      </c>
      <c r="H514" t="str">
        <f>IF(ISNUMBER(FIND(",", E514)), TRIM(MID(E514, FIND(",", E514) + 1, LEN(E514))), E514)</f>
        <v>Aleutian Islands, Alaska</v>
      </c>
    </row>
    <row r="515" spans="1:8" x14ac:dyDescent="0.25">
      <c r="A515" s="2">
        <v>40534</v>
      </c>
      <c r="B515">
        <v>26.81</v>
      </c>
      <c r="C515">
        <v>143.595</v>
      </c>
      <c r="D515" t="s">
        <v>7</v>
      </c>
      <c r="E515" t="s">
        <v>233</v>
      </c>
      <c r="F515">
        <f t="shared" si="16"/>
        <v>2010</v>
      </c>
      <c r="G515">
        <f t="shared" ref="G515:G578" si="17">MONTH(A515)</f>
        <v>12</v>
      </c>
      <c r="H515" t="str">
        <f>IF(ISNUMBER(FIND(",", E515)), TRIM(MID(E515, FIND(",", E515) + 1, LEN(E515))), E515)</f>
        <v>Japan region</v>
      </c>
    </row>
    <row r="516" spans="1:8" x14ac:dyDescent="0.25">
      <c r="A516" s="2">
        <v>40533</v>
      </c>
      <c r="B516">
        <v>26.901</v>
      </c>
      <c r="C516">
        <v>143.69800000000001</v>
      </c>
      <c r="D516" t="s">
        <v>7</v>
      </c>
      <c r="E516" t="s">
        <v>233</v>
      </c>
      <c r="F516">
        <f t="shared" si="16"/>
        <v>2010</v>
      </c>
      <c r="G516">
        <f t="shared" si="17"/>
        <v>12</v>
      </c>
      <c r="H516" t="str">
        <f>IF(ISNUMBER(FIND(",", E516)), TRIM(MID(E516, FIND(",", E516) + 1, LEN(E516))), E516)</f>
        <v>Japan region</v>
      </c>
    </row>
    <row r="517" spans="1:8" x14ac:dyDescent="0.25">
      <c r="A517" s="2">
        <v>40532</v>
      </c>
      <c r="B517">
        <v>28.411999999999999</v>
      </c>
      <c r="C517">
        <v>59.18</v>
      </c>
      <c r="D517" t="s">
        <v>7</v>
      </c>
      <c r="E517" t="s">
        <v>305</v>
      </c>
      <c r="F517">
        <f t="shared" si="16"/>
        <v>2010</v>
      </c>
      <c r="G517">
        <f t="shared" si="17"/>
        <v>12</v>
      </c>
      <c r="H517" t="str">
        <f>IF(ISNUMBER(FIND(",", E517)), TRIM(MID(E517, FIND(",", E517) + 1, LEN(E517))), E517)</f>
        <v>southeastern Iran</v>
      </c>
    </row>
    <row r="518" spans="1:8" x14ac:dyDescent="0.25">
      <c r="A518" s="2">
        <v>40527</v>
      </c>
      <c r="B518">
        <v>-7.2679999999999998</v>
      </c>
      <c r="C518">
        <v>128.786</v>
      </c>
      <c r="D518" t="s">
        <v>7</v>
      </c>
      <c r="E518" t="s">
        <v>49</v>
      </c>
      <c r="F518">
        <f t="shared" si="16"/>
        <v>2010</v>
      </c>
      <c r="G518">
        <f t="shared" si="17"/>
        <v>12</v>
      </c>
      <c r="H518" t="str">
        <f>IF(ISNUMBER(FIND(",", E518)), TRIM(MID(E518, FIND(",", E518) + 1, LEN(E518))), E518)</f>
        <v>Indonesia</v>
      </c>
    </row>
    <row r="519" spans="1:8" x14ac:dyDescent="0.25">
      <c r="A519" s="2">
        <v>40525</v>
      </c>
      <c r="B519">
        <v>-6.5339999999999998</v>
      </c>
      <c r="C519">
        <v>155.64699999999999</v>
      </c>
      <c r="D519" t="s">
        <v>7</v>
      </c>
      <c r="E519" t="s">
        <v>290</v>
      </c>
      <c r="F519">
        <f t="shared" si="16"/>
        <v>2010</v>
      </c>
      <c r="G519">
        <f t="shared" si="17"/>
        <v>12</v>
      </c>
      <c r="H519" t="str">
        <f>IF(ISNUMBER(FIND(",", E519)), TRIM(MID(E519, FIND(",", E519) + 1, LEN(E519))), E519)</f>
        <v>Papua New Guinea</v>
      </c>
    </row>
    <row r="520" spans="1:8" x14ac:dyDescent="0.25">
      <c r="A520" s="2">
        <v>40520</v>
      </c>
      <c r="B520">
        <v>-56.411999999999999</v>
      </c>
      <c r="C520">
        <v>-25.741</v>
      </c>
      <c r="D520" t="s">
        <v>7</v>
      </c>
      <c r="E520" t="s">
        <v>260</v>
      </c>
      <c r="F520">
        <f t="shared" si="16"/>
        <v>2010</v>
      </c>
      <c r="G520">
        <f t="shared" si="17"/>
        <v>12</v>
      </c>
      <c r="H520" t="str">
        <f>IF(ISNUMBER(FIND(",", E520)), TRIM(MID(E520, FIND(",", E520) + 1, LEN(E520))), E520)</f>
        <v>South Sandwich Islands region</v>
      </c>
    </row>
    <row r="521" spans="1:8" x14ac:dyDescent="0.25">
      <c r="A521" s="2">
        <v>40514</v>
      </c>
      <c r="B521">
        <v>-6.0010000000000003</v>
      </c>
      <c r="C521">
        <v>149.977</v>
      </c>
      <c r="D521" t="s">
        <v>5</v>
      </c>
      <c r="E521" t="s">
        <v>190</v>
      </c>
      <c r="F521">
        <f t="shared" si="16"/>
        <v>2010</v>
      </c>
      <c r="G521">
        <f t="shared" si="17"/>
        <v>12</v>
      </c>
      <c r="H521" t="str">
        <f>IF(ISNUMBER(FIND(",", E521)), TRIM(MID(E521, FIND(",", E521) + 1, LEN(E521))), E521)</f>
        <v>Papua New Guinea</v>
      </c>
    </row>
    <row r="522" spans="1:8" x14ac:dyDescent="0.25">
      <c r="A522" s="2">
        <v>40513</v>
      </c>
      <c r="B522">
        <v>-15.888</v>
      </c>
      <c r="C522">
        <v>-178.95599999999999</v>
      </c>
      <c r="D522" t="s">
        <v>7</v>
      </c>
      <c r="E522" t="s">
        <v>53</v>
      </c>
      <c r="F522">
        <f t="shared" si="16"/>
        <v>2010</v>
      </c>
      <c r="G522">
        <f t="shared" si="17"/>
        <v>12</v>
      </c>
      <c r="H522" t="str">
        <f>IF(ISNUMBER(FIND(",", E522)), TRIM(MID(E522, FIND(",", E522) + 1, LEN(E522))), E522)</f>
        <v>Fiji region</v>
      </c>
    </row>
    <row r="523" spans="1:8" x14ac:dyDescent="0.25">
      <c r="A523" s="2">
        <v>40512</v>
      </c>
      <c r="B523">
        <v>28.349</v>
      </c>
      <c r="C523">
        <v>139.18700000000001</v>
      </c>
      <c r="D523" t="s">
        <v>7</v>
      </c>
      <c r="E523" t="s">
        <v>233</v>
      </c>
      <c r="F523">
        <f t="shared" si="16"/>
        <v>2010</v>
      </c>
      <c r="G523">
        <f t="shared" si="17"/>
        <v>11</v>
      </c>
      <c r="H523" t="str">
        <f>IF(ISNUMBER(FIND(",", E523)), TRIM(MID(E523, FIND(",", E523) + 1, LEN(E523))), E523)</f>
        <v>Japan region</v>
      </c>
    </row>
    <row r="524" spans="1:8" x14ac:dyDescent="0.25">
      <c r="A524" s="2">
        <v>40505</v>
      </c>
      <c r="B524">
        <v>-5.9589999999999996</v>
      </c>
      <c r="C524">
        <v>148.96600000000001</v>
      </c>
      <c r="D524" t="s">
        <v>7</v>
      </c>
      <c r="E524" t="s">
        <v>190</v>
      </c>
      <c r="F524">
        <f t="shared" si="16"/>
        <v>2010</v>
      </c>
      <c r="G524">
        <f t="shared" si="17"/>
        <v>11</v>
      </c>
      <c r="H524" t="str">
        <f>IF(ISNUMBER(FIND(",", E524)), TRIM(MID(E524, FIND(",", E524) + 1, LEN(E524))), E524)</f>
        <v>Papua New Guinea</v>
      </c>
    </row>
    <row r="525" spans="1:8" x14ac:dyDescent="0.25">
      <c r="A525" s="2">
        <v>40503</v>
      </c>
      <c r="B525">
        <v>-54.966999999999999</v>
      </c>
      <c r="C525">
        <v>-131.47900000000001</v>
      </c>
      <c r="D525" t="s">
        <v>7</v>
      </c>
      <c r="E525" t="s">
        <v>179</v>
      </c>
      <c r="F525">
        <f t="shared" si="16"/>
        <v>2010</v>
      </c>
      <c r="G525">
        <f t="shared" si="17"/>
        <v>11</v>
      </c>
      <c r="H525" t="str">
        <f>IF(ISNUMBER(FIND(",", E525)), TRIM(MID(E525, FIND(",", E525) + 1, LEN(E525))), E525)</f>
        <v>Pacific-Antarctic Ridge</v>
      </c>
    </row>
    <row r="526" spans="1:8" x14ac:dyDescent="0.25">
      <c r="A526" s="2">
        <v>40492</v>
      </c>
      <c r="B526">
        <v>-45.463999999999999</v>
      </c>
      <c r="C526">
        <v>96.394000000000005</v>
      </c>
      <c r="D526" t="s">
        <v>7</v>
      </c>
      <c r="E526" t="s">
        <v>310</v>
      </c>
      <c r="F526">
        <f t="shared" si="16"/>
        <v>2010</v>
      </c>
      <c r="G526">
        <f t="shared" si="17"/>
        <v>11</v>
      </c>
      <c r="H526" t="str">
        <f>IF(ISNUMBER(FIND(",", E526)), TRIM(MID(E526, FIND(",", E526) + 1, LEN(E526))), E526)</f>
        <v>southeast Indian Ridge</v>
      </c>
    </row>
    <row r="527" spans="1:8" x14ac:dyDescent="0.25">
      <c r="A527" s="2">
        <v>40485</v>
      </c>
      <c r="B527">
        <v>-20.466000000000001</v>
      </c>
      <c r="C527">
        <v>-174.28</v>
      </c>
      <c r="D527" t="s">
        <v>7</v>
      </c>
      <c r="E527" t="s">
        <v>239</v>
      </c>
      <c r="F527">
        <f t="shared" si="16"/>
        <v>2010</v>
      </c>
      <c r="G527">
        <f t="shared" si="17"/>
        <v>11</v>
      </c>
      <c r="H527" t="str">
        <f>IF(ISNUMBER(FIND(",", E527)), TRIM(MID(E527, FIND(",", E527) + 1, LEN(E527))), E527)</f>
        <v>Tonga</v>
      </c>
    </row>
    <row r="528" spans="1:8" x14ac:dyDescent="0.25">
      <c r="A528" s="2">
        <v>40485</v>
      </c>
      <c r="B528">
        <v>-4.617</v>
      </c>
      <c r="C528">
        <v>134.071</v>
      </c>
      <c r="D528" t="s">
        <v>7</v>
      </c>
      <c r="E528" t="s">
        <v>204</v>
      </c>
      <c r="F528">
        <f t="shared" si="16"/>
        <v>2010</v>
      </c>
      <c r="G528">
        <f t="shared" si="17"/>
        <v>11</v>
      </c>
      <c r="H528" t="str">
        <f>IF(ISNUMBER(FIND(",", E528)), TRIM(MID(E528, FIND(",", E528) + 1, LEN(E528))), E528)</f>
        <v>Indonesia</v>
      </c>
    </row>
    <row r="529" spans="1:8" x14ac:dyDescent="0.25">
      <c r="A529" s="2">
        <v>40481</v>
      </c>
      <c r="B529">
        <v>-56.585999999999999</v>
      </c>
      <c r="C529">
        <v>-142.292</v>
      </c>
      <c r="D529" t="s">
        <v>7</v>
      </c>
      <c r="E529" t="s">
        <v>179</v>
      </c>
      <c r="F529">
        <f t="shared" si="16"/>
        <v>2010</v>
      </c>
      <c r="G529">
        <f t="shared" si="17"/>
        <v>10</v>
      </c>
      <c r="H529" t="str">
        <f>IF(ISNUMBER(FIND(",", E529)), TRIM(MID(E529, FIND(",", E529) + 1, LEN(E529))), E529)</f>
        <v>Pacific-Antarctic Ridge</v>
      </c>
    </row>
    <row r="530" spans="1:8" x14ac:dyDescent="0.25">
      <c r="A530" s="2">
        <v>40476</v>
      </c>
      <c r="B530">
        <v>-2.9580000000000002</v>
      </c>
      <c r="C530">
        <v>100.372</v>
      </c>
      <c r="D530" t="s">
        <v>7</v>
      </c>
      <c r="E530" t="s">
        <v>209</v>
      </c>
      <c r="F530">
        <f t="shared" si="16"/>
        <v>2010</v>
      </c>
      <c r="G530">
        <f t="shared" si="17"/>
        <v>10</v>
      </c>
      <c r="H530" t="str">
        <f>IF(ISNUMBER(FIND(",", E530)), TRIM(MID(E530, FIND(",", E530) + 1, LEN(E530))), E530)</f>
        <v>Indonesia</v>
      </c>
    </row>
    <row r="531" spans="1:8" x14ac:dyDescent="0.25">
      <c r="A531" s="2">
        <v>40476</v>
      </c>
      <c r="B531">
        <v>-3.4870000000000001</v>
      </c>
      <c r="C531">
        <v>100.08199999999999</v>
      </c>
      <c r="D531" t="s">
        <v>7</v>
      </c>
      <c r="E531" t="s">
        <v>209</v>
      </c>
      <c r="F531">
        <f t="shared" si="16"/>
        <v>2010</v>
      </c>
      <c r="G531">
        <f t="shared" si="17"/>
        <v>10</v>
      </c>
      <c r="H531" t="str">
        <f>IF(ISNUMBER(FIND(",", E531)), TRIM(MID(E531, FIND(",", E531) + 1, LEN(E531))), E531)</f>
        <v>Indonesia</v>
      </c>
    </row>
    <row r="532" spans="1:8" x14ac:dyDescent="0.25">
      <c r="A532" s="2">
        <v>40472</v>
      </c>
      <c r="B532">
        <v>24.696000000000002</v>
      </c>
      <c r="C532">
        <v>-109.15600000000001</v>
      </c>
      <c r="D532" t="s">
        <v>7</v>
      </c>
      <c r="E532" t="s">
        <v>282</v>
      </c>
      <c r="F532">
        <f t="shared" si="16"/>
        <v>2010</v>
      </c>
      <c r="G532">
        <f t="shared" si="17"/>
        <v>10</v>
      </c>
      <c r="H532" t="str">
        <f>IF(ISNUMBER(FIND(",", E532)), TRIM(MID(E532, FIND(",", E532) + 1, LEN(E532))), E532)</f>
        <v>Gulf of California</v>
      </c>
    </row>
    <row r="533" spans="1:8" x14ac:dyDescent="0.25">
      <c r="A533" s="2">
        <v>40459</v>
      </c>
      <c r="B533">
        <v>2.831</v>
      </c>
      <c r="C533">
        <v>128.21700000000001</v>
      </c>
      <c r="D533" t="s">
        <v>7</v>
      </c>
      <c r="E533" t="s">
        <v>311</v>
      </c>
      <c r="F533">
        <f t="shared" si="16"/>
        <v>2010</v>
      </c>
      <c r="G533">
        <f t="shared" si="17"/>
        <v>10</v>
      </c>
      <c r="H533" t="str">
        <f>IF(ISNUMBER(FIND(",", E533)), TRIM(MID(E533, FIND(",", E533) + 1, LEN(E533))), E533)</f>
        <v>Indonesia</v>
      </c>
    </row>
    <row r="534" spans="1:8" x14ac:dyDescent="0.25">
      <c r="A534" s="2">
        <v>40459</v>
      </c>
      <c r="B534">
        <v>51.286999999999999</v>
      </c>
      <c r="C534">
        <v>-175.18</v>
      </c>
      <c r="D534" t="s">
        <v>7</v>
      </c>
      <c r="E534" t="s">
        <v>207</v>
      </c>
      <c r="F534">
        <f t="shared" si="16"/>
        <v>2010</v>
      </c>
      <c r="G534">
        <f t="shared" si="17"/>
        <v>10</v>
      </c>
      <c r="H534" t="str">
        <f>IF(ISNUMBER(FIND(",", E534)), TRIM(MID(E534, FIND(",", E534) + 1, LEN(E534))), E534)</f>
        <v>Aleutian Islands, Alaska</v>
      </c>
    </row>
    <row r="535" spans="1:8" x14ac:dyDescent="0.25">
      <c r="A535" s="2">
        <v>40459</v>
      </c>
      <c r="B535">
        <v>51.374000000000002</v>
      </c>
      <c r="C535">
        <v>-175.36099999999999</v>
      </c>
      <c r="D535" t="s">
        <v>7</v>
      </c>
      <c r="E535" t="s">
        <v>207</v>
      </c>
      <c r="F535">
        <f t="shared" si="16"/>
        <v>2010</v>
      </c>
      <c r="G535">
        <f t="shared" si="17"/>
        <v>10</v>
      </c>
      <c r="H535" t="str">
        <f>IF(ISNUMBER(FIND(",", E535)), TRIM(MID(E535, FIND(",", E535) + 1, LEN(E535))), E535)</f>
        <v>Aleutian Islands, Alaska</v>
      </c>
    </row>
    <row r="536" spans="1:8" x14ac:dyDescent="0.25">
      <c r="A536" s="2">
        <v>40455</v>
      </c>
      <c r="B536">
        <v>24.27</v>
      </c>
      <c r="C536">
        <v>125.154</v>
      </c>
      <c r="D536" t="s">
        <v>5</v>
      </c>
      <c r="E536" t="s">
        <v>312</v>
      </c>
      <c r="F536">
        <f t="shared" si="16"/>
        <v>2010</v>
      </c>
      <c r="G536">
        <f t="shared" si="17"/>
        <v>10</v>
      </c>
      <c r="H536" t="str">
        <f>IF(ISNUMBER(FIND(",", E536)), TRIM(MID(E536, FIND(",", E536) + 1, LEN(E536))), E536)</f>
        <v>Japan</v>
      </c>
    </row>
    <row r="537" spans="1:8" x14ac:dyDescent="0.25">
      <c r="A537" s="2">
        <v>40450</v>
      </c>
      <c r="B537">
        <v>-4.9630000000000001</v>
      </c>
      <c r="C537">
        <v>133.76</v>
      </c>
      <c r="D537" t="s">
        <v>7</v>
      </c>
      <c r="E537" t="s">
        <v>204</v>
      </c>
      <c r="F537">
        <f t="shared" si="16"/>
        <v>2010</v>
      </c>
      <c r="G537">
        <f t="shared" si="17"/>
        <v>9</v>
      </c>
      <c r="H537" t="str">
        <f>IF(ISNUMBER(FIND(",", E537)), TRIM(MID(E537, FIND(",", E537) + 1, LEN(E537))), E537)</f>
        <v>Indonesia</v>
      </c>
    </row>
    <row r="538" spans="1:8" x14ac:dyDescent="0.25">
      <c r="A538" s="2">
        <v>40450</v>
      </c>
      <c r="B538">
        <v>-4.9089999999999998</v>
      </c>
      <c r="C538">
        <v>133.71199999999999</v>
      </c>
      <c r="D538" t="s">
        <v>13</v>
      </c>
      <c r="E538" t="s">
        <v>204</v>
      </c>
      <c r="F538">
        <f t="shared" si="16"/>
        <v>2010</v>
      </c>
      <c r="G538">
        <f t="shared" si="17"/>
        <v>9</v>
      </c>
      <c r="H538" t="str">
        <f>IF(ISNUMBER(FIND(",", E538)), TRIM(MID(E538, FIND(",", E538) + 1, LEN(E538))), E538)</f>
        <v>Indonesia</v>
      </c>
    </row>
    <row r="539" spans="1:8" x14ac:dyDescent="0.25">
      <c r="A539" s="2">
        <v>40447</v>
      </c>
      <c r="B539">
        <v>-5.3140000000000001</v>
      </c>
      <c r="C539">
        <v>133.917</v>
      </c>
      <c r="D539" t="s">
        <v>7</v>
      </c>
      <c r="E539" t="s">
        <v>313</v>
      </c>
      <c r="F539">
        <f t="shared" si="16"/>
        <v>2010</v>
      </c>
      <c r="G539">
        <f t="shared" si="17"/>
        <v>9</v>
      </c>
      <c r="H539" t="str">
        <f>IF(ISNUMBER(FIND(",", E539)), TRIM(MID(E539, FIND(",", E539) + 1, LEN(E539))), E539)</f>
        <v>Indonesia</v>
      </c>
    </row>
    <row r="540" spans="1:8" x14ac:dyDescent="0.25">
      <c r="A540" s="2">
        <v>40438</v>
      </c>
      <c r="B540">
        <v>36.442999999999998</v>
      </c>
      <c r="C540">
        <v>70.774000000000001</v>
      </c>
      <c r="D540" t="s">
        <v>5</v>
      </c>
      <c r="E540" t="s">
        <v>314</v>
      </c>
      <c r="F540">
        <f t="shared" si="16"/>
        <v>2010</v>
      </c>
      <c r="G540">
        <f t="shared" si="17"/>
        <v>9</v>
      </c>
      <c r="H540" t="str">
        <f>IF(ISNUMBER(FIND(",", E540)), TRIM(MID(E540, FIND(",", E540) + 1, LEN(E540))), E540)</f>
        <v>Afghanistan</v>
      </c>
    </row>
    <row r="541" spans="1:8" x14ac:dyDescent="0.25">
      <c r="A541" s="2">
        <v>40430</v>
      </c>
      <c r="B541">
        <v>-37.033999999999999</v>
      </c>
      <c r="C541">
        <v>-73.412000000000006</v>
      </c>
      <c r="D541" t="s">
        <v>5</v>
      </c>
      <c r="E541" t="s">
        <v>259</v>
      </c>
      <c r="F541">
        <f t="shared" si="16"/>
        <v>2010</v>
      </c>
      <c r="G541">
        <f t="shared" si="17"/>
        <v>9</v>
      </c>
      <c r="H541" t="str">
        <f>IF(ISNUMBER(FIND(",", E541)), TRIM(MID(E541, FIND(",", E541) + 1, LEN(E541))), E541)</f>
        <v>Chile</v>
      </c>
    </row>
    <row r="542" spans="1:8" x14ac:dyDescent="0.25">
      <c r="A542" s="2">
        <v>40429</v>
      </c>
      <c r="B542">
        <v>-20.670999999999999</v>
      </c>
      <c r="C542">
        <v>169.81800000000001</v>
      </c>
      <c r="D542" t="s">
        <v>7</v>
      </c>
      <c r="E542" t="s">
        <v>181</v>
      </c>
      <c r="F542">
        <f t="shared" si="16"/>
        <v>2010</v>
      </c>
      <c r="G542">
        <f t="shared" si="17"/>
        <v>9</v>
      </c>
      <c r="H542" t="str">
        <f>IF(ISNUMBER(FIND(",", E542)), TRIM(MID(E542, FIND(",", E542) + 1, LEN(E542))), E542)</f>
        <v>Vanuatu</v>
      </c>
    </row>
    <row r="543" spans="1:8" x14ac:dyDescent="0.25">
      <c r="A543" s="2">
        <v>40428</v>
      </c>
      <c r="B543">
        <v>-15.879</v>
      </c>
      <c r="C543">
        <v>-179.30600000000001</v>
      </c>
      <c r="D543" t="s">
        <v>7</v>
      </c>
      <c r="E543" t="s">
        <v>53</v>
      </c>
      <c r="F543">
        <f t="shared" si="16"/>
        <v>2010</v>
      </c>
      <c r="G543">
        <f t="shared" si="17"/>
        <v>9</v>
      </c>
      <c r="H543" t="str">
        <f>IF(ISNUMBER(FIND(",", E543)), TRIM(MID(E543, FIND(",", E543) + 1, LEN(E543))), E543)</f>
        <v>Fiji region</v>
      </c>
    </row>
    <row r="544" spans="1:8" x14ac:dyDescent="0.25">
      <c r="A544" s="2">
        <v>40425</v>
      </c>
      <c r="B544">
        <v>-17.367999999999999</v>
      </c>
      <c r="C544">
        <v>-173.999</v>
      </c>
      <c r="D544" t="s">
        <v>5</v>
      </c>
      <c r="E544" t="s">
        <v>239</v>
      </c>
      <c r="F544">
        <f t="shared" si="16"/>
        <v>2010</v>
      </c>
      <c r="G544">
        <f t="shared" si="17"/>
        <v>9</v>
      </c>
      <c r="H544" t="str">
        <f>IF(ISNUMBER(FIND(",", E544)), TRIM(MID(E544, FIND(",", E544) + 1, LEN(E544))), E544)</f>
        <v>Tonga</v>
      </c>
    </row>
    <row r="545" spans="1:8" x14ac:dyDescent="0.25">
      <c r="A545" s="2">
        <v>40424</v>
      </c>
      <c r="B545">
        <v>-43.521999999999998</v>
      </c>
      <c r="C545">
        <v>171.83</v>
      </c>
      <c r="D545" t="s">
        <v>7</v>
      </c>
      <c r="E545" t="s">
        <v>300</v>
      </c>
      <c r="F545">
        <f t="shared" si="16"/>
        <v>2010</v>
      </c>
      <c r="G545">
        <f t="shared" si="17"/>
        <v>9</v>
      </c>
      <c r="H545" t="str">
        <f>IF(ISNUMBER(FIND(",", E545)), TRIM(MID(E545, FIND(",", E545) + 1, LEN(E545))), E545)</f>
        <v>South Island of New Zealand</v>
      </c>
    </row>
    <row r="546" spans="1:8" x14ac:dyDescent="0.25">
      <c r="A546" s="2">
        <v>40424</v>
      </c>
      <c r="B546">
        <v>51.451000000000001</v>
      </c>
      <c r="C546">
        <v>-175.87</v>
      </c>
      <c r="D546" t="s">
        <v>7</v>
      </c>
      <c r="E546" t="s">
        <v>207</v>
      </c>
      <c r="F546">
        <f t="shared" si="16"/>
        <v>2010</v>
      </c>
      <c r="G546">
        <f t="shared" si="17"/>
        <v>9</v>
      </c>
      <c r="H546" t="str">
        <f>IF(ISNUMBER(FIND(",", E546)), TRIM(MID(E546, FIND(",", E546) + 1, LEN(E546))), E546)</f>
        <v>Aleutian Islands, Alaska</v>
      </c>
    </row>
    <row r="547" spans="1:8" x14ac:dyDescent="0.25">
      <c r="A547" s="2">
        <v>40414</v>
      </c>
      <c r="B547">
        <v>18.795000000000002</v>
      </c>
      <c r="C547">
        <v>-107.193</v>
      </c>
      <c r="D547" t="s">
        <v>7</v>
      </c>
      <c r="E547" t="s">
        <v>315</v>
      </c>
      <c r="F547">
        <f t="shared" si="16"/>
        <v>2010</v>
      </c>
      <c r="G547">
        <f t="shared" si="17"/>
        <v>8</v>
      </c>
      <c r="H547" t="str">
        <f>IF(ISNUMBER(FIND(",", E547)), TRIM(MID(E547, FIND(",", E547) + 1, LEN(E547))), E547)</f>
        <v>Mexico</v>
      </c>
    </row>
    <row r="548" spans="1:8" x14ac:dyDescent="0.25">
      <c r="A548" s="2">
        <v>40410</v>
      </c>
      <c r="B548">
        <v>-6.57</v>
      </c>
      <c r="C548">
        <v>154.24600000000001</v>
      </c>
      <c r="D548" t="s">
        <v>7</v>
      </c>
      <c r="E548" t="s">
        <v>290</v>
      </c>
      <c r="F548">
        <f t="shared" si="16"/>
        <v>2010</v>
      </c>
      <c r="G548">
        <f t="shared" si="17"/>
        <v>8</v>
      </c>
      <c r="H548" t="str">
        <f>IF(ISNUMBER(FIND(",", E548)), TRIM(MID(E548, FIND(",", E548) + 1, LEN(E548))), E548)</f>
        <v>Papua New Guinea</v>
      </c>
    </row>
    <row r="549" spans="1:8" x14ac:dyDescent="0.25">
      <c r="A549" s="2">
        <v>40408</v>
      </c>
      <c r="B549">
        <v>12.234</v>
      </c>
      <c r="C549">
        <v>141.51400000000001</v>
      </c>
      <c r="D549" t="s">
        <v>7</v>
      </c>
      <c r="E549" t="s">
        <v>72</v>
      </c>
      <c r="F549">
        <f t="shared" si="16"/>
        <v>2010</v>
      </c>
      <c r="G549">
        <f t="shared" si="17"/>
        <v>8</v>
      </c>
      <c r="H549" t="str">
        <f>IF(ISNUMBER(FIND(",", E549)), TRIM(MID(E549, FIND(",", E549) + 1, LEN(E549))), E549)</f>
        <v>Mariana Islands region</v>
      </c>
    </row>
    <row r="550" spans="1:8" x14ac:dyDescent="0.25">
      <c r="A550" s="2">
        <v>40406</v>
      </c>
      <c r="B550">
        <v>-20.798999999999999</v>
      </c>
      <c r="C550">
        <v>-178.82599999999999</v>
      </c>
      <c r="D550" t="s">
        <v>5</v>
      </c>
      <c r="E550" t="s">
        <v>53</v>
      </c>
      <c r="F550">
        <f t="shared" si="16"/>
        <v>2010</v>
      </c>
      <c r="G550">
        <f t="shared" si="17"/>
        <v>8</v>
      </c>
      <c r="H550" t="str">
        <f>IF(ISNUMBER(FIND(",", E550)), TRIM(MID(E550, FIND(",", E550) + 1, LEN(E550))), E550)</f>
        <v>Fiji region</v>
      </c>
    </row>
    <row r="551" spans="1:8" x14ac:dyDescent="0.25">
      <c r="A551" s="2">
        <v>40406</v>
      </c>
      <c r="B551">
        <v>-17.759</v>
      </c>
      <c r="C551">
        <v>65.647000000000006</v>
      </c>
      <c r="D551" t="s">
        <v>7</v>
      </c>
      <c r="E551" t="s">
        <v>220</v>
      </c>
      <c r="F551">
        <f t="shared" si="16"/>
        <v>2010</v>
      </c>
      <c r="G551">
        <f t="shared" si="17"/>
        <v>8</v>
      </c>
      <c r="H551" t="str">
        <f>IF(ISNUMBER(FIND(",", E551)), TRIM(MID(E551, FIND(",", E551) + 1, LEN(E551))), E551)</f>
        <v>Mauritius - Reunion region</v>
      </c>
    </row>
    <row r="552" spans="1:8" x14ac:dyDescent="0.25">
      <c r="A552" s="2">
        <v>40405</v>
      </c>
      <c r="B552">
        <v>-5.6920000000000002</v>
      </c>
      <c r="C552">
        <v>148.34200000000001</v>
      </c>
      <c r="D552" t="s">
        <v>5</v>
      </c>
      <c r="E552" t="s">
        <v>190</v>
      </c>
      <c r="F552">
        <f t="shared" si="16"/>
        <v>2010</v>
      </c>
      <c r="G552">
        <f t="shared" si="17"/>
        <v>8</v>
      </c>
      <c r="H552" t="str">
        <f>IF(ISNUMBER(FIND(",", E552)), TRIM(MID(E552, FIND(",", E552) + 1, LEN(E552))), E552)</f>
        <v>Papua New Guinea</v>
      </c>
    </row>
    <row r="553" spans="1:8" x14ac:dyDescent="0.25">
      <c r="A553" s="2">
        <v>40404</v>
      </c>
      <c r="B553">
        <v>12.273</v>
      </c>
      <c r="C553">
        <v>141.429</v>
      </c>
      <c r="D553" t="s">
        <v>7</v>
      </c>
      <c r="E553" t="s">
        <v>72</v>
      </c>
      <c r="F553">
        <f t="shared" si="16"/>
        <v>2010</v>
      </c>
      <c r="G553">
        <f t="shared" si="17"/>
        <v>8</v>
      </c>
      <c r="H553" t="str">
        <f>IF(ISNUMBER(FIND(",", E553)), TRIM(MID(E553, FIND(",", E553) + 1, LEN(E553))), E553)</f>
        <v>Mariana Islands region</v>
      </c>
    </row>
    <row r="554" spans="1:8" x14ac:dyDescent="0.25">
      <c r="A554" s="2">
        <v>40404</v>
      </c>
      <c r="B554">
        <v>12.348000000000001</v>
      </c>
      <c r="C554">
        <v>141.48699999999999</v>
      </c>
      <c r="D554" t="s">
        <v>7</v>
      </c>
      <c r="E554" t="s">
        <v>72</v>
      </c>
      <c r="F554">
        <f t="shared" si="16"/>
        <v>2010</v>
      </c>
      <c r="G554">
        <f t="shared" si="17"/>
        <v>8</v>
      </c>
      <c r="H554" t="str">
        <f>IF(ISNUMBER(FIND(",", E554)), TRIM(MID(E554, FIND(",", E554) + 1, LEN(E554))), E554)</f>
        <v>Mariana Islands region</v>
      </c>
    </row>
    <row r="555" spans="1:8" x14ac:dyDescent="0.25">
      <c r="A555" s="2">
        <v>40403</v>
      </c>
      <c r="B555">
        <v>12.487</v>
      </c>
      <c r="C555">
        <v>141.47399999999999</v>
      </c>
      <c r="D555" t="s">
        <v>7</v>
      </c>
      <c r="E555" t="s">
        <v>72</v>
      </c>
      <c r="F555">
        <f t="shared" si="16"/>
        <v>2010</v>
      </c>
      <c r="G555">
        <f t="shared" si="17"/>
        <v>8</v>
      </c>
      <c r="H555" t="str">
        <f>IF(ISNUMBER(FIND(",", E555)), TRIM(MID(E555, FIND(",", E555) + 1, LEN(E555))), E555)</f>
        <v>Mariana Islands region</v>
      </c>
    </row>
    <row r="556" spans="1:8" x14ac:dyDescent="0.25">
      <c r="A556" s="2">
        <v>40402</v>
      </c>
      <c r="B556">
        <v>-1.266</v>
      </c>
      <c r="C556">
        <v>-77.305999999999997</v>
      </c>
      <c r="D556" t="s">
        <v>7</v>
      </c>
      <c r="E556" t="s">
        <v>316</v>
      </c>
      <c r="F556">
        <f t="shared" si="16"/>
        <v>2010</v>
      </c>
      <c r="G556">
        <f t="shared" si="17"/>
        <v>8</v>
      </c>
      <c r="H556" t="str">
        <f>IF(ISNUMBER(FIND(",", E556)), TRIM(MID(E556, FIND(",", E556) + 1, LEN(E556))), E556)</f>
        <v>Ecuador</v>
      </c>
    </row>
    <row r="557" spans="1:8" x14ac:dyDescent="0.25">
      <c r="A557" s="2">
        <v>40400</v>
      </c>
      <c r="B557">
        <v>-17.541</v>
      </c>
      <c r="C557">
        <v>168.06899999999999</v>
      </c>
      <c r="D557" t="s">
        <v>7</v>
      </c>
      <c r="E557" t="s">
        <v>181</v>
      </c>
      <c r="F557">
        <f t="shared" si="16"/>
        <v>2010</v>
      </c>
      <c r="G557">
        <f t="shared" si="17"/>
        <v>8</v>
      </c>
      <c r="H557" t="str">
        <f>IF(ISNUMBER(FIND(",", E557)), TRIM(MID(E557, FIND(",", E557) + 1, LEN(E557))), E557)</f>
        <v>Vanuatu</v>
      </c>
    </row>
    <row r="558" spans="1:8" x14ac:dyDescent="0.25">
      <c r="A558" s="2">
        <v>40394</v>
      </c>
      <c r="B558">
        <v>45.98</v>
      </c>
      <c r="C558">
        <v>153.17500000000001</v>
      </c>
      <c r="D558" t="s">
        <v>7</v>
      </c>
      <c r="E558" t="s">
        <v>317</v>
      </c>
      <c r="F558">
        <f t="shared" si="16"/>
        <v>2010</v>
      </c>
      <c r="G558">
        <f t="shared" si="17"/>
        <v>8</v>
      </c>
      <c r="H558" t="str">
        <f>IF(ISNUMBER(FIND(",", E558)), TRIM(MID(E558, FIND(",", E558) + 1, LEN(E558))), E558)</f>
        <v>east of the Kuril Islands</v>
      </c>
    </row>
    <row r="559" spans="1:8" x14ac:dyDescent="0.25">
      <c r="A559" s="2">
        <v>40394</v>
      </c>
      <c r="B559">
        <v>-5.7460000000000004</v>
      </c>
      <c r="C559">
        <v>150.76499999999999</v>
      </c>
      <c r="D559" t="s">
        <v>3</v>
      </c>
      <c r="E559" t="s">
        <v>190</v>
      </c>
      <c r="F559">
        <f t="shared" si="16"/>
        <v>2010</v>
      </c>
      <c r="G559">
        <f t="shared" si="17"/>
        <v>8</v>
      </c>
      <c r="H559" t="str">
        <f>IF(ISNUMBER(FIND(",", E559)), TRIM(MID(E559, FIND(",", E559) + 1, LEN(E559))), E559)</f>
        <v>Papua New Guinea</v>
      </c>
    </row>
    <row r="560" spans="1:8" x14ac:dyDescent="0.25">
      <c r="A560" s="2">
        <v>40394</v>
      </c>
      <c r="B560">
        <v>51.423000000000002</v>
      </c>
      <c r="C560">
        <v>-178.649</v>
      </c>
      <c r="D560" t="s">
        <v>7</v>
      </c>
      <c r="E560" t="s">
        <v>207</v>
      </c>
      <c r="F560">
        <f t="shared" si="16"/>
        <v>2010</v>
      </c>
      <c r="G560">
        <f t="shared" si="17"/>
        <v>8</v>
      </c>
      <c r="H560" t="str">
        <f>IF(ISNUMBER(FIND(",", E560)), TRIM(MID(E560, FIND(",", E560) + 1, LEN(E560))), E560)</f>
        <v>Aleutian Islands, Alaska</v>
      </c>
    </row>
    <row r="561" spans="1:8" x14ac:dyDescent="0.25">
      <c r="A561" s="2">
        <v>40394</v>
      </c>
      <c r="B561">
        <v>-5.4859999999999998</v>
      </c>
      <c r="C561">
        <v>146.822</v>
      </c>
      <c r="D561" t="s">
        <v>7</v>
      </c>
      <c r="E561" t="s">
        <v>243</v>
      </c>
      <c r="F561">
        <f t="shared" si="16"/>
        <v>2010</v>
      </c>
      <c r="G561">
        <f t="shared" si="17"/>
        <v>8</v>
      </c>
      <c r="H561" t="str">
        <f>IF(ISNUMBER(FIND(",", E561)), TRIM(MID(E561, FIND(",", E561) + 1, LEN(E561))), E561)</f>
        <v>Papua New Guinea</v>
      </c>
    </row>
    <row r="562" spans="1:8" x14ac:dyDescent="0.25">
      <c r="A562" s="2">
        <v>40394</v>
      </c>
      <c r="B562">
        <v>-26.916</v>
      </c>
      <c r="C562">
        <v>-177.245</v>
      </c>
      <c r="D562" t="s">
        <v>7</v>
      </c>
      <c r="E562" t="s">
        <v>256</v>
      </c>
      <c r="F562">
        <f t="shared" si="16"/>
        <v>2010</v>
      </c>
      <c r="G562">
        <f t="shared" si="17"/>
        <v>8</v>
      </c>
      <c r="H562" t="str">
        <f>IF(ISNUMBER(FIND(",", E562)), TRIM(MID(E562, FIND(",", E562) + 1, LEN(E562))), E562)</f>
        <v>south of the Fiji Islands</v>
      </c>
    </row>
    <row r="563" spans="1:8" x14ac:dyDescent="0.25">
      <c r="A563" s="2">
        <v>40393</v>
      </c>
      <c r="B563">
        <v>1.2390000000000001</v>
      </c>
      <c r="C563">
        <v>126.21299999999999</v>
      </c>
      <c r="D563" t="s">
        <v>7</v>
      </c>
      <c r="E563" t="s">
        <v>186</v>
      </c>
      <c r="F563">
        <f t="shared" si="16"/>
        <v>2010</v>
      </c>
      <c r="G563">
        <f t="shared" si="17"/>
        <v>8</v>
      </c>
      <c r="H563" t="str">
        <f>IF(ISNUMBER(FIND(",", E563)), TRIM(MID(E563, FIND(",", E563) + 1, LEN(E563))), E563)</f>
        <v>Molucca Sea</v>
      </c>
    </row>
    <row r="564" spans="1:8" x14ac:dyDescent="0.25">
      <c r="A564" s="2">
        <v>40389</v>
      </c>
      <c r="B564">
        <v>52.497999999999998</v>
      </c>
      <c r="C564">
        <v>159.84299999999999</v>
      </c>
      <c r="D564" t="s">
        <v>7</v>
      </c>
      <c r="E564" t="s">
        <v>318</v>
      </c>
      <c r="F564">
        <f t="shared" si="16"/>
        <v>2010</v>
      </c>
      <c r="G564">
        <f t="shared" si="17"/>
        <v>7</v>
      </c>
      <c r="H564" t="str">
        <f>IF(ISNUMBER(FIND(",", E564)), TRIM(MID(E564, FIND(",", E564) + 1, LEN(E564))), E564)</f>
        <v>Russia</v>
      </c>
    </row>
    <row r="565" spans="1:8" x14ac:dyDescent="0.25">
      <c r="A565" s="2">
        <v>40388</v>
      </c>
      <c r="B565">
        <v>6.548</v>
      </c>
      <c r="C565">
        <v>123.22199999999999</v>
      </c>
      <c r="D565" t="s">
        <v>7</v>
      </c>
      <c r="E565" t="s">
        <v>319</v>
      </c>
      <c r="F565">
        <f t="shared" si="16"/>
        <v>2010</v>
      </c>
      <c r="G565">
        <f t="shared" si="17"/>
        <v>7</v>
      </c>
      <c r="H565" t="str">
        <f>IF(ISNUMBER(FIND(",", E565)), TRIM(MID(E565, FIND(",", E565) + 1, LEN(E565))), E565)</f>
        <v>Mindanao, Philippines</v>
      </c>
    </row>
    <row r="566" spans="1:8" x14ac:dyDescent="0.25">
      <c r="A566" s="2">
        <v>40383</v>
      </c>
      <c r="B566">
        <v>6.218</v>
      </c>
      <c r="C566">
        <v>123.51900000000001</v>
      </c>
      <c r="D566" t="s">
        <v>7</v>
      </c>
      <c r="E566" t="s">
        <v>319</v>
      </c>
      <c r="F566">
        <f t="shared" si="16"/>
        <v>2010</v>
      </c>
      <c r="G566">
        <f t="shared" si="17"/>
        <v>7</v>
      </c>
      <c r="H566" t="str">
        <f>IF(ISNUMBER(FIND(",", E566)), TRIM(MID(E566, FIND(",", E566) + 1, LEN(E566))), E566)</f>
        <v>Mindanao, Philippines</v>
      </c>
    </row>
    <row r="567" spans="1:8" x14ac:dyDescent="0.25">
      <c r="A567" s="2">
        <v>40382</v>
      </c>
      <c r="B567">
        <v>6.7759999999999998</v>
      </c>
      <c r="C567">
        <v>123.259</v>
      </c>
      <c r="D567" t="s">
        <v>7</v>
      </c>
      <c r="E567" t="s">
        <v>319</v>
      </c>
      <c r="F567">
        <f t="shared" si="16"/>
        <v>2010</v>
      </c>
      <c r="G567">
        <f t="shared" si="17"/>
        <v>7</v>
      </c>
      <c r="H567" t="str">
        <f>IF(ISNUMBER(FIND(",", E567)), TRIM(MID(E567, FIND(",", E567) + 1, LEN(E567))), E567)</f>
        <v>Mindanao, Philippines</v>
      </c>
    </row>
    <row r="568" spans="1:8" x14ac:dyDescent="0.25">
      <c r="A568" s="2">
        <v>40382</v>
      </c>
      <c r="B568">
        <v>6.4969999999999999</v>
      </c>
      <c r="C568">
        <v>123.48</v>
      </c>
      <c r="D568" t="s">
        <v>7</v>
      </c>
      <c r="E568" t="s">
        <v>319</v>
      </c>
      <c r="F568">
        <f t="shared" si="16"/>
        <v>2010</v>
      </c>
      <c r="G568">
        <f t="shared" si="17"/>
        <v>7</v>
      </c>
      <c r="H568" t="str">
        <f>IF(ISNUMBER(FIND(",", E568)), TRIM(MID(E568, FIND(",", E568) + 1, LEN(E568))), E568)</f>
        <v>Mindanao, Philippines</v>
      </c>
    </row>
    <row r="569" spans="1:8" x14ac:dyDescent="0.25">
      <c r="A569" s="2">
        <v>40382</v>
      </c>
      <c r="B569">
        <v>6.718</v>
      </c>
      <c r="C569">
        <v>123.40900000000001</v>
      </c>
      <c r="D569" t="s">
        <v>7</v>
      </c>
      <c r="E569" t="s">
        <v>319</v>
      </c>
      <c r="F569">
        <f t="shared" si="16"/>
        <v>2010</v>
      </c>
      <c r="G569">
        <f t="shared" si="17"/>
        <v>7</v>
      </c>
      <c r="H569" t="str">
        <f>IF(ISNUMBER(FIND(",", E569)), TRIM(MID(E569, FIND(",", E569) + 1, LEN(E569))), E569)</f>
        <v>Mindanao, Philippines</v>
      </c>
    </row>
    <row r="570" spans="1:8" x14ac:dyDescent="0.25">
      <c r="A570" s="2">
        <v>40381</v>
      </c>
      <c r="B570">
        <v>-15.132</v>
      </c>
      <c r="C570">
        <v>168.16200000000001</v>
      </c>
      <c r="D570" t="s">
        <v>7</v>
      </c>
      <c r="E570" t="s">
        <v>181</v>
      </c>
      <c r="F570">
        <f t="shared" si="16"/>
        <v>2010</v>
      </c>
      <c r="G570">
        <f t="shared" si="17"/>
        <v>7</v>
      </c>
      <c r="H570" t="str">
        <f>IF(ISNUMBER(FIND(",", E570)), TRIM(MID(E570, FIND(",", E570) + 1, LEN(E570))), E570)</f>
        <v>Vanuatu</v>
      </c>
    </row>
    <row r="571" spans="1:8" x14ac:dyDescent="0.25">
      <c r="A571" s="2">
        <v>40380</v>
      </c>
      <c r="B571">
        <v>3.0390000000000001</v>
      </c>
      <c r="C571">
        <v>128.22200000000001</v>
      </c>
      <c r="D571" t="s">
        <v>7</v>
      </c>
      <c r="E571" t="s">
        <v>320</v>
      </c>
      <c r="F571">
        <f t="shared" si="16"/>
        <v>2010</v>
      </c>
      <c r="G571">
        <f t="shared" si="17"/>
        <v>7</v>
      </c>
      <c r="H571" t="str">
        <f>IF(ISNUMBER(FIND(",", E571)), TRIM(MID(E571, FIND(",", E571) + 1, LEN(E571))), E571)</f>
        <v>Indonesia</v>
      </c>
    </row>
    <row r="572" spans="1:8" x14ac:dyDescent="0.25">
      <c r="A572" s="2">
        <v>40379</v>
      </c>
      <c r="B572">
        <v>-5.9020000000000001</v>
      </c>
      <c r="C572">
        <v>150.71199999999999</v>
      </c>
      <c r="D572" t="s">
        <v>7</v>
      </c>
      <c r="E572" t="s">
        <v>190</v>
      </c>
      <c r="F572">
        <f t="shared" si="16"/>
        <v>2010</v>
      </c>
      <c r="G572">
        <f t="shared" si="17"/>
        <v>7</v>
      </c>
      <c r="H572" t="str">
        <f>IF(ISNUMBER(FIND(",", E572)), TRIM(MID(E572, FIND(",", E572) + 1, LEN(E572))), E572)</f>
        <v>Papua New Guinea</v>
      </c>
    </row>
    <row r="573" spans="1:8" x14ac:dyDescent="0.25">
      <c r="A573" s="2">
        <v>40377</v>
      </c>
      <c r="B573">
        <v>52.814999999999998</v>
      </c>
      <c r="C573">
        <v>-169.71899999999999</v>
      </c>
      <c r="D573" t="s">
        <v>5</v>
      </c>
      <c r="E573" t="s">
        <v>219</v>
      </c>
      <c r="F573">
        <f t="shared" si="16"/>
        <v>2010</v>
      </c>
      <c r="G573">
        <f t="shared" si="17"/>
        <v>7</v>
      </c>
      <c r="H573" t="str">
        <f>IF(ISNUMBER(FIND(",", E573)), TRIM(MID(E573, FIND(",", E573) + 1, LEN(E573))), E573)</f>
        <v>Aleutian Islands, Alaska</v>
      </c>
    </row>
    <row r="574" spans="1:8" x14ac:dyDescent="0.25">
      <c r="A574" s="2">
        <v>40377</v>
      </c>
      <c r="B574">
        <v>-5.931</v>
      </c>
      <c r="C574">
        <v>150.59</v>
      </c>
      <c r="D574" t="s">
        <v>7</v>
      </c>
      <c r="E574" t="s">
        <v>190</v>
      </c>
      <c r="F574">
        <f t="shared" si="16"/>
        <v>2010</v>
      </c>
      <c r="G574">
        <f t="shared" si="17"/>
        <v>7</v>
      </c>
      <c r="H574" t="str">
        <f>IF(ISNUMBER(FIND(",", E574)), TRIM(MID(E574, FIND(",", E574) + 1, LEN(E574))), E574)</f>
        <v>Papua New Guinea</v>
      </c>
    </row>
    <row r="575" spans="1:8" x14ac:dyDescent="0.25">
      <c r="A575" s="2">
        <v>40377</v>
      </c>
      <c r="B575">
        <v>-5.9660000000000002</v>
      </c>
      <c r="C575">
        <v>150.428</v>
      </c>
      <c r="D575" t="s">
        <v>7</v>
      </c>
      <c r="E575" t="s">
        <v>190</v>
      </c>
      <c r="F575">
        <f t="shared" si="16"/>
        <v>2010</v>
      </c>
      <c r="G575">
        <f t="shared" si="17"/>
        <v>7</v>
      </c>
      <c r="H575" t="str">
        <f>IF(ISNUMBER(FIND(",", E575)), TRIM(MID(E575, FIND(",", E575) + 1, LEN(E575))), E575)</f>
        <v>Papua New Guinea</v>
      </c>
    </row>
    <row r="576" spans="1:8" x14ac:dyDescent="0.25">
      <c r="A576" s="2">
        <v>40377</v>
      </c>
      <c r="B576">
        <v>52.875999999999998</v>
      </c>
      <c r="C576">
        <v>-169.84800000000001</v>
      </c>
      <c r="D576" t="s">
        <v>7</v>
      </c>
      <c r="E576" t="s">
        <v>219</v>
      </c>
      <c r="F576">
        <f t="shared" si="16"/>
        <v>2010</v>
      </c>
      <c r="G576">
        <f t="shared" si="17"/>
        <v>7</v>
      </c>
      <c r="H576" t="str">
        <f>IF(ISNUMBER(FIND(",", E576)), TRIM(MID(E576, FIND(",", E576) + 1, LEN(E576))), E576)</f>
        <v>Aleutian Islands, Alaska</v>
      </c>
    </row>
    <row r="577" spans="1:8" x14ac:dyDescent="0.25">
      <c r="A577" s="2">
        <v>40373</v>
      </c>
      <c r="B577">
        <v>-38.067</v>
      </c>
      <c r="C577">
        <v>-73.31</v>
      </c>
      <c r="D577" t="s">
        <v>7</v>
      </c>
      <c r="E577" t="s">
        <v>302</v>
      </c>
      <c r="F577">
        <f t="shared" si="16"/>
        <v>2010</v>
      </c>
      <c r="G577">
        <f t="shared" si="17"/>
        <v>7</v>
      </c>
      <c r="H577" t="str">
        <f>IF(ISNUMBER(FIND(",", E577)), TRIM(MID(E577, FIND(",", E577) + 1, LEN(E577))), E577)</f>
        <v>Chile</v>
      </c>
    </row>
    <row r="578" spans="1:8" x14ac:dyDescent="0.25">
      <c r="A578" s="2">
        <v>40371</v>
      </c>
      <c r="B578">
        <v>-22.146000000000001</v>
      </c>
      <c r="C578">
        <v>-68.215999999999994</v>
      </c>
      <c r="D578" t="s">
        <v>5</v>
      </c>
      <c r="E578" t="s">
        <v>289</v>
      </c>
      <c r="F578">
        <f t="shared" ref="F578:F641" si="18">YEAR(A578)</f>
        <v>2010</v>
      </c>
      <c r="G578">
        <f t="shared" si="17"/>
        <v>7</v>
      </c>
      <c r="H578" t="str">
        <f>IF(ISNUMBER(FIND(",", E578)), TRIM(MID(E578, FIND(",", E578) + 1, LEN(E578))), E578)</f>
        <v>Chile</v>
      </c>
    </row>
    <row r="579" spans="1:8" x14ac:dyDescent="0.25">
      <c r="A579" s="2">
        <v>40369</v>
      </c>
      <c r="B579">
        <v>11.143000000000001</v>
      </c>
      <c r="C579">
        <v>145.999</v>
      </c>
      <c r="D579" t="s">
        <v>7</v>
      </c>
      <c r="E579" t="s">
        <v>321</v>
      </c>
      <c r="F579">
        <f t="shared" si="18"/>
        <v>2010</v>
      </c>
      <c r="G579">
        <f t="shared" ref="G579:G642" si="19">MONTH(A579)</f>
        <v>7</v>
      </c>
      <c r="H579" t="str">
        <f>IF(ISNUMBER(FIND(",", E579)), TRIM(MID(E579, FIND(",", E579) + 1, LEN(E579))), E579)</f>
        <v>south of the Mariana Islands</v>
      </c>
    </row>
    <row r="580" spans="1:8" x14ac:dyDescent="0.25">
      <c r="A580" s="2">
        <v>40363</v>
      </c>
      <c r="B580">
        <v>39.697000000000003</v>
      </c>
      <c r="C580">
        <v>142.369</v>
      </c>
      <c r="D580" t="s">
        <v>7</v>
      </c>
      <c r="E580" t="s">
        <v>227</v>
      </c>
      <c r="F580">
        <f t="shared" si="18"/>
        <v>2010</v>
      </c>
      <c r="G580">
        <f t="shared" si="19"/>
        <v>7</v>
      </c>
      <c r="H580" t="str">
        <f>IF(ISNUMBER(FIND(",", E580)), TRIM(MID(E580, FIND(",", E580) + 1, LEN(E580))), E580)</f>
        <v>Japan</v>
      </c>
    </row>
    <row r="581" spans="1:8" x14ac:dyDescent="0.25">
      <c r="A581" s="2">
        <v>40361</v>
      </c>
      <c r="B581">
        <v>-13.643000000000001</v>
      </c>
      <c r="C581">
        <v>166.48500000000001</v>
      </c>
      <c r="D581" t="s">
        <v>7</v>
      </c>
      <c r="E581" t="s">
        <v>181</v>
      </c>
      <c r="F581">
        <f t="shared" si="18"/>
        <v>2010</v>
      </c>
      <c r="G581">
        <f t="shared" si="19"/>
        <v>7</v>
      </c>
      <c r="H581" t="str">
        <f>IF(ISNUMBER(FIND(",", E581)), TRIM(MID(E581, FIND(",", E581) + 1, LEN(E581))), E581)</f>
        <v>Vanuatu</v>
      </c>
    </row>
    <row r="582" spans="1:8" x14ac:dyDescent="0.25">
      <c r="A582" s="2">
        <v>40359</v>
      </c>
      <c r="B582">
        <v>16.396000000000001</v>
      </c>
      <c r="C582">
        <v>-97.781999999999996</v>
      </c>
      <c r="D582" t="s">
        <v>7</v>
      </c>
      <c r="E582" t="s">
        <v>251</v>
      </c>
      <c r="F582">
        <f t="shared" si="18"/>
        <v>2010</v>
      </c>
      <c r="G582">
        <f t="shared" si="19"/>
        <v>6</v>
      </c>
      <c r="H582" t="str">
        <f>IF(ISNUMBER(FIND(",", E582)), TRIM(MID(E582, FIND(",", E582) + 1, LEN(E582))), E582)</f>
        <v>Mexico</v>
      </c>
    </row>
    <row r="583" spans="1:8" x14ac:dyDescent="0.25">
      <c r="A583" s="2">
        <v>40359</v>
      </c>
      <c r="B583">
        <v>-23.306999999999999</v>
      </c>
      <c r="C583">
        <v>179.11600000000001</v>
      </c>
      <c r="D583" t="s">
        <v>5</v>
      </c>
      <c r="E583" t="s">
        <v>256</v>
      </c>
      <c r="F583">
        <f t="shared" si="18"/>
        <v>2010</v>
      </c>
      <c r="G583">
        <f t="shared" si="19"/>
        <v>6</v>
      </c>
      <c r="H583" t="str">
        <f>IF(ISNUMBER(FIND(",", E583)), TRIM(MID(E583, FIND(",", E583) + 1, LEN(E583))), E583)</f>
        <v>south of the Fiji Islands</v>
      </c>
    </row>
    <row r="584" spans="1:8" x14ac:dyDescent="0.25">
      <c r="A584" s="2">
        <v>40355</v>
      </c>
      <c r="B584">
        <v>-10.627000000000001</v>
      </c>
      <c r="C584">
        <v>161.447</v>
      </c>
      <c r="D584" t="s">
        <v>7</v>
      </c>
      <c r="E584" t="s">
        <v>221</v>
      </c>
      <c r="F584">
        <f t="shared" si="18"/>
        <v>2010</v>
      </c>
      <c r="G584">
        <f t="shared" si="19"/>
        <v>6</v>
      </c>
      <c r="H584" t="str">
        <f>IF(ISNUMBER(FIND(",", E584)), TRIM(MID(E584, FIND(",", E584) + 1, LEN(E584))), E584)</f>
        <v>Solomon Islands</v>
      </c>
    </row>
    <row r="585" spans="1:8" x14ac:dyDescent="0.25">
      <c r="A585" s="2">
        <v>40353</v>
      </c>
      <c r="B585">
        <v>-5.5140000000000002</v>
      </c>
      <c r="C585">
        <v>151.161</v>
      </c>
      <c r="D585" t="s">
        <v>5</v>
      </c>
      <c r="E585" t="s">
        <v>190</v>
      </c>
      <c r="F585">
        <f t="shared" si="18"/>
        <v>2010</v>
      </c>
      <c r="G585">
        <f t="shared" si="19"/>
        <v>6</v>
      </c>
      <c r="H585" t="str">
        <f>IF(ISNUMBER(FIND(",", E585)), TRIM(MID(E585, FIND(",", E585) + 1, LEN(E585))), E585)</f>
        <v>Papua New Guinea</v>
      </c>
    </row>
    <row r="586" spans="1:8" x14ac:dyDescent="0.25">
      <c r="A586" s="2">
        <v>40347</v>
      </c>
      <c r="B586">
        <v>44.448</v>
      </c>
      <c r="C586">
        <v>148.68899999999999</v>
      </c>
      <c r="D586" t="s">
        <v>7</v>
      </c>
      <c r="E586" t="s">
        <v>191</v>
      </c>
      <c r="F586">
        <f t="shared" si="18"/>
        <v>2010</v>
      </c>
      <c r="G586">
        <f t="shared" si="19"/>
        <v>6</v>
      </c>
      <c r="H586" t="str">
        <f>IF(ISNUMBER(FIND(",", E586)), TRIM(MID(E586, FIND(",", E586) + 1, LEN(E586))), E586)</f>
        <v>Kuril Islands</v>
      </c>
    </row>
    <row r="587" spans="1:8" x14ac:dyDescent="0.25">
      <c r="A587" s="2">
        <v>40346</v>
      </c>
      <c r="B587">
        <v>-33.167999999999999</v>
      </c>
      <c r="C587">
        <v>179.71899999999999</v>
      </c>
      <c r="D587" t="s">
        <v>5</v>
      </c>
      <c r="E587" t="s">
        <v>262</v>
      </c>
      <c r="F587">
        <f t="shared" si="18"/>
        <v>2010</v>
      </c>
      <c r="G587">
        <f t="shared" si="19"/>
        <v>6</v>
      </c>
      <c r="H587" t="str">
        <f>IF(ISNUMBER(FIND(",", E587)), TRIM(MID(E587, FIND(",", E587) + 1, LEN(E587))), E587)</f>
        <v>south of the Kermadec Islands</v>
      </c>
    </row>
    <row r="588" spans="1:8" x14ac:dyDescent="0.25">
      <c r="A588" s="2">
        <v>40345</v>
      </c>
      <c r="B588">
        <v>-2.3290000000000002</v>
      </c>
      <c r="C588">
        <v>136.48400000000001</v>
      </c>
      <c r="D588" t="s">
        <v>7</v>
      </c>
      <c r="E588" t="s">
        <v>241</v>
      </c>
      <c r="F588">
        <f t="shared" si="18"/>
        <v>2010</v>
      </c>
      <c r="G588">
        <f t="shared" si="19"/>
        <v>6</v>
      </c>
      <c r="H588" t="str">
        <f>IF(ISNUMBER(FIND(",", E588)), TRIM(MID(E588, FIND(",", E588) + 1, LEN(E588))), E588)</f>
        <v>Indonesia</v>
      </c>
    </row>
    <row r="589" spans="1:8" x14ac:dyDescent="0.25">
      <c r="A589" s="2">
        <v>40345</v>
      </c>
      <c r="B589">
        <v>-2.1739999999999999</v>
      </c>
      <c r="C589">
        <v>136.54300000000001</v>
      </c>
      <c r="D589" t="s">
        <v>7</v>
      </c>
      <c r="E589" t="s">
        <v>241</v>
      </c>
      <c r="F589">
        <f t="shared" si="18"/>
        <v>2010</v>
      </c>
      <c r="G589">
        <f t="shared" si="19"/>
        <v>6</v>
      </c>
      <c r="H589" t="str">
        <f>IF(ISNUMBER(FIND(",", E589)), TRIM(MID(E589, FIND(",", E589) + 1, LEN(E589))), E589)</f>
        <v>Indonesia</v>
      </c>
    </row>
    <row r="590" spans="1:8" x14ac:dyDescent="0.25">
      <c r="A590" s="2">
        <v>40345</v>
      </c>
      <c r="B590">
        <v>-2.3860000000000001</v>
      </c>
      <c r="C590">
        <v>136.63499999999999</v>
      </c>
      <c r="D590" t="s">
        <v>5</v>
      </c>
      <c r="E590" t="s">
        <v>241</v>
      </c>
      <c r="F590">
        <f t="shared" si="18"/>
        <v>2010</v>
      </c>
      <c r="G590">
        <f t="shared" si="19"/>
        <v>6</v>
      </c>
      <c r="H590" t="str">
        <f>IF(ISNUMBER(FIND(",", E590)), TRIM(MID(E590, FIND(",", E590) + 1, LEN(E590))), E590)</f>
        <v>Indonesia</v>
      </c>
    </row>
    <row r="591" spans="1:8" x14ac:dyDescent="0.25">
      <c r="A591" s="2">
        <v>40341</v>
      </c>
      <c r="B591">
        <v>7.8810000000000002</v>
      </c>
      <c r="C591">
        <v>91.936000000000007</v>
      </c>
      <c r="D591" t="s">
        <v>7</v>
      </c>
      <c r="E591" t="s">
        <v>322</v>
      </c>
      <c r="F591">
        <f t="shared" si="18"/>
        <v>2010</v>
      </c>
      <c r="G591">
        <f t="shared" si="19"/>
        <v>6</v>
      </c>
      <c r="H591" t="str">
        <f>IF(ISNUMBER(FIND(",", E591)), TRIM(MID(E591, FIND(",", E591) + 1, LEN(E591))), E591)</f>
        <v>India region</v>
      </c>
    </row>
    <row r="592" spans="1:8" x14ac:dyDescent="0.25">
      <c r="A592" s="2">
        <v>40338</v>
      </c>
      <c r="B592">
        <v>-18.597000000000001</v>
      </c>
      <c r="C592">
        <v>169.48500000000001</v>
      </c>
      <c r="D592" t="s">
        <v>5</v>
      </c>
      <c r="E592" t="s">
        <v>181</v>
      </c>
      <c r="F592">
        <f t="shared" si="18"/>
        <v>2010</v>
      </c>
      <c r="G592">
        <f t="shared" si="19"/>
        <v>6</v>
      </c>
      <c r="H592" t="str">
        <f>IF(ISNUMBER(FIND(",", E592)), TRIM(MID(E592, FIND(",", E592) + 1, LEN(E592))), E592)</f>
        <v>Vanuatu</v>
      </c>
    </row>
    <row r="593" spans="1:8" x14ac:dyDescent="0.25">
      <c r="A593" s="2">
        <v>40330</v>
      </c>
      <c r="B593">
        <v>9.3309999999999995</v>
      </c>
      <c r="C593">
        <v>-84.206000000000003</v>
      </c>
      <c r="D593" t="s">
        <v>7</v>
      </c>
      <c r="E593" t="s">
        <v>202</v>
      </c>
      <c r="F593">
        <f t="shared" si="18"/>
        <v>2010</v>
      </c>
      <c r="G593">
        <f t="shared" si="19"/>
        <v>6</v>
      </c>
      <c r="H593" t="str">
        <f>IF(ISNUMBER(FIND(",", E593)), TRIM(MID(E593, FIND(",", E593) + 1, LEN(E593))), E593)</f>
        <v>Costa Rica</v>
      </c>
    </row>
    <row r="594" spans="1:8" x14ac:dyDescent="0.25">
      <c r="A594" s="2">
        <v>40329</v>
      </c>
      <c r="B594">
        <v>11.132</v>
      </c>
      <c r="C594">
        <v>93.471000000000004</v>
      </c>
      <c r="D594" t="s">
        <v>7</v>
      </c>
      <c r="E594" t="s">
        <v>323</v>
      </c>
      <c r="F594">
        <f t="shared" si="18"/>
        <v>2010</v>
      </c>
      <c r="G594">
        <f t="shared" si="19"/>
        <v>5</v>
      </c>
      <c r="H594" t="str">
        <f>IF(ISNUMBER(FIND(",", E594)), TRIM(MID(E594, FIND(",", E594) + 1, LEN(E594))), E594)</f>
        <v>India region</v>
      </c>
    </row>
    <row r="595" spans="1:8" x14ac:dyDescent="0.25">
      <c r="A595" s="2">
        <v>40329</v>
      </c>
      <c r="B595">
        <v>6.9480000000000004</v>
      </c>
      <c r="C595">
        <v>124.02500000000001</v>
      </c>
      <c r="D595" t="s">
        <v>7</v>
      </c>
      <c r="E595" t="s">
        <v>200</v>
      </c>
      <c r="F595">
        <f t="shared" si="18"/>
        <v>2010</v>
      </c>
      <c r="G595">
        <f t="shared" si="19"/>
        <v>5</v>
      </c>
      <c r="H595" t="str">
        <f>IF(ISNUMBER(FIND(",", E595)), TRIM(MID(E595, FIND(",", E595) + 1, LEN(E595))), E595)</f>
        <v>Philippines</v>
      </c>
    </row>
    <row r="596" spans="1:8" x14ac:dyDescent="0.25">
      <c r="A596" s="2">
        <v>40325</v>
      </c>
      <c r="B596">
        <v>-13.657999999999999</v>
      </c>
      <c r="C596">
        <v>166.745</v>
      </c>
      <c r="D596" t="s">
        <v>7</v>
      </c>
      <c r="E596" t="s">
        <v>181</v>
      </c>
      <c r="F596">
        <f t="shared" si="18"/>
        <v>2010</v>
      </c>
      <c r="G596">
        <f t="shared" si="19"/>
        <v>5</v>
      </c>
      <c r="H596" t="str">
        <f>IF(ISNUMBER(FIND(",", E596)), TRIM(MID(E596, FIND(",", E596) + 1, LEN(E596))), E596)</f>
        <v>Vanuatu</v>
      </c>
    </row>
    <row r="597" spans="1:8" x14ac:dyDescent="0.25">
      <c r="A597" s="2">
        <v>40325</v>
      </c>
      <c r="B597">
        <v>-13.698</v>
      </c>
      <c r="C597">
        <v>166.643</v>
      </c>
      <c r="D597" t="s">
        <v>7</v>
      </c>
      <c r="E597" t="s">
        <v>181</v>
      </c>
      <c r="F597">
        <f t="shared" si="18"/>
        <v>2010</v>
      </c>
      <c r="G597">
        <f t="shared" si="19"/>
        <v>5</v>
      </c>
      <c r="H597" t="str">
        <f>IF(ISNUMBER(FIND(",", E597)), TRIM(MID(E597, FIND(",", E597) + 1, LEN(E597))), E597)</f>
        <v>Vanuatu</v>
      </c>
    </row>
    <row r="598" spans="1:8" x14ac:dyDescent="0.25">
      <c r="A598" s="2">
        <v>40324</v>
      </c>
      <c r="B598">
        <v>25.773</v>
      </c>
      <c r="C598">
        <v>129.94399999999999</v>
      </c>
      <c r="D598" t="s">
        <v>7</v>
      </c>
      <c r="E598" t="s">
        <v>324</v>
      </c>
      <c r="F598">
        <f t="shared" si="18"/>
        <v>2010</v>
      </c>
      <c r="G598">
        <f t="shared" si="19"/>
        <v>5</v>
      </c>
      <c r="H598" t="str">
        <f>IF(ISNUMBER(FIND(",", E598)), TRIM(MID(E598, FIND(",", E598) + 1, LEN(E598))), E598)</f>
        <v>Japan</v>
      </c>
    </row>
    <row r="599" spans="1:8" x14ac:dyDescent="0.25">
      <c r="A599" s="2">
        <v>40323</v>
      </c>
      <c r="B599">
        <v>35.335999999999999</v>
      </c>
      <c r="C599">
        <v>-35.923999999999999</v>
      </c>
      <c r="D599" t="s">
        <v>7</v>
      </c>
      <c r="E599" t="s">
        <v>325</v>
      </c>
      <c r="F599">
        <f t="shared" si="18"/>
        <v>2010</v>
      </c>
      <c r="G599">
        <f t="shared" si="19"/>
        <v>5</v>
      </c>
      <c r="H599" t="str">
        <f>IF(ISNUMBER(FIND(",", E599)), TRIM(MID(E599, FIND(",", E599) + 1, LEN(E599))), E599)</f>
        <v>northern Mid-Atlantic Ridge</v>
      </c>
    </row>
    <row r="600" spans="1:8" x14ac:dyDescent="0.25">
      <c r="A600" s="2">
        <v>40322</v>
      </c>
      <c r="B600">
        <v>-8.0869999999999997</v>
      </c>
      <c r="C600">
        <v>-71.558000000000007</v>
      </c>
      <c r="D600" t="s">
        <v>7</v>
      </c>
      <c r="E600" t="s">
        <v>326</v>
      </c>
      <c r="F600">
        <f t="shared" si="18"/>
        <v>2010</v>
      </c>
      <c r="G600">
        <f t="shared" si="19"/>
        <v>5</v>
      </c>
      <c r="H600" t="str">
        <f>IF(ISNUMBER(FIND(",", E600)), TRIM(MID(E600, FIND(",", E600) + 1, LEN(E600))), E600)</f>
        <v>Brazil</v>
      </c>
    </row>
    <row r="601" spans="1:8" x14ac:dyDescent="0.25">
      <c r="A601" s="2">
        <v>40321</v>
      </c>
      <c r="B601">
        <v>-13.928000000000001</v>
      </c>
      <c r="C601">
        <v>-74.352000000000004</v>
      </c>
      <c r="D601" t="s">
        <v>7</v>
      </c>
      <c r="E601" t="s">
        <v>198</v>
      </c>
      <c r="F601">
        <f t="shared" si="18"/>
        <v>2010</v>
      </c>
      <c r="G601">
        <f t="shared" si="19"/>
        <v>5</v>
      </c>
      <c r="H601" t="str">
        <f>IF(ISNUMBER(FIND(",", E601)), TRIM(MID(E601, FIND(",", E601) + 1, LEN(E601))), E601)</f>
        <v>central Peru</v>
      </c>
    </row>
    <row r="602" spans="1:8" x14ac:dyDescent="0.25">
      <c r="A602" s="2">
        <v>40317</v>
      </c>
      <c r="B602">
        <v>-54.843000000000004</v>
      </c>
      <c r="C602">
        <v>-135.398</v>
      </c>
      <c r="D602" t="s">
        <v>7</v>
      </c>
      <c r="E602" t="s">
        <v>179</v>
      </c>
      <c r="F602">
        <f t="shared" si="18"/>
        <v>2010</v>
      </c>
      <c r="G602">
        <f t="shared" si="19"/>
        <v>5</v>
      </c>
      <c r="H602" t="str">
        <f>IF(ISNUMBER(FIND(",", E602)), TRIM(MID(E602, FIND(",", E602) + 1, LEN(E602))), E602)</f>
        <v>Pacific-Antarctic Ridge</v>
      </c>
    </row>
    <row r="603" spans="1:8" x14ac:dyDescent="0.25">
      <c r="A603" s="2">
        <v>40317</v>
      </c>
      <c r="B603">
        <v>-54.8</v>
      </c>
      <c r="C603">
        <v>-135.25200000000001</v>
      </c>
      <c r="D603" t="s">
        <v>7</v>
      </c>
      <c r="E603" t="s">
        <v>179</v>
      </c>
      <c r="F603">
        <f t="shared" si="18"/>
        <v>2010</v>
      </c>
      <c r="G603">
        <f t="shared" si="19"/>
        <v>5</v>
      </c>
      <c r="H603" t="str">
        <f>IF(ISNUMBER(FIND(",", E603)), TRIM(MID(E603, FIND(",", E603) + 1, LEN(E603))), E603)</f>
        <v>Pacific-Antarctic Ridge</v>
      </c>
    </row>
    <row r="604" spans="1:8" x14ac:dyDescent="0.25">
      <c r="A604" s="2">
        <v>40317</v>
      </c>
      <c r="B604">
        <v>-5.0830000000000002</v>
      </c>
      <c r="C604">
        <v>-77.540999999999997</v>
      </c>
      <c r="D604" t="s">
        <v>5</v>
      </c>
      <c r="E604" t="s">
        <v>277</v>
      </c>
      <c r="F604">
        <f t="shared" si="18"/>
        <v>2010</v>
      </c>
      <c r="G604">
        <f t="shared" si="19"/>
        <v>5</v>
      </c>
      <c r="H604" t="str">
        <f>IF(ISNUMBER(FIND(",", E604)), TRIM(MID(E604, FIND(",", E604) + 1, LEN(E604))), E604)</f>
        <v>northern Peru</v>
      </c>
    </row>
    <row r="605" spans="1:8" x14ac:dyDescent="0.25">
      <c r="A605" s="2">
        <v>40307</v>
      </c>
      <c r="B605">
        <v>3.7480000000000002</v>
      </c>
      <c r="C605">
        <v>96.018000000000001</v>
      </c>
      <c r="D605" t="s">
        <v>7</v>
      </c>
      <c r="E605" t="s">
        <v>226</v>
      </c>
      <c r="F605">
        <f t="shared" si="18"/>
        <v>2010</v>
      </c>
      <c r="G605">
        <f t="shared" si="19"/>
        <v>5</v>
      </c>
      <c r="H605" t="str">
        <f>IF(ISNUMBER(FIND(",", E605)), TRIM(MID(E605, FIND(",", E605) + 1, LEN(E605))), E605)</f>
        <v>Indonesia</v>
      </c>
    </row>
    <row r="606" spans="1:8" x14ac:dyDescent="0.25">
      <c r="A606" s="2">
        <v>40304</v>
      </c>
      <c r="B606">
        <v>-18.058</v>
      </c>
      <c r="C606">
        <v>-70.546999999999997</v>
      </c>
      <c r="D606" t="s">
        <v>7</v>
      </c>
      <c r="E606" t="s">
        <v>327</v>
      </c>
      <c r="F606">
        <f t="shared" si="18"/>
        <v>2010</v>
      </c>
      <c r="G606">
        <f t="shared" si="19"/>
        <v>5</v>
      </c>
      <c r="H606" t="str">
        <f>IF(ISNUMBER(FIND(",", E606)), TRIM(MID(E606, FIND(",", E606) + 1, LEN(E606))), E606)</f>
        <v>Chile</v>
      </c>
    </row>
    <row r="607" spans="1:8" x14ac:dyDescent="0.25">
      <c r="A607" s="2">
        <v>40303</v>
      </c>
      <c r="B607">
        <v>-4.0540000000000003</v>
      </c>
      <c r="C607">
        <v>101.096</v>
      </c>
      <c r="D607" t="s">
        <v>7</v>
      </c>
      <c r="E607" t="s">
        <v>308</v>
      </c>
      <c r="F607">
        <f t="shared" si="18"/>
        <v>2010</v>
      </c>
      <c r="G607">
        <f t="shared" si="19"/>
        <v>5</v>
      </c>
      <c r="H607" t="str">
        <f>IF(ISNUMBER(FIND(",", E607)), TRIM(MID(E607, FIND(",", E607) + 1, LEN(E607))), E607)</f>
        <v>Indonesia</v>
      </c>
    </row>
    <row r="608" spans="1:8" x14ac:dyDescent="0.25">
      <c r="A608" s="2">
        <v>40301</v>
      </c>
      <c r="B608">
        <v>-38.072000000000003</v>
      </c>
      <c r="C608">
        <v>-73.453999999999994</v>
      </c>
      <c r="D608" t="s">
        <v>7</v>
      </c>
      <c r="E608" t="s">
        <v>302</v>
      </c>
      <c r="F608">
        <f t="shared" si="18"/>
        <v>2010</v>
      </c>
      <c r="G608">
        <f t="shared" si="19"/>
        <v>5</v>
      </c>
      <c r="H608" t="str">
        <f>IF(ISNUMBER(FIND(",", E608)), TRIM(MID(E608, FIND(",", E608) + 1, LEN(E608))), E608)</f>
        <v>Chile</v>
      </c>
    </row>
    <row r="609" spans="1:8" x14ac:dyDescent="0.25">
      <c r="A609" s="2">
        <v>40301</v>
      </c>
      <c r="B609">
        <v>29.645</v>
      </c>
      <c r="C609">
        <v>140.95099999999999</v>
      </c>
      <c r="D609" t="s">
        <v>7</v>
      </c>
      <c r="E609" t="s">
        <v>88</v>
      </c>
      <c r="F609">
        <f t="shared" si="18"/>
        <v>2010</v>
      </c>
      <c r="G609">
        <f t="shared" si="19"/>
        <v>5</v>
      </c>
      <c r="H609" t="str">
        <f>IF(ISNUMBER(FIND(",", E609)), TRIM(MID(E609, FIND(",", E609) + 1, LEN(E609))), E609)</f>
        <v>Japan region</v>
      </c>
    </row>
    <row r="610" spans="1:8" x14ac:dyDescent="0.25">
      <c r="A610" s="2">
        <v>40298</v>
      </c>
      <c r="B610">
        <v>60.478000000000002</v>
      </c>
      <c r="C610">
        <v>-177.65</v>
      </c>
      <c r="D610" t="s">
        <v>7</v>
      </c>
      <c r="E610" t="s">
        <v>328</v>
      </c>
      <c r="F610">
        <f t="shared" si="18"/>
        <v>2010</v>
      </c>
      <c r="G610">
        <f t="shared" si="19"/>
        <v>4</v>
      </c>
      <c r="H610" t="str">
        <f>IF(ISNUMBER(FIND(",", E610)), TRIM(MID(E610, FIND(",", E610) + 1, LEN(E610))), E610)</f>
        <v>Bering Sea</v>
      </c>
    </row>
    <row r="611" spans="1:8" x14ac:dyDescent="0.25">
      <c r="A611" s="2">
        <v>40298</v>
      </c>
      <c r="B611">
        <v>60.472999999999999</v>
      </c>
      <c r="C611">
        <v>-177.87700000000001</v>
      </c>
      <c r="D611" t="s">
        <v>7</v>
      </c>
      <c r="E611" t="s">
        <v>328</v>
      </c>
      <c r="F611">
        <f t="shared" si="18"/>
        <v>2010</v>
      </c>
      <c r="G611">
        <f t="shared" si="19"/>
        <v>4</v>
      </c>
      <c r="H611" t="str">
        <f>IF(ISNUMBER(FIND(",", E611)), TRIM(MID(E611, FIND(",", E611) + 1, LEN(E611))), E611)</f>
        <v>Bering Sea</v>
      </c>
    </row>
    <row r="612" spans="1:8" x14ac:dyDescent="0.25">
      <c r="A612" s="2">
        <v>40294</v>
      </c>
      <c r="B612">
        <v>22.18</v>
      </c>
      <c r="C612">
        <v>123.623</v>
      </c>
      <c r="D612" t="s">
        <v>7</v>
      </c>
      <c r="E612" t="s">
        <v>329</v>
      </c>
      <c r="F612">
        <f t="shared" si="18"/>
        <v>2010</v>
      </c>
      <c r="G612">
        <f t="shared" si="19"/>
        <v>4</v>
      </c>
      <c r="H612" t="str">
        <f>IF(ISNUMBER(FIND(",", E612)), TRIM(MID(E612, FIND(",", E612) + 1, LEN(E612))), E612)</f>
        <v>southeast of Taiwan</v>
      </c>
    </row>
    <row r="613" spans="1:8" x14ac:dyDescent="0.25">
      <c r="A613" s="2">
        <v>40292</v>
      </c>
      <c r="B613">
        <v>-1.9119999999999999</v>
      </c>
      <c r="C613">
        <v>128.12200000000001</v>
      </c>
      <c r="D613" t="s">
        <v>7</v>
      </c>
      <c r="E613" t="s">
        <v>330</v>
      </c>
      <c r="F613">
        <f t="shared" si="18"/>
        <v>2010</v>
      </c>
      <c r="G613">
        <f t="shared" si="19"/>
        <v>4</v>
      </c>
      <c r="H613" t="str">
        <f>IF(ISNUMBER(FIND(",", E613)), TRIM(MID(E613, FIND(",", E613) + 1, LEN(E613))), E613)</f>
        <v>Indonesia</v>
      </c>
    </row>
    <row r="614" spans="1:8" x14ac:dyDescent="0.25">
      <c r="A614" s="2">
        <v>40291</v>
      </c>
      <c r="B614">
        <v>-37.529000000000003</v>
      </c>
      <c r="C614">
        <v>-72.968999999999994</v>
      </c>
      <c r="D614" t="s">
        <v>7</v>
      </c>
      <c r="E614" t="s">
        <v>302</v>
      </c>
      <c r="F614">
        <f t="shared" si="18"/>
        <v>2010</v>
      </c>
      <c r="G614">
        <f t="shared" si="19"/>
        <v>4</v>
      </c>
      <c r="H614" t="str">
        <f>IF(ISNUMBER(FIND(",", E614)), TRIM(MID(E614, FIND(",", E614) + 1, LEN(E614))), E614)</f>
        <v>Chile</v>
      </c>
    </row>
    <row r="615" spans="1:8" x14ac:dyDescent="0.25">
      <c r="A615" s="2">
        <v>40289</v>
      </c>
      <c r="B615">
        <v>-15.271000000000001</v>
      </c>
      <c r="C615">
        <v>-173.21899999999999</v>
      </c>
      <c r="D615" t="s">
        <v>7</v>
      </c>
      <c r="E615" t="s">
        <v>239</v>
      </c>
      <c r="F615">
        <f t="shared" si="18"/>
        <v>2010</v>
      </c>
      <c r="G615">
        <f t="shared" si="19"/>
        <v>4</v>
      </c>
      <c r="H615" t="str">
        <f>IF(ISNUMBER(FIND(",", E615)), TRIM(MID(E615, FIND(",", E615) + 1, LEN(E615))), E615)</f>
        <v>Tonga</v>
      </c>
    </row>
    <row r="616" spans="1:8" x14ac:dyDescent="0.25">
      <c r="A616" s="2">
        <v>40285</v>
      </c>
      <c r="B616">
        <v>-6.6689999999999996</v>
      </c>
      <c r="C616">
        <v>147.291</v>
      </c>
      <c r="D616" t="s">
        <v>7</v>
      </c>
      <c r="E616" t="s">
        <v>243</v>
      </c>
      <c r="F616">
        <f t="shared" si="18"/>
        <v>2010</v>
      </c>
      <c r="G616">
        <f t="shared" si="19"/>
        <v>4</v>
      </c>
      <c r="H616" t="str">
        <f>IF(ISNUMBER(FIND(",", E616)), TRIM(MID(E616, FIND(",", E616) + 1, LEN(E616))), E616)</f>
        <v>Papua New Guinea</v>
      </c>
    </row>
    <row r="617" spans="1:8" x14ac:dyDescent="0.25">
      <c r="A617" s="2">
        <v>40282</v>
      </c>
      <c r="B617">
        <v>33.195</v>
      </c>
      <c r="C617">
        <v>96.448999999999998</v>
      </c>
      <c r="D617" t="s">
        <v>7</v>
      </c>
      <c r="E617" t="s">
        <v>331</v>
      </c>
      <c r="F617">
        <f t="shared" si="18"/>
        <v>2010</v>
      </c>
      <c r="G617">
        <f t="shared" si="19"/>
        <v>4</v>
      </c>
      <c r="H617" t="str">
        <f>IF(ISNUMBER(FIND(",", E617)), TRIM(MID(E617, FIND(",", E617) + 1, LEN(E617))), E617)</f>
        <v>China</v>
      </c>
    </row>
    <row r="618" spans="1:8" x14ac:dyDescent="0.25">
      <c r="A618" s="2">
        <v>40281</v>
      </c>
      <c r="B618">
        <v>33.164999999999999</v>
      </c>
      <c r="C618">
        <v>96.548000000000002</v>
      </c>
      <c r="D618" t="s">
        <v>7</v>
      </c>
      <c r="E618" t="s">
        <v>331</v>
      </c>
      <c r="F618">
        <f t="shared" si="18"/>
        <v>2010</v>
      </c>
      <c r="G618">
        <f t="shared" si="19"/>
        <v>4</v>
      </c>
      <c r="H618" t="str">
        <f>IF(ISNUMBER(FIND(",", E618)), TRIM(MID(E618, FIND(",", E618) + 1, LEN(E618))), E618)</f>
        <v>China</v>
      </c>
    </row>
    <row r="619" spans="1:8" x14ac:dyDescent="0.25">
      <c r="A619" s="2">
        <v>40279</v>
      </c>
      <c r="B619">
        <v>36.965000000000003</v>
      </c>
      <c r="C619">
        <v>-3.5419999999999998</v>
      </c>
      <c r="D619" t="s">
        <v>7</v>
      </c>
      <c r="E619" t="s">
        <v>332</v>
      </c>
      <c r="F619">
        <f t="shared" si="18"/>
        <v>2010</v>
      </c>
      <c r="G619">
        <f t="shared" si="19"/>
        <v>4</v>
      </c>
      <c r="H619" t="str">
        <f>IF(ISNUMBER(FIND(",", E619)), TRIM(MID(E619, FIND(",", E619) + 1, LEN(E619))), E619)</f>
        <v>Strait of Gibraltar</v>
      </c>
    </row>
    <row r="620" spans="1:8" x14ac:dyDescent="0.25">
      <c r="A620" s="2">
        <v>40279</v>
      </c>
      <c r="B620">
        <v>-10.878</v>
      </c>
      <c r="C620">
        <v>161.11600000000001</v>
      </c>
      <c r="D620" t="s">
        <v>7</v>
      </c>
      <c r="E620" t="s">
        <v>221</v>
      </c>
      <c r="F620">
        <f t="shared" si="18"/>
        <v>2010</v>
      </c>
      <c r="G620">
        <f t="shared" si="19"/>
        <v>4</v>
      </c>
      <c r="H620" t="str">
        <f>IF(ISNUMBER(FIND(",", E620)), TRIM(MID(E620, FIND(",", E620) + 1, LEN(E620))), E620)</f>
        <v>Solomon Islands</v>
      </c>
    </row>
    <row r="621" spans="1:8" x14ac:dyDescent="0.25">
      <c r="A621" s="2">
        <v>40278</v>
      </c>
      <c r="B621">
        <v>-20.114000000000001</v>
      </c>
      <c r="C621">
        <v>-176.22300000000001</v>
      </c>
      <c r="D621" t="s">
        <v>5</v>
      </c>
      <c r="E621" t="s">
        <v>53</v>
      </c>
      <c r="F621">
        <f t="shared" si="18"/>
        <v>2010</v>
      </c>
      <c r="G621">
        <f t="shared" si="19"/>
        <v>4</v>
      </c>
      <c r="H621" t="str">
        <f>IF(ISNUMBER(FIND(",", E621)), TRIM(MID(E621, FIND(",", E621) + 1, LEN(E621))), E621)</f>
        <v>Fiji region</v>
      </c>
    </row>
    <row r="622" spans="1:8" x14ac:dyDescent="0.25">
      <c r="A622" s="2">
        <v>40275</v>
      </c>
      <c r="B622">
        <v>-3.76</v>
      </c>
      <c r="C622">
        <v>141.94300000000001</v>
      </c>
      <c r="D622" t="s">
        <v>7</v>
      </c>
      <c r="E622" t="s">
        <v>253</v>
      </c>
      <c r="F622">
        <f t="shared" si="18"/>
        <v>2010</v>
      </c>
      <c r="G622">
        <f t="shared" si="19"/>
        <v>4</v>
      </c>
      <c r="H622" t="str">
        <f>IF(ISNUMBER(FIND(",", E622)), TRIM(MID(E622, FIND(",", E622) + 1, LEN(E622))), E622)</f>
        <v>Papua New Guinea</v>
      </c>
    </row>
    <row r="623" spans="1:8" x14ac:dyDescent="0.25">
      <c r="A623" s="2">
        <v>40274</v>
      </c>
      <c r="B623">
        <v>2.383</v>
      </c>
      <c r="C623">
        <v>97.048000000000002</v>
      </c>
      <c r="D623" t="s">
        <v>7</v>
      </c>
      <c r="E623" t="s">
        <v>226</v>
      </c>
      <c r="F623">
        <f t="shared" si="18"/>
        <v>2010</v>
      </c>
      <c r="G623">
        <f t="shared" si="19"/>
        <v>4</v>
      </c>
      <c r="H623" t="str">
        <f>IF(ISNUMBER(FIND(",", E623)), TRIM(MID(E623, FIND(",", E623) + 1, LEN(E623))), E623)</f>
        <v>Indonesia</v>
      </c>
    </row>
    <row r="624" spans="1:8" x14ac:dyDescent="0.25">
      <c r="A624" s="2">
        <v>40273</v>
      </c>
      <c r="B624">
        <v>-0.183</v>
      </c>
      <c r="C624">
        <v>125.009</v>
      </c>
      <c r="D624" t="s">
        <v>3</v>
      </c>
      <c r="E624" t="s">
        <v>186</v>
      </c>
      <c r="F624">
        <f t="shared" si="18"/>
        <v>2010</v>
      </c>
      <c r="G624">
        <f t="shared" si="19"/>
        <v>4</v>
      </c>
      <c r="H624" t="str">
        <f>IF(ISNUMBER(FIND(",", E624)), TRIM(MID(E624, FIND(",", E624) + 1, LEN(E624))), E624)</f>
        <v>Molucca Sea</v>
      </c>
    </row>
    <row r="625" spans="1:8" x14ac:dyDescent="0.25">
      <c r="A625" s="2">
        <v>40272</v>
      </c>
      <c r="B625">
        <v>32.296999999999997</v>
      </c>
      <c r="C625">
        <v>-115.27800000000001</v>
      </c>
      <c r="D625" t="s">
        <v>7</v>
      </c>
      <c r="E625" t="s">
        <v>247</v>
      </c>
      <c r="F625">
        <f t="shared" si="18"/>
        <v>2010</v>
      </c>
      <c r="G625">
        <f t="shared" si="19"/>
        <v>4</v>
      </c>
      <c r="H625" t="str">
        <f>IF(ISNUMBER(FIND(",", E625)), TRIM(MID(E625, FIND(",", E625) + 1, LEN(E625))), E625)</f>
        <v>Mexico</v>
      </c>
    </row>
    <row r="626" spans="1:8" x14ac:dyDescent="0.25">
      <c r="A626" s="2">
        <v>40270</v>
      </c>
      <c r="B626">
        <v>-36.226999999999997</v>
      </c>
      <c r="C626">
        <v>-72.878</v>
      </c>
      <c r="D626" t="s">
        <v>7</v>
      </c>
      <c r="E626" t="s">
        <v>259</v>
      </c>
      <c r="F626">
        <f t="shared" si="18"/>
        <v>2010</v>
      </c>
      <c r="G626">
        <f t="shared" si="19"/>
        <v>4</v>
      </c>
      <c r="H626" t="str">
        <f>IF(ISNUMBER(FIND(",", E626)), TRIM(MID(E626, FIND(",", E626) + 1, LEN(E626))), E626)</f>
        <v>Chile</v>
      </c>
    </row>
    <row r="627" spans="1:8" x14ac:dyDescent="0.25">
      <c r="A627" s="2">
        <v>40267</v>
      </c>
      <c r="B627">
        <v>13.667</v>
      </c>
      <c r="C627">
        <v>92.831000000000003</v>
      </c>
      <c r="D627" t="s">
        <v>7</v>
      </c>
      <c r="E627" t="s">
        <v>323</v>
      </c>
      <c r="F627">
        <f t="shared" si="18"/>
        <v>2010</v>
      </c>
      <c r="G627">
        <f t="shared" si="19"/>
        <v>3</v>
      </c>
      <c r="H627" t="str">
        <f>IF(ISNUMBER(FIND(",", E627)), TRIM(MID(E627, FIND(",", E627) + 1, LEN(E627))), E627)</f>
        <v>India region</v>
      </c>
    </row>
    <row r="628" spans="1:8" x14ac:dyDescent="0.25">
      <c r="A628" s="2">
        <v>40265</v>
      </c>
      <c r="B628">
        <v>-35.387</v>
      </c>
      <c r="C628">
        <v>-73.385000000000005</v>
      </c>
      <c r="D628" t="s">
        <v>5</v>
      </c>
      <c r="E628" t="s">
        <v>301</v>
      </c>
      <c r="F628">
        <f t="shared" si="18"/>
        <v>2010</v>
      </c>
      <c r="G628">
        <f t="shared" si="19"/>
        <v>3</v>
      </c>
      <c r="H628" t="str">
        <f>IF(ISNUMBER(FIND(",", E628)), TRIM(MID(E628, FIND(",", E628) + 1, LEN(E628))), E628)</f>
        <v>Chile</v>
      </c>
    </row>
    <row r="629" spans="1:8" x14ac:dyDescent="0.25">
      <c r="A629" s="2">
        <v>40263</v>
      </c>
      <c r="B629">
        <v>-27.952999999999999</v>
      </c>
      <c r="C629">
        <v>-70.820999999999998</v>
      </c>
      <c r="D629" t="s">
        <v>5</v>
      </c>
      <c r="E629" t="s">
        <v>264</v>
      </c>
      <c r="F629">
        <f t="shared" si="18"/>
        <v>2010</v>
      </c>
      <c r="G629">
        <f t="shared" si="19"/>
        <v>3</v>
      </c>
      <c r="H629" t="str">
        <f>IF(ISNUMBER(FIND(",", E629)), TRIM(MID(E629, FIND(",", E629) + 1, LEN(E629))), E629)</f>
        <v>Chile</v>
      </c>
    </row>
    <row r="630" spans="1:8" x14ac:dyDescent="0.25">
      <c r="A630" s="2">
        <v>40262</v>
      </c>
      <c r="B630">
        <v>13.827</v>
      </c>
      <c r="C630">
        <v>120.071</v>
      </c>
      <c r="D630" t="s">
        <v>7</v>
      </c>
      <c r="E630" t="s">
        <v>333</v>
      </c>
      <c r="F630">
        <f t="shared" si="18"/>
        <v>2010</v>
      </c>
      <c r="G630">
        <f t="shared" si="19"/>
        <v>3</v>
      </c>
      <c r="H630" t="str">
        <f>IF(ISNUMBER(FIND(",", E630)), TRIM(MID(E630, FIND(",", E630) + 1, LEN(E630))), E630)</f>
        <v>Philippines</v>
      </c>
    </row>
    <row r="631" spans="1:8" x14ac:dyDescent="0.25">
      <c r="A631" s="2">
        <v>40257</v>
      </c>
      <c r="B631">
        <v>-3.3610000000000002</v>
      </c>
      <c r="C631">
        <v>152.245</v>
      </c>
      <c r="D631" t="s">
        <v>7</v>
      </c>
      <c r="E631" t="s">
        <v>183</v>
      </c>
      <c r="F631">
        <f t="shared" si="18"/>
        <v>2010</v>
      </c>
      <c r="G631">
        <f t="shared" si="19"/>
        <v>3</v>
      </c>
      <c r="H631" t="str">
        <f>IF(ISNUMBER(FIND(",", E631)), TRIM(MID(E631, FIND(",", E631) + 1, LEN(E631))), E631)</f>
        <v>Papua New Guinea</v>
      </c>
    </row>
    <row r="632" spans="1:8" x14ac:dyDescent="0.25">
      <c r="A632" s="2">
        <v>40253</v>
      </c>
      <c r="B632">
        <v>-36.216999999999999</v>
      </c>
      <c r="C632">
        <v>-73.257000000000005</v>
      </c>
      <c r="D632" t="s">
        <v>7</v>
      </c>
      <c r="E632" t="s">
        <v>259</v>
      </c>
      <c r="F632">
        <f t="shared" si="18"/>
        <v>2010</v>
      </c>
      <c r="G632">
        <f t="shared" si="19"/>
        <v>3</v>
      </c>
      <c r="H632" t="str">
        <f>IF(ISNUMBER(FIND(",", E632)), TRIM(MID(E632, FIND(",", E632) + 1, LEN(E632))), E632)</f>
        <v>Chile</v>
      </c>
    </row>
    <row r="633" spans="1:8" x14ac:dyDescent="0.25">
      <c r="A633" s="2">
        <v>40252</v>
      </c>
      <c r="B633">
        <v>-35.802</v>
      </c>
      <c r="C633">
        <v>-73.158000000000001</v>
      </c>
      <c r="D633" t="s">
        <v>7</v>
      </c>
      <c r="E633" t="s">
        <v>301</v>
      </c>
      <c r="F633">
        <f t="shared" si="18"/>
        <v>2010</v>
      </c>
      <c r="G633">
        <f t="shared" si="19"/>
        <v>3</v>
      </c>
      <c r="H633" t="str">
        <f>IF(ISNUMBER(FIND(",", E633)), TRIM(MID(E633, FIND(",", E633) + 1, LEN(E633))), E633)</f>
        <v>Chile</v>
      </c>
    </row>
    <row r="634" spans="1:8" x14ac:dyDescent="0.25">
      <c r="A634" s="2">
        <v>40251</v>
      </c>
      <c r="B634">
        <v>37.744999999999997</v>
      </c>
      <c r="C634">
        <v>141.59</v>
      </c>
      <c r="D634" t="s">
        <v>7</v>
      </c>
      <c r="E634" t="s">
        <v>227</v>
      </c>
      <c r="F634">
        <f t="shared" si="18"/>
        <v>2010</v>
      </c>
      <c r="G634">
        <f t="shared" si="19"/>
        <v>3</v>
      </c>
      <c r="H634" t="str">
        <f>IF(ISNUMBER(FIND(",", E634)), TRIM(MID(E634, FIND(",", E634) + 1, LEN(E634))), E634)</f>
        <v>Japan</v>
      </c>
    </row>
    <row r="635" spans="1:8" x14ac:dyDescent="0.25">
      <c r="A635" s="2">
        <v>40251</v>
      </c>
      <c r="B635">
        <v>-1.6919999999999999</v>
      </c>
      <c r="C635">
        <v>128.13499999999999</v>
      </c>
      <c r="D635" t="s">
        <v>5</v>
      </c>
      <c r="E635" t="s">
        <v>330</v>
      </c>
      <c r="F635">
        <f t="shared" si="18"/>
        <v>2010</v>
      </c>
      <c r="G635">
        <f t="shared" si="19"/>
        <v>3</v>
      </c>
      <c r="H635" t="str">
        <f>IF(ISNUMBER(FIND(",", E635)), TRIM(MID(E635, FIND(",", E635) + 1, LEN(E635))), E635)</f>
        <v>Indonesia</v>
      </c>
    </row>
    <row r="636" spans="1:8" x14ac:dyDescent="0.25">
      <c r="A636" s="2">
        <v>40248</v>
      </c>
      <c r="B636">
        <v>-34.47</v>
      </c>
      <c r="C636">
        <v>-72.004000000000005</v>
      </c>
      <c r="D636" t="s">
        <v>13</v>
      </c>
      <c r="E636" t="s">
        <v>334</v>
      </c>
      <c r="F636">
        <f t="shared" si="18"/>
        <v>2010</v>
      </c>
      <c r="G636">
        <f t="shared" si="19"/>
        <v>3</v>
      </c>
      <c r="H636" t="str">
        <f>IF(ISNUMBER(FIND(",", E636)), TRIM(MID(E636, FIND(",", E636) + 1, LEN(E636))), E636)</f>
        <v>Chile</v>
      </c>
    </row>
    <row r="637" spans="1:8" x14ac:dyDescent="0.25">
      <c r="A637" s="2">
        <v>40248</v>
      </c>
      <c r="B637">
        <v>-34.326000000000001</v>
      </c>
      <c r="C637">
        <v>-71.799000000000007</v>
      </c>
      <c r="D637" t="s">
        <v>7</v>
      </c>
      <c r="E637" t="s">
        <v>334</v>
      </c>
      <c r="F637">
        <f t="shared" si="18"/>
        <v>2010</v>
      </c>
      <c r="G637">
        <f t="shared" si="19"/>
        <v>3</v>
      </c>
      <c r="H637" t="str">
        <f>IF(ISNUMBER(FIND(",", E637)), TRIM(MID(E637, FIND(",", E637) + 1, LEN(E637))), E637)</f>
        <v>Chile</v>
      </c>
    </row>
    <row r="638" spans="1:8" x14ac:dyDescent="0.25">
      <c r="A638" s="2">
        <v>40248</v>
      </c>
      <c r="B638">
        <v>-34.29</v>
      </c>
      <c r="C638">
        <v>-71.891000000000005</v>
      </c>
      <c r="D638" t="s">
        <v>7</v>
      </c>
      <c r="E638" t="s">
        <v>334</v>
      </c>
      <c r="F638">
        <f t="shared" si="18"/>
        <v>2010</v>
      </c>
      <c r="G638">
        <f t="shared" si="19"/>
        <v>3</v>
      </c>
      <c r="H638" t="str">
        <f>IF(ISNUMBER(FIND(",", E638)), TRIM(MID(E638, FIND(",", E638) + 1, LEN(E638))), E638)</f>
        <v>Chile</v>
      </c>
    </row>
    <row r="639" spans="1:8" x14ac:dyDescent="0.25">
      <c r="A639" s="2">
        <v>40245</v>
      </c>
      <c r="B639">
        <v>19.347999999999999</v>
      </c>
      <c r="C639">
        <v>144.74299999999999</v>
      </c>
      <c r="D639" t="s">
        <v>5</v>
      </c>
      <c r="E639" t="s">
        <v>335</v>
      </c>
      <c r="F639">
        <f t="shared" si="18"/>
        <v>2010</v>
      </c>
      <c r="G639">
        <f t="shared" si="19"/>
        <v>3</v>
      </c>
      <c r="H639" t="str">
        <f>IF(ISNUMBER(FIND(",", E639)), TRIM(MID(E639, FIND(",", E639) + 1, LEN(E639))), E639)</f>
        <v>Northern Mariana Islands</v>
      </c>
    </row>
    <row r="640" spans="1:8" x14ac:dyDescent="0.25">
      <c r="A640" s="2">
        <v>40245</v>
      </c>
      <c r="B640">
        <v>38.863999999999997</v>
      </c>
      <c r="C640">
        <v>39.985999999999997</v>
      </c>
      <c r="D640" t="s">
        <v>7</v>
      </c>
      <c r="E640" t="s">
        <v>272</v>
      </c>
      <c r="F640">
        <f t="shared" si="18"/>
        <v>2010</v>
      </c>
      <c r="G640">
        <f t="shared" si="19"/>
        <v>3</v>
      </c>
      <c r="H640" t="str">
        <f>IF(ISNUMBER(FIND(",", E640)), TRIM(MID(E640, FIND(",", E640) + 1, LEN(E640))), E640)</f>
        <v>eastern Turkey</v>
      </c>
    </row>
    <row r="641" spans="1:8" x14ac:dyDescent="0.25">
      <c r="A641" s="2">
        <v>40244</v>
      </c>
      <c r="B641">
        <v>-16.236000000000001</v>
      </c>
      <c r="C641">
        <v>-115.29600000000001</v>
      </c>
      <c r="D641" t="s">
        <v>7</v>
      </c>
      <c r="E641" t="s">
        <v>268</v>
      </c>
      <c r="F641">
        <f t="shared" si="18"/>
        <v>2010</v>
      </c>
      <c r="G641">
        <f t="shared" si="19"/>
        <v>3</v>
      </c>
      <c r="H641" t="str">
        <f>IF(ISNUMBER(FIND(",", E641)), TRIM(MID(E641, FIND(",", E641) + 1, LEN(E641))), E641)</f>
        <v>southern East Pacific Rise</v>
      </c>
    </row>
    <row r="642" spans="1:8" x14ac:dyDescent="0.25">
      <c r="A642" s="2">
        <v>40242</v>
      </c>
      <c r="B642">
        <v>-3.762</v>
      </c>
      <c r="C642">
        <v>100.991</v>
      </c>
      <c r="D642" t="s">
        <v>7</v>
      </c>
      <c r="E642" t="s">
        <v>209</v>
      </c>
      <c r="F642">
        <f t="shared" ref="F642:F705" si="20">YEAR(A642)</f>
        <v>2010</v>
      </c>
      <c r="G642">
        <f t="shared" si="19"/>
        <v>3</v>
      </c>
      <c r="H642" t="str">
        <f>IF(ISNUMBER(FIND(",", E642)), TRIM(MID(E642, FIND(",", E642) + 1, LEN(E642))), E642)</f>
        <v>Indonesia</v>
      </c>
    </row>
    <row r="643" spans="1:8" x14ac:dyDescent="0.25">
      <c r="A643" s="2">
        <v>40242</v>
      </c>
      <c r="B643">
        <v>-36.664999999999999</v>
      </c>
      <c r="C643">
        <v>-73.373999999999995</v>
      </c>
      <c r="D643" t="s">
        <v>5</v>
      </c>
      <c r="E643" t="s">
        <v>259</v>
      </c>
      <c r="F643">
        <f t="shared" si="20"/>
        <v>2010</v>
      </c>
      <c r="G643">
        <f t="shared" ref="G643:G706" si="21">MONTH(A643)</f>
        <v>3</v>
      </c>
      <c r="H643" t="str">
        <f>IF(ISNUMBER(FIND(",", E643)), TRIM(MID(E643, FIND(",", E643) + 1, LEN(E643))), E643)</f>
        <v>Chile</v>
      </c>
    </row>
    <row r="644" spans="1:8" x14ac:dyDescent="0.25">
      <c r="A644" s="2">
        <v>40242</v>
      </c>
      <c r="B644">
        <v>-36.631</v>
      </c>
      <c r="C644">
        <v>-73.222999999999999</v>
      </c>
      <c r="D644" t="s">
        <v>7</v>
      </c>
      <c r="E644" t="s">
        <v>259</v>
      </c>
      <c r="F644">
        <f t="shared" si="20"/>
        <v>2010</v>
      </c>
      <c r="G644">
        <f t="shared" si="21"/>
        <v>3</v>
      </c>
      <c r="H644" t="str">
        <f>IF(ISNUMBER(FIND(",", E644)), TRIM(MID(E644, FIND(",", E644) + 1, LEN(E644))), E644)</f>
        <v>Chile</v>
      </c>
    </row>
    <row r="645" spans="1:8" x14ac:dyDescent="0.25">
      <c r="A645" s="2">
        <v>40241</v>
      </c>
      <c r="B645">
        <v>-22.227</v>
      </c>
      <c r="C645">
        <v>-68.328000000000003</v>
      </c>
      <c r="D645" t="s">
        <v>5</v>
      </c>
      <c r="E645" t="s">
        <v>289</v>
      </c>
      <c r="F645">
        <f t="shared" si="20"/>
        <v>2010</v>
      </c>
      <c r="G645">
        <f t="shared" si="21"/>
        <v>3</v>
      </c>
      <c r="H645" t="str">
        <f>IF(ISNUMBER(FIND(",", E645)), TRIM(MID(E645, FIND(",", E645) + 1, LEN(E645))), E645)</f>
        <v>Chile</v>
      </c>
    </row>
    <row r="646" spans="1:8" x14ac:dyDescent="0.25">
      <c r="A646" s="2">
        <v>40241</v>
      </c>
      <c r="B646">
        <v>-13.571</v>
      </c>
      <c r="C646">
        <v>167.227</v>
      </c>
      <c r="D646" t="s">
        <v>5</v>
      </c>
      <c r="E646" t="s">
        <v>181</v>
      </c>
      <c r="F646">
        <f t="shared" si="20"/>
        <v>2010</v>
      </c>
      <c r="G646">
        <f t="shared" si="21"/>
        <v>3</v>
      </c>
      <c r="H646" t="str">
        <f>IF(ISNUMBER(FIND(",", E646)), TRIM(MID(E646, FIND(",", E646) + 1, LEN(E646))), E646)</f>
        <v>Vanuatu</v>
      </c>
    </row>
    <row r="647" spans="1:8" x14ac:dyDescent="0.25">
      <c r="A647" s="2">
        <v>40241</v>
      </c>
      <c r="B647">
        <v>-33.216000000000001</v>
      </c>
      <c r="C647">
        <v>-72.125</v>
      </c>
      <c r="D647" t="s">
        <v>7</v>
      </c>
      <c r="E647" t="s">
        <v>286</v>
      </c>
      <c r="F647">
        <f t="shared" si="20"/>
        <v>2010</v>
      </c>
      <c r="G647">
        <f t="shared" si="21"/>
        <v>3</v>
      </c>
      <c r="H647" t="str">
        <f>IF(ISNUMBER(FIND(",", E647)), TRIM(MID(E647, FIND(",", E647) + 1, LEN(E647))), E647)</f>
        <v>Chile</v>
      </c>
    </row>
    <row r="648" spans="1:8" x14ac:dyDescent="0.25">
      <c r="A648" s="2">
        <v>40241</v>
      </c>
      <c r="B648">
        <v>22.917999999999999</v>
      </c>
      <c r="C648">
        <v>120.795</v>
      </c>
      <c r="D648" t="s">
        <v>7</v>
      </c>
      <c r="E648" t="s">
        <v>336</v>
      </c>
      <c r="F648">
        <f t="shared" si="20"/>
        <v>2010</v>
      </c>
      <c r="G648">
        <f t="shared" si="21"/>
        <v>3</v>
      </c>
      <c r="H648" t="str">
        <f>IF(ISNUMBER(FIND(",", E648)), TRIM(MID(E648, FIND(",", E648) + 1, LEN(E648))), E648)</f>
        <v>Taiwan</v>
      </c>
    </row>
    <row r="649" spans="1:8" x14ac:dyDescent="0.25">
      <c r="A649" s="2">
        <v>40240</v>
      </c>
      <c r="B649">
        <v>-36.61</v>
      </c>
      <c r="C649">
        <v>-73.36</v>
      </c>
      <c r="D649" t="s">
        <v>7</v>
      </c>
      <c r="E649" t="s">
        <v>259</v>
      </c>
      <c r="F649">
        <f t="shared" si="20"/>
        <v>2010</v>
      </c>
      <c r="G649">
        <f t="shared" si="21"/>
        <v>3</v>
      </c>
      <c r="H649" t="str">
        <f>IF(ISNUMBER(FIND(",", E649)), TRIM(MID(E649, FIND(",", E649) + 1, LEN(E649))), E649)</f>
        <v>Chile</v>
      </c>
    </row>
    <row r="650" spans="1:8" x14ac:dyDescent="0.25">
      <c r="A650" s="2">
        <v>40237</v>
      </c>
      <c r="B650">
        <v>-34.902999999999999</v>
      </c>
      <c r="C650">
        <v>-71.617000000000004</v>
      </c>
      <c r="D650" t="s">
        <v>5</v>
      </c>
      <c r="E650" t="s">
        <v>230</v>
      </c>
      <c r="F650">
        <f t="shared" si="20"/>
        <v>2010</v>
      </c>
      <c r="G650">
        <f t="shared" si="21"/>
        <v>2</v>
      </c>
      <c r="H650" t="str">
        <f>IF(ISNUMBER(FIND(",", E650)), TRIM(MID(E650, FIND(",", E650) + 1, LEN(E650))), E650)</f>
        <v>Chile</v>
      </c>
    </row>
    <row r="651" spans="1:8" x14ac:dyDescent="0.25">
      <c r="A651" s="2">
        <v>40236</v>
      </c>
      <c r="B651">
        <v>-34.700000000000003</v>
      </c>
      <c r="C651">
        <v>-71.826999999999998</v>
      </c>
      <c r="D651" t="s">
        <v>13</v>
      </c>
      <c r="E651" t="s">
        <v>334</v>
      </c>
      <c r="F651">
        <f t="shared" si="20"/>
        <v>2010</v>
      </c>
      <c r="G651">
        <f t="shared" si="21"/>
        <v>2</v>
      </c>
      <c r="H651" t="str">
        <f>IF(ISNUMBER(FIND(",", E651)), TRIM(MID(E651, FIND(",", E651) + 1, LEN(E651))), E651)</f>
        <v>Chile</v>
      </c>
    </row>
    <row r="652" spans="1:8" x14ac:dyDescent="0.25">
      <c r="A652" s="2">
        <v>40236</v>
      </c>
      <c r="B652">
        <v>-33.421999999999997</v>
      </c>
      <c r="C652">
        <v>-71.828000000000003</v>
      </c>
      <c r="D652" t="s">
        <v>7</v>
      </c>
      <c r="E652" t="s">
        <v>286</v>
      </c>
      <c r="F652">
        <f t="shared" si="20"/>
        <v>2010</v>
      </c>
      <c r="G652">
        <f t="shared" si="21"/>
        <v>2</v>
      </c>
      <c r="H652" t="str">
        <f>IF(ISNUMBER(FIND(",", E652)), TRIM(MID(E652, FIND(",", E652) + 1, LEN(E652))), E652)</f>
        <v>Chile</v>
      </c>
    </row>
    <row r="653" spans="1:8" x14ac:dyDescent="0.25">
      <c r="A653" s="2">
        <v>40236</v>
      </c>
      <c r="B653">
        <v>-36.353999999999999</v>
      </c>
      <c r="C653">
        <v>-73.207999999999998</v>
      </c>
      <c r="D653" t="s">
        <v>5</v>
      </c>
      <c r="E653" t="s">
        <v>259</v>
      </c>
      <c r="F653">
        <f t="shared" si="20"/>
        <v>2010</v>
      </c>
      <c r="G653">
        <f t="shared" si="21"/>
        <v>2</v>
      </c>
      <c r="H653" t="str">
        <f>IF(ISNUMBER(FIND(",", E653)), TRIM(MID(E653, FIND(",", E653) + 1, LEN(E653))), E653)</f>
        <v>Chile</v>
      </c>
    </row>
    <row r="654" spans="1:8" x14ac:dyDescent="0.25">
      <c r="A654" s="2">
        <v>40236</v>
      </c>
      <c r="B654">
        <v>-24.872</v>
      </c>
      <c r="C654">
        <v>-65.602000000000004</v>
      </c>
      <c r="D654" t="s">
        <v>7</v>
      </c>
      <c r="E654" t="s">
        <v>337</v>
      </c>
      <c r="F654">
        <f t="shared" si="20"/>
        <v>2010</v>
      </c>
      <c r="G654">
        <f t="shared" si="21"/>
        <v>2</v>
      </c>
      <c r="H654" t="str">
        <f>IF(ISNUMBER(FIND(",", E654)), TRIM(MID(E654, FIND(",", E654) + 1, LEN(E654))), E654)</f>
        <v>Argentina</v>
      </c>
    </row>
    <row r="655" spans="1:8" x14ac:dyDescent="0.25">
      <c r="A655" s="2">
        <v>40236</v>
      </c>
      <c r="B655">
        <v>-33.280999999999999</v>
      </c>
      <c r="C655">
        <v>-71.954999999999998</v>
      </c>
      <c r="D655" t="s">
        <v>13</v>
      </c>
      <c r="E655" t="s">
        <v>286</v>
      </c>
      <c r="F655">
        <f t="shared" si="20"/>
        <v>2010</v>
      </c>
      <c r="G655">
        <f t="shared" si="21"/>
        <v>2</v>
      </c>
      <c r="H655" t="str">
        <f>IF(ISNUMBER(FIND(",", E655)), TRIM(MID(E655, FIND(",", E655) + 1, LEN(E655))), E655)</f>
        <v>Chile</v>
      </c>
    </row>
    <row r="656" spans="1:8" x14ac:dyDescent="0.25">
      <c r="A656" s="2">
        <v>40236</v>
      </c>
      <c r="B656">
        <v>-34.749000000000002</v>
      </c>
      <c r="C656">
        <v>-72.427000000000007</v>
      </c>
      <c r="D656" t="s">
        <v>13</v>
      </c>
      <c r="E656" t="s">
        <v>301</v>
      </c>
      <c r="F656">
        <f t="shared" si="20"/>
        <v>2010</v>
      </c>
      <c r="G656">
        <f t="shared" si="21"/>
        <v>2</v>
      </c>
      <c r="H656" t="str">
        <f>IF(ISNUMBER(FIND(",", E656)), TRIM(MID(E656, FIND(",", E656) + 1, LEN(E656))), E656)</f>
        <v>Chile</v>
      </c>
    </row>
    <row r="657" spans="1:8" x14ac:dyDescent="0.25">
      <c r="A657" s="2">
        <v>40236</v>
      </c>
      <c r="B657">
        <v>-37.773000000000003</v>
      </c>
      <c r="C657">
        <v>-75.048000000000002</v>
      </c>
      <c r="D657" t="s">
        <v>7</v>
      </c>
      <c r="E657" t="s">
        <v>338</v>
      </c>
      <c r="F657">
        <f t="shared" si="20"/>
        <v>2010</v>
      </c>
      <c r="G657">
        <f t="shared" si="21"/>
        <v>2</v>
      </c>
      <c r="H657" t="str">
        <f>IF(ISNUMBER(FIND(",", E657)), TRIM(MID(E657, FIND(",", E657) + 1, LEN(E657))), E657)</f>
        <v>Chile</v>
      </c>
    </row>
    <row r="658" spans="1:8" x14ac:dyDescent="0.25">
      <c r="A658" s="2">
        <v>40236</v>
      </c>
      <c r="B658">
        <v>-36.869</v>
      </c>
      <c r="C658">
        <v>-72.673000000000002</v>
      </c>
      <c r="D658" t="s">
        <v>13</v>
      </c>
      <c r="E658" t="s">
        <v>302</v>
      </c>
      <c r="F658">
        <f t="shared" si="20"/>
        <v>2010</v>
      </c>
      <c r="G658">
        <f t="shared" si="21"/>
        <v>2</v>
      </c>
      <c r="H658" t="str">
        <f>IF(ISNUMBER(FIND(",", E658)), TRIM(MID(E658, FIND(",", E658) + 1, LEN(E658))), E658)</f>
        <v>Chile</v>
      </c>
    </row>
    <row r="659" spans="1:8" x14ac:dyDescent="0.25">
      <c r="A659" s="2">
        <v>40236</v>
      </c>
      <c r="B659">
        <v>-33.878</v>
      </c>
      <c r="C659">
        <v>-71.942999999999998</v>
      </c>
      <c r="D659" t="s">
        <v>13</v>
      </c>
      <c r="E659" t="s">
        <v>286</v>
      </c>
      <c r="F659">
        <f t="shared" si="20"/>
        <v>2010</v>
      </c>
      <c r="G659">
        <f t="shared" si="21"/>
        <v>2</v>
      </c>
      <c r="H659" t="str">
        <f>IF(ISNUMBER(FIND(",", E659)), TRIM(MID(E659, FIND(",", E659) + 1, LEN(E659))), E659)</f>
        <v>Chile</v>
      </c>
    </row>
    <row r="660" spans="1:8" x14ac:dyDescent="0.25">
      <c r="A660" s="2">
        <v>40236</v>
      </c>
      <c r="B660">
        <v>-34.866999999999997</v>
      </c>
      <c r="C660">
        <v>-72.614000000000004</v>
      </c>
      <c r="D660" t="s">
        <v>13</v>
      </c>
      <c r="E660" t="s">
        <v>301</v>
      </c>
      <c r="F660">
        <f t="shared" si="20"/>
        <v>2010</v>
      </c>
      <c r="G660">
        <f t="shared" si="21"/>
        <v>2</v>
      </c>
      <c r="H660" t="str">
        <f>IF(ISNUMBER(FIND(",", E660)), TRIM(MID(E660, FIND(",", E660) + 1, LEN(E660))), E660)</f>
        <v>Chile</v>
      </c>
    </row>
    <row r="661" spans="1:8" x14ac:dyDescent="0.25">
      <c r="A661" s="2">
        <v>40236</v>
      </c>
      <c r="B661">
        <v>-31.663</v>
      </c>
      <c r="C661">
        <v>-69.141000000000005</v>
      </c>
      <c r="D661" t="s">
        <v>13</v>
      </c>
      <c r="E661" t="s">
        <v>339</v>
      </c>
      <c r="F661">
        <f t="shared" si="20"/>
        <v>2010</v>
      </c>
      <c r="G661">
        <f t="shared" si="21"/>
        <v>2</v>
      </c>
      <c r="H661" t="str">
        <f>IF(ISNUMBER(FIND(",", E661)), TRIM(MID(E661, FIND(",", E661) + 1, LEN(E661))), E661)</f>
        <v>Argentina</v>
      </c>
    </row>
    <row r="662" spans="1:8" x14ac:dyDescent="0.25">
      <c r="A662" s="2">
        <v>40236</v>
      </c>
      <c r="B662">
        <v>-36.122</v>
      </c>
      <c r="C662">
        <v>-72.897999999999996</v>
      </c>
      <c r="D662" t="s">
        <v>7</v>
      </c>
      <c r="E662" t="s">
        <v>259</v>
      </c>
      <c r="F662">
        <f t="shared" si="20"/>
        <v>2010</v>
      </c>
      <c r="G662">
        <f t="shared" si="21"/>
        <v>2</v>
      </c>
      <c r="H662" t="str">
        <f>IF(ISNUMBER(FIND(",", E662)), TRIM(MID(E662, FIND(",", E662) + 1, LEN(E662))), E662)</f>
        <v>Chile</v>
      </c>
    </row>
    <row r="663" spans="1:8" x14ac:dyDescent="0.25">
      <c r="A663" s="2">
        <v>40235</v>
      </c>
      <c r="B663">
        <v>25.93</v>
      </c>
      <c r="C663">
        <v>128.42500000000001</v>
      </c>
      <c r="D663" t="s">
        <v>7</v>
      </c>
      <c r="E663" t="s">
        <v>340</v>
      </c>
      <c r="F663">
        <f t="shared" si="20"/>
        <v>2010</v>
      </c>
      <c r="G663">
        <f t="shared" si="21"/>
        <v>2</v>
      </c>
      <c r="H663" t="str">
        <f>IF(ISNUMBER(FIND(",", E663)), TRIM(MID(E663, FIND(",", E663) + 1, LEN(E663))), E663)</f>
        <v>Japan</v>
      </c>
    </row>
    <row r="664" spans="1:8" x14ac:dyDescent="0.25">
      <c r="A664" s="2">
        <v>40231</v>
      </c>
      <c r="B664">
        <v>-23.626000000000001</v>
      </c>
      <c r="C664">
        <v>-176.036</v>
      </c>
      <c r="D664" t="s">
        <v>7</v>
      </c>
      <c r="E664" t="s">
        <v>256</v>
      </c>
      <c r="F664">
        <f t="shared" si="20"/>
        <v>2010</v>
      </c>
      <c r="G664">
        <f t="shared" si="21"/>
        <v>2</v>
      </c>
      <c r="H664" t="str">
        <f>IF(ISNUMBER(FIND(",", E664)), TRIM(MID(E664, FIND(",", E664) + 1, LEN(E664))), E664)</f>
        <v>south of the Fiji Islands</v>
      </c>
    </row>
    <row r="665" spans="1:8" x14ac:dyDescent="0.25">
      <c r="A665" s="2">
        <v>40227</v>
      </c>
      <c r="B665">
        <v>42.587000000000003</v>
      </c>
      <c r="C665">
        <v>130.703</v>
      </c>
      <c r="D665" t="s">
        <v>5</v>
      </c>
      <c r="E665" t="s">
        <v>341</v>
      </c>
      <c r="F665">
        <f t="shared" si="20"/>
        <v>2010</v>
      </c>
      <c r="G665">
        <f t="shared" si="21"/>
        <v>2</v>
      </c>
      <c r="H665" t="str">
        <f>IF(ISNUMBER(FIND(",", E665)), TRIM(MID(E665, FIND(",", E665) + 1, LEN(E665))), E665)</f>
        <v>China-Russia-North Korea border region</v>
      </c>
    </row>
    <row r="666" spans="1:8" x14ac:dyDescent="0.25">
      <c r="A666" s="2">
        <v>40224</v>
      </c>
      <c r="B666">
        <v>-7.2169999999999996</v>
      </c>
      <c r="C666">
        <v>128.72300000000001</v>
      </c>
      <c r="D666" t="s">
        <v>7</v>
      </c>
      <c r="E666" t="s">
        <v>49</v>
      </c>
      <c r="F666">
        <f t="shared" si="20"/>
        <v>2010</v>
      </c>
      <c r="G666">
        <f t="shared" si="21"/>
        <v>2</v>
      </c>
      <c r="H666" t="str">
        <f>IF(ISNUMBER(FIND(",", E666)), TRIM(MID(E666, FIND(",", E666) + 1, LEN(E666))), E666)</f>
        <v>Indonesia</v>
      </c>
    </row>
    <row r="667" spans="1:8" x14ac:dyDescent="0.25">
      <c r="A667" s="2">
        <v>40222</v>
      </c>
      <c r="B667">
        <v>-21.902000000000001</v>
      </c>
      <c r="C667">
        <v>-174.767</v>
      </c>
      <c r="D667" t="s">
        <v>5</v>
      </c>
      <c r="E667" t="s">
        <v>239</v>
      </c>
      <c r="F667">
        <f t="shared" si="20"/>
        <v>2010</v>
      </c>
      <c r="G667">
        <f t="shared" si="21"/>
        <v>2</v>
      </c>
      <c r="H667" t="str">
        <f>IF(ISNUMBER(FIND(",", E667)), TRIM(MID(E667, FIND(",", E667) + 1, LEN(E667))), E667)</f>
        <v>Tonga</v>
      </c>
    </row>
    <row r="668" spans="1:8" x14ac:dyDescent="0.25">
      <c r="A668" s="2">
        <v>40218</v>
      </c>
      <c r="B668">
        <v>-15.053000000000001</v>
      </c>
      <c r="C668">
        <v>-173.49199999999999</v>
      </c>
      <c r="D668" t="s">
        <v>7</v>
      </c>
      <c r="E668" t="s">
        <v>239</v>
      </c>
      <c r="F668">
        <f t="shared" si="20"/>
        <v>2010</v>
      </c>
      <c r="G668">
        <f t="shared" si="21"/>
        <v>2</v>
      </c>
      <c r="H668" t="str">
        <f>IF(ISNUMBER(FIND(",", E668)), TRIM(MID(E668, FIND(",", E668) + 1, LEN(E668))), E668)</f>
        <v>Tonga</v>
      </c>
    </row>
    <row r="669" spans="1:8" x14ac:dyDescent="0.25">
      <c r="A669" s="2">
        <v>40216</v>
      </c>
      <c r="B669">
        <v>23.488</v>
      </c>
      <c r="C669">
        <v>123.61499999999999</v>
      </c>
      <c r="D669" t="s">
        <v>7</v>
      </c>
      <c r="E669" t="s">
        <v>312</v>
      </c>
      <c r="F669">
        <f t="shared" si="20"/>
        <v>2010</v>
      </c>
      <c r="G669">
        <f t="shared" si="21"/>
        <v>2</v>
      </c>
      <c r="H669" t="str">
        <f>IF(ISNUMBER(FIND(",", E669)), TRIM(MID(E669, FIND(",", E669) + 1, LEN(E669))), E669)</f>
        <v>Japan</v>
      </c>
    </row>
    <row r="670" spans="1:8" x14ac:dyDescent="0.25">
      <c r="A670" s="2">
        <v>40215</v>
      </c>
      <c r="B670">
        <v>46.835999999999999</v>
      </c>
      <c r="C670">
        <v>152.73099999999999</v>
      </c>
      <c r="D670" t="s">
        <v>7</v>
      </c>
      <c r="E670" t="s">
        <v>191</v>
      </c>
      <c r="F670">
        <f t="shared" si="20"/>
        <v>2010</v>
      </c>
      <c r="G670">
        <f t="shared" si="21"/>
        <v>2</v>
      </c>
      <c r="H670" t="str">
        <f>IF(ISNUMBER(FIND(",", E670)), TRIM(MID(E670, FIND(",", E670) + 1, LEN(E670))), E670)</f>
        <v>Kuril Islands</v>
      </c>
    </row>
    <row r="671" spans="1:8" x14ac:dyDescent="0.25">
      <c r="A671" s="2">
        <v>40214</v>
      </c>
      <c r="B671">
        <v>-47.911000000000001</v>
      </c>
      <c r="C671">
        <v>99.593000000000004</v>
      </c>
      <c r="D671" t="s">
        <v>7</v>
      </c>
      <c r="E671" t="s">
        <v>310</v>
      </c>
      <c r="F671">
        <f t="shared" si="20"/>
        <v>2010</v>
      </c>
      <c r="G671">
        <f t="shared" si="21"/>
        <v>2</v>
      </c>
      <c r="H671" t="str">
        <f>IF(ISNUMBER(FIND(",", E671)), TRIM(MID(E671, FIND(",", E671) + 1, LEN(E671))), E671)</f>
        <v>southeast Indian Ridge</v>
      </c>
    </row>
    <row r="672" spans="1:8" x14ac:dyDescent="0.25">
      <c r="A672" s="2">
        <v>40210</v>
      </c>
      <c r="B672">
        <v>-6.1120000000000001</v>
      </c>
      <c r="C672">
        <v>154.46299999999999</v>
      </c>
      <c r="D672" t="s">
        <v>7</v>
      </c>
      <c r="E672" t="s">
        <v>290</v>
      </c>
      <c r="F672">
        <f t="shared" si="20"/>
        <v>2010</v>
      </c>
      <c r="G672">
        <f t="shared" si="21"/>
        <v>2</v>
      </c>
      <c r="H672" t="str">
        <f>IF(ISNUMBER(FIND(",", E672)), TRIM(MID(E672, FIND(",", E672) + 1, LEN(E672))), E672)</f>
        <v>Papua New Guinea</v>
      </c>
    </row>
    <row r="673" spans="1:8" x14ac:dyDescent="0.25">
      <c r="A673" s="2">
        <v>40195</v>
      </c>
      <c r="B673">
        <v>-57.664000000000001</v>
      </c>
      <c r="C673">
        <v>-65.879000000000005</v>
      </c>
      <c r="D673" t="s">
        <v>7</v>
      </c>
      <c r="E673" t="s">
        <v>246</v>
      </c>
      <c r="F673">
        <f t="shared" si="20"/>
        <v>2010</v>
      </c>
      <c r="G673">
        <f t="shared" si="21"/>
        <v>1</v>
      </c>
      <c r="H673" t="str">
        <f>IF(ISNUMBER(FIND(",", E673)), TRIM(MID(E673, FIND(",", E673) + 1, LEN(E673))), E673)</f>
        <v>Drake Passage</v>
      </c>
    </row>
    <row r="674" spans="1:8" x14ac:dyDescent="0.25">
      <c r="A674" s="2">
        <v>40190</v>
      </c>
      <c r="B674">
        <v>18.387</v>
      </c>
      <c r="C674">
        <v>-72.784000000000006</v>
      </c>
      <c r="D674" t="s">
        <v>7</v>
      </c>
      <c r="E674" t="s">
        <v>342</v>
      </c>
      <c r="F674">
        <f t="shared" si="20"/>
        <v>2010</v>
      </c>
      <c r="G674">
        <f t="shared" si="21"/>
        <v>1</v>
      </c>
      <c r="H674" t="str">
        <f>IF(ISNUMBER(FIND(",", E674)), TRIM(MID(E674, FIND(",", E674) + 1, LEN(E674))), E674)</f>
        <v>Haiti region</v>
      </c>
    </row>
    <row r="675" spans="1:8" x14ac:dyDescent="0.25">
      <c r="A675" s="2">
        <v>40190</v>
      </c>
      <c r="B675">
        <v>18.443000000000001</v>
      </c>
      <c r="C675">
        <v>-72.570999999999998</v>
      </c>
      <c r="D675" t="s">
        <v>7</v>
      </c>
      <c r="E675" t="s">
        <v>342</v>
      </c>
      <c r="F675">
        <f t="shared" si="20"/>
        <v>2010</v>
      </c>
      <c r="G675">
        <f t="shared" si="21"/>
        <v>1</v>
      </c>
      <c r="H675" t="str">
        <f>IF(ISNUMBER(FIND(",", E675)), TRIM(MID(E675, FIND(",", E675) + 1, LEN(E675))), E675)</f>
        <v>Haiti region</v>
      </c>
    </row>
    <row r="676" spans="1:8" x14ac:dyDescent="0.25">
      <c r="A676" s="2">
        <v>40188</v>
      </c>
      <c r="B676">
        <v>40.652000000000001</v>
      </c>
      <c r="C676">
        <v>-124.69199999999999</v>
      </c>
      <c r="D676" t="s">
        <v>7</v>
      </c>
      <c r="E676" t="s">
        <v>343</v>
      </c>
      <c r="F676">
        <f t="shared" si="20"/>
        <v>2010</v>
      </c>
      <c r="G676">
        <f t="shared" si="21"/>
        <v>1</v>
      </c>
      <c r="H676" t="str">
        <f>IF(ISNUMBER(FIND(",", E676)), TRIM(MID(E676, FIND(",", E676) + 1, LEN(E676))), E676)</f>
        <v>offshore Northern California</v>
      </c>
    </row>
    <row r="677" spans="1:8" x14ac:dyDescent="0.25">
      <c r="A677" s="2">
        <v>40187</v>
      </c>
      <c r="B677">
        <v>-9.1310000000000002</v>
      </c>
      <c r="C677">
        <v>157.626</v>
      </c>
      <c r="D677" t="s">
        <v>7</v>
      </c>
      <c r="E677" t="s">
        <v>221</v>
      </c>
      <c r="F677">
        <f t="shared" si="20"/>
        <v>2010</v>
      </c>
      <c r="G677">
        <f t="shared" si="21"/>
        <v>1</v>
      </c>
      <c r="H677" t="str">
        <f>IF(ISNUMBER(FIND(",", E677)), TRIM(MID(E677, FIND(",", E677) + 1, LEN(E677))), E677)</f>
        <v>Solomon Islands</v>
      </c>
    </row>
    <row r="678" spans="1:8" x14ac:dyDescent="0.25">
      <c r="A678" s="2">
        <v>40183</v>
      </c>
      <c r="B678">
        <v>-9.0500000000000007</v>
      </c>
      <c r="C678">
        <v>157.892</v>
      </c>
      <c r="D678" t="s">
        <v>7</v>
      </c>
      <c r="E678" t="s">
        <v>221</v>
      </c>
      <c r="F678">
        <f t="shared" si="20"/>
        <v>2010</v>
      </c>
      <c r="G678">
        <f t="shared" si="21"/>
        <v>1</v>
      </c>
      <c r="H678" t="str">
        <f>IF(ISNUMBER(FIND(",", E678)), TRIM(MID(E678, FIND(",", E678) + 1, LEN(E678))), E678)</f>
        <v>Solomon Islands</v>
      </c>
    </row>
    <row r="679" spans="1:8" x14ac:dyDescent="0.25">
      <c r="A679" s="2">
        <v>40183</v>
      </c>
      <c r="B679">
        <v>-9.0190000000000001</v>
      </c>
      <c r="C679">
        <v>157.55099999999999</v>
      </c>
      <c r="D679" t="s">
        <v>7</v>
      </c>
      <c r="E679" t="s">
        <v>221</v>
      </c>
      <c r="F679">
        <f t="shared" si="20"/>
        <v>2010</v>
      </c>
      <c r="G679">
        <f t="shared" si="21"/>
        <v>1</v>
      </c>
      <c r="H679" t="str">
        <f>IF(ISNUMBER(FIND(",", E679)), TRIM(MID(E679, FIND(",", E679) + 1, LEN(E679))), E679)</f>
        <v>Solomon Islands</v>
      </c>
    </row>
    <row r="680" spans="1:8" x14ac:dyDescent="0.25">
      <c r="A680" s="2">
        <v>40183</v>
      </c>
      <c r="B680">
        <v>-58.173000000000002</v>
      </c>
      <c r="C680">
        <v>-14.695</v>
      </c>
      <c r="D680" t="s">
        <v>7</v>
      </c>
      <c r="E680" t="s">
        <v>242</v>
      </c>
      <c r="F680">
        <f t="shared" si="20"/>
        <v>2010</v>
      </c>
      <c r="G680">
        <f t="shared" si="21"/>
        <v>1</v>
      </c>
      <c r="H680" t="str">
        <f>IF(ISNUMBER(FIND(",", E680)), TRIM(MID(E680, FIND(",", E680) + 1, LEN(E680))), E680)</f>
        <v>east of the South Sandwich Islands</v>
      </c>
    </row>
    <row r="681" spans="1:8" x14ac:dyDescent="0.25">
      <c r="A681" s="2">
        <v>40181</v>
      </c>
      <c r="B681">
        <v>-8.7829999999999995</v>
      </c>
      <c r="C681">
        <v>157.35400000000001</v>
      </c>
      <c r="D681" t="s">
        <v>7</v>
      </c>
      <c r="E681" t="s">
        <v>221</v>
      </c>
      <c r="F681">
        <f t="shared" si="20"/>
        <v>2010</v>
      </c>
      <c r="G681">
        <f t="shared" si="21"/>
        <v>1</v>
      </c>
      <c r="H681" t="str">
        <f>IF(ISNUMBER(FIND(",", E681)), TRIM(MID(E681, FIND(",", E681) + 1, LEN(E681))), E681)</f>
        <v>Solomon Islands</v>
      </c>
    </row>
    <row r="682" spans="1:8" x14ac:dyDescent="0.25">
      <c r="A682" s="2">
        <v>40181</v>
      </c>
      <c r="B682">
        <v>-8.7260000000000009</v>
      </c>
      <c r="C682">
        <v>157.48699999999999</v>
      </c>
      <c r="D682" t="s">
        <v>7</v>
      </c>
      <c r="E682" t="s">
        <v>221</v>
      </c>
      <c r="F682">
        <f t="shared" si="20"/>
        <v>2010</v>
      </c>
      <c r="G682">
        <f t="shared" si="21"/>
        <v>1</v>
      </c>
      <c r="H682" t="str">
        <f>IF(ISNUMBER(FIND(",", E682)), TRIM(MID(E682, FIND(",", E682) + 1, LEN(E682))), E682)</f>
        <v>Solomon Islands</v>
      </c>
    </row>
    <row r="683" spans="1:8" x14ac:dyDescent="0.25">
      <c r="A683" s="2">
        <v>40180</v>
      </c>
      <c r="B683">
        <v>12.423999999999999</v>
      </c>
      <c r="C683">
        <v>141.94900000000001</v>
      </c>
      <c r="D683" t="s">
        <v>5</v>
      </c>
      <c r="E683" t="s">
        <v>72</v>
      </c>
      <c r="F683">
        <f t="shared" si="20"/>
        <v>2010</v>
      </c>
      <c r="G683">
        <f t="shared" si="21"/>
        <v>1</v>
      </c>
      <c r="H683" t="str">
        <f>IF(ISNUMBER(FIND(",", E683)), TRIM(MID(E683, FIND(",", E683) + 1, LEN(E683))), E683)</f>
        <v>Mariana Islands region</v>
      </c>
    </row>
    <row r="684" spans="1:8" x14ac:dyDescent="0.25">
      <c r="A684" s="2">
        <v>40178</v>
      </c>
      <c r="B684">
        <v>-59.401000000000003</v>
      </c>
      <c r="C684">
        <v>-150.97499999999999</v>
      </c>
      <c r="D684" t="s">
        <v>7</v>
      </c>
      <c r="E684" t="s">
        <v>179</v>
      </c>
      <c r="F684">
        <f t="shared" si="20"/>
        <v>2009</v>
      </c>
      <c r="G684">
        <f t="shared" si="21"/>
        <v>12</v>
      </c>
      <c r="H684" t="str">
        <f>IF(ISNUMBER(FIND(",", E684)), TRIM(MID(E684, FIND(",", E684) + 1, LEN(E684))), E684)</f>
        <v>Pacific-Antarctic Ridge</v>
      </c>
    </row>
    <row r="685" spans="1:8" x14ac:dyDescent="0.25">
      <c r="A685" s="2">
        <v>40173</v>
      </c>
      <c r="B685">
        <v>-5.53</v>
      </c>
      <c r="C685">
        <v>131.20500000000001</v>
      </c>
      <c r="D685" t="s">
        <v>7</v>
      </c>
      <c r="E685" t="s">
        <v>187</v>
      </c>
      <c r="F685">
        <f t="shared" si="20"/>
        <v>2009</v>
      </c>
      <c r="G685">
        <f t="shared" si="21"/>
        <v>12</v>
      </c>
      <c r="H685" t="str">
        <f>IF(ISNUMBER(FIND(",", E685)), TRIM(MID(E685, FIND(",", E685) + 1, LEN(E685))), E685)</f>
        <v>Banda Sea</v>
      </c>
    </row>
    <row r="686" spans="1:8" x14ac:dyDescent="0.25">
      <c r="A686" s="2">
        <v>40171</v>
      </c>
      <c r="B686">
        <v>42.244999999999997</v>
      </c>
      <c r="C686">
        <v>134.71899999999999</v>
      </c>
      <c r="D686" t="s">
        <v>7</v>
      </c>
      <c r="E686" t="s">
        <v>344</v>
      </c>
      <c r="F686">
        <f t="shared" si="20"/>
        <v>2009</v>
      </c>
      <c r="G686">
        <f t="shared" si="21"/>
        <v>12</v>
      </c>
      <c r="H686" t="str">
        <f>IF(ISNUMBER(FIND(",", E686)), TRIM(MID(E686, FIND(",", E686) + 1, LEN(E686))), E686)</f>
        <v>Russia</v>
      </c>
    </row>
    <row r="687" spans="1:8" x14ac:dyDescent="0.25">
      <c r="A687" s="2">
        <v>40170</v>
      </c>
      <c r="B687">
        <v>-1.4339999999999999</v>
      </c>
      <c r="C687">
        <v>99.393000000000001</v>
      </c>
      <c r="D687" t="s">
        <v>7</v>
      </c>
      <c r="E687" t="s">
        <v>209</v>
      </c>
      <c r="F687">
        <f t="shared" si="20"/>
        <v>2009</v>
      </c>
      <c r="G687">
        <f t="shared" si="21"/>
        <v>12</v>
      </c>
      <c r="H687" t="str">
        <f>IF(ISNUMBER(FIND(",", E687)), TRIM(MID(E687, FIND(",", E687) + 1, LEN(E687))), E687)</f>
        <v>Indonesia</v>
      </c>
    </row>
    <row r="688" spans="1:8" x14ac:dyDescent="0.25">
      <c r="A688" s="2">
        <v>40166</v>
      </c>
      <c r="B688">
        <v>-10.108000000000001</v>
      </c>
      <c r="C688">
        <v>33.817999999999998</v>
      </c>
      <c r="D688" t="s">
        <v>7</v>
      </c>
      <c r="E688" t="s">
        <v>345</v>
      </c>
      <c r="F688">
        <f t="shared" si="20"/>
        <v>2009</v>
      </c>
      <c r="G688">
        <f t="shared" si="21"/>
        <v>12</v>
      </c>
      <c r="H688" t="str">
        <f>IF(ISNUMBER(FIND(",", E688)), TRIM(MID(E688, FIND(",", E688) + 1, LEN(E688))), E688)</f>
        <v>Malawi</v>
      </c>
    </row>
    <row r="689" spans="1:8" x14ac:dyDescent="0.25">
      <c r="A689" s="2">
        <v>40166</v>
      </c>
      <c r="B689">
        <v>23.795999999999999</v>
      </c>
      <c r="C689">
        <v>121.605</v>
      </c>
      <c r="D689" t="s">
        <v>7</v>
      </c>
      <c r="E689" t="s">
        <v>336</v>
      </c>
      <c r="F689">
        <f t="shared" si="20"/>
        <v>2009</v>
      </c>
      <c r="G689">
        <f t="shared" si="21"/>
        <v>12</v>
      </c>
      <c r="H689" t="str">
        <f>IF(ISNUMBER(FIND(",", E689)), TRIM(MID(E689, FIND(",", E689) + 1, LEN(E689))), E689)</f>
        <v>Taiwan</v>
      </c>
    </row>
    <row r="690" spans="1:8" x14ac:dyDescent="0.25">
      <c r="A690" s="2">
        <v>40161</v>
      </c>
      <c r="B690">
        <v>-5.9580000000000002</v>
      </c>
      <c r="C690">
        <v>154.44399999999999</v>
      </c>
      <c r="D690" t="s">
        <v>7</v>
      </c>
      <c r="E690" t="s">
        <v>290</v>
      </c>
      <c r="F690">
        <f t="shared" si="20"/>
        <v>2009</v>
      </c>
      <c r="G690">
        <f t="shared" si="21"/>
        <v>12</v>
      </c>
      <c r="H690" t="str">
        <f>IF(ISNUMBER(FIND(",", E690)), TRIM(MID(E690, FIND(",", E690) + 1, LEN(E690))), E690)</f>
        <v>Papua New Guinea</v>
      </c>
    </row>
    <row r="691" spans="1:8" x14ac:dyDescent="0.25">
      <c r="A691" s="2">
        <v>40157</v>
      </c>
      <c r="B691">
        <v>53.417000000000002</v>
      </c>
      <c r="C691">
        <v>152.756</v>
      </c>
      <c r="D691" t="s">
        <v>7</v>
      </c>
      <c r="E691" t="s">
        <v>74</v>
      </c>
      <c r="F691">
        <f t="shared" si="20"/>
        <v>2009</v>
      </c>
      <c r="G691">
        <f t="shared" si="21"/>
        <v>12</v>
      </c>
      <c r="H691" t="str">
        <f>IF(ISNUMBER(FIND(",", E691)), TRIM(MID(E691, FIND(",", E691) + 1, LEN(E691))), E691)</f>
        <v>Sea of Okhotsk</v>
      </c>
    </row>
    <row r="692" spans="1:8" x14ac:dyDescent="0.25">
      <c r="A692" s="2">
        <v>40156</v>
      </c>
      <c r="B692">
        <v>2.7589999999999999</v>
      </c>
      <c r="C692">
        <v>95.91</v>
      </c>
      <c r="D692" t="s">
        <v>7</v>
      </c>
      <c r="E692" t="s">
        <v>222</v>
      </c>
      <c r="F692">
        <f t="shared" si="20"/>
        <v>2009</v>
      </c>
      <c r="G692">
        <f t="shared" si="21"/>
        <v>12</v>
      </c>
      <c r="H692" t="str">
        <f>IF(ISNUMBER(FIND(",", E692)), TRIM(MID(E692, FIND(",", E692) + 1, LEN(E692))), E692)</f>
        <v>Indonesia</v>
      </c>
    </row>
    <row r="693" spans="1:8" x14ac:dyDescent="0.25">
      <c r="A693" s="2">
        <v>40156</v>
      </c>
      <c r="B693">
        <v>-0.64200000000000002</v>
      </c>
      <c r="C693">
        <v>-21.071999999999999</v>
      </c>
      <c r="D693" t="s">
        <v>7</v>
      </c>
      <c r="E693" t="s">
        <v>291</v>
      </c>
      <c r="F693">
        <f t="shared" si="20"/>
        <v>2009</v>
      </c>
      <c r="G693">
        <f t="shared" si="21"/>
        <v>12</v>
      </c>
      <c r="H693" t="str">
        <f>IF(ISNUMBER(FIND(",", E693)), TRIM(MID(E693, FIND(",", E693) + 1, LEN(E693))), E693)</f>
        <v>central Mid-Atlantic Ridge</v>
      </c>
    </row>
    <row r="694" spans="1:8" x14ac:dyDescent="0.25">
      <c r="A694" s="2">
        <v>40156</v>
      </c>
      <c r="B694">
        <v>-22.15</v>
      </c>
      <c r="C694">
        <v>170.96299999999999</v>
      </c>
      <c r="D694" t="s">
        <v>7</v>
      </c>
      <c r="E694" t="s">
        <v>254</v>
      </c>
      <c r="F694">
        <f t="shared" si="20"/>
        <v>2009</v>
      </c>
      <c r="G694">
        <f t="shared" si="21"/>
        <v>12</v>
      </c>
      <c r="H694" t="str">
        <f>IF(ISNUMBER(FIND(",", E694)), TRIM(MID(E694, FIND(",", E694) + 1, LEN(E694))), E694)</f>
        <v>southeast of the Loyalty Islands</v>
      </c>
    </row>
    <row r="695" spans="1:8" x14ac:dyDescent="0.25">
      <c r="A695" s="2">
        <v>40150</v>
      </c>
      <c r="B695">
        <v>-56.475999999999999</v>
      </c>
      <c r="C695">
        <v>-122.321</v>
      </c>
      <c r="D695" t="s">
        <v>7</v>
      </c>
      <c r="E695" t="s">
        <v>268</v>
      </c>
      <c r="F695">
        <f t="shared" si="20"/>
        <v>2009</v>
      </c>
      <c r="G695">
        <f t="shared" si="21"/>
        <v>12</v>
      </c>
      <c r="H695" t="str">
        <f>IF(ISNUMBER(FIND(",", E695)), TRIM(MID(E695, FIND(",", E695) + 1, LEN(E695))), E695)</f>
        <v>southern East Pacific Rise</v>
      </c>
    </row>
    <row r="696" spans="1:8" x14ac:dyDescent="0.25">
      <c r="A696" s="2">
        <v>40145</v>
      </c>
      <c r="B696">
        <v>5.3259999999999996</v>
      </c>
      <c r="C696">
        <v>126.288</v>
      </c>
      <c r="D696" t="s">
        <v>7</v>
      </c>
      <c r="E696" t="s">
        <v>200</v>
      </c>
      <c r="F696">
        <f t="shared" si="20"/>
        <v>2009</v>
      </c>
      <c r="G696">
        <f t="shared" si="21"/>
        <v>11</v>
      </c>
      <c r="H696" t="str">
        <f>IF(ISNUMBER(FIND(",", E696)), TRIM(MID(E696, FIND(",", E696) + 1, LEN(E696))), E696)</f>
        <v>Philippines</v>
      </c>
    </row>
    <row r="697" spans="1:8" x14ac:dyDescent="0.25">
      <c r="A697" s="2">
        <v>40145</v>
      </c>
      <c r="B697">
        <v>-29.216000000000001</v>
      </c>
      <c r="C697">
        <v>-177.018</v>
      </c>
      <c r="D697" t="s">
        <v>7</v>
      </c>
      <c r="E697" t="s">
        <v>288</v>
      </c>
      <c r="F697">
        <f t="shared" si="20"/>
        <v>2009</v>
      </c>
      <c r="G697">
        <f t="shared" si="21"/>
        <v>11</v>
      </c>
      <c r="H697" t="str">
        <f>IF(ISNUMBER(FIND(",", E697)), TRIM(MID(E697, FIND(",", E697) + 1, LEN(E697))), E697)</f>
        <v>New Zealand</v>
      </c>
    </row>
    <row r="698" spans="1:8" x14ac:dyDescent="0.25">
      <c r="A698" s="2">
        <v>40145</v>
      </c>
      <c r="B698">
        <v>-10.403</v>
      </c>
      <c r="C698">
        <v>118.88500000000001</v>
      </c>
      <c r="D698" t="s">
        <v>7</v>
      </c>
      <c r="E698" t="s">
        <v>346</v>
      </c>
      <c r="F698">
        <f t="shared" si="20"/>
        <v>2009</v>
      </c>
      <c r="G698">
        <f t="shared" si="21"/>
        <v>11</v>
      </c>
      <c r="H698" t="str">
        <f>IF(ISNUMBER(FIND(",", E698)), TRIM(MID(E698, FIND(",", E698) + 1, LEN(E698))), E698)</f>
        <v>Indonesia</v>
      </c>
    </row>
    <row r="699" spans="1:8" x14ac:dyDescent="0.25">
      <c r="A699" s="2">
        <v>40141</v>
      </c>
      <c r="B699">
        <v>-20.707999999999998</v>
      </c>
      <c r="C699">
        <v>-174.035</v>
      </c>
      <c r="D699" t="s">
        <v>7</v>
      </c>
      <c r="E699" t="s">
        <v>239</v>
      </c>
      <c r="F699">
        <f t="shared" si="20"/>
        <v>2009</v>
      </c>
      <c r="G699">
        <f t="shared" si="21"/>
        <v>11</v>
      </c>
      <c r="H699" t="str">
        <f>IF(ISNUMBER(FIND(",", E699)), TRIM(MID(E699, FIND(",", E699) + 1, LEN(E699))), E699)</f>
        <v>Tonga</v>
      </c>
    </row>
    <row r="700" spans="1:8" x14ac:dyDescent="0.25">
      <c r="A700" s="2">
        <v>40139</v>
      </c>
      <c r="B700">
        <v>-31.568999999999999</v>
      </c>
      <c r="C700">
        <v>179.46700000000001</v>
      </c>
      <c r="D700" t="s">
        <v>7</v>
      </c>
      <c r="E700" t="s">
        <v>240</v>
      </c>
      <c r="F700">
        <f t="shared" si="20"/>
        <v>2009</v>
      </c>
      <c r="G700">
        <f t="shared" si="21"/>
        <v>11</v>
      </c>
      <c r="H700" t="str">
        <f>IF(ISNUMBER(FIND(",", E700)), TRIM(MID(E700, FIND(",", E700) + 1, LEN(E700))), E700)</f>
        <v>Kermadec Islands region</v>
      </c>
    </row>
    <row r="701" spans="1:8" x14ac:dyDescent="0.25">
      <c r="A701" s="2">
        <v>40139</v>
      </c>
      <c r="B701">
        <v>-17.794</v>
      </c>
      <c r="C701">
        <v>-178.42500000000001</v>
      </c>
      <c r="D701" t="s">
        <v>5</v>
      </c>
      <c r="E701" t="s">
        <v>53</v>
      </c>
      <c r="F701">
        <f t="shared" si="20"/>
        <v>2009</v>
      </c>
      <c r="G701">
        <f t="shared" si="21"/>
        <v>11</v>
      </c>
      <c r="H701" t="str">
        <f>IF(ISNUMBER(FIND(",", E701)), TRIM(MID(E701, FIND(",", E701) + 1, LEN(E701))), E701)</f>
        <v>Fiji region</v>
      </c>
    </row>
    <row r="702" spans="1:8" x14ac:dyDescent="0.25">
      <c r="A702" s="2">
        <v>40134</v>
      </c>
      <c r="B702">
        <v>52.122999999999998</v>
      </c>
      <c r="C702">
        <v>-131.39500000000001</v>
      </c>
      <c r="D702" t="s">
        <v>7</v>
      </c>
      <c r="E702" t="s">
        <v>201</v>
      </c>
      <c r="F702">
        <f t="shared" si="20"/>
        <v>2009</v>
      </c>
      <c r="G702">
        <f t="shared" si="21"/>
        <v>11</v>
      </c>
      <c r="H702" t="str">
        <f>IF(ISNUMBER(FIND(",", E702)), TRIM(MID(E702, FIND(",", E702) + 1, LEN(E702))), E702)</f>
        <v>Canada</v>
      </c>
    </row>
    <row r="703" spans="1:8" x14ac:dyDescent="0.25">
      <c r="A703" s="2">
        <v>40131</v>
      </c>
      <c r="B703">
        <v>-22.965</v>
      </c>
      <c r="C703">
        <v>-66.641000000000005</v>
      </c>
      <c r="D703" t="s">
        <v>7</v>
      </c>
      <c r="E703" t="s">
        <v>347</v>
      </c>
      <c r="F703">
        <f t="shared" si="20"/>
        <v>2009</v>
      </c>
      <c r="G703">
        <f t="shared" si="21"/>
        <v>11</v>
      </c>
      <c r="H703" t="str">
        <f>IF(ISNUMBER(FIND(",", E703)), TRIM(MID(E703, FIND(",", E703) + 1, LEN(E703))), E703)</f>
        <v>Argentina</v>
      </c>
    </row>
    <row r="704" spans="1:8" x14ac:dyDescent="0.25">
      <c r="A704" s="2">
        <v>40130</v>
      </c>
      <c r="B704">
        <v>-19.393999999999998</v>
      </c>
      <c r="C704">
        <v>-70.320999999999998</v>
      </c>
      <c r="D704" t="s">
        <v>7</v>
      </c>
      <c r="E704" t="s">
        <v>327</v>
      </c>
      <c r="F704">
        <f t="shared" si="20"/>
        <v>2009</v>
      </c>
      <c r="G704">
        <f t="shared" si="21"/>
        <v>11</v>
      </c>
      <c r="H704" t="str">
        <f>IF(ISNUMBER(FIND(",", E704)), TRIM(MID(E704, FIND(",", E704) + 1, LEN(E704))), E704)</f>
        <v>Chile</v>
      </c>
    </row>
    <row r="705" spans="1:8" x14ac:dyDescent="0.25">
      <c r="A705" s="2">
        <v>40127</v>
      </c>
      <c r="B705">
        <v>8.0820000000000007</v>
      </c>
      <c r="C705">
        <v>91.899000000000001</v>
      </c>
      <c r="D705" t="s">
        <v>7</v>
      </c>
      <c r="E705" t="s">
        <v>322</v>
      </c>
      <c r="F705">
        <f t="shared" si="20"/>
        <v>2009</v>
      </c>
      <c r="G705">
        <f t="shared" si="21"/>
        <v>11</v>
      </c>
      <c r="H705" t="str">
        <f>IF(ISNUMBER(FIND(",", E705)), TRIM(MID(E705, FIND(",", E705) + 1, LEN(E705))), E705)</f>
        <v>India region</v>
      </c>
    </row>
    <row r="706" spans="1:8" x14ac:dyDescent="0.25">
      <c r="A706" s="2">
        <v>40126</v>
      </c>
      <c r="B706">
        <v>-17.239000000000001</v>
      </c>
      <c r="C706">
        <v>178.33099999999999</v>
      </c>
      <c r="D706" t="s">
        <v>7</v>
      </c>
      <c r="E706" t="s">
        <v>348</v>
      </c>
      <c r="F706">
        <f t="shared" ref="F706:F769" si="22">YEAR(A706)</f>
        <v>2009</v>
      </c>
      <c r="G706">
        <f t="shared" si="21"/>
        <v>11</v>
      </c>
      <c r="H706" t="str">
        <f>IF(ISNUMBER(FIND(",", E706)), TRIM(MID(E706, FIND(",", E706) + 1, LEN(E706))), E706)</f>
        <v>Fiji</v>
      </c>
    </row>
    <row r="707" spans="1:8" x14ac:dyDescent="0.25">
      <c r="A707" s="2">
        <v>40125</v>
      </c>
      <c r="B707">
        <v>-8.2070000000000007</v>
      </c>
      <c r="C707">
        <v>118.631</v>
      </c>
      <c r="D707" t="s">
        <v>7</v>
      </c>
      <c r="E707" t="s">
        <v>349</v>
      </c>
      <c r="F707">
        <f t="shared" si="22"/>
        <v>2009</v>
      </c>
      <c r="G707">
        <f t="shared" ref="G707:G770" si="23">MONTH(A707)</f>
        <v>11</v>
      </c>
      <c r="H707" t="str">
        <f>IF(ISNUMBER(FIND(",", E707)), TRIM(MID(E707, FIND(",", E707) + 1, LEN(E707))), E707)</f>
        <v>Indonesia</v>
      </c>
    </row>
    <row r="708" spans="1:8" x14ac:dyDescent="0.25">
      <c r="A708" s="2">
        <v>40122</v>
      </c>
      <c r="B708">
        <v>-52.292000000000002</v>
      </c>
      <c r="C708">
        <v>160.703</v>
      </c>
      <c r="D708" t="s">
        <v>7</v>
      </c>
      <c r="E708" t="s">
        <v>350</v>
      </c>
      <c r="F708">
        <f t="shared" si="22"/>
        <v>2009</v>
      </c>
      <c r="G708">
        <f t="shared" si="23"/>
        <v>11</v>
      </c>
      <c r="H708" t="str">
        <f>IF(ISNUMBER(FIND(",", E708)), TRIM(MID(E708, FIND(",", E708) + 1, LEN(E708))), E708)</f>
        <v>Macquarie Island region</v>
      </c>
    </row>
    <row r="709" spans="1:8" x14ac:dyDescent="0.25">
      <c r="A709" s="2">
        <v>40119</v>
      </c>
      <c r="B709">
        <v>-24.120999999999999</v>
      </c>
      <c r="C709">
        <v>-175.173</v>
      </c>
      <c r="D709" t="s">
        <v>5</v>
      </c>
      <c r="E709" t="s">
        <v>351</v>
      </c>
      <c r="F709">
        <f t="shared" si="22"/>
        <v>2009</v>
      </c>
      <c r="G709">
        <f t="shared" si="23"/>
        <v>11</v>
      </c>
      <c r="H709" t="str">
        <f>IF(ISNUMBER(FIND(",", E709)), TRIM(MID(E709, FIND(",", E709) + 1, LEN(E709))), E709)</f>
        <v>south of Tonga</v>
      </c>
    </row>
    <row r="710" spans="1:8" x14ac:dyDescent="0.25">
      <c r="A710" s="2">
        <v>40116</v>
      </c>
      <c r="B710">
        <v>29.218</v>
      </c>
      <c r="C710">
        <v>129.78200000000001</v>
      </c>
      <c r="D710" t="s">
        <v>7</v>
      </c>
      <c r="E710" t="s">
        <v>340</v>
      </c>
      <c r="F710">
        <f t="shared" si="22"/>
        <v>2009</v>
      </c>
      <c r="G710">
        <f t="shared" si="23"/>
        <v>10</v>
      </c>
      <c r="H710" t="str">
        <f>IF(ISNUMBER(FIND(",", E710)), TRIM(MID(E710, FIND(",", E710) + 1, LEN(E710))), E710)</f>
        <v>Japan</v>
      </c>
    </row>
    <row r="711" spans="1:8" x14ac:dyDescent="0.25">
      <c r="A711" s="2">
        <v>40115</v>
      </c>
      <c r="B711">
        <v>36.390999999999998</v>
      </c>
      <c r="C711">
        <v>70.721999999999994</v>
      </c>
      <c r="D711" t="s">
        <v>7</v>
      </c>
      <c r="E711" t="s">
        <v>314</v>
      </c>
      <c r="F711">
        <f t="shared" si="22"/>
        <v>2009</v>
      </c>
      <c r="G711">
        <f t="shared" si="23"/>
        <v>10</v>
      </c>
      <c r="H711" t="str">
        <f>IF(ISNUMBER(FIND(",", E711)), TRIM(MID(E711, FIND(",", E711) + 1, LEN(E711))), E711)</f>
        <v>Afghanistan</v>
      </c>
    </row>
    <row r="712" spans="1:8" x14ac:dyDescent="0.25">
      <c r="A712" s="2">
        <v>40113</v>
      </c>
      <c r="B712">
        <v>-59.954999999999998</v>
      </c>
      <c r="C712">
        <v>-65.162999999999997</v>
      </c>
      <c r="D712" t="s">
        <v>7</v>
      </c>
      <c r="E712" t="s">
        <v>246</v>
      </c>
      <c r="F712">
        <f t="shared" si="22"/>
        <v>2009</v>
      </c>
      <c r="G712">
        <f t="shared" si="23"/>
        <v>10</v>
      </c>
      <c r="H712" t="str">
        <f>IF(ISNUMBER(FIND(",", E712)), TRIM(MID(E712, FIND(",", E712) + 1, LEN(E712))), E712)</f>
        <v>Drake Passage</v>
      </c>
    </row>
    <row r="713" spans="1:8" x14ac:dyDescent="0.25">
      <c r="A713" s="2">
        <v>40111</v>
      </c>
      <c r="B713">
        <v>-23.091000000000001</v>
      </c>
      <c r="C713">
        <v>-179.20500000000001</v>
      </c>
      <c r="D713" t="s">
        <v>7</v>
      </c>
      <c r="E713" t="s">
        <v>256</v>
      </c>
      <c r="F713">
        <f t="shared" si="22"/>
        <v>2009</v>
      </c>
      <c r="G713">
        <f t="shared" si="23"/>
        <v>10</v>
      </c>
      <c r="H713" t="str">
        <f>IF(ISNUMBER(FIND(",", E713)), TRIM(MID(E713, FIND(",", E713) + 1, LEN(E713))), E713)</f>
        <v>south of the Fiji Islands</v>
      </c>
    </row>
    <row r="714" spans="1:8" x14ac:dyDescent="0.25">
      <c r="A714" s="2">
        <v>40110</v>
      </c>
      <c r="B714">
        <v>-6.133</v>
      </c>
      <c r="C714">
        <v>130.38499999999999</v>
      </c>
      <c r="D714" t="s">
        <v>7</v>
      </c>
      <c r="E714" t="s">
        <v>187</v>
      </c>
      <c r="F714">
        <f t="shared" si="22"/>
        <v>2009</v>
      </c>
      <c r="G714">
        <f t="shared" si="23"/>
        <v>10</v>
      </c>
      <c r="H714" t="str">
        <f>IF(ISNUMBER(FIND(",", E714)), TRIM(MID(E714, FIND(",", E714) + 1, LEN(E714))), E714)</f>
        <v>Banda Sea</v>
      </c>
    </row>
    <row r="715" spans="1:8" x14ac:dyDescent="0.25">
      <c r="A715" s="2">
        <v>40109</v>
      </c>
      <c r="B715">
        <v>-12.196</v>
      </c>
      <c r="C715">
        <v>166.047</v>
      </c>
      <c r="D715" t="s">
        <v>7</v>
      </c>
      <c r="E715" t="s">
        <v>211</v>
      </c>
      <c r="F715">
        <f t="shared" si="22"/>
        <v>2009</v>
      </c>
      <c r="G715">
        <f t="shared" si="23"/>
        <v>10</v>
      </c>
      <c r="H715" t="str">
        <f>IF(ISNUMBER(FIND(",", E715)), TRIM(MID(E715, FIND(",", E715) + 1, LEN(E715))), E715)</f>
        <v>Santa Cruz Islands</v>
      </c>
    </row>
    <row r="716" spans="1:8" x14ac:dyDescent="0.25">
      <c r="A716" s="2">
        <v>40108</v>
      </c>
      <c r="B716">
        <v>36.517000000000003</v>
      </c>
      <c r="C716">
        <v>70.95</v>
      </c>
      <c r="D716" t="s">
        <v>5</v>
      </c>
      <c r="E716" t="s">
        <v>314</v>
      </c>
      <c r="F716">
        <f t="shared" si="22"/>
        <v>2009</v>
      </c>
      <c r="G716">
        <f t="shared" si="23"/>
        <v>10</v>
      </c>
      <c r="H716" t="str">
        <f>IF(ISNUMBER(FIND(",", E716)), TRIM(MID(E716, FIND(",", E716) + 1, LEN(E716))), E716)</f>
        <v>Afghanistan</v>
      </c>
    </row>
    <row r="717" spans="1:8" x14ac:dyDescent="0.25">
      <c r="A717" s="2">
        <v>40108</v>
      </c>
      <c r="B717">
        <v>6.7290000000000001</v>
      </c>
      <c r="C717">
        <v>-82.578999999999994</v>
      </c>
      <c r="D717" t="s">
        <v>7</v>
      </c>
      <c r="E717" t="s">
        <v>231</v>
      </c>
      <c r="F717">
        <f t="shared" si="22"/>
        <v>2009</v>
      </c>
      <c r="G717">
        <f t="shared" si="23"/>
        <v>10</v>
      </c>
      <c r="H717" t="str">
        <f>IF(ISNUMBER(FIND(",", E717)), TRIM(MID(E717, FIND(",", E717) + 1, LEN(E717))), E717)</f>
        <v>south of Panama</v>
      </c>
    </row>
    <row r="718" spans="1:8" x14ac:dyDescent="0.25">
      <c r="A718" s="2">
        <v>40105</v>
      </c>
      <c r="B718">
        <v>-15.36</v>
      </c>
      <c r="C718">
        <v>-172.26400000000001</v>
      </c>
      <c r="D718" t="s">
        <v>7</v>
      </c>
      <c r="E718" t="s">
        <v>352</v>
      </c>
      <c r="F718">
        <f t="shared" si="22"/>
        <v>2009</v>
      </c>
      <c r="G718">
        <f t="shared" si="23"/>
        <v>10</v>
      </c>
      <c r="H718" t="str">
        <f>IF(ISNUMBER(FIND(",", E718)), TRIM(MID(E718, FIND(",", E718) + 1, LEN(E718))), E718)</f>
        <v>Samoa Islands region</v>
      </c>
    </row>
    <row r="719" spans="1:8" x14ac:dyDescent="0.25">
      <c r="A719" s="2">
        <v>40102</v>
      </c>
      <c r="B719">
        <v>-6.5339999999999998</v>
      </c>
      <c r="C719">
        <v>105.223</v>
      </c>
      <c r="D719" t="s">
        <v>7</v>
      </c>
      <c r="E719" t="s">
        <v>278</v>
      </c>
      <c r="F719">
        <f t="shared" si="22"/>
        <v>2009</v>
      </c>
      <c r="G719">
        <f t="shared" si="23"/>
        <v>10</v>
      </c>
      <c r="H719" t="str">
        <f>IF(ISNUMBER(FIND(",", E719)), TRIM(MID(E719, FIND(",", E719) + 1, LEN(E719))), E719)</f>
        <v>Indonesia</v>
      </c>
    </row>
    <row r="720" spans="1:8" x14ac:dyDescent="0.25">
      <c r="A720" s="2">
        <v>40101</v>
      </c>
      <c r="B720">
        <v>3.2719999999999998</v>
      </c>
      <c r="C720">
        <v>-103.82299999999999</v>
      </c>
      <c r="D720" t="s">
        <v>7</v>
      </c>
      <c r="E720" t="s">
        <v>353</v>
      </c>
      <c r="F720">
        <f t="shared" si="22"/>
        <v>2009</v>
      </c>
      <c r="G720">
        <f t="shared" si="23"/>
        <v>10</v>
      </c>
      <c r="H720" t="str">
        <f>IF(ISNUMBER(FIND(",", E720)), TRIM(MID(E720, FIND(",", E720) + 1, LEN(E720))), E720)</f>
        <v>Galapagos Triple Junction region</v>
      </c>
    </row>
    <row r="721" spans="1:8" x14ac:dyDescent="0.25">
      <c r="A721" s="2">
        <v>40101</v>
      </c>
      <c r="B721">
        <v>-3.0579999999999998</v>
      </c>
      <c r="C721">
        <v>139.53899999999999</v>
      </c>
      <c r="D721" t="s">
        <v>7</v>
      </c>
      <c r="E721" t="s">
        <v>210</v>
      </c>
      <c r="F721">
        <f t="shared" si="22"/>
        <v>2009</v>
      </c>
      <c r="G721">
        <f t="shared" si="23"/>
        <v>10</v>
      </c>
      <c r="H721" t="str">
        <f>IF(ISNUMBER(FIND(",", E721)), TRIM(MID(E721, FIND(",", E721) + 1, LEN(E721))), E721)</f>
        <v>Indonesia</v>
      </c>
    </row>
    <row r="722" spans="1:8" x14ac:dyDescent="0.25">
      <c r="A722" s="2">
        <v>40100</v>
      </c>
      <c r="B722">
        <v>-14.91</v>
      </c>
      <c r="C722">
        <v>-174.82300000000001</v>
      </c>
      <c r="D722" t="s">
        <v>7</v>
      </c>
      <c r="E722" t="s">
        <v>352</v>
      </c>
      <c r="F722">
        <f t="shared" si="22"/>
        <v>2009</v>
      </c>
      <c r="G722">
        <f t="shared" si="23"/>
        <v>10</v>
      </c>
      <c r="H722" t="str">
        <f>IF(ISNUMBER(FIND(",", E722)), TRIM(MID(E722, FIND(",", E722) + 1, LEN(E722))), E722)</f>
        <v>Samoa Islands region</v>
      </c>
    </row>
    <row r="723" spans="1:8" x14ac:dyDescent="0.25">
      <c r="A723" s="2">
        <v>40099</v>
      </c>
      <c r="B723">
        <v>52.603999999999999</v>
      </c>
      <c r="C723">
        <v>-167.11799999999999</v>
      </c>
      <c r="D723" t="s">
        <v>7</v>
      </c>
      <c r="E723" t="s">
        <v>219</v>
      </c>
      <c r="F723">
        <f t="shared" si="22"/>
        <v>2009</v>
      </c>
      <c r="G723">
        <f t="shared" si="23"/>
        <v>10</v>
      </c>
      <c r="H723" t="str">
        <f>IF(ISNUMBER(FIND(",", E723)), TRIM(MID(E723, FIND(",", E723) + 1, LEN(E723))), E723)</f>
        <v>Aleutian Islands, Alaska</v>
      </c>
    </row>
    <row r="724" spans="1:8" x14ac:dyDescent="0.25">
      <c r="A724" s="2">
        <v>40099</v>
      </c>
      <c r="B724">
        <v>2.93</v>
      </c>
      <c r="C724">
        <v>128.232</v>
      </c>
      <c r="D724" t="s">
        <v>7</v>
      </c>
      <c r="E724" t="s">
        <v>311</v>
      </c>
      <c r="F724">
        <f t="shared" si="22"/>
        <v>2009</v>
      </c>
      <c r="G724">
        <f t="shared" si="23"/>
        <v>10</v>
      </c>
      <c r="H724" t="str">
        <f>IF(ISNUMBER(FIND(",", E724)), TRIM(MID(E724, FIND(",", E724) + 1, LEN(E724))), E724)</f>
        <v>Indonesia</v>
      </c>
    </row>
    <row r="725" spans="1:8" x14ac:dyDescent="0.25">
      <c r="A725" s="2">
        <v>40099</v>
      </c>
      <c r="B725">
        <v>52.753999999999998</v>
      </c>
      <c r="C725">
        <v>-166.99700000000001</v>
      </c>
      <c r="D725" t="s">
        <v>7</v>
      </c>
      <c r="E725" t="s">
        <v>219</v>
      </c>
      <c r="F725">
        <f t="shared" si="22"/>
        <v>2009</v>
      </c>
      <c r="G725">
        <f t="shared" si="23"/>
        <v>10</v>
      </c>
      <c r="H725" t="str">
        <f>IF(ISNUMBER(FIND(",", E725)), TRIM(MID(E725, FIND(",", E725) + 1, LEN(E725))), E725)</f>
        <v>Aleutian Islands, Alaska</v>
      </c>
    </row>
    <row r="726" spans="1:8" x14ac:dyDescent="0.25">
      <c r="A726" s="2">
        <v>40098</v>
      </c>
      <c r="B726">
        <v>-12.414</v>
      </c>
      <c r="C726">
        <v>166.49799999999999</v>
      </c>
      <c r="D726" t="s">
        <v>7</v>
      </c>
      <c r="E726" t="s">
        <v>211</v>
      </c>
      <c r="F726">
        <f t="shared" si="22"/>
        <v>2009</v>
      </c>
      <c r="G726">
        <f t="shared" si="23"/>
        <v>10</v>
      </c>
      <c r="H726" t="str">
        <f>IF(ISNUMBER(FIND(",", E726)), TRIM(MID(E726, FIND(",", E726) + 1, LEN(E726))), E726)</f>
        <v>Santa Cruz Islands</v>
      </c>
    </row>
    <row r="727" spans="1:8" x14ac:dyDescent="0.25">
      <c r="A727" s="2">
        <v>40098</v>
      </c>
      <c r="B727">
        <v>-17.099</v>
      </c>
      <c r="C727">
        <v>66.688000000000002</v>
      </c>
      <c r="D727" t="s">
        <v>7</v>
      </c>
      <c r="E727" t="s">
        <v>220</v>
      </c>
      <c r="F727">
        <f t="shared" si="22"/>
        <v>2009</v>
      </c>
      <c r="G727">
        <f t="shared" si="23"/>
        <v>10</v>
      </c>
      <c r="H727" t="str">
        <f>IF(ISNUMBER(FIND(",", E727)), TRIM(MID(E727, FIND(",", E727) + 1, LEN(E727))), E727)</f>
        <v>Mauritius - Reunion region</v>
      </c>
    </row>
    <row r="728" spans="1:8" x14ac:dyDescent="0.25">
      <c r="A728" s="2">
        <v>40097</v>
      </c>
      <c r="B728">
        <v>-22</v>
      </c>
      <c r="C728">
        <v>170.24799999999999</v>
      </c>
      <c r="D728" t="s">
        <v>7</v>
      </c>
      <c r="E728" t="s">
        <v>254</v>
      </c>
      <c r="F728">
        <f t="shared" si="22"/>
        <v>2009</v>
      </c>
      <c r="G728">
        <f t="shared" si="23"/>
        <v>10</v>
      </c>
      <c r="H728" t="str">
        <f>IF(ISNUMBER(FIND(",", E728)), TRIM(MID(E728, FIND(",", E728) + 1, LEN(E728))), E728)</f>
        <v>southeast of the Loyalty Islands</v>
      </c>
    </row>
    <row r="729" spans="1:8" x14ac:dyDescent="0.25">
      <c r="A729" s="2">
        <v>40096</v>
      </c>
      <c r="B729">
        <v>47.850999999999999</v>
      </c>
      <c r="C729">
        <v>152.45500000000001</v>
      </c>
      <c r="D729" t="s">
        <v>5</v>
      </c>
      <c r="E729" t="s">
        <v>191</v>
      </c>
      <c r="F729">
        <f t="shared" si="22"/>
        <v>2009</v>
      </c>
      <c r="G729">
        <f t="shared" si="23"/>
        <v>10</v>
      </c>
      <c r="H729" t="str">
        <f>IF(ISNUMBER(FIND(",", E729)), TRIM(MID(E729, FIND(",", E729) + 1, LEN(E729))), E729)</f>
        <v>Kuril Islands</v>
      </c>
    </row>
    <row r="730" spans="1:8" x14ac:dyDescent="0.25">
      <c r="A730" s="2">
        <v>40094</v>
      </c>
      <c r="B730">
        <v>-12.912000000000001</v>
      </c>
      <c r="C730">
        <v>166.31399999999999</v>
      </c>
      <c r="D730" t="s">
        <v>7</v>
      </c>
      <c r="E730" t="s">
        <v>211</v>
      </c>
      <c r="F730">
        <f t="shared" si="22"/>
        <v>2009</v>
      </c>
      <c r="G730">
        <f t="shared" si="23"/>
        <v>10</v>
      </c>
      <c r="H730" t="str">
        <f>IF(ISNUMBER(FIND(",", E730)), TRIM(MID(E730, FIND(",", E730) + 1, LEN(E730))), E730)</f>
        <v>Santa Cruz Islands</v>
      </c>
    </row>
    <row r="731" spans="1:8" x14ac:dyDescent="0.25">
      <c r="A731" s="2">
        <v>40094</v>
      </c>
      <c r="B731">
        <v>-11.263</v>
      </c>
      <c r="C731">
        <v>165.81899999999999</v>
      </c>
      <c r="D731" t="s">
        <v>7</v>
      </c>
      <c r="E731" t="s">
        <v>211</v>
      </c>
      <c r="F731">
        <f t="shared" si="22"/>
        <v>2009</v>
      </c>
      <c r="G731">
        <f t="shared" si="23"/>
        <v>10</v>
      </c>
      <c r="H731" t="str">
        <f>IF(ISNUMBER(FIND(",", E731)), TRIM(MID(E731, FIND(",", E731) + 1, LEN(E731))), E731)</f>
        <v>Santa Cruz Islands</v>
      </c>
    </row>
    <row r="732" spans="1:8" x14ac:dyDescent="0.25">
      <c r="A732" s="2">
        <v>40094</v>
      </c>
      <c r="B732">
        <v>-12.237</v>
      </c>
      <c r="C732">
        <v>166.489</v>
      </c>
      <c r="D732" t="s">
        <v>13</v>
      </c>
      <c r="E732" t="s">
        <v>211</v>
      </c>
      <c r="F732">
        <f t="shared" si="22"/>
        <v>2009</v>
      </c>
      <c r="G732">
        <f t="shared" si="23"/>
        <v>10</v>
      </c>
      <c r="H732" t="str">
        <f>IF(ISNUMBER(FIND(",", E732)), TRIM(MID(E732, FIND(",", E732) + 1, LEN(E732))), E732)</f>
        <v>Santa Cruz Islands</v>
      </c>
    </row>
    <row r="733" spans="1:8" x14ac:dyDescent="0.25">
      <c r="A733" s="2">
        <v>40094</v>
      </c>
      <c r="B733">
        <v>-13.298</v>
      </c>
      <c r="C733">
        <v>165.91</v>
      </c>
      <c r="D733" t="s">
        <v>7</v>
      </c>
      <c r="E733" t="s">
        <v>181</v>
      </c>
      <c r="F733">
        <f t="shared" si="22"/>
        <v>2009</v>
      </c>
      <c r="G733">
        <f t="shared" si="23"/>
        <v>10</v>
      </c>
      <c r="H733" t="str">
        <f>IF(ISNUMBER(FIND(",", E733)), TRIM(MID(E733, FIND(",", E733) + 1, LEN(E733))), E733)</f>
        <v>Vanuatu</v>
      </c>
    </row>
    <row r="734" spans="1:8" x14ac:dyDescent="0.25">
      <c r="A734" s="2">
        <v>40093</v>
      </c>
      <c r="B734">
        <v>-13.093</v>
      </c>
      <c r="C734">
        <v>166.49700000000001</v>
      </c>
      <c r="D734" t="s">
        <v>7</v>
      </c>
      <c r="E734" t="s">
        <v>181</v>
      </c>
      <c r="F734">
        <f t="shared" si="22"/>
        <v>2009</v>
      </c>
      <c r="G734">
        <f t="shared" si="23"/>
        <v>10</v>
      </c>
      <c r="H734" t="str">
        <f>IF(ISNUMBER(FIND(",", E734)), TRIM(MID(E734, FIND(",", E734) + 1, LEN(E734))), E734)</f>
        <v>Vanuatu</v>
      </c>
    </row>
    <row r="735" spans="1:8" x14ac:dyDescent="0.25">
      <c r="A735" s="2">
        <v>40093</v>
      </c>
      <c r="B735">
        <v>-12.39</v>
      </c>
      <c r="C735">
        <v>166.08600000000001</v>
      </c>
      <c r="D735" t="s">
        <v>7</v>
      </c>
      <c r="E735" t="s">
        <v>211</v>
      </c>
      <c r="F735">
        <f t="shared" si="22"/>
        <v>2009</v>
      </c>
      <c r="G735">
        <f t="shared" si="23"/>
        <v>10</v>
      </c>
      <c r="H735" t="str">
        <f>IF(ISNUMBER(FIND(",", E735)), TRIM(MID(E735, FIND(",", E735) + 1, LEN(E735))), E735)</f>
        <v>Santa Cruz Islands</v>
      </c>
    </row>
    <row r="736" spans="1:8" x14ac:dyDescent="0.25">
      <c r="A736" s="2">
        <v>40093</v>
      </c>
      <c r="B736">
        <v>-12.516999999999999</v>
      </c>
      <c r="C736">
        <v>166.38200000000001</v>
      </c>
      <c r="D736" t="s">
        <v>7</v>
      </c>
      <c r="E736" t="s">
        <v>211</v>
      </c>
      <c r="F736">
        <f t="shared" si="22"/>
        <v>2009</v>
      </c>
      <c r="G736">
        <f t="shared" si="23"/>
        <v>10</v>
      </c>
      <c r="H736" t="str">
        <f>IF(ISNUMBER(FIND(",", E736)), TRIM(MID(E736, FIND(",", E736) + 1, LEN(E736))), E736)</f>
        <v>Santa Cruz Islands</v>
      </c>
    </row>
    <row r="737" spans="1:8" x14ac:dyDescent="0.25">
      <c r="A737" s="2">
        <v>40093</v>
      </c>
      <c r="B737">
        <v>-13.006</v>
      </c>
      <c r="C737">
        <v>166.51</v>
      </c>
      <c r="D737" t="s">
        <v>3</v>
      </c>
      <c r="E737" t="s">
        <v>181</v>
      </c>
      <c r="F737">
        <f t="shared" si="22"/>
        <v>2009</v>
      </c>
      <c r="G737">
        <f t="shared" si="23"/>
        <v>10</v>
      </c>
      <c r="H737" t="str">
        <f>IF(ISNUMBER(FIND(",", E737)), TRIM(MID(E737, FIND(",", E737) + 1, LEN(E737))), E737)</f>
        <v>Vanuatu</v>
      </c>
    </row>
    <row r="738" spans="1:8" x14ac:dyDescent="0.25">
      <c r="A738" s="2">
        <v>40093</v>
      </c>
      <c r="B738">
        <v>4.0789999999999997</v>
      </c>
      <c r="C738">
        <v>122.371</v>
      </c>
      <c r="D738" t="s">
        <v>7</v>
      </c>
      <c r="E738" t="s">
        <v>203</v>
      </c>
      <c r="F738">
        <f t="shared" si="22"/>
        <v>2009</v>
      </c>
      <c r="G738">
        <f t="shared" si="23"/>
        <v>10</v>
      </c>
      <c r="H738" t="str">
        <f>IF(ISNUMBER(FIND(",", E738)), TRIM(MID(E738, FIND(",", E738) + 1, LEN(E738))), E738)</f>
        <v>Celebes Sea</v>
      </c>
    </row>
    <row r="739" spans="1:8" x14ac:dyDescent="0.25">
      <c r="A739" s="2">
        <v>40090</v>
      </c>
      <c r="B739">
        <v>6.74</v>
      </c>
      <c r="C739">
        <v>123.378</v>
      </c>
      <c r="D739" t="s">
        <v>7</v>
      </c>
      <c r="E739" t="s">
        <v>319</v>
      </c>
      <c r="F739">
        <f t="shared" si="22"/>
        <v>2009</v>
      </c>
      <c r="G739">
        <f t="shared" si="23"/>
        <v>10</v>
      </c>
      <c r="H739" t="str">
        <f>IF(ISNUMBER(FIND(",", E739)), TRIM(MID(E739, FIND(",", E739) + 1, LEN(E739))), E739)</f>
        <v>Mindanao, Philippines</v>
      </c>
    </row>
    <row r="740" spans="1:8" x14ac:dyDescent="0.25">
      <c r="A740" s="2">
        <v>40089</v>
      </c>
      <c r="B740">
        <v>23.63</v>
      </c>
      <c r="C740">
        <v>121.452</v>
      </c>
      <c r="D740" t="s">
        <v>3</v>
      </c>
      <c r="E740" t="s">
        <v>336</v>
      </c>
      <c r="F740">
        <f t="shared" si="22"/>
        <v>2009</v>
      </c>
      <c r="G740">
        <f t="shared" si="23"/>
        <v>10</v>
      </c>
      <c r="H740" t="str">
        <f>IF(ISNUMBER(FIND(",", E740)), TRIM(MID(E740, FIND(",", E740) + 1, LEN(E740))), E740)</f>
        <v>Taiwan</v>
      </c>
    </row>
    <row r="741" spans="1:8" x14ac:dyDescent="0.25">
      <c r="A741" s="2">
        <v>40088</v>
      </c>
      <c r="B741">
        <v>-17.016999999999999</v>
      </c>
      <c r="C741">
        <v>174.505</v>
      </c>
      <c r="D741" t="s">
        <v>7</v>
      </c>
      <c r="E741" t="s">
        <v>53</v>
      </c>
      <c r="F741">
        <f t="shared" si="22"/>
        <v>2009</v>
      </c>
      <c r="G741">
        <f t="shared" si="23"/>
        <v>10</v>
      </c>
      <c r="H741" t="str">
        <f>IF(ISNUMBER(FIND(",", E741)), TRIM(MID(E741, FIND(",", E741) + 1, LEN(E741))), E741)</f>
        <v>Fiji region</v>
      </c>
    </row>
    <row r="742" spans="1:8" x14ac:dyDescent="0.25">
      <c r="A742" s="2">
        <v>40088</v>
      </c>
      <c r="B742">
        <v>-16.335000000000001</v>
      </c>
      <c r="C742">
        <v>-173.471</v>
      </c>
      <c r="D742" t="s">
        <v>7</v>
      </c>
      <c r="E742" t="s">
        <v>239</v>
      </c>
      <c r="F742">
        <f t="shared" si="22"/>
        <v>2009</v>
      </c>
      <c r="G742">
        <f t="shared" si="23"/>
        <v>10</v>
      </c>
      <c r="H742" t="str">
        <f>IF(ISNUMBER(FIND(",", E742)), TRIM(MID(E742, FIND(",", E742) + 1, LEN(E742))), E742)</f>
        <v>Tonga</v>
      </c>
    </row>
    <row r="743" spans="1:8" x14ac:dyDescent="0.25">
      <c r="A743" s="2">
        <v>40087</v>
      </c>
      <c r="B743">
        <v>-2.4820000000000002</v>
      </c>
      <c r="C743">
        <v>101.524</v>
      </c>
      <c r="D743" t="s">
        <v>7</v>
      </c>
      <c r="E743" t="s">
        <v>308</v>
      </c>
      <c r="F743">
        <f t="shared" si="22"/>
        <v>2009</v>
      </c>
      <c r="G743">
        <f t="shared" si="23"/>
        <v>10</v>
      </c>
      <c r="H743" t="str">
        <f>IF(ISNUMBER(FIND(",", E743)), TRIM(MID(E743, FIND(",", E743) + 1, LEN(E743))), E743)</f>
        <v>Indonesia</v>
      </c>
    </row>
    <row r="744" spans="1:8" x14ac:dyDescent="0.25">
      <c r="A744" s="2">
        <v>40086</v>
      </c>
      <c r="B744">
        <v>-0.72</v>
      </c>
      <c r="C744">
        <v>99.867000000000004</v>
      </c>
      <c r="D744" t="s">
        <v>7</v>
      </c>
      <c r="E744" t="s">
        <v>308</v>
      </c>
      <c r="F744">
        <f t="shared" si="22"/>
        <v>2009</v>
      </c>
      <c r="G744">
        <f t="shared" si="23"/>
        <v>9</v>
      </c>
      <c r="H744" t="str">
        <f>IF(ISNUMBER(FIND(",", E744)), TRIM(MID(E744, FIND(",", E744) + 1, LEN(E744))), E744)</f>
        <v>Indonesia</v>
      </c>
    </row>
    <row r="745" spans="1:8" x14ac:dyDescent="0.25">
      <c r="A745" s="2">
        <v>40085</v>
      </c>
      <c r="B745">
        <v>-15.832000000000001</v>
      </c>
      <c r="C745">
        <v>-172.55099999999999</v>
      </c>
      <c r="D745" t="s">
        <v>13</v>
      </c>
      <c r="E745" t="s">
        <v>352</v>
      </c>
      <c r="F745">
        <f t="shared" si="22"/>
        <v>2009</v>
      </c>
      <c r="G745">
        <f t="shared" si="23"/>
        <v>9</v>
      </c>
      <c r="H745" t="str">
        <f>IF(ISNUMBER(FIND(",", E745)), TRIM(MID(E745, FIND(",", E745) + 1, LEN(E745))), E745)</f>
        <v>Samoa Islands region</v>
      </c>
    </row>
    <row r="746" spans="1:8" x14ac:dyDescent="0.25">
      <c r="A746" s="2">
        <v>40085</v>
      </c>
      <c r="B746">
        <v>-15.355</v>
      </c>
      <c r="C746">
        <v>-173.15899999999999</v>
      </c>
      <c r="D746" t="s">
        <v>13</v>
      </c>
      <c r="E746" t="s">
        <v>239</v>
      </c>
      <c r="F746">
        <f t="shared" si="22"/>
        <v>2009</v>
      </c>
      <c r="G746">
        <f t="shared" si="23"/>
        <v>9</v>
      </c>
      <c r="H746" t="str">
        <f>IF(ISNUMBER(FIND(",", E746)), TRIM(MID(E746, FIND(",", E746) + 1, LEN(E746))), E746)</f>
        <v>Tonga</v>
      </c>
    </row>
    <row r="747" spans="1:8" x14ac:dyDescent="0.25">
      <c r="A747" s="2">
        <v>40085</v>
      </c>
      <c r="B747">
        <v>-15.489000000000001</v>
      </c>
      <c r="C747">
        <v>-172.095</v>
      </c>
      <c r="D747" t="s">
        <v>7</v>
      </c>
      <c r="E747" t="s">
        <v>352</v>
      </c>
      <c r="F747">
        <f t="shared" si="22"/>
        <v>2009</v>
      </c>
      <c r="G747">
        <f t="shared" si="23"/>
        <v>9</v>
      </c>
      <c r="H747" t="str">
        <f>IF(ISNUMBER(FIND(",", E747)), TRIM(MID(E747, FIND(",", E747) + 1, LEN(E747))), E747)</f>
        <v>Samoa Islands region</v>
      </c>
    </row>
    <row r="748" spans="1:8" x14ac:dyDescent="0.25">
      <c r="A748" s="2">
        <v>40080</v>
      </c>
      <c r="B748">
        <v>18.829000000000001</v>
      </c>
      <c r="C748">
        <v>-107.339</v>
      </c>
      <c r="D748" t="s">
        <v>7</v>
      </c>
      <c r="E748" t="s">
        <v>315</v>
      </c>
      <c r="F748">
        <f t="shared" si="22"/>
        <v>2009</v>
      </c>
      <c r="G748">
        <f t="shared" si="23"/>
        <v>9</v>
      </c>
      <c r="H748" t="str">
        <f>IF(ISNUMBER(FIND(",", E748)), TRIM(MID(E748, FIND(",", E748) + 1, LEN(E748))), E748)</f>
        <v>Mexico</v>
      </c>
    </row>
    <row r="749" spans="1:8" x14ac:dyDescent="0.25">
      <c r="A749" s="2">
        <v>40079</v>
      </c>
      <c r="B749">
        <v>-52.963000000000001</v>
      </c>
      <c r="C749">
        <v>159.911</v>
      </c>
      <c r="D749" t="s">
        <v>7</v>
      </c>
      <c r="E749" t="s">
        <v>350</v>
      </c>
      <c r="F749">
        <f t="shared" si="22"/>
        <v>2009</v>
      </c>
      <c r="G749">
        <f t="shared" si="23"/>
        <v>9</v>
      </c>
      <c r="H749" t="str">
        <f>IF(ISNUMBER(FIND(",", E749)), TRIM(MID(E749, FIND(",", E749) + 1, LEN(E749))), E749)</f>
        <v>Macquarie Island region</v>
      </c>
    </row>
    <row r="750" spans="1:8" x14ac:dyDescent="0.25">
      <c r="A750" s="2">
        <v>40077</v>
      </c>
      <c r="B750">
        <v>27.332000000000001</v>
      </c>
      <c r="C750">
        <v>91.436999999999998</v>
      </c>
      <c r="D750" t="s">
        <v>5</v>
      </c>
      <c r="E750" t="s">
        <v>354</v>
      </c>
      <c r="F750">
        <f t="shared" si="22"/>
        <v>2009</v>
      </c>
      <c r="G750">
        <f t="shared" si="23"/>
        <v>9</v>
      </c>
      <c r="H750" t="str">
        <f>IF(ISNUMBER(FIND(",", E750)), TRIM(MID(E750, FIND(",", E750) + 1, LEN(E750))), E750)</f>
        <v>Bhutan</v>
      </c>
    </row>
    <row r="751" spans="1:8" x14ac:dyDescent="0.25">
      <c r="A751" s="2">
        <v>40073</v>
      </c>
      <c r="B751">
        <v>-29.143999999999998</v>
      </c>
      <c r="C751">
        <v>-112.267</v>
      </c>
      <c r="D751" t="s">
        <v>7</v>
      </c>
      <c r="E751" t="s">
        <v>59</v>
      </c>
      <c r="F751">
        <f t="shared" si="22"/>
        <v>2009</v>
      </c>
      <c r="G751">
        <f t="shared" si="23"/>
        <v>9</v>
      </c>
      <c r="H751" t="str">
        <f>IF(ISNUMBER(FIND(",", E751)), TRIM(MID(E751, FIND(",", E751) + 1, LEN(E751))), E751)</f>
        <v>Easter Island region</v>
      </c>
    </row>
    <row r="752" spans="1:8" x14ac:dyDescent="0.25">
      <c r="A752" s="2">
        <v>40068</v>
      </c>
      <c r="B752">
        <v>10.709</v>
      </c>
      <c r="C752">
        <v>-67.927000000000007</v>
      </c>
      <c r="D752" t="s">
        <v>7</v>
      </c>
      <c r="E752" t="s">
        <v>355</v>
      </c>
      <c r="F752">
        <f t="shared" si="22"/>
        <v>2009</v>
      </c>
      <c r="G752">
        <f t="shared" si="23"/>
        <v>9</v>
      </c>
      <c r="H752" t="str">
        <f>IF(ISNUMBER(FIND(",", E752)), TRIM(MID(E752, FIND(",", E752) + 1, LEN(E752))), E752)</f>
        <v>Venezuela</v>
      </c>
    </row>
    <row r="753" spans="1:8" x14ac:dyDescent="0.25">
      <c r="A753" s="2">
        <v>40066</v>
      </c>
      <c r="B753">
        <v>48.317</v>
      </c>
      <c r="C753">
        <v>154.19200000000001</v>
      </c>
      <c r="D753" t="s">
        <v>7</v>
      </c>
      <c r="E753" t="s">
        <v>191</v>
      </c>
      <c r="F753">
        <f t="shared" si="22"/>
        <v>2009</v>
      </c>
      <c r="G753">
        <f t="shared" si="23"/>
        <v>9</v>
      </c>
      <c r="H753" t="str">
        <f>IF(ISNUMBER(FIND(",", E753)), TRIM(MID(E753, FIND(",", E753) + 1, LEN(E753))), E753)</f>
        <v>Kuril Islands</v>
      </c>
    </row>
    <row r="754" spans="1:8" x14ac:dyDescent="0.25">
      <c r="A754" s="2">
        <v>40063</v>
      </c>
      <c r="B754">
        <v>42.66</v>
      </c>
      <c r="C754">
        <v>43.442999999999998</v>
      </c>
      <c r="D754" t="s">
        <v>7</v>
      </c>
      <c r="E754" t="s">
        <v>356</v>
      </c>
      <c r="F754">
        <f t="shared" si="22"/>
        <v>2009</v>
      </c>
      <c r="G754">
        <f t="shared" si="23"/>
        <v>9</v>
      </c>
      <c r="H754" t="str">
        <f>IF(ISNUMBER(FIND(",", E754)), TRIM(MID(E754, FIND(",", E754) + 1, LEN(E754))), E754)</f>
        <v>Georgia (Sak'art'velo)</v>
      </c>
    </row>
    <row r="755" spans="1:8" x14ac:dyDescent="0.25">
      <c r="A755" s="2">
        <v>40063</v>
      </c>
      <c r="B755">
        <v>-10.198</v>
      </c>
      <c r="C755">
        <v>110.628</v>
      </c>
      <c r="D755" t="s">
        <v>7</v>
      </c>
      <c r="E755" t="s">
        <v>212</v>
      </c>
      <c r="F755">
        <f t="shared" si="22"/>
        <v>2009</v>
      </c>
      <c r="G755">
        <f t="shared" si="23"/>
        <v>9</v>
      </c>
      <c r="H755" t="str">
        <f>IF(ISNUMBER(FIND(",", E755)), TRIM(MID(E755, FIND(",", E755) + 1, LEN(E755))), E755)</f>
        <v>Indonesia</v>
      </c>
    </row>
    <row r="756" spans="1:8" x14ac:dyDescent="0.25">
      <c r="A756" s="2">
        <v>40059</v>
      </c>
      <c r="B756">
        <v>31.14</v>
      </c>
      <c r="C756">
        <v>130.01400000000001</v>
      </c>
      <c r="D756" t="s">
        <v>7</v>
      </c>
      <c r="E756" t="s">
        <v>357</v>
      </c>
      <c r="F756">
        <f t="shared" si="22"/>
        <v>2009</v>
      </c>
      <c r="G756">
        <f t="shared" si="23"/>
        <v>9</v>
      </c>
      <c r="H756" t="str">
        <f>IF(ISNUMBER(FIND(",", E756)), TRIM(MID(E756, FIND(",", E756) + 1, LEN(E756))), E756)</f>
        <v>Japan</v>
      </c>
    </row>
    <row r="757" spans="1:8" x14ac:dyDescent="0.25">
      <c r="A757" s="2">
        <v>40058</v>
      </c>
      <c r="B757">
        <v>-29.395</v>
      </c>
      <c r="C757">
        <v>-178.95599999999999</v>
      </c>
      <c r="D757" t="s">
        <v>5</v>
      </c>
      <c r="E757" t="s">
        <v>288</v>
      </c>
      <c r="F757">
        <f t="shared" si="22"/>
        <v>2009</v>
      </c>
      <c r="G757">
        <f t="shared" si="23"/>
        <v>9</v>
      </c>
      <c r="H757" t="str">
        <f>IF(ISNUMBER(FIND(",", E757)), TRIM(MID(E757, FIND(",", E757) + 1, LEN(E757))), E757)</f>
        <v>New Zealand</v>
      </c>
    </row>
    <row r="758" spans="1:8" x14ac:dyDescent="0.25">
      <c r="A758" s="2">
        <v>40058</v>
      </c>
      <c r="B758">
        <v>-7.782</v>
      </c>
      <c r="C758">
        <v>107.297</v>
      </c>
      <c r="D758" t="s">
        <v>7</v>
      </c>
      <c r="E758" t="s">
        <v>358</v>
      </c>
      <c r="F758">
        <f t="shared" si="22"/>
        <v>2009</v>
      </c>
      <c r="G758">
        <f t="shared" si="23"/>
        <v>9</v>
      </c>
      <c r="H758" t="str">
        <f>IF(ISNUMBER(FIND(",", E758)), TRIM(MID(E758, FIND(",", E758) + 1, LEN(E758))), E758)</f>
        <v>Indonesia</v>
      </c>
    </row>
    <row r="759" spans="1:8" x14ac:dyDescent="0.25">
      <c r="A759" s="2">
        <v>40055</v>
      </c>
      <c r="B759">
        <v>-15.223000000000001</v>
      </c>
      <c r="C759">
        <v>-172.571</v>
      </c>
      <c r="D759" t="s">
        <v>7</v>
      </c>
      <c r="E759" t="s">
        <v>352</v>
      </c>
      <c r="F759">
        <f t="shared" si="22"/>
        <v>2009</v>
      </c>
      <c r="G759">
        <f t="shared" si="23"/>
        <v>8</v>
      </c>
      <c r="H759" t="str">
        <f>IF(ISNUMBER(FIND(",", E759)), TRIM(MID(E759, FIND(",", E759) + 1, LEN(E759))), E759)</f>
        <v>Samoa Islands region</v>
      </c>
    </row>
    <row r="760" spans="1:8" x14ac:dyDescent="0.25">
      <c r="A760" s="2">
        <v>40053</v>
      </c>
      <c r="B760">
        <v>37.695999999999998</v>
      </c>
      <c r="C760">
        <v>95.718000000000004</v>
      </c>
      <c r="D760" t="s">
        <v>7</v>
      </c>
      <c r="E760" t="s">
        <v>359</v>
      </c>
      <c r="F760">
        <f t="shared" si="22"/>
        <v>2009</v>
      </c>
      <c r="G760">
        <f t="shared" si="23"/>
        <v>8</v>
      </c>
      <c r="H760" t="str">
        <f>IF(ISNUMBER(FIND(",", E760)), TRIM(MID(E760, FIND(",", E760) + 1, LEN(E760))), E760)</f>
        <v>China</v>
      </c>
    </row>
    <row r="761" spans="1:8" x14ac:dyDescent="0.25">
      <c r="A761" s="2">
        <v>40053</v>
      </c>
      <c r="B761">
        <v>-7.1459999999999999</v>
      </c>
      <c r="C761">
        <v>123.42700000000001</v>
      </c>
      <c r="D761" t="s">
        <v>7</v>
      </c>
      <c r="E761" t="s">
        <v>187</v>
      </c>
      <c r="F761">
        <f t="shared" si="22"/>
        <v>2009</v>
      </c>
      <c r="G761">
        <f t="shared" si="23"/>
        <v>8</v>
      </c>
      <c r="H761" t="str">
        <f>IF(ISNUMBER(FIND(",", E761)), TRIM(MID(E761, FIND(",", E761) + 1, LEN(E761))), E761)</f>
        <v>Banda Sea</v>
      </c>
    </row>
    <row r="762" spans="1:8" x14ac:dyDescent="0.25">
      <c r="A762" s="2">
        <v>40045</v>
      </c>
      <c r="B762">
        <v>72.2</v>
      </c>
      <c r="C762">
        <v>0.94399999999999995</v>
      </c>
      <c r="D762" t="s">
        <v>7</v>
      </c>
      <c r="E762" t="s">
        <v>234</v>
      </c>
      <c r="F762">
        <f t="shared" si="22"/>
        <v>2009</v>
      </c>
      <c r="G762">
        <f t="shared" si="23"/>
        <v>8</v>
      </c>
      <c r="H762" t="str">
        <f>IF(ISNUMBER(FIND(",", E762)), TRIM(MID(E762, FIND(",", E762) + 1, LEN(E762))), E762)</f>
        <v>Norwegian Sea</v>
      </c>
    </row>
    <row r="763" spans="1:8" x14ac:dyDescent="0.25">
      <c r="A763" s="2">
        <v>40043</v>
      </c>
      <c r="B763">
        <v>-26.064</v>
      </c>
      <c r="C763">
        <v>-178.39099999999999</v>
      </c>
      <c r="D763" t="s">
        <v>7</v>
      </c>
      <c r="E763" t="s">
        <v>256</v>
      </c>
      <c r="F763">
        <f t="shared" si="22"/>
        <v>2009</v>
      </c>
      <c r="G763">
        <f t="shared" si="23"/>
        <v>8</v>
      </c>
      <c r="H763" t="str">
        <f>IF(ISNUMBER(FIND(",", E763)), TRIM(MID(E763, FIND(",", E763) + 1, LEN(E763))), E763)</f>
        <v>south of the Fiji Islands</v>
      </c>
    </row>
    <row r="764" spans="1:8" x14ac:dyDescent="0.25">
      <c r="A764" s="2">
        <v>40042</v>
      </c>
      <c r="B764">
        <v>23.425999999999998</v>
      </c>
      <c r="C764">
        <v>123.51600000000001</v>
      </c>
      <c r="D764" t="s">
        <v>7</v>
      </c>
      <c r="E764" t="s">
        <v>312</v>
      </c>
      <c r="F764">
        <f t="shared" si="22"/>
        <v>2009</v>
      </c>
      <c r="G764">
        <f t="shared" si="23"/>
        <v>8</v>
      </c>
      <c r="H764" t="str">
        <f>IF(ISNUMBER(FIND(",", E764)), TRIM(MID(E764, FIND(",", E764) + 1, LEN(E764))), E764)</f>
        <v>Japan</v>
      </c>
    </row>
    <row r="765" spans="1:8" x14ac:dyDescent="0.25">
      <c r="A765" s="2">
        <v>40042</v>
      </c>
      <c r="B765">
        <v>23.501000000000001</v>
      </c>
      <c r="C765">
        <v>123.499</v>
      </c>
      <c r="D765" t="s">
        <v>7</v>
      </c>
      <c r="E765" t="s">
        <v>312</v>
      </c>
      <c r="F765">
        <f t="shared" si="22"/>
        <v>2009</v>
      </c>
      <c r="G765">
        <f t="shared" si="23"/>
        <v>8</v>
      </c>
      <c r="H765" t="str">
        <f>IF(ISNUMBER(FIND(",", E765)), TRIM(MID(E765, FIND(",", E765) + 1, LEN(E765))), E765)</f>
        <v>Japan</v>
      </c>
    </row>
    <row r="766" spans="1:8" x14ac:dyDescent="0.25">
      <c r="A766" s="2">
        <v>40041</v>
      </c>
      <c r="B766">
        <v>-1.4790000000000001</v>
      </c>
      <c r="C766">
        <v>99.49</v>
      </c>
      <c r="D766" t="s">
        <v>7</v>
      </c>
      <c r="E766" t="s">
        <v>209</v>
      </c>
      <c r="F766">
        <f t="shared" si="22"/>
        <v>2009</v>
      </c>
      <c r="G766">
        <f t="shared" si="23"/>
        <v>8</v>
      </c>
      <c r="H766" t="str">
        <f>IF(ISNUMBER(FIND(",", E766)), TRIM(MID(E766, FIND(",", E766) + 1, LEN(E766))), E766)</f>
        <v>Indonesia</v>
      </c>
    </row>
    <row r="767" spans="1:8" x14ac:dyDescent="0.25">
      <c r="A767" s="2">
        <v>40037</v>
      </c>
      <c r="B767">
        <v>32.820999999999998</v>
      </c>
      <c r="C767">
        <v>140.39500000000001</v>
      </c>
      <c r="D767" t="s">
        <v>7</v>
      </c>
      <c r="E767" t="s">
        <v>88</v>
      </c>
      <c r="F767">
        <f t="shared" si="22"/>
        <v>2009</v>
      </c>
      <c r="G767">
        <f t="shared" si="23"/>
        <v>8</v>
      </c>
      <c r="H767" t="str">
        <f>IF(ISNUMBER(FIND(",", E767)), TRIM(MID(E767, FIND(",", E767) + 1, LEN(E767))), E767)</f>
        <v>Japan region</v>
      </c>
    </row>
    <row r="768" spans="1:8" x14ac:dyDescent="0.25">
      <c r="A768" s="2">
        <v>40035</v>
      </c>
      <c r="B768">
        <v>34.743000000000002</v>
      </c>
      <c r="C768">
        <v>138.26400000000001</v>
      </c>
      <c r="D768" t="s">
        <v>15</v>
      </c>
      <c r="E768" t="s">
        <v>360</v>
      </c>
      <c r="F768">
        <f t="shared" si="22"/>
        <v>2009</v>
      </c>
      <c r="G768">
        <f t="shared" si="23"/>
        <v>8</v>
      </c>
      <c r="H768" t="str">
        <f>IF(ISNUMBER(FIND(",", E768)), TRIM(MID(E768, FIND(",", E768) + 1, LEN(E768))), E768)</f>
        <v>Japan</v>
      </c>
    </row>
    <row r="769" spans="1:8" x14ac:dyDescent="0.25">
      <c r="A769" s="2">
        <v>40035</v>
      </c>
      <c r="B769">
        <v>14.099</v>
      </c>
      <c r="C769">
        <v>92.902000000000001</v>
      </c>
      <c r="D769" t="s">
        <v>7</v>
      </c>
      <c r="E769" t="s">
        <v>323</v>
      </c>
      <c r="F769">
        <f t="shared" si="22"/>
        <v>2009</v>
      </c>
      <c r="G769">
        <f t="shared" si="23"/>
        <v>8</v>
      </c>
      <c r="H769" t="str">
        <f>IF(ISNUMBER(FIND(",", E769)), TRIM(MID(E769, FIND(",", E769) + 1, LEN(E769))), E769)</f>
        <v>India region</v>
      </c>
    </row>
    <row r="770" spans="1:8" x14ac:dyDescent="0.25">
      <c r="A770" s="2">
        <v>40035</v>
      </c>
      <c r="B770">
        <v>-11.612</v>
      </c>
      <c r="C770">
        <v>166.09</v>
      </c>
      <c r="D770" t="s">
        <v>7</v>
      </c>
      <c r="E770" t="s">
        <v>211</v>
      </c>
      <c r="F770">
        <f t="shared" ref="F770:F833" si="24">YEAR(A770)</f>
        <v>2009</v>
      </c>
      <c r="G770">
        <f t="shared" si="23"/>
        <v>8</v>
      </c>
      <c r="H770" t="str">
        <f>IF(ISNUMBER(FIND(",", E770)), TRIM(MID(E770, FIND(",", E770) + 1, LEN(E770))), E770)</f>
        <v>Santa Cruz Islands</v>
      </c>
    </row>
    <row r="771" spans="1:8" x14ac:dyDescent="0.25">
      <c r="A771" s="2">
        <v>40034</v>
      </c>
      <c r="B771">
        <v>33.167000000000002</v>
      </c>
      <c r="C771">
        <v>137.94399999999999</v>
      </c>
      <c r="D771" t="s">
        <v>7</v>
      </c>
      <c r="E771" t="s">
        <v>360</v>
      </c>
      <c r="F771">
        <f t="shared" si="24"/>
        <v>2009</v>
      </c>
      <c r="G771">
        <f t="shared" ref="G771:G834" si="25">MONTH(A771)</f>
        <v>8</v>
      </c>
      <c r="H771" t="str">
        <f>IF(ISNUMBER(FIND(",", E771)), TRIM(MID(E771, FIND(",", E771) + 1, LEN(E771))), E771)</f>
        <v>Japan</v>
      </c>
    </row>
    <row r="772" spans="1:8" x14ac:dyDescent="0.25">
      <c r="A772" s="2">
        <v>40030</v>
      </c>
      <c r="B772">
        <v>-45.554000000000002</v>
      </c>
      <c r="C772">
        <v>166.35599999999999</v>
      </c>
      <c r="D772" t="s">
        <v>7</v>
      </c>
      <c r="E772" t="s">
        <v>361</v>
      </c>
      <c r="F772">
        <f t="shared" si="24"/>
        <v>2009</v>
      </c>
      <c r="G772">
        <f t="shared" si="25"/>
        <v>8</v>
      </c>
      <c r="H772" t="str">
        <f>IF(ISNUMBER(FIND(",", E772)), TRIM(MID(E772, FIND(",", E772) + 1, LEN(E772))), E772)</f>
        <v>off the west coast of the South Island of New Zealand</v>
      </c>
    </row>
    <row r="773" spans="1:8" x14ac:dyDescent="0.25">
      <c r="A773" s="2">
        <v>40030</v>
      </c>
      <c r="B773">
        <v>24.233000000000001</v>
      </c>
      <c r="C773">
        <v>125.095</v>
      </c>
      <c r="D773" t="s">
        <v>7</v>
      </c>
      <c r="E773" t="s">
        <v>312</v>
      </c>
      <c r="F773">
        <f t="shared" si="24"/>
        <v>2009</v>
      </c>
      <c r="G773">
        <f t="shared" si="25"/>
        <v>8</v>
      </c>
      <c r="H773" t="str">
        <f>IF(ISNUMBER(FIND(",", E773)), TRIM(MID(E773, FIND(",", E773) + 1, LEN(E773))), E773)</f>
        <v>Japan</v>
      </c>
    </row>
    <row r="774" spans="1:8" x14ac:dyDescent="0.25">
      <c r="A774" s="2">
        <v>40028</v>
      </c>
      <c r="B774">
        <v>29.31</v>
      </c>
      <c r="C774">
        <v>-113.72799999999999</v>
      </c>
      <c r="D774" t="s">
        <v>7</v>
      </c>
      <c r="E774" t="s">
        <v>247</v>
      </c>
      <c r="F774">
        <f t="shared" si="24"/>
        <v>2009</v>
      </c>
      <c r="G774">
        <f t="shared" si="25"/>
        <v>8</v>
      </c>
      <c r="H774" t="str">
        <f>IF(ISNUMBER(FIND(",", E774)), TRIM(MID(E774, FIND(",", E774) + 1, LEN(E774))), E774)</f>
        <v>Mexico</v>
      </c>
    </row>
    <row r="775" spans="1:8" x14ac:dyDescent="0.25">
      <c r="A775" s="2">
        <v>40028</v>
      </c>
      <c r="B775">
        <v>29.039000000000001</v>
      </c>
      <c r="C775">
        <v>-112.90300000000001</v>
      </c>
      <c r="D775" t="s">
        <v>7</v>
      </c>
      <c r="E775" t="s">
        <v>362</v>
      </c>
      <c r="F775">
        <f t="shared" si="24"/>
        <v>2009</v>
      </c>
      <c r="G775">
        <f t="shared" si="25"/>
        <v>8</v>
      </c>
      <c r="H775" t="str">
        <f>IF(ISNUMBER(FIND(",", E775)), TRIM(MID(E775, FIND(",", E775) + 1, LEN(E775))), E775)</f>
        <v>Mexico</v>
      </c>
    </row>
    <row r="776" spans="1:8" x14ac:dyDescent="0.25">
      <c r="A776" s="2">
        <v>40027</v>
      </c>
      <c r="B776">
        <v>-0.44700000000000001</v>
      </c>
      <c r="C776">
        <v>132.90799999999999</v>
      </c>
      <c r="D776" t="s">
        <v>7</v>
      </c>
      <c r="E776" t="s">
        <v>241</v>
      </c>
      <c r="F776">
        <f t="shared" si="24"/>
        <v>2009</v>
      </c>
      <c r="G776">
        <f t="shared" si="25"/>
        <v>8</v>
      </c>
      <c r="H776" t="str">
        <f>IF(ISNUMBER(FIND(",", E776)), TRIM(MID(E776, FIND(",", E776) + 1, LEN(E776))), E776)</f>
        <v>Indonesia</v>
      </c>
    </row>
    <row r="777" spans="1:8" x14ac:dyDescent="0.25">
      <c r="A777" s="2">
        <v>40026</v>
      </c>
      <c r="B777">
        <v>-56.234000000000002</v>
      </c>
      <c r="C777">
        <v>-124.29600000000001</v>
      </c>
      <c r="D777" t="s">
        <v>7</v>
      </c>
      <c r="E777" t="s">
        <v>268</v>
      </c>
      <c r="F777">
        <f t="shared" si="24"/>
        <v>2009</v>
      </c>
      <c r="G777">
        <f t="shared" si="25"/>
        <v>8</v>
      </c>
      <c r="H777" t="str">
        <f>IF(ISNUMBER(FIND(",", E777)), TRIM(MID(E777, FIND(",", E777) + 1, LEN(E777))), E777)</f>
        <v>southern East Pacific Rise</v>
      </c>
    </row>
    <row r="778" spans="1:8" x14ac:dyDescent="0.25">
      <c r="A778" s="2">
        <v>40009</v>
      </c>
      <c r="B778">
        <v>-3.375</v>
      </c>
      <c r="C778">
        <v>150.506</v>
      </c>
      <c r="D778" t="s">
        <v>7</v>
      </c>
      <c r="E778" t="s">
        <v>183</v>
      </c>
      <c r="F778">
        <f t="shared" si="24"/>
        <v>2009</v>
      </c>
      <c r="G778">
        <f t="shared" si="25"/>
        <v>7</v>
      </c>
      <c r="H778" t="str">
        <f>IF(ISNUMBER(FIND(",", E778)), TRIM(MID(E778, FIND(",", E778) + 1, LEN(E778))), E778)</f>
        <v>Papua New Guinea</v>
      </c>
    </row>
    <row r="779" spans="1:8" x14ac:dyDescent="0.25">
      <c r="A779" s="2">
        <v>40009</v>
      </c>
      <c r="B779">
        <v>-45.762</v>
      </c>
      <c r="C779">
        <v>166.56200000000001</v>
      </c>
      <c r="D779" t="s">
        <v>7</v>
      </c>
      <c r="E779" t="s">
        <v>361</v>
      </c>
      <c r="F779">
        <f t="shared" si="24"/>
        <v>2009</v>
      </c>
      <c r="G779">
        <f t="shared" si="25"/>
        <v>7</v>
      </c>
      <c r="H779" t="str">
        <f>IF(ISNUMBER(FIND(",", E779)), TRIM(MID(E779, FIND(",", E779) + 1, LEN(E779))), E779)</f>
        <v>off the west coast of the South Island of New Zealand</v>
      </c>
    </row>
    <row r="780" spans="1:8" x14ac:dyDescent="0.25">
      <c r="A780" s="2">
        <v>40007</v>
      </c>
      <c r="B780">
        <v>24.056000000000001</v>
      </c>
      <c r="C780">
        <v>122.20099999999999</v>
      </c>
      <c r="D780" t="s">
        <v>7</v>
      </c>
      <c r="E780" t="s">
        <v>363</v>
      </c>
      <c r="F780">
        <f t="shared" si="24"/>
        <v>2009</v>
      </c>
      <c r="G780">
        <f t="shared" si="25"/>
        <v>7</v>
      </c>
      <c r="H780" t="str">
        <f>IF(ISNUMBER(FIND(",", E780)), TRIM(MID(E780, FIND(",", E780) + 1, LEN(E780))), E780)</f>
        <v>Taiwan region</v>
      </c>
    </row>
    <row r="781" spans="1:8" x14ac:dyDescent="0.25">
      <c r="A781" s="2">
        <v>40006</v>
      </c>
      <c r="B781">
        <v>-15.041</v>
      </c>
      <c r="C781">
        <v>-70.444999999999993</v>
      </c>
      <c r="D781" t="s">
        <v>5</v>
      </c>
      <c r="E781" t="s">
        <v>229</v>
      </c>
      <c r="F781">
        <f t="shared" si="24"/>
        <v>2009</v>
      </c>
      <c r="G781">
        <f t="shared" si="25"/>
        <v>7</v>
      </c>
      <c r="H781" t="str">
        <f>IF(ISNUMBER(FIND(",", E781)), TRIM(MID(E781, FIND(",", E781) + 1, LEN(E781))), E781)</f>
        <v>southern Peru</v>
      </c>
    </row>
    <row r="782" spans="1:8" x14ac:dyDescent="0.25">
      <c r="A782" s="2">
        <v>40002</v>
      </c>
      <c r="B782">
        <v>-36.003999999999998</v>
      </c>
      <c r="C782">
        <v>-102.68600000000001</v>
      </c>
      <c r="D782" t="s">
        <v>7</v>
      </c>
      <c r="E782" t="s">
        <v>364</v>
      </c>
      <c r="F782">
        <f t="shared" si="24"/>
        <v>2009</v>
      </c>
      <c r="G782">
        <f t="shared" si="25"/>
        <v>7</v>
      </c>
      <c r="H782" t="str">
        <f>IF(ISNUMBER(FIND(",", E782)), TRIM(MID(E782, FIND(",", E782) + 1, LEN(E782))), E782)</f>
        <v>southeast of Easter Island</v>
      </c>
    </row>
    <row r="783" spans="1:8" x14ac:dyDescent="0.25">
      <c r="A783" s="2">
        <v>40001</v>
      </c>
      <c r="B783">
        <v>75.350999999999999</v>
      </c>
      <c r="C783">
        <v>-72.453000000000003</v>
      </c>
      <c r="D783" t="s">
        <v>7</v>
      </c>
      <c r="E783" t="s">
        <v>365</v>
      </c>
      <c r="F783">
        <f t="shared" si="24"/>
        <v>2009</v>
      </c>
      <c r="G783">
        <f t="shared" si="25"/>
        <v>7</v>
      </c>
      <c r="H783" t="str">
        <f>IF(ISNUMBER(FIND(",", E783)), TRIM(MID(E783, FIND(",", E783) + 1, LEN(E783))), E783)</f>
        <v>Baffin Bay</v>
      </c>
    </row>
    <row r="784" spans="1:8" x14ac:dyDescent="0.25">
      <c r="A784" s="2">
        <v>40000</v>
      </c>
      <c r="B784">
        <v>50.435000000000002</v>
      </c>
      <c r="C784">
        <v>176.99199999999999</v>
      </c>
      <c r="D784" t="s">
        <v>7</v>
      </c>
      <c r="E784" t="s">
        <v>366</v>
      </c>
      <c r="F784">
        <f t="shared" si="24"/>
        <v>2009</v>
      </c>
      <c r="G784">
        <f t="shared" si="25"/>
        <v>7</v>
      </c>
      <c r="H784" t="str">
        <f>IF(ISNUMBER(FIND(",", E784)), TRIM(MID(E784, FIND(",", E784) + 1, LEN(E784))), E784)</f>
        <v>Aleutian Islands, Alaska</v>
      </c>
    </row>
    <row r="785" spans="1:8" x14ac:dyDescent="0.25">
      <c r="A785" s="2">
        <v>39998</v>
      </c>
      <c r="B785">
        <v>9.59</v>
      </c>
      <c r="C785">
        <v>-78.965999999999994</v>
      </c>
      <c r="D785" t="s">
        <v>7</v>
      </c>
      <c r="E785" t="s">
        <v>367</v>
      </c>
      <c r="F785">
        <f t="shared" si="24"/>
        <v>2009</v>
      </c>
      <c r="G785">
        <f t="shared" si="25"/>
        <v>7</v>
      </c>
      <c r="H785" t="str">
        <f>IF(ISNUMBER(FIND(",", E785)), TRIM(MID(E785, FIND(",", E785) + 1, LEN(E785))), E785)</f>
        <v>Panama</v>
      </c>
    </row>
    <row r="786" spans="1:8" x14ac:dyDescent="0.25">
      <c r="A786" s="2">
        <v>39997</v>
      </c>
      <c r="B786">
        <v>25.131</v>
      </c>
      <c r="C786">
        <v>-109.754</v>
      </c>
      <c r="D786" t="s">
        <v>7</v>
      </c>
      <c r="E786" t="s">
        <v>282</v>
      </c>
      <c r="F786">
        <f t="shared" si="24"/>
        <v>2009</v>
      </c>
      <c r="G786">
        <f t="shared" si="25"/>
        <v>7</v>
      </c>
      <c r="H786" t="str">
        <f>IF(ISNUMBER(FIND(",", E786)), TRIM(MID(E786, FIND(",", E786) + 1, LEN(E786))), E786)</f>
        <v>Gulf of California</v>
      </c>
    </row>
    <row r="787" spans="1:8" x14ac:dyDescent="0.25">
      <c r="A787" s="2">
        <v>39995</v>
      </c>
      <c r="B787">
        <v>34.164000000000001</v>
      </c>
      <c r="C787">
        <v>25.471</v>
      </c>
      <c r="D787" t="s">
        <v>7</v>
      </c>
      <c r="E787" t="s">
        <v>296</v>
      </c>
      <c r="F787">
        <f t="shared" si="24"/>
        <v>2009</v>
      </c>
      <c r="G787">
        <f t="shared" si="25"/>
        <v>7</v>
      </c>
      <c r="H787" t="str">
        <f>IF(ISNUMBER(FIND(",", E787)), TRIM(MID(E787, FIND(",", E787) + 1, LEN(E787))), E787)</f>
        <v>Greece</v>
      </c>
    </row>
    <row r="788" spans="1:8" x14ac:dyDescent="0.25">
      <c r="A788" s="2">
        <v>39987</v>
      </c>
      <c r="B788">
        <v>-5.157</v>
      </c>
      <c r="C788">
        <v>153.78200000000001</v>
      </c>
      <c r="D788" t="s">
        <v>7</v>
      </c>
      <c r="E788" t="s">
        <v>183</v>
      </c>
      <c r="F788">
        <f t="shared" si="24"/>
        <v>2009</v>
      </c>
      <c r="G788">
        <f t="shared" si="25"/>
        <v>6</v>
      </c>
      <c r="H788" t="str">
        <f>IF(ISNUMBER(FIND(",", E788)), TRIM(MID(E788, FIND(",", E788) + 1, LEN(E788))), E788)</f>
        <v>Papua New Guinea</v>
      </c>
    </row>
    <row r="789" spans="1:8" x14ac:dyDescent="0.25">
      <c r="A789" s="2">
        <v>39980</v>
      </c>
      <c r="B789">
        <v>-54.366</v>
      </c>
      <c r="C789">
        <v>5.8710000000000004</v>
      </c>
      <c r="D789" t="s">
        <v>7</v>
      </c>
      <c r="E789" t="s">
        <v>368</v>
      </c>
      <c r="F789">
        <f t="shared" si="24"/>
        <v>2009</v>
      </c>
      <c r="G789">
        <f t="shared" si="25"/>
        <v>6</v>
      </c>
      <c r="H789" t="str">
        <f>IF(ISNUMBER(FIND(",", E789)), TRIM(MID(E789, FIND(",", E789) + 1, LEN(E789))), E789)</f>
        <v>Bouvet Island region</v>
      </c>
    </row>
    <row r="790" spans="1:8" x14ac:dyDescent="0.25">
      <c r="A790" s="2">
        <v>39978</v>
      </c>
      <c r="B790">
        <v>5.3609999999999998</v>
      </c>
      <c r="C790">
        <v>126.438</v>
      </c>
      <c r="D790" t="s">
        <v>7</v>
      </c>
      <c r="E790" t="s">
        <v>200</v>
      </c>
      <c r="F790">
        <f t="shared" si="24"/>
        <v>2009</v>
      </c>
      <c r="G790">
        <f t="shared" si="25"/>
        <v>6</v>
      </c>
      <c r="H790" t="str">
        <f>IF(ISNUMBER(FIND(",", E790)), TRIM(MID(E790, FIND(",", E790) + 1, LEN(E790))), E790)</f>
        <v>Philippines</v>
      </c>
    </row>
    <row r="791" spans="1:8" x14ac:dyDescent="0.25">
      <c r="A791" s="2">
        <v>39976</v>
      </c>
      <c r="B791">
        <v>-17.611000000000001</v>
      </c>
      <c r="C791">
        <v>167.81200000000001</v>
      </c>
      <c r="D791" t="s">
        <v>7</v>
      </c>
      <c r="E791" t="s">
        <v>181</v>
      </c>
      <c r="F791">
        <f t="shared" si="24"/>
        <v>2009</v>
      </c>
      <c r="G791">
        <f t="shared" si="25"/>
        <v>6</v>
      </c>
      <c r="H791" t="str">
        <f>IF(ISNUMBER(FIND(",", E791)), TRIM(MID(E791, FIND(",", E791) + 1, LEN(E791))), E791)</f>
        <v>Vanuatu</v>
      </c>
    </row>
    <row r="792" spans="1:8" x14ac:dyDescent="0.25">
      <c r="A792" s="2">
        <v>39970</v>
      </c>
      <c r="B792">
        <v>23.864000000000001</v>
      </c>
      <c r="C792">
        <v>-46.104999999999997</v>
      </c>
      <c r="D792" t="s">
        <v>7</v>
      </c>
      <c r="E792" t="s">
        <v>325</v>
      </c>
      <c r="F792">
        <f t="shared" si="24"/>
        <v>2009</v>
      </c>
      <c r="G792">
        <f t="shared" si="25"/>
        <v>6</v>
      </c>
      <c r="H792" t="str">
        <f>IF(ISNUMBER(FIND(",", E792)), TRIM(MID(E792, FIND(",", E792) + 1, LEN(E792))), E792)</f>
        <v>northern Mid-Atlantic Ridge</v>
      </c>
    </row>
    <row r="793" spans="1:8" x14ac:dyDescent="0.25">
      <c r="A793" s="2">
        <v>39969</v>
      </c>
      <c r="B793">
        <v>41.823999999999998</v>
      </c>
      <c r="C793">
        <v>143.44499999999999</v>
      </c>
      <c r="D793" t="s">
        <v>7</v>
      </c>
      <c r="E793" t="s">
        <v>265</v>
      </c>
      <c r="F793">
        <f t="shared" si="24"/>
        <v>2009</v>
      </c>
      <c r="G793">
        <f t="shared" si="25"/>
        <v>6</v>
      </c>
      <c r="H793" t="str">
        <f>IF(ISNUMBER(FIND(",", E793)), TRIM(MID(E793, FIND(",", E793) + 1, LEN(E793))), E793)</f>
        <v>Japan region</v>
      </c>
    </row>
    <row r="794" spans="1:8" x14ac:dyDescent="0.25">
      <c r="A794" s="2">
        <v>39968</v>
      </c>
      <c r="B794">
        <v>-45.832999999999998</v>
      </c>
      <c r="C794">
        <v>35.139000000000003</v>
      </c>
      <c r="D794" t="s">
        <v>7</v>
      </c>
      <c r="E794" t="s">
        <v>369</v>
      </c>
      <c r="F794">
        <f t="shared" si="24"/>
        <v>2009</v>
      </c>
      <c r="G794">
        <f t="shared" si="25"/>
        <v>6</v>
      </c>
      <c r="H794" t="str">
        <f>IF(ISNUMBER(FIND(",", E794)), TRIM(MID(E794, FIND(",", E794) + 1, LEN(E794))), E794)</f>
        <v>Prince Edward Islands region</v>
      </c>
    </row>
    <row r="795" spans="1:8" x14ac:dyDescent="0.25">
      <c r="A795" s="2">
        <v>39966</v>
      </c>
      <c r="B795">
        <v>-17.757000000000001</v>
      </c>
      <c r="C795">
        <v>167.94900000000001</v>
      </c>
      <c r="D795" t="s">
        <v>7</v>
      </c>
      <c r="E795" t="s">
        <v>181</v>
      </c>
      <c r="F795">
        <f t="shared" si="24"/>
        <v>2009</v>
      </c>
      <c r="G795">
        <f t="shared" si="25"/>
        <v>6</v>
      </c>
      <c r="H795" t="str">
        <f>IF(ISNUMBER(FIND(",", E795)), TRIM(MID(E795, FIND(",", E795) + 1, LEN(E795))), E795)</f>
        <v>Vanuatu</v>
      </c>
    </row>
    <row r="796" spans="1:8" x14ac:dyDescent="0.25">
      <c r="A796" s="2">
        <v>39961</v>
      </c>
      <c r="B796">
        <v>16.731000000000002</v>
      </c>
      <c r="C796">
        <v>-86.216999999999999</v>
      </c>
      <c r="D796" t="s">
        <v>7</v>
      </c>
      <c r="E796" t="s">
        <v>370</v>
      </c>
      <c r="F796">
        <f t="shared" si="24"/>
        <v>2009</v>
      </c>
      <c r="G796">
        <f t="shared" si="25"/>
        <v>5</v>
      </c>
      <c r="H796" t="str">
        <f>IF(ISNUMBER(FIND(",", E796)), TRIM(MID(E796, FIND(",", E796) + 1, LEN(E796))), E796)</f>
        <v>offshore Honduras</v>
      </c>
    </row>
    <row r="797" spans="1:8" x14ac:dyDescent="0.25">
      <c r="A797" s="2">
        <v>39957</v>
      </c>
      <c r="B797">
        <v>-31.475000000000001</v>
      </c>
      <c r="C797">
        <v>-177.68299999999999</v>
      </c>
      <c r="D797" t="s">
        <v>5</v>
      </c>
      <c r="E797" t="s">
        <v>240</v>
      </c>
      <c r="F797">
        <f t="shared" si="24"/>
        <v>2009</v>
      </c>
      <c r="G797">
        <f t="shared" si="25"/>
        <v>5</v>
      </c>
      <c r="H797" t="str">
        <f>IF(ISNUMBER(FIND(",", E797)), TRIM(MID(E797, FIND(",", E797) + 1, LEN(E797))), E797)</f>
        <v>Kermadec Islands region</v>
      </c>
    </row>
    <row r="798" spans="1:8" x14ac:dyDescent="0.25">
      <c r="A798" s="2">
        <v>39949</v>
      </c>
      <c r="B798">
        <v>-31.553000000000001</v>
      </c>
      <c r="C798">
        <v>-178.833</v>
      </c>
      <c r="D798" t="s">
        <v>7</v>
      </c>
      <c r="E798" t="s">
        <v>240</v>
      </c>
      <c r="F798">
        <f t="shared" si="24"/>
        <v>2009</v>
      </c>
      <c r="G798">
        <f t="shared" si="25"/>
        <v>5</v>
      </c>
      <c r="H798" t="str">
        <f>IF(ISNUMBER(FIND(",", E798)), TRIM(MID(E798, FIND(",", E798) + 1, LEN(E798))), E798)</f>
        <v>Kermadec Islands region</v>
      </c>
    </row>
    <row r="799" spans="1:8" x14ac:dyDescent="0.25">
      <c r="A799" s="2">
        <v>39945</v>
      </c>
      <c r="B799">
        <v>-5.6639999999999997</v>
      </c>
      <c r="C799">
        <v>149.54300000000001</v>
      </c>
      <c r="D799" t="s">
        <v>7</v>
      </c>
      <c r="E799" t="s">
        <v>190</v>
      </c>
      <c r="F799">
        <f t="shared" si="24"/>
        <v>2009</v>
      </c>
      <c r="G799">
        <f t="shared" si="25"/>
        <v>5</v>
      </c>
      <c r="H799" t="str">
        <f>IF(ISNUMBER(FIND(",", E799)), TRIM(MID(E799, FIND(",", E799) + 1, LEN(E799))), E799)</f>
        <v>Papua New Guinea</v>
      </c>
    </row>
    <row r="800" spans="1:8" x14ac:dyDescent="0.25">
      <c r="A800" s="2">
        <v>39943</v>
      </c>
      <c r="B800">
        <v>1.393</v>
      </c>
      <c r="C800">
        <v>-85.168999999999997</v>
      </c>
      <c r="D800" t="s">
        <v>7</v>
      </c>
      <c r="E800" t="s">
        <v>267</v>
      </c>
      <c r="F800">
        <f t="shared" si="24"/>
        <v>2009</v>
      </c>
      <c r="G800">
        <f t="shared" si="25"/>
        <v>5</v>
      </c>
      <c r="H800" t="str">
        <f>IF(ISNUMBER(FIND(",", E800)), TRIM(MID(E800, FIND(",", E800) + 1, LEN(E800))), E800)</f>
        <v>off the coast of Ecuador</v>
      </c>
    </row>
    <row r="801" spans="1:8" x14ac:dyDescent="0.25">
      <c r="A801" s="2">
        <v>39936</v>
      </c>
      <c r="B801">
        <v>14.545999999999999</v>
      </c>
      <c r="C801">
        <v>-91.143000000000001</v>
      </c>
      <c r="D801" t="s">
        <v>7</v>
      </c>
      <c r="E801" t="s">
        <v>371</v>
      </c>
      <c r="F801">
        <f t="shared" si="24"/>
        <v>2009</v>
      </c>
      <c r="G801">
        <f t="shared" si="25"/>
        <v>5</v>
      </c>
      <c r="H801" t="str">
        <f>IF(ISNUMBER(FIND(",", E801)), TRIM(MID(E801, FIND(",", E801) + 1, LEN(E801))), E801)</f>
        <v>Guatemala</v>
      </c>
    </row>
    <row r="802" spans="1:8" x14ac:dyDescent="0.25">
      <c r="A802" s="2">
        <v>39929</v>
      </c>
      <c r="B802">
        <v>-30.3</v>
      </c>
      <c r="C802">
        <v>-178.58199999999999</v>
      </c>
      <c r="D802" t="s">
        <v>5</v>
      </c>
      <c r="E802" t="s">
        <v>288</v>
      </c>
      <c r="F802">
        <f t="shared" si="24"/>
        <v>2009</v>
      </c>
      <c r="G802">
        <f t="shared" si="25"/>
        <v>4</v>
      </c>
      <c r="H802" t="str">
        <f>IF(ISNUMBER(FIND(",", E802)), TRIM(MID(E802, FIND(",", E802) + 1, LEN(E802))), E802)</f>
        <v>New Zealand</v>
      </c>
    </row>
    <row r="803" spans="1:8" x14ac:dyDescent="0.25">
      <c r="A803" s="2">
        <v>39924</v>
      </c>
      <c r="B803">
        <v>50.832999999999998</v>
      </c>
      <c r="C803">
        <v>155.00899999999999</v>
      </c>
      <c r="D803" t="s">
        <v>5</v>
      </c>
      <c r="E803" t="s">
        <v>191</v>
      </c>
      <c r="F803">
        <f t="shared" si="24"/>
        <v>2009</v>
      </c>
      <c r="G803">
        <f t="shared" si="25"/>
        <v>4</v>
      </c>
      <c r="H803" t="str">
        <f>IF(ISNUMBER(FIND(",", E803)), TRIM(MID(E803, FIND(",", E803) + 1, LEN(E803))), E803)</f>
        <v>Kuril Islands</v>
      </c>
    </row>
    <row r="804" spans="1:8" x14ac:dyDescent="0.25">
      <c r="A804" s="2">
        <v>39922</v>
      </c>
      <c r="B804">
        <v>4.1360000000000001</v>
      </c>
      <c r="C804">
        <v>126.678</v>
      </c>
      <c r="D804" t="s">
        <v>7</v>
      </c>
      <c r="E804" t="s">
        <v>372</v>
      </c>
      <c r="F804">
        <f t="shared" si="24"/>
        <v>2009</v>
      </c>
      <c r="G804">
        <f t="shared" si="25"/>
        <v>4</v>
      </c>
      <c r="H804" t="str">
        <f>IF(ISNUMBER(FIND(",", E804)), TRIM(MID(E804, FIND(",", E804) + 1, LEN(E804))), E804)</f>
        <v>Indonesia</v>
      </c>
    </row>
    <row r="805" spans="1:8" x14ac:dyDescent="0.25">
      <c r="A805" s="2">
        <v>39921</v>
      </c>
      <c r="B805">
        <v>46.015000000000001</v>
      </c>
      <c r="C805">
        <v>151.42699999999999</v>
      </c>
      <c r="D805" t="s">
        <v>7</v>
      </c>
      <c r="E805" t="s">
        <v>191</v>
      </c>
      <c r="F805">
        <f t="shared" si="24"/>
        <v>2009</v>
      </c>
      <c r="G805">
        <f t="shared" si="25"/>
        <v>4</v>
      </c>
      <c r="H805" t="str">
        <f>IF(ISNUMBER(FIND(",", E805)), TRIM(MID(E805, FIND(",", E805) + 1, LEN(E805))), E805)</f>
        <v>Kuril Islands</v>
      </c>
    </row>
    <row r="806" spans="1:8" x14ac:dyDescent="0.25">
      <c r="A806" s="2">
        <v>39920</v>
      </c>
      <c r="B806">
        <v>-19.584</v>
      </c>
      <c r="C806">
        <v>-70.483000000000004</v>
      </c>
      <c r="D806" t="s">
        <v>7</v>
      </c>
      <c r="E806" t="s">
        <v>327</v>
      </c>
      <c r="F806">
        <f t="shared" si="24"/>
        <v>2009</v>
      </c>
      <c r="G806">
        <f t="shared" si="25"/>
        <v>4</v>
      </c>
      <c r="H806" t="str">
        <f>IF(ISNUMBER(FIND(",", E806)), TRIM(MID(E806, FIND(",", E806) + 1, LEN(E806))), E806)</f>
        <v>Chile</v>
      </c>
    </row>
    <row r="807" spans="1:8" x14ac:dyDescent="0.25">
      <c r="A807" s="2">
        <v>39919</v>
      </c>
      <c r="B807">
        <v>-60.203000000000003</v>
      </c>
      <c r="C807">
        <v>-26.858000000000001</v>
      </c>
      <c r="D807" t="s">
        <v>7</v>
      </c>
      <c r="E807" t="s">
        <v>260</v>
      </c>
      <c r="F807">
        <f t="shared" si="24"/>
        <v>2009</v>
      </c>
      <c r="G807">
        <f t="shared" si="25"/>
        <v>4</v>
      </c>
      <c r="H807" t="str">
        <f>IF(ISNUMBER(FIND(",", E807)), TRIM(MID(E807, FIND(",", E807) + 1, LEN(E807))), E807)</f>
        <v>South Sandwich Islands region</v>
      </c>
    </row>
    <row r="808" spans="1:8" x14ac:dyDescent="0.25">
      <c r="A808" s="2">
        <v>39918</v>
      </c>
      <c r="B808">
        <v>-3.1150000000000002</v>
      </c>
      <c r="C808">
        <v>100.471</v>
      </c>
      <c r="D808" t="s">
        <v>7</v>
      </c>
      <c r="E808" t="s">
        <v>209</v>
      </c>
      <c r="F808">
        <f t="shared" si="24"/>
        <v>2009</v>
      </c>
      <c r="G808">
        <f t="shared" si="25"/>
        <v>4</v>
      </c>
      <c r="H808" t="str">
        <f>IF(ISNUMBER(FIND(",", E808)), TRIM(MID(E808, FIND(",", E808) + 1, LEN(E808))), E808)</f>
        <v>Indonesia</v>
      </c>
    </row>
    <row r="809" spans="1:8" x14ac:dyDescent="0.25">
      <c r="A809" s="2">
        <v>39910</v>
      </c>
      <c r="B809">
        <v>46.048999999999999</v>
      </c>
      <c r="C809">
        <v>151.548</v>
      </c>
      <c r="D809" t="s">
        <v>7</v>
      </c>
      <c r="E809" t="s">
        <v>191</v>
      </c>
      <c r="F809">
        <f t="shared" si="24"/>
        <v>2009</v>
      </c>
      <c r="G809">
        <f t="shared" si="25"/>
        <v>4</v>
      </c>
      <c r="H809" t="str">
        <f>IF(ISNUMBER(FIND(",", E809)), TRIM(MID(E809, FIND(",", E809) + 1, LEN(E809))), E809)</f>
        <v>Kuril Islands</v>
      </c>
    </row>
    <row r="810" spans="1:8" x14ac:dyDescent="0.25">
      <c r="A810" s="2">
        <v>39909</v>
      </c>
      <c r="B810">
        <v>42.334000000000003</v>
      </c>
      <c r="C810">
        <v>13.334</v>
      </c>
      <c r="D810" t="s">
        <v>7</v>
      </c>
      <c r="E810" t="s">
        <v>373</v>
      </c>
      <c r="F810">
        <f t="shared" si="24"/>
        <v>2009</v>
      </c>
      <c r="G810">
        <f t="shared" si="25"/>
        <v>4</v>
      </c>
      <c r="H810" t="str">
        <f>IF(ISNUMBER(FIND(",", E810)), TRIM(MID(E810, FIND(",", E810) + 1, LEN(E810))), E810)</f>
        <v>central Italy</v>
      </c>
    </row>
    <row r="811" spans="1:8" x14ac:dyDescent="0.25">
      <c r="A811" s="2">
        <v>39907</v>
      </c>
      <c r="B811">
        <v>5.149</v>
      </c>
      <c r="C811">
        <v>127.20099999999999</v>
      </c>
      <c r="D811" t="s">
        <v>7</v>
      </c>
      <c r="E811" t="s">
        <v>213</v>
      </c>
      <c r="F811">
        <f t="shared" si="24"/>
        <v>2009</v>
      </c>
      <c r="G811">
        <f t="shared" si="25"/>
        <v>4</v>
      </c>
      <c r="H811" t="str">
        <f>IF(ISNUMBER(FIND(",", E811)), TRIM(MID(E811, FIND(",", E811) + 1, LEN(E811))), E811)</f>
        <v>Philippine Islands region</v>
      </c>
    </row>
    <row r="812" spans="1:8" x14ac:dyDescent="0.25">
      <c r="A812" s="2">
        <v>39904</v>
      </c>
      <c r="B812">
        <v>-3.5219999999999998</v>
      </c>
      <c r="C812">
        <v>144.102</v>
      </c>
      <c r="D812" t="s">
        <v>7</v>
      </c>
      <c r="E812" t="s">
        <v>216</v>
      </c>
      <c r="F812">
        <f t="shared" si="24"/>
        <v>2009</v>
      </c>
      <c r="G812">
        <f t="shared" si="25"/>
        <v>4</v>
      </c>
      <c r="H812" t="str">
        <f>IF(ISNUMBER(FIND(",", E812)), TRIM(MID(E812, FIND(",", E812) + 1, LEN(E812))), E812)</f>
        <v>Papua New Guinea</v>
      </c>
    </row>
    <row r="813" spans="1:8" x14ac:dyDescent="0.25">
      <c r="A813" s="2">
        <v>39902</v>
      </c>
      <c r="B813">
        <v>56.545999999999999</v>
      </c>
      <c r="C813">
        <v>-152.74299999999999</v>
      </c>
      <c r="D813" t="s">
        <v>7</v>
      </c>
      <c r="E813" t="s">
        <v>374</v>
      </c>
      <c r="F813">
        <f t="shared" si="24"/>
        <v>2009</v>
      </c>
      <c r="G813">
        <f t="shared" si="25"/>
        <v>3</v>
      </c>
      <c r="H813" t="str">
        <f>IF(ISNUMBER(FIND(",", E813)), TRIM(MID(E813, FIND(",", E813) + 1, LEN(E813))), E813)</f>
        <v>Alaska</v>
      </c>
    </row>
    <row r="814" spans="1:8" x14ac:dyDescent="0.25">
      <c r="A814" s="2">
        <v>39900</v>
      </c>
      <c r="B814">
        <v>-2.952</v>
      </c>
      <c r="C814">
        <v>139.54300000000001</v>
      </c>
      <c r="D814" t="s">
        <v>7</v>
      </c>
      <c r="E814" t="s">
        <v>241</v>
      </c>
      <c r="F814">
        <f t="shared" si="24"/>
        <v>2009</v>
      </c>
      <c r="G814">
        <f t="shared" si="25"/>
        <v>3</v>
      </c>
      <c r="H814" t="str">
        <f>IF(ISNUMBER(FIND(",", E814)), TRIM(MID(E814, FIND(",", E814) + 1, LEN(E814))), E814)</f>
        <v>Indonesia</v>
      </c>
    </row>
    <row r="815" spans="1:8" x14ac:dyDescent="0.25">
      <c r="A815" s="2">
        <v>39891</v>
      </c>
      <c r="B815">
        <v>-23.042999999999999</v>
      </c>
      <c r="C815">
        <v>-174.66</v>
      </c>
      <c r="D815" t="s">
        <v>7</v>
      </c>
      <c r="E815" t="s">
        <v>304</v>
      </c>
      <c r="F815">
        <f t="shared" si="24"/>
        <v>2009</v>
      </c>
      <c r="G815">
        <f t="shared" si="25"/>
        <v>3</v>
      </c>
      <c r="H815" t="str">
        <f>IF(ISNUMBER(FIND(",", E815)), TRIM(MID(E815, FIND(",", E815) + 1, LEN(E815))), E815)</f>
        <v>Tonga region</v>
      </c>
    </row>
    <row r="816" spans="1:8" x14ac:dyDescent="0.25">
      <c r="A816" s="2">
        <v>39888</v>
      </c>
      <c r="B816">
        <v>3.8069999999999999</v>
      </c>
      <c r="C816">
        <v>126.55200000000001</v>
      </c>
      <c r="D816" t="s">
        <v>7</v>
      </c>
      <c r="E816" t="s">
        <v>372</v>
      </c>
      <c r="F816">
        <f t="shared" si="24"/>
        <v>2009</v>
      </c>
      <c r="G816">
        <f t="shared" si="25"/>
        <v>3</v>
      </c>
      <c r="H816" t="str">
        <f>IF(ISNUMBER(FIND(",", E816)), TRIM(MID(E816, FIND(",", E816) + 1, LEN(E816))), E816)</f>
        <v>Indonesia</v>
      </c>
    </row>
    <row r="817" spans="1:8" x14ac:dyDescent="0.25">
      <c r="A817" s="2">
        <v>39884</v>
      </c>
      <c r="B817">
        <v>5.6859999999999999</v>
      </c>
      <c r="C817">
        <v>-82.766999999999996</v>
      </c>
      <c r="D817" t="s">
        <v>7</v>
      </c>
      <c r="E817" t="s">
        <v>231</v>
      </c>
      <c r="F817">
        <f t="shared" si="24"/>
        <v>2009</v>
      </c>
      <c r="G817">
        <f t="shared" si="25"/>
        <v>3</v>
      </c>
      <c r="H817" t="str">
        <f>IF(ISNUMBER(FIND(",", E817)), TRIM(MID(E817, FIND(",", E817) + 1, LEN(E817))), E817)</f>
        <v>south of Panama</v>
      </c>
    </row>
    <row r="818" spans="1:8" x14ac:dyDescent="0.25">
      <c r="A818" s="2">
        <v>39878</v>
      </c>
      <c r="B818">
        <v>80.323999999999998</v>
      </c>
      <c r="C818">
        <v>-1.853</v>
      </c>
      <c r="D818" t="s">
        <v>7</v>
      </c>
      <c r="E818" t="s">
        <v>375</v>
      </c>
      <c r="F818">
        <f t="shared" si="24"/>
        <v>2009</v>
      </c>
      <c r="G818">
        <f t="shared" si="25"/>
        <v>3</v>
      </c>
      <c r="H818" t="str">
        <f>IF(ISNUMBER(FIND(",", E818)), TRIM(MID(E818, FIND(",", E818) + 1, LEN(E818))), E818)</f>
        <v>north of Svalbard</v>
      </c>
    </row>
    <row r="819" spans="1:8" x14ac:dyDescent="0.25">
      <c r="A819" s="2">
        <v>39872</v>
      </c>
      <c r="B819">
        <v>-60.524999999999999</v>
      </c>
      <c r="C819">
        <v>-24.795999999999999</v>
      </c>
      <c r="D819" t="s">
        <v>7</v>
      </c>
      <c r="E819" t="s">
        <v>260</v>
      </c>
      <c r="F819">
        <f t="shared" si="24"/>
        <v>2009</v>
      </c>
      <c r="G819">
        <f t="shared" si="25"/>
        <v>2</v>
      </c>
      <c r="H819" t="str">
        <f>IF(ISNUMBER(FIND(",", E819)), TRIM(MID(E819, FIND(",", E819) + 1, LEN(E819))), E819)</f>
        <v>South Sandwich Islands region</v>
      </c>
    </row>
    <row r="820" spans="1:8" x14ac:dyDescent="0.25">
      <c r="A820" s="2">
        <v>39866</v>
      </c>
      <c r="B820">
        <v>3.6789999999999998</v>
      </c>
      <c r="C820">
        <v>126.56100000000001</v>
      </c>
      <c r="D820" t="s">
        <v>7</v>
      </c>
      <c r="E820" t="s">
        <v>372</v>
      </c>
      <c r="F820">
        <f t="shared" si="24"/>
        <v>2009</v>
      </c>
      <c r="G820">
        <f t="shared" si="25"/>
        <v>2</v>
      </c>
      <c r="H820" t="str">
        <f>IF(ISNUMBER(FIND(",", E820)), TRIM(MID(E820, FIND(",", E820) + 1, LEN(E820))), E820)</f>
        <v>Indonesia</v>
      </c>
    </row>
    <row r="821" spans="1:8" x14ac:dyDescent="0.25">
      <c r="A821" s="2">
        <v>39862</v>
      </c>
      <c r="B821">
        <v>-27.423999999999999</v>
      </c>
      <c r="C821">
        <v>-176.33</v>
      </c>
      <c r="D821" t="s">
        <v>7</v>
      </c>
      <c r="E821" t="s">
        <v>240</v>
      </c>
      <c r="F821">
        <f t="shared" si="24"/>
        <v>2009</v>
      </c>
      <c r="G821">
        <f t="shared" si="25"/>
        <v>2</v>
      </c>
      <c r="H821" t="str">
        <f>IF(ISNUMBER(FIND(",", E821)), TRIM(MID(E821, FIND(",", E821) + 1, LEN(E821))), E821)</f>
        <v>Kermadec Islands region</v>
      </c>
    </row>
    <row r="822" spans="1:8" x14ac:dyDescent="0.25">
      <c r="A822" s="2">
        <v>39861</v>
      </c>
      <c r="B822">
        <v>-30.724</v>
      </c>
      <c r="C822">
        <v>-178.61699999999999</v>
      </c>
      <c r="D822" t="s">
        <v>7</v>
      </c>
      <c r="E822" t="s">
        <v>288</v>
      </c>
      <c r="F822">
        <f t="shared" si="24"/>
        <v>2009</v>
      </c>
      <c r="G822">
        <f t="shared" si="25"/>
        <v>2</v>
      </c>
      <c r="H822" t="str">
        <f>IF(ISNUMBER(FIND(",", E822)), TRIM(MID(E822, FIND(",", E822) + 1, LEN(E822))), E822)</f>
        <v>New Zealand</v>
      </c>
    </row>
    <row r="823" spans="1:8" x14ac:dyDescent="0.25">
      <c r="A823" s="2">
        <v>39859</v>
      </c>
      <c r="B823">
        <v>-5.8540000000000001</v>
      </c>
      <c r="C823">
        <v>-80.891000000000005</v>
      </c>
      <c r="D823" t="s">
        <v>7</v>
      </c>
      <c r="E823" t="s">
        <v>376</v>
      </c>
      <c r="F823">
        <f t="shared" si="24"/>
        <v>2009</v>
      </c>
      <c r="G823">
        <f t="shared" si="25"/>
        <v>2</v>
      </c>
      <c r="H823" t="str">
        <f>IF(ISNUMBER(FIND(",", E823)), TRIM(MID(E823, FIND(",", E823) + 1, LEN(E823))), E823)</f>
        <v>near the coast of northern Peru</v>
      </c>
    </row>
    <row r="824" spans="1:8" x14ac:dyDescent="0.25">
      <c r="A824" s="2">
        <v>39856</v>
      </c>
      <c r="B824">
        <v>4.0359999999999996</v>
      </c>
      <c r="C824">
        <v>126.548</v>
      </c>
      <c r="D824" t="s">
        <v>7</v>
      </c>
      <c r="E824" t="s">
        <v>372</v>
      </c>
      <c r="F824">
        <f t="shared" si="24"/>
        <v>2009</v>
      </c>
      <c r="G824">
        <f t="shared" si="25"/>
        <v>2</v>
      </c>
      <c r="H824" t="str">
        <f>IF(ISNUMBER(FIND(",", E824)), TRIM(MID(E824, FIND(",", E824) + 1, LEN(E824))), E824)</f>
        <v>Indonesia</v>
      </c>
    </row>
    <row r="825" spans="1:8" x14ac:dyDescent="0.25">
      <c r="A825" s="2">
        <v>39856</v>
      </c>
      <c r="B825">
        <v>3.972</v>
      </c>
      <c r="C825">
        <v>126.724</v>
      </c>
      <c r="D825" t="s">
        <v>7</v>
      </c>
      <c r="E825" t="s">
        <v>372</v>
      </c>
      <c r="F825">
        <f t="shared" si="24"/>
        <v>2009</v>
      </c>
      <c r="G825">
        <f t="shared" si="25"/>
        <v>2</v>
      </c>
      <c r="H825" t="str">
        <f>IF(ISNUMBER(FIND(",", E825)), TRIM(MID(E825, FIND(",", E825) + 1, LEN(E825))), E825)</f>
        <v>Indonesia</v>
      </c>
    </row>
    <row r="826" spans="1:8" x14ac:dyDescent="0.25">
      <c r="A826" s="2">
        <v>39856</v>
      </c>
      <c r="B826">
        <v>3.9470000000000001</v>
      </c>
      <c r="C826">
        <v>126.411</v>
      </c>
      <c r="D826" t="s">
        <v>7</v>
      </c>
      <c r="E826" t="s">
        <v>372</v>
      </c>
      <c r="F826">
        <f t="shared" si="24"/>
        <v>2009</v>
      </c>
      <c r="G826">
        <f t="shared" si="25"/>
        <v>2</v>
      </c>
      <c r="H826" t="str">
        <f>IF(ISNUMBER(FIND(",", E826)), TRIM(MID(E826, FIND(",", E826) + 1, LEN(E826))), E826)</f>
        <v>Indonesia</v>
      </c>
    </row>
    <row r="827" spans="1:8" x14ac:dyDescent="0.25">
      <c r="A827" s="2">
        <v>39855</v>
      </c>
      <c r="B827">
        <v>4.0259999999999998</v>
      </c>
      <c r="C827">
        <v>126.783</v>
      </c>
      <c r="D827" t="s">
        <v>7</v>
      </c>
      <c r="E827" t="s">
        <v>372</v>
      </c>
      <c r="F827">
        <f t="shared" si="24"/>
        <v>2009</v>
      </c>
      <c r="G827">
        <f t="shared" si="25"/>
        <v>2</v>
      </c>
      <c r="H827" t="str">
        <f>IF(ISNUMBER(FIND(",", E827)), TRIM(MID(E827, FIND(",", E827) + 1, LEN(E827))), E827)</f>
        <v>Indonesia</v>
      </c>
    </row>
    <row r="828" spans="1:8" x14ac:dyDescent="0.25">
      <c r="A828" s="2">
        <v>39855</v>
      </c>
      <c r="B828">
        <v>3.8860000000000001</v>
      </c>
      <c r="C828">
        <v>126.387</v>
      </c>
      <c r="D828" t="s">
        <v>7</v>
      </c>
      <c r="E828" t="s">
        <v>372</v>
      </c>
      <c r="F828">
        <f t="shared" si="24"/>
        <v>2009</v>
      </c>
      <c r="G828">
        <f t="shared" si="25"/>
        <v>2</v>
      </c>
      <c r="H828" t="str">
        <f>IF(ISNUMBER(FIND(",", E828)), TRIM(MID(E828, FIND(",", E828) + 1, LEN(E828))), E828)</f>
        <v>Indonesia</v>
      </c>
    </row>
    <row r="829" spans="1:8" x14ac:dyDescent="0.25">
      <c r="A829" s="2">
        <v>39853</v>
      </c>
      <c r="B829">
        <v>-6.5670000000000002</v>
      </c>
      <c r="C829">
        <v>-81.150000000000006</v>
      </c>
      <c r="D829" t="s">
        <v>5</v>
      </c>
      <c r="E829" t="s">
        <v>376</v>
      </c>
      <c r="F829">
        <f t="shared" si="24"/>
        <v>2009</v>
      </c>
      <c r="G829">
        <f t="shared" si="25"/>
        <v>2</v>
      </c>
      <c r="H829" t="str">
        <f>IF(ISNUMBER(FIND(",", E829)), TRIM(MID(E829, FIND(",", E829) + 1, LEN(E829))), E829)</f>
        <v>near the coast of northern Peru</v>
      </c>
    </row>
    <row r="830" spans="1:8" x14ac:dyDescent="0.25">
      <c r="A830" s="2">
        <v>39846</v>
      </c>
      <c r="B830">
        <v>-13.582000000000001</v>
      </c>
      <c r="C830">
        <v>-76.558000000000007</v>
      </c>
      <c r="D830" t="s">
        <v>7</v>
      </c>
      <c r="E830" t="s">
        <v>258</v>
      </c>
      <c r="F830">
        <f t="shared" si="24"/>
        <v>2009</v>
      </c>
      <c r="G830">
        <f t="shared" si="25"/>
        <v>2</v>
      </c>
      <c r="H830" t="str">
        <f>IF(ISNUMBER(FIND(",", E830)), TRIM(MID(E830, FIND(",", E830) + 1, LEN(E830))), E830)</f>
        <v>near the coast of central Peru</v>
      </c>
    </row>
    <row r="831" spans="1:8" x14ac:dyDescent="0.25">
      <c r="A831" s="2">
        <v>39835</v>
      </c>
      <c r="B831">
        <v>-7.3070000000000004</v>
      </c>
      <c r="C831">
        <v>128.56800000000001</v>
      </c>
      <c r="D831" t="s">
        <v>7</v>
      </c>
      <c r="E831" t="s">
        <v>49</v>
      </c>
      <c r="F831">
        <f t="shared" si="24"/>
        <v>2009</v>
      </c>
      <c r="G831">
        <f t="shared" si="25"/>
        <v>1</v>
      </c>
      <c r="H831" t="str">
        <f>IF(ISNUMBER(FIND(",", E831)), TRIM(MID(E831, FIND(",", E831) + 1, LEN(E831))), E831)</f>
        <v>Indonesia</v>
      </c>
    </row>
    <row r="832" spans="1:8" x14ac:dyDescent="0.25">
      <c r="A832" s="2">
        <v>39835</v>
      </c>
      <c r="B832">
        <v>-5.9119999999999999</v>
      </c>
      <c r="C832">
        <v>148.511</v>
      </c>
      <c r="D832" t="s">
        <v>5</v>
      </c>
      <c r="E832" t="s">
        <v>190</v>
      </c>
      <c r="F832">
        <f t="shared" si="24"/>
        <v>2009</v>
      </c>
      <c r="G832">
        <f t="shared" si="25"/>
        <v>1</v>
      </c>
      <c r="H832" t="str">
        <f>IF(ISNUMBER(FIND(",", E832)), TRIM(MID(E832, FIND(",", E832) + 1, LEN(E832))), E832)</f>
        <v>Papua New Guinea</v>
      </c>
    </row>
    <row r="833" spans="1:8" x14ac:dyDescent="0.25">
      <c r="A833" s="2">
        <v>39834</v>
      </c>
      <c r="B833">
        <v>-22.689</v>
      </c>
      <c r="C833">
        <v>171.04300000000001</v>
      </c>
      <c r="D833" t="s">
        <v>7</v>
      </c>
      <c r="E833" t="s">
        <v>254</v>
      </c>
      <c r="F833">
        <f t="shared" si="24"/>
        <v>2009</v>
      </c>
      <c r="G833">
        <f t="shared" si="25"/>
        <v>1</v>
      </c>
      <c r="H833" t="str">
        <f>IF(ISNUMBER(FIND(",", E833)), TRIM(MID(E833, FIND(",", E833) + 1, LEN(E833))), E833)</f>
        <v>southeast of the Loyalty Islands</v>
      </c>
    </row>
    <row r="834" spans="1:8" x14ac:dyDescent="0.25">
      <c r="A834" s="2">
        <v>39832</v>
      </c>
      <c r="B834">
        <v>-22.477</v>
      </c>
      <c r="C834">
        <v>170.80600000000001</v>
      </c>
      <c r="D834" t="s">
        <v>7</v>
      </c>
      <c r="E834" t="s">
        <v>254</v>
      </c>
      <c r="F834">
        <f t="shared" ref="F834:F897" si="26">YEAR(A834)</f>
        <v>2009</v>
      </c>
      <c r="G834">
        <f t="shared" si="25"/>
        <v>1</v>
      </c>
      <c r="H834" t="str">
        <f>IF(ISNUMBER(FIND(",", E834)), TRIM(MID(E834, FIND(",", E834) + 1, LEN(E834))), E834)</f>
        <v>southeast of the Loyalty Islands</v>
      </c>
    </row>
    <row r="835" spans="1:8" x14ac:dyDescent="0.25">
      <c r="A835" s="2">
        <v>39832</v>
      </c>
      <c r="B835">
        <v>-22.596</v>
      </c>
      <c r="C835">
        <v>170.911</v>
      </c>
      <c r="D835" t="s">
        <v>7</v>
      </c>
      <c r="E835" t="s">
        <v>254</v>
      </c>
      <c r="F835">
        <f t="shared" si="26"/>
        <v>2009</v>
      </c>
      <c r="G835">
        <f t="shared" ref="G835:G898" si="27">MONTH(A835)</f>
        <v>1</v>
      </c>
      <c r="H835" t="str">
        <f>IF(ISNUMBER(FIND(",", E835)), TRIM(MID(E835, FIND(",", E835) + 1, LEN(E835))), E835)</f>
        <v>southeast of the Loyalty Islands</v>
      </c>
    </row>
    <row r="836" spans="1:8" x14ac:dyDescent="0.25">
      <c r="A836" s="2">
        <v>39831</v>
      </c>
      <c r="B836">
        <v>-30.199000000000002</v>
      </c>
      <c r="C836">
        <v>-177.95099999999999</v>
      </c>
      <c r="D836" t="s">
        <v>7</v>
      </c>
      <c r="E836" t="s">
        <v>288</v>
      </c>
      <c r="F836">
        <f t="shared" si="26"/>
        <v>2009</v>
      </c>
      <c r="G836">
        <f t="shared" si="27"/>
        <v>1</v>
      </c>
      <c r="H836" t="str">
        <f>IF(ISNUMBER(FIND(",", E836)), TRIM(MID(E836, FIND(",", E836) + 1, LEN(E836))), E836)</f>
        <v>New Zealand</v>
      </c>
    </row>
    <row r="837" spans="1:8" x14ac:dyDescent="0.25">
      <c r="A837" s="2">
        <v>39828</v>
      </c>
      <c r="B837">
        <v>46.856999999999999</v>
      </c>
      <c r="C837">
        <v>155.154</v>
      </c>
      <c r="D837" t="s">
        <v>7</v>
      </c>
      <c r="E837" t="s">
        <v>317</v>
      </c>
      <c r="F837">
        <f t="shared" si="26"/>
        <v>2009</v>
      </c>
      <c r="G837">
        <f t="shared" si="27"/>
        <v>1</v>
      </c>
      <c r="H837" t="str">
        <f>IF(ISNUMBER(FIND(",", E837)), TRIM(MID(E837, FIND(",", E837) + 1, LEN(E837))), E837)</f>
        <v>east of the Kuril Islands</v>
      </c>
    </row>
    <row r="838" spans="1:8" x14ac:dyDescent="0.25">
      <c r="A838" s="2">
        <v>39828</v>
      </c>
      <c r="B838">
        <v>-22.352</v>
      </c>
      <c r="C838">
        <v>170.63499999999999</v>
      </c>
      <c r="D838" t="s">
        <v>7</v>
      </c>
      <c r="E838" t="s">
        <v>254</v>
      </c>
      <c r="F838">
        <f t="shared" si="26"/>
        <v>2009</v>
      </c>
      <c r="G838">
        <f t="shared" si="27"/>
        <v>1</v>
      </c>
      <c r="H838" t="str">
        <f>IF(ISNUMBER(FIND(",", E838)), TRIM(MID(E838, FIND(",", E838) + 1, LEN(E838))), E838)</f>
        <v>southeast of the Loyalty Islands</v>
      </c>
    </row>
    <row r="839" spans="1:8" x14ac:dyDescent="0.25">
      <c r="A839" s="2">
        <v>39826</v>
      </c>
      <c r="B839">
        <v>-13.147</v>
      </c>
      <c r="C839">
        <v>66.078000000000003</v>
      </c>
      <c r="D839" t="s">
        <v>7</v>
      </c>
      <c r="E839" t="s">
        <v>377</v>
      </c>
      <c r="F839">
        <f t="shared" si="26"/>
        <v>2009</v>
      </c>
      <c r="G839">
        <f t="shared" si="27"/>
        <v>1</v>
      </c>
      <c r="H839" t="str">
        <f>IF(ISNUMBER(FIND(",", E839)), TRIM(MID(E839, FIND(",", E839) + 1, LEN(E839))), E839)</f>
        <v>Mid-Indian Ridge</v>
      </c>
    </row>
    <row r="840" spans="1:8" x14ac:dyDescent="0.25">
      <c r="A840" s="2">
        <v>39821</v>
      </c>
      <c r="B840">
        <v>10.164999999999999</v>
      </c>
      <c r="C840">
        <v>-84.197000000000003</v>
      </c>
      <c r="D840" t="s">
        <v>7</v>
      </c>
      <c r="E840" t="s">
        <v>202</v>
      </c>
      <c r="F840">
        <f t="shared" si="26"/>
        <v>2009</v>
      </c>
      <c r="G840">
        <f t="shared" si="27"/>
        <v>1</v>
      </c>
      <c r="H840" t="str">
        <f>IF(ISNUMBER(FIND(",", E840)), TRIM(MID(E840, FIND(",", E840) + 1, LEN(E840))), E840)</f>
        <v>Costa Rica</v>
      </c>
    </row>
    <row r="841" spans="1:8" x14ac:dyDescent="0.25">
      <c r="A841" s="2">
        <v>39819</v>
      </c>
      <c r="B841">
        <v>-0.65900000000000003</v>
      </c>
      <c r="C841">
        <v>133.434</v>
      </c>
      <c r="D841" t="s">
        <v>7</v>
      </c>
      <c r="E841" t="s">
        <v>241</v>
      </c>
      <c r="F841">
        <f t="shared" si="26"/>
        <v>2009</v>
      </c>
      <c r="G841">
        <f t="shared" si="27"/>
        <v>1</v>
      </c>
      <c r="H841" t="str">
        <f>IF(ISNUMBER(FIND(",", E841)), TRIM(MID(E841, FIND(",", E841) + 1, LEN(E841))), E841)</f>
        <v>Indonesia</v>
      </c>
    </row>
    <row r="842" spans="1:8" x14ac:dyDescent="0.25">
      <c r="A842" s="2">
        <v>39816</v>
      </c>
      <c r="B842">
        <v>-0.69099999999999995</v>
      </c>
      <c r="C842">
        <v>133.30500000000001</v>
      </c>
      <c r="D842" t="s">
        <v>7</v>
      </c>
      <c r="E842" t="s">
        <v>241</v>
      </c>
      <c r="F842">
        <f t="shared" si="26"/>
        <v>2009</v>
      </c>
      <c r="G842">
        <f t="shared" si="27"/>
        <v>1</v>
      </c>
      <c r="H842" t="str">
        <f>IF(ISNUMBER(FIND(",", E842)), TRIM(MID(E842, FIND(",", E842) + 1, LEN(E842))), E842)</f>
        <v>Indonesia</v>
      </c>
    </row>
    <row r="843" spans="1:8" x14ac:dyDescent="0.25">
      <c r="A843" s="2">
        <v>39816</v>
      </c>
      <c r="B843">
        <v>36.418999999999997</v>
      </c>
      <c r="C843">
        <v>70.742999999999995</v>
      </c>
      <c r="D843" t="s">
        <v>7</v>
      </c>
      <c r="E843" t="s">
        <v>314</v>
      </c>
      <c r="F843">
        <f t="shared" si="26"/>
        <v>2009</v>
      </c>
      <c r="G843">
        <f t="shared" si="27"/>
        <v>1</v>
      </c>
      <c r="H843" t="str">
        <f>IF(ISNUMBER(FIND(",", E843)), TRIM(MID(E843, FIND(",", E843) + 1, LEN(E843))), E843)</f>
        <v>Afghanistan</v>
      </c>
    </row>
    <row r="844" spans="1:8" x14ac:dyDescent="0.25">
      <c r="A844" s="2">
        <v>39816</v>
      </c>
      <c r="B844">
        <v>-0.41399999999999998</v>
      </c>
      <c r="C844">
        <v>132.88499999999999</v>
      </c>
      <c r="D844" t="s">
        <v>7</v>
      </c>
      <c r="E844" t="s">
        <v>241</v>
      </c>
      <c r="F844">
        <f t="shared" si="26"/>
        <v>2009</v>
      </c>
      <c r="G844">
        <f t="shared" si="27"/>
        <v>1</v>
      </c>
      <c r="H844" t="str">
        <f>IF(ISNUMBER(FIND(",", E844)), TRIM(MID(E844, FIND(",", E844) + 1, LEN(E844))), E844)</f>
        <v>Indonesia</v>
      </c>
    </row>
    <row r="845" spans="1:8" x14ac:dyDescent="0.25">
      <c r="A845" s="2">
        <v>39807</v>
      </c>
      <c r="B845">
        <v>5.7519999999999998</v>
      </c>
      <c r="C845">
        <v>125.377</v>
      </c>
      <c r="D845" t="s">
        <v>7</v>
      </c>
      <c r="E845" t="s">
        <v>200</v>
      </c>
      <c r="F845">
        <f t="shared" si="26"/>
        <v>2008</v>
      </c>
      <c r="G845">
        <f t="shared" si="27"/>
        <v>12</v>
      </c>
      <c r="H845" t="str">
        <f>IF(ISNUMBER(FIND(",", E845)), TRIM(MID(E845, FIND(",", E845) + 1, LEN(E845))), E845)</f>
        <v>Philippines</v>
      </c>
    </row>
    <row r="846" spans="1:8" x14ac:dyDescent="0.25">
      <c r="A846" s="2">
        <v>39806</v>
      </c>
      <c r="B846">
        <v>-17.29</v>
      </c>
      <c r="C846">
        <v>-171.90899999999999</v>
      </c>
      <c r="D846" t="s">
        <v>7</v>
      </c>
      <c r="E846" t="s">
        <v>304</v>
      </c>
      <c r="F846">
        <f t="shared" si="26"/>
        <v>2008</v>
      </c>
      <c r="G846">
        <f t="shared" si="27"/>
        <v>12</v>
      </c>
      <c r="H846" t="str">
        <f>IF(ISNUMBER(FIND(",", E846)), TRIM(MID(E846, FIND(",", E846) + 1, LEN(E846))), E846)</f>
        <v>Tonga region</v>
      </c>
    </row>
    <row r="847" spans="1:8" x14ac:dyDescent="0.25">
      <c r="A847" s="2">
        <v>39802</v>
      </c>
      <c r="B847">
        <v>36.540999999999997</v>
      </c>
      <c r="C847">
        <v>142.42500000000001</v>
      </c>
      <c r="D847" t="s">
        <v>7</v>
      </c>
      <c r="E847" t="s">
        <v>189</v>
      </c>
      <c r="F847">
        <f t="shared" si="26"/>
        <v>2008</v>
      </c>
      <c r="G847">
        <f t="shared" si="27"/>
        <v>12</v>
      </c>
      <c r="H847" t="str">
        <f>IF(ISNUMBER(FIND(",", E847)), TRIM(MID(E847, FIND(",", E847) + 1, LEN(E847))), E847)</f>
        <v>Japan</v>
      </c>
    </row>
    <row r="848" spans="1:8" x14ac:dyDescent="0.25">
      <c r="A848" s="2">
        <v>39800</v>
      </c>
      <c r="B848">
        <v>-32.472999999999999</v>
      </c>
      <c r="C848">
        <v>-72.051000000000002</v>
      </c>
      <c r="D848" t="s">
        <v>7</v>
      </c>
      <c r="E848" t="s">
        <v>286</v>
      </c>
      <c r="F848">
        <f t="shared" si="26"/>
        <v>2008</v>
      </c>
      <c r="G848">
        <f t="shared" si="27"/>
        <v>12</v>
      </c>
      <c r="H848" t="str">
        <f>IF(ISNUMBER(FIND(",", E848)), TRIM(MID(E848, FIND(",", E848) + 1, LEN(E848))), E848)</f>
        <v>Chile</v>
      </c>
    </row>
    <row r="849" spans="1:8" x14ac:dyDescent="0.25">
      <c r="A849" s="2">
        <v>39800</v>
      </c>
      <c r="B849">
        <v>-32.457999999999998</v>
      </c>
      <c r="C849">
        <v>-71.725999999999999</v>
      </c>
      <c r="D849" t="s">
        <v>7</v>
      </c>
      <c r="E849" t="s">
        <v>286</v>
      </c>
      <c r="F849">
        <f t="shared" si="26"/>
        <v>2008</v>
      </c>
      <c r="G849">
        <f t="shared" si="27"/>
        <v>12</v>
      </c>
      <c r="H849" t="str">
        <f>IF(ISNUMBER(FIND(",", E849)), TRIM(MID(E849, FIND(",", E849) + 1, LEN(E849))), E849)</f>
        <v>Chile</v>
      </c>
    </row>
    <row r="850" spans="1:8" x14ac:dyDescent="0.25">
      <c r="A850" s="2">
        <v>39792</v>
      </c>
      <c r="B850">
        <v>-12.337</v>
      </c>
      <c r="C850">
        <v>166.572</v>
      </c>
      <c r="D850" t="s">
        <v>5</v>
      </c>
      <c r="E850" t="s">
        <v>211</v>
      </c>
      <c r="F850">
        <f t="shared" si="26"/>
        <v>2008</v>
      </c>
      <c r="G850">
        <f t="shared" si="27"/>
        <v>12</v>
      </c>
      <c r="H850" t="str">
        <f>IF(ISNUMBER(FIND(",", E850)), TRIM(MID(E850, FIND(",", E850) + 1, LEN(E850))), E850)</f>
        <v>Santa Cruz Islands</v>
      </c>
    </row>
    <row r="851" spans="1:8" x14ac:dyDescent="0.25">
      <c r="A851" s="2">
        <v>39791</v>
      </c>
      <c r="B851">
        <v>-15.929</v>
      </c>
      <c r="C851">
        <v>168.173</v>
      </c>
      <c r="D851" t="s">
        <v>7</v>
      </c>
      <c r="E851" t="s">
        <v>181</v>
      </c>
      <c r="F851">
        <f t="shared" si="26"/>
        <v>2008</v>
      </c>
      <c r="G851">
        <f t="shared" si="27"/>
        <v>12</v>
      </c>
      <c r="H851" t="str">
        <f>IF(ISNUMBER(FIND(",", E851)), TRIM(MID(E851, FIND(",", E851) + 1, LEN(E851))), E851)</f>
        <v>Vanuatu</v>
      </c>
    </row>
    <row r="852" spans="1:8" x14ac:dyDescent="0.25">
      <c r="A852" s="2">
        <v>39791</v>
      </c>
      <c r="B852">
        <v>-31.231999999999999</v>
      </c>
      <c r="C852">
        <v>-176.92400000000001</v>
      </c>
      <c r="D852" t="s">
        <v>7</v>
      </c>
      <c r="E852" t="s">
        <v>240</v>
      </c>
      <c r="F852">
        <f t="shared" si="26"/>
        <v>2008</v>
      </c>
      <c r="G852">
        <f t="shared" si="27"/>
        <v>12</v>
      </c>
      <c r="H852" t="str">
        <f>IF(ISNUMBER(FIND(",", E852)), TRIM(MID(E852, FIND(",", E852) + 1, LEN(E852))), E852)</f>
        <v>Kermadec Islands region</v>
      </c>
    </row>
    <row r="853" spans="1:8" x14ac:dyDescent="0.25">
      <c r="A853" s="2">
        <v>39790</v>
      </c>
      <c r="B853">
        <v>-53.005000000000003</v>
      </c>
      <c r="C853">
        <v>106.82299999999999</v>
      </c>
      <c r="D853" t="s">
        <v>7</v>
      </c>
      <c r="E853" t="s">
        <v>310</v>
      </c>
      <c r="F853">
        <f t="shared" si="26"/>
        <v>2008</v>
      </c>
      <c r="G853">
        <f t="shared" si="27"/>
        <v>12</v>
      </c>
      <c r="H853" t="str">
        <f>IF(ISNUMBER(FIND(",", E853)), TRIM(MID(E853, FIND(",", E853) + 1, LEN(E853))), E853)</f>
        <v>southeast Indian Ridge</v>
      </c>
    </row>
    <row r="854" spans="1:8" x14ac:dyDescent="0.25">
      <c r="A854" s="2">
        <v>39788</v>
      </c>
      <c r="B854">
        <v>-7.3929999999999998</v>
      </c>
      <c r="C854">
        <v>124.745</v>
      </c>
      <c r="D854" t="s">
        <v>7</v>
      </c>
      <c r="E854" t="s">
        <v>187</v>
      </c>
      <c r="F854">
        <f t="shared" si="26"/>
        <v>2008</v>
      </c>
      <c r="G854">
        <f t="shared" si="27"/>
        <v>12</v>
      </c>
      <c r="H854" t="str">
        <f>IF(ISNUMBER(FIND(",", E854)), TRIM(MID(E854, FIND(",", E854) + 1, LEN(E854))), E854)</f>
        <v>Banda Sea</v>
      </c>
    </row>
    <row r="855" spans="1:8" x14ac:dyDescent="0.25">
      <c r="A855" s="2">
        <v>39781</v>
      </c>
      <c r="B855">
        <v>-18.701000000000001</v>
      </c>
      <c r="C855">
        <v>-177.71600000000001</v>
      </c>
      <c r="D855" t="s">
        <v>7</v>
      </c>
      <c r="E855" t="s">
        <v>53</v>
      </c>
      <c r="F855">
        <f t="shared" si="26"/>
        <v>2008</v>
      </c>
      <c r="G855">
        <f t="shared" si="27"/>
        <v>11</v>
      </c>
      <c r="H855" t="str">
        <f>IF(ISNUMBER(FIND(",", E855)), TRIM(MID(E855, FIND(",", E855) + 1, LEN(E855))), E855)</f>
        <v>Fiji region</v>
      </c>
    </row>
    <row r="856" spans="1:8" x14ac:dyDescent="0.25">
      <c r="A856" s="2">
        <v>39776</v>
      </c>
      <c r="B856">
        <v>54.203000000000003</v>
      </c>
      <c r="C856">
        <v>154.322</v>
      </c>
      <c r="D856" t="s">
        <v>7</v>
      </c>
      <c r="E856" t="s">
        <v>74</v>
      </c>
      <c r="F856">
        <f t="shared" si="26"/>
        <v>2008</v>
      </c>
      <c r="G856">
        <f t="shared" si="27"/>
        <v>11</v>
      </c>
      <c r="H856" t="str">
        <f>IF(ISNUMBER(FIND(",", E856)), TRIM(MID(E856, FIND(",", E856) + 1, LEN(E856))), E856)</f>
        <v>Sea of Okhotsk</v>
      </c>
    </row>
    <row r="857" spans="1:8" x14ac:dyDescent="0.25">
      <c r="A857" s="2">
        <v>39774</v>
      </c>
      <c r="B857">
        <v>-1.23</v>
      </c>
      <c r="C857">
        <v>-13.933</v>
      </c>
      <c r="D857" t="s">
        <v>7</v>
      </c>
      <c r="E857" t="s">
        <v>378</v>
      </c>
      <c r="F857">
        <f t="shared" si="26"/>
        <v>2008</v>
      </c>
      <c r="G857">
        <f t="shared" si="27"/>
        <v>11</v>
      </c>
      <c r="H857" t="str">
        <f>IF(ISNUMBER(FIND(",", E857)), TRIM(MID(E857, FIND(",", E857) + 1, LEN(E857))), E857)</f>
        <v>north of Ascension Island</v>
      </c>
    </row>
    <row r="858" spans="1:8" x14ac:dyDescent="0.25">
      <c r="A858" s="2">
        <v>39774</v>
      </c>
      <c r="B858">
        <v>-22.523</v>
      </c>
      <c r="C858">
        <v>171.19900000000001</v>
      </c>
      <c r="D858" t="s">
        <v>7</v>
      </c>
      <c r="E858" t="s">
        <v>254</v>
      </c>
      <c r="F858">
        <f t="shared" si="26"/>
        <v>2008</v>
      </c>
      <c r="G858">
        <f t="shared" si="27"/>
        <v>11</v>
      </c>
      <c r="H858" t="str">
        <f>IF(ISNUMBER(FIND(",", E858)), TRIM(MID(E858, FIND(",", E858) + 1, LEN(E858))), E858)</f>
        <v>southeast of the Loyalty Islands</v>
      </c>
    </row>
    <row r="859" spans="1:8" x14ac:dyDescent="0.25">
      <c r="A859" s="2">
        <v>39774</v>
      </c>
      <c r="B859">
        <v>-4.3479999999999999</v>
      </c>
      <c r="C859">
        <v>101.259</v>
      </c>
      <c r="D859" t="s">
        <v>7</v>
      </c>
      <c r="E859" t="s">
        <v>308</v>
      </c>
      <c r="F859">
        <f t="shared" si="26"/>
        <v>2008</v>
      </c>
      <c r="G859">
        <f t="shared" si="27"/>
        <v>11</v>
      </c>
      <c r="H859" t="str">
        <f>IF(ISNUMBER(FIND(",", E859)), TRIM(MID(E859, FIND(",", E859) + 1, LEN(E859))), E859)</f>
        <v>Indonesia</v>
      </c>
    </row>
    <row r="860" spans="1:8" x14ac:dyDescent="0.25">
      <c r="A860" s="2">
        <v>39773</v>
      </c>
      <c r="B860">
        <v>-8.9469999999999992</v>
      </c>
      <c r="C860">
        <v>159.553</v>
      </c>
      <c r="D860" t="s">
        <v>5</v>
      </c>
      <c r="E860" t="s">
        <v>221</v>
      </c>
      <c r="F860">
        <f t="shared" si="26"/>
        <v>2008</v>
      </c>
      <c r="G860">
        <f t="shared" si="27"/>
        <v>11</v>
      </c>
      <c r="H860" t="str">
        <f>IF(ISNUMBER(FIND(",", E860)), TRIM(MID(E860, FIND(",", E860) + 1, LEN(E860))), E860)</f>
        <v>Solomon Islands</v>
      </c>
    </row>
    <row r="861" spans="1:8" x14ac:dyDescent="0.25">
      <c r="A861" s="2">
        <v>39771</v>
      </c>
      <c r="B861">
        <v>8.2669999999999995</v>
      </c>
      <c r="C861">
        <v>-82.966999999999999</v>
      </c>
      <c r="D861" t="s">
        <v>7</v>
      </c>
      <c r="E861" t="s">
        <v>379</v>
      </c>
      <c r="F861">
        <f t="shared" si="26"/>
        <v>2008</v>
      </c>
      <c r="G861">
        <f t="shared" si="27"/>
        <v>11</v>
      </c>
      <c r="H861" t="str">
        <f>IF(ISNUMBER(FIND(",", E861)), TRIM(MID(E861, FIND(",", E861) + 1, LEN(E861))), E861)</f>
        <v>Panama-Costa Rica border region</v>
      </c>
    </row>
    <row r="862" spans="1:8" x14ac:dyDescent="0.25">
      <c r="A862" s="2">
        <v>39768</v>
      </c>
      <c r="B862">
        <v>1.2709999999999999</v>
      </c>
      <c r="C862">
        <v>122.09099999999999</v>
      </c>
      <c r="D862" t="s">
        <v>3</v>
      </c>
      <c r="E862" t="s">
        <v>263</v>
      </c>
      <c r="F862">
        <f t="shared" si="26"/>
        <v>2008</v>
      </c>
      <c r="G862">
        <f t="shared" si="27"/>
        <v>11</v>
      </c>
      <c r="H862" t="str">
        <f>IF(ISNUMBER(FIND(",", E862)), TRIM(MID(E862, FIND(",", E862) + 1, LEN(E862))), E862)</f>
        <v>Sulawesi, Indonesia</v>
      </c>
    </row>
    <row r="863" spans="1:8" x14ac:dyDescent="0.25">
      <c r="A863" s="2">
        <v>39762</v>
      </c>
      <c r="B863">
        <v>37.564999999999998</v>
      </c>
      <c r="C863">
        <v>95.832999999999998</v>
      </c>
      <c r="D863" t="s">
        <v>7</v>
      </c>
      <c r="E863" t="s">
        <v>359</v>
      </c>
      <c r="F863">
        <f t="shared" si="26"/>
        <v>2008</v>
      </c>
      <c r="G863">
        <f t="shared" si="27"/>
        <v>11</v>
      </c>
      <c r="H863" t="str">
        <f>IF(ISNUMBER(FIND(",", E863)), TRIM(MID(E863, FIND(",", E863) + 1, LEN(E863))), E863)</f>
        <v>China</v>
      </c>
    </row>
    <row r="864" spans="1:8" x14ac:dyDescent="0.25">
      <c r="A864" s="2">
        <v>39760</v>
      </c>
      <c r="B864">
        <v>-15.223000000000001</v>
      </c>
      <c r="C864">
        <v>-174.232</v>
      </c>
      <c r="D864" t="s">
        <v>5</v>
      </c>
      <c r="E864" t="s">
        <v>239</v>
      </c>
      <c r="F864">
        <f t="shared" si="26"/>
        <v>2008</v>
      </c>
      <c r="G864">
        <f t="shared" si="27"/>
        <v>11</v>
      </c>
      <c r="H864" t="str">
        <f>IF(ISNUMBER(FIND(",", E864)), TRIM(MID(E864, FIND(",", E864) + 1, LEN(E864))), E864)</f>
        <v>Tonga</v>
      </c>
    </row>
    <row r="865" spans="1:8" x14ac:dyDescent="0.25">
      <c r="A865" s="2">
        <v>39759</v>
      </c>
      <c r="B865">
        <v>-6.7119999999999997</v>
      </c>
      <c r="C865">
        <v>129.07400000000001</v>
      </c>
      <c r="D865" t="s">
        <v>7</v>
      </c>
      <c r="E865" t="s">
        <v>187</v>
      </c>
      <c r="F865">
        <f t="shared" si="26"/>
        <v>2008</v>
      </c>
      <c r="G865">
        <f t="shared" si="27"/>
        <v>11</v>
      </c>
      <c r="H865" t="str">
        <f>IF(ISNUMBER(FIND(",", E865)), TRIM(MID(E865, FIND(",", E865) + 1, LEN(E865))), E865)</f>
        <v>Banda Sea</v>
      </c>
    </row>
    <row r="866" spans="1:8" x14ac:dyDescent="0.25">
      <c r="A866" s="2">
        <v>39759</v>
      </c>
      <c r="B866">
        <v>-14.829000000000001</v>
      </c>
      <c r="C866">
        <v>168.03200000000001</v>
      </c>
      <c r="D866" t="s">
        <v>7</v>
      </c>
      <c r="E866" t="s">
        <v>181</v>
      </c>
      <c r="F866">
        <f t="shared" si="26"/>
        <v>2008</v>
      </c>
      <c r="G866">
        <f t="shared" si="27"/>
        <v>11</v>
      </c>
      <c r="H866" t="str">
        <f>IF(ISNUMBER(FIND(",", E866)), TRIM(MID(E866, FIND(",", E866) + 1, LEN(E866))), E866)</f>
        <v>Vanuatu</v>
      </c>
    </row>
    <row r="867" spans="1:8" x14ac:dyDescent="0.25">
      <c r="A867" s="2">
        <v>39756</v>
      </c>
      <c r="B867">
        <v>-17.135000000000002</v>
      </c>
      <c r="C867">
        <v>168.458</v>
      </c>
      <c r="D867" t="s">
        <v>7</v>
      </c>
      <c r="E867" t="s">
        <v>181</v>
      </c>
      <c r="F867">
        <f t="shared" si="26"/>
        <v>2008</v>
      </c>
      <c r="G867">
        <f t="shared" si="27"/>
        <v>11</v>
      </c>
      <c r="H867" t="str">
        <f>IF(ISNUMBER(FIND(",", E867)), TRIM(MID(E867, FIND(",", E867) + 1, LEN(E867))), E867)</f>
        <v>Vanuatu</v>
      </c>
    </row>
    <row r="868" spans="1:8" x14ac:dyDescent="0.25">
      <c r="A868" s="2">
        <v>39754</v>
      </c>
      <c r="B868">
        <v>51.552</v>
      </c>
      <c r="C868">
        <v>-174.36600000000001</v>
      </c>
      <c r="D868" t="s">
        <v>7</v>
      </c>
      <c r="E868" t="s">
        <v>207</v>
      </c>
      <c r="F868">
        <f t="shared" si="26"/>
        <v>2008</v>
      </c>
      <c r="G868">
        <f t="shared" si="27"/>
        <v>11</v>
      </c>
      <c r="H868" t="str">
        <f>IF(ISNUMBER(FIND(",", E868)), TRIM(MID(E868, FIND(",", E868) + 1, LEN(E868))), E868)</f>
        <v>Aleutian Islands, Alaska</v>
      </c>
    </row>
    <row r="869" spans="1:8" x14ac:dyDescent="0.25">
      <c r="A869" s="2">
        <v>39753</v>
      </c>
      <c r="B869">
        <v>-3.399</v>
      </c>
      <c r="C869">
        <v>148.71199999999999</v>
      </c>
      <c r="D869" t="s">
        <v>7</v>
      </c>
      <c r="E869" t="s">
        <v>380</v>
      </c>
      <c r="F869">
        <f t="shared" si="26"/>
        <v>2008</v>
      </c>
      <c r="G869">
        <f t="shared" si="27"/>
        <v>11</v>
      </c>
      <c r="H869" t="str">
        <f>IF(ISNUMBER(FIND(",", E869)), TRIM(MID(E869, FIND(",", E869) + 1, LEN(E869))), E869)</f>
        <v>Bismarck Sea</v>
      </c>
    </row>
    <row r="870" spans="1:8" x14ac:dyDescent="0.25">
      <c r="A870" s="2">
        <v>39751</v>
      </c>
      <c r="B870">
        <v>-9.02</v>
      </c>
      <c r="C870">
        <v>-108.246</v>
      </c>
      <c r="D870" t="s">
        <v>7</v>
      </c>
      <c r="E870" t="s">
        <v>381</v>
      </c>
      <c r="F870">
        <f t="shared" si="26"/>
        <v>2008</v>
      </c>
      <c r="G870">
        <f t="shared" si="27"/>
        <v>10</v>
      </c>
      <c r="H870" t="str">
        <f>IF(ISNUMBER(FIND(",", E870)), TRIM(MID(E870, FIND(",", E870) + 1, LEN(E870))), E870)</f>
        <v>central East Pacific Rise</v>
      </c>
    </row>
    <row r="871" spans="1:8" x14ac:dyDescent="0.25">
      <c r="A871" s="2">
        <v>39750</v>
      </c>
      <c r="B871">
        <v>30.597999999999999</v>
      </c>
      <c r="C871">
        <v>67.454999999999998</v>
      </c>
      <c r="D871" t="s">
        <v>7</v>
      </c>
      <c r="E871" t="s">
        <v>382</v>
      </c>
      <c r="F871">
        <f t="shared" si="26"/>
        <v>2008</v>
      </c>
      <c r="G871">
        <f t="shared" si="27"/>
        <v>10</v>
      </c>
      <c r="H871" t="str">
        <f>IF(ISNUMBER(FIND(",", E871)), TRIM(MID(E871, FIND(",", E871) + 1, LEN(E871))), E871)</f>
        <v>Pakistan</v>
      </c>
    </row>
    <row r="872" spans="1:8" x14ac:dyDescent="0.25">
      <c r="A872" s="2">
        <v>39749</v>
      </c>
      <c r="B872">
        <v>30.638999999999999</v>
      </c>
      <c r="C872">
        <v>67.350999999999999</v>
      </c>
      <c r="D872" t="s">
        <v>7</v>
      </c>
      <c r="E872" t="s">
        <v>382</v>
      </c>
      <c r="F872">
        <f t="shared" si="26"/>
        <v>2008</v>
      </c>
      <c r="G872">
        <f t="shared" si="27"/>
        <v>10</v>
      </c>
      <c r="H872" t="str">
        <f>IF(ISNUMBER(FIND(",", E872)), TRIM(MID(E872, FIND(",", E872) + 1, LEN(E872))), E872)</f>
        <v>Pakistan</v>
      </c>
    </row>
    <row r="873" spans="1:8" x14ac:dyDescent="0.25">
      <c r="A873" s="2">
        <v>39749</v>
      </c>
      <c r="B873">
        <v>-3.4940000000000002</v>
      </c>
      <c r="C873">
        <v>145.86699999999999</v>
      </c>
      <c r="D873" t="s">
        <v>7</v>
      </c>
      <c r="E873" t="s">
        <v>216</v>
      </c>
      <c r="F873">
        <f t="shared" si="26"/>
        <v>2008</v>
      </c>
      <c r="G873">
        <f t="shared" si="27"/>
        <v>10</v>
      </c>
      <c r="H873" t="str">
        <f>IF(ISNUMBER(FIND(",", E873)), TRIM(MID(E873, FIND(",", E873) + 1, LEN(E873))), E873)</f>
        <v>Papua New Guinea</v>
      </c>
    </row>
    <row r="874" spans="1:8" x14ac:dyDescent="0.25">
      <c r="A874" s="2">
        <v>39744</v>
      </c>
      <c r="B874">
        <v>-2.6349999999999998</v>
      </c>
      <c r="C874">
        <v>145.57400000000001</v>
      </c>
      <c r="D874" t="s">
        <v>7</v>
      </c>
      <c r="E874" t="s">
        <v>383</v>
      </c>
      <c r="F874">
        <f t="shared" si="26"/>
        <v>2008</v>
      </c>
      <c r="G874">
        <f t="shared" si="27"/>
        <v>10</v>
      </c>
      <c r="H874" t="str">
        <f>IF(ISNUMBER(FIND(",", E874)), TRIM(MID(E874, FIND(",", E874) + 1, LEN(E874))), E874)</f>
        <v>Papua New Guinea</v>
      </c>
    </row>
    <row r="875" spans="1:8" x14ac:dyDescent="0.25">
      <c r="A875" s="2">
        <v>39743</v>
      </c>
      <c r="B875">
        <v>-18.414000000000001</v>
      </c>
      <c r="C875">
        <v>-175.351</v>
      </c>
      <c r="D875" t="s">
        <v>7</v>
      </c>
      <c r="E875" t="s">
        <v>239</v>
      </c>
      <c r="F875">
        <f t="shared" si="26"/>
        <v>2008</v>
      </c>
      <c r="G875">
        <f t="shared" si="27"/>
        <v>10</v>
      </c>
      <c r="H875" t="str">
        <f>IF(ISNUMBER(FIND(",", E875)), TRIM(MID(E875, FIND(",", E875) + 1, LEN(E875))), E875)</f>
        <v>Tonga</v>
      </c>
    </row>
    <row r="876" spans="1:8" x14ac:dyDescent="0.25">
      <c r="A876" s="2">
        <v>39740</v>
      </c>
      <c r="B876">
        <v>-21.863</v>
      </c>
      <c r="C876">
        <v>-173.81899999999999</v>
      </c>
      <c r="D876" t="s">
        <v>7</v>
      </c>
      <c r="E876" t="s">
        <v>239</v>
      </c>
      <c r="F876">
        <f t="shared" si="26"/>
        <v>2008</v>
      </c>
      <c r="G876">
        <f t="shared" si="27"/>
        <v>10</v>
      </c>
      <c r="H876" t="str">
        <f>IF(ISNUMBER(FIND(",", E876)), TRIM(MID(E876, FIND(",", E876) + 1, LEN(E876))), E876)</f>
        <v>Tonga</v>
      </c>
    </row>
    <row r="877" spans="1:8" x14ac:dyDescent="0.25">
      <c r="A877" s="2">
        <v>39737</v>
      </c>
      <c r="B877">
        <v>14.423</v>
      </c>
      <c r="C877">
        <v>-92.364000000000004</v>
      </c>
      <c r="D877" t="s">
        <v>7</v>
      </c>
      <c r="E877" t="s">
        <v>238</v>
      </c>
      <c r="F877">
        <f t="shared" si="26"/>
        <v>2008</v>
      </c>
      <c r="G877">
        <f t="shared" si="27"/>
        <v>10</v>
      </c>
      <c r="H877" t="str">
        <f>IF(ISNUMBER(FIND(",", E877)), TRIM(MID(E877, FIND(",", E877) + 1, LEN(E877))), E877)</f>
        <v>Mexico</v>
      </c>
    </row>
    <row r="878" spans="1:8" x14ac:dyDescent="0.25">
      <c r="A878" s="2">
        <v>39733</v>
      </c>
      <c r="B878">
        <v>-20.123000000000001</v>
      </c>
      <c r="C878">
        <v>-64.971000000000004</v>
      </c>
      <c r="D878" t="s">
        <v>5</v>
      </c>
      <c r="E878" t="s">
        <v>384</v>
      </c>
      <c r="F878">
        <f t="shared" si="26"/>
        <v>2008</v>
      </c>
      <c r="G878">
        <f t="shared" si="27"/>
        <v>10</v>
      </c>
      <c r="H878" t="str">
        <f>IF(ISNUMBER(FIND(",", E878)), TRIM(MID(E878, FIND(",", E878) + 1, LEN(E878))), E878)</f>
        <v>Bolivia</v>
      </c>
    </row>
    <row r="879" spans="1:8" x14ac:dyDescent="0.25">
      <c r="A879" s="2">
        <v>39732</v>
      </c>
      <c r="B879">
        <v>19.161000000000001</v>
      </c>
      <c r="C879">
        <v>-64.832999999999998</v>
      </c>
      <c r="D879" t="s">
        <v>7</v>
      </c>
      <c r="E879" t="s">
        <v>385</v>
      </c>
      <c r="F879">
        <f t="shared" si="26"/>
        <v>2008</v>
      </c>
      <c r="G879">
        <f t="shared" si="27"/>
        <v>10</v>
      </c>
      <c r="H879" t="str">
        <f>IF(ISNUMBER(FIND(",", E879)), TRIM(MID(E879, FIND(",", E879) + 1, LEN(E879))), E879)</f>
        <v>Virgin Islands region</v>
      </c>
    </row>
    <row r="880" spans="1:8" x14ac:dyDescent="0.25">
      <c r="A880" s="2">
        <v>39727</v>
      </c>
      <c r="B880">
        <v>29.806999999999999</v>
      </c>
      <c r="C880">
        <v>90.35</v>
      </c>
      <c r="D880" t="s">
        <v>7</v>
      </c>
      <c r="E880" t="s">
        <v>386</v>
      </c>
      <c r="F880">
        <f t="shared" si="26"/>
        <v>2008</v>
      </c>
      <c r="G880">
        <f t="shared" si="27"/>
        <v>10</v>
      </c>
      <c r="H880" t="str">
        <f>IF(ISNUMBER(FIND(",", E880)), TRIM(MID(E880, FIND(",", E880) + 1, LEN(E880))), E880)</f>
        <v>eastern Xizang</v>
      </c>
    </row>
    <row r="881" spans="1:8" x14ac:dyDescent="0.25">
      <c r="A881" s="2">
        <v>39726</v>
      </c>
      <c r="B881">
        <v>33.886000000000003</v>
      </c>
      <c r="C881">
        <v>69.47</v>
      </c>
      <c r="D881" t="s">
        <v>7</v>
      </c>
      <c r="E881" t="s">
        <v>387</v>
      </c>
      <c r="F881">
        <f t="shared" si="26"/>
        <v>2008</v>
      </c>
      <c r="G881">
        <f t="shared" si="27"/>
        <v>10</v>
      </c>
      <c r="H881" t="str">
        <f>IF(ISNUMBER(FIND(",", E881)), TRIM(MID(E881, FIND(",", E881) + 1, LEN(E881))), E881)</f>
        <v>central Afghanistan</v>
      </c>
    </row>
    <row r="882" spans="1:8" x14ac:dyDescent="0.25">
      <c r="A882" s="2">
        <v>39726</v>
      </c>
      <c r="B882">
        <v>39.533000000000001</v>
      </c>
      <c r="C882">
        <v>73.823999999999998</v>
      </c>
      <c r="D882" t="s">
        <v>7</v>
      </c>
      <c r="E882" t="s">
        <v>284</v>
      </c>
      <c r="F882">
        <f t="shared" si="26"/>
        <v>2008</v>
      </c>
      <c r="G882">
        <f t="shared" si="27"/>
        <v>10</v>
      </c>
      <c r="H882" t="str">
        <f>IF(ISNUMBER(FIND(",", E882)), TRIM(MID(E882, FIND(",", E882) + 1, LEN(E882))), E882)</f>
        <v>Kyrgyzstan</v>
      </c>
    </row>
    <row r="883" spans="1:8" x14ac:dyDescent="0.25">
      <c r="A883" s="2">
        <v>39726</v>
      </c>
      <c r="B883">
        <v>-30.184000000000001</v>
      </c>
      <c r="C883">
        <v>-177.17599999999999</v>
      </c>
      <c r="D883" t="s">
        <v>7</v>
      </c>
      <c r="E883" t="s">
        <v>288</v>
      </c>
      <c r="F883">
        <f t="shared" si="26"/>
        <v>2008</v>
      </c>
      <c r="G883">
        <f t="shared" si="27"/>
        <v>10</v>
      </c>
      <c r="H883" t="str">
        <f>IF(ISNUMBER(FIND(",", E883)), TRIM(MID(E883, FIND(",", E883) + 1, LEN(E883))), E883)</f>
        <v>New Zealand</v>
      </c>
    </row>
    <row r="884" spans="1:8" x14ac:dyDescent="0.25">
      <c r="A884" s="2">
        <v>39720</v>
      </c>
      <c r="B884">
        <v>-29.756</v>
      </c>
      <c r="C884">
        <v>-177.68299999999999</v>
      </c>
      <c r="D884" t="s">
        <v>7</v>
      </c>
      <c r="E884" t="s">
        <v>288</v>
      </c>
      <c r="F884">
        <f t="shared" si="26"/>
        <v>2008</v>
      </c>
      <c r="G884">
        <f t="shared" si="27"/>
        <v>9</v>
      </c>
      <c r="H884" t="str">
        <f>IF(ISNUMBER(FIND(",", E884)), TRIM(MID(E884, FIND(",", E884) + 1, LEN(E884))), E884)</f>
        <v>New Zealand</v>
      </c>
    </row>
    <row r="885" spans="1:8" x14ac:dyDescent="0.25">
      <c r="A885" s="2">
        <v>39716</v>
      </c>
      <c r="B885">
        <v>30.835999999999999</v>
      </c>
      <c r="C885">
        <v>83.486999999999995</v>
      </c>
      <c r="D885" t="s">
        <v>7</v>
      </c>
      <c r="E885" t="s">
        <v>388</v>
      </c>
      <c r="F885">
        <f t="shared" si="26"/>
        <v>2008</v>
      </c>
      <c r="G885">
        <f t="shared" si="27"/>
        <v>9</v>
      </c>
      <c r="H885" t="str">
        <f>IF(ISNUMBER(FIND(",", E885)), TRIM(MID(E885, FIND(",", E885) + 1, LEN(E885))), E885)</f>
        <v>western Xizang</v>
      </c>
    </row>
    <row r="886" spans="1:8" x14ac:dyDescent="0.25">
      <c r="A886" s="2">
        <v>39715</v>
      </c>
      <c r="B886">
        <v>17.611999999999998</v>
      </c>
      <c r="C886">
        <v>-105.497</v>
      </c>
      <c r="D886" t="s">
        <v>7</v>
      </c>
      <c r="E886" t="s">
        <v>389</v>
      </c>
      <c r="F886">
        <f t="shared" si="26"/>
        <v>2008</v>
      </c>
      <c r="G886">
        <f t="shared" si="27"/>
        <v>9</v>
      </c>
      <c r="H886" t="str">
        <f>IF(ISNUMBER(FIND(",", E886)), TRIM(MID(E886, FIND(",", E886) + 1, LEN(E886))), E886)</f>
        <v>Mexico</v>
      </c>
    </row>
    <row r="887" spans="1:8" x14ac:dyDescent="0.25">
      <c r="A887" s="2">
        <v>39709</v>
      </c>
      <c r="B887">
        <v>-4.5540000000000003</v>
      </c>
      <c r="C887">
        <v>-105.999</v>
      </c>
      <c r="D887" t="s">
        <v>7</v>
      </c>
      <c r="E887" t="s">
        <v>381</v>
      </c>
      <c r="F887">
        <f t="shared" si="26"/>
        <v>2008</v>
      </c>
      <c r="G887">
        <f t="shared" si="27"/>
        <v>9</v>
      </c>
      <c r="H887" t="str">
        <f>IF(ISNUMBER(FIND(",", E887)), TRIM(MID(E887, FIND(",", E887) + 1, LEN(E887))), E887)</f>
        <v>central East Pacific Rise</v>
      </c>
    </row>
    <row r="888" spans="1:8" x14ac:dyDescent="0.25">
      <c r="A888" s="2">
        <v>39702</v>
      </c>
      <c r="B888">
        <v>41.892000000000003</v>
      </c>
      <c r="C888">
        <v>143.75399999999999</v>
      </c>
      <c r="D888" t="s">
        <v>7</v>
      </c>
      <c r="E888" t="s">
        <v>265</v>
      </c>
      <c r="F888">
        <f t="shared" si="26"/>
        <v>2008</v>
      </c>
      <c r="G888">
        <f t="shared" si="27"/>
        <v>9</v>
      </c>
      <c r="H888" t="str">
        <f>IF(ISNUMBER(FIND(",", E888)), TRIM(MID(E888, FIND(",", E888) + 1, LEN(E888))), E888)</f>
        <v>Japan region</v>
      </c>
    </row>
    <row r="889" spans="1:8" x14ac:dyDescent="0.25">
      <c r="A889" s="2">
        <v>39702</v>
      </c>
      <c r="B889">
        <v>1.885</v>
      </c>
      <c r="C889">
        <v>127.363</v>
      </c>
      <c r="D889" t="s">
        <v>7</v>
      </c>
      <c r="E889" t="s">
        <v>311</v>
      </c>
      <c r="F889">
        <f t="shared" si="26"/>
        <v>2008</v>
      </c>
      <c r="G889">
        <f t="shared" si="27"/>
        <v>9</v>
      </c>
      <c r="H889" t="str">
        <f>IF(ISNUMBER(FIND(",", E889)), TRIM(MID(E889, FIND(",", E889) + 1, LEN(E889))), E889)</f>
        <v>Indonesia</v>
      </c>
    </row>
    <row r="890" spans="1:8" x14ac:dyDescent="0.25">
      <c r="A890" s="2">
        <v>39701</v>
      </c>
      <c r="B890">
        <v>8.093</v>
      </c>
      <c r="C890">
        <v>-38.704999999999998</v>
      </c>
      <c r="D890" t="s">
        <v>7</v>
      </c>
      <c r="E890" t="s">
        <v>291</v>
      </c>
      <c r="F890">
        <f t="shared" si="26"/>
        <v>2008</v>
      </c>
      <c r="G890">
        <f t="shared" si="27"/>
        <v>9</v>
      </c>
      <c r="H890" t="str">
        <f>IF(ISNUMBER(FIND(",", E890)), TRIM(MID(E890, FIND(",", E890) + 1, LEN(E890))), E890)</f>
        <v>central Mid-Atlantic Ridge</v>
      </c>
    </row>
    <row r="891" spans="1:8" x14ac:dyDescent="0.25">
      <c r="A891" s="2">
        <v>39701</v>
      </c>
      <c r="B891">
        <v>26.742999999999999</v>
      </c>
      <c r="C891">
        <v>55.828000000000003</v>
      </c>
      <c r="D891" t="s">
        <v>7</v>
      </c>
      <c r="E891" t="s">
        <v>390</v>
      </c>
      <c r="F891">
        <f t="shared" si="26"/>
        <v>2008</v>
      </c>
      <c r="G891">
        <f t="shared" si="27"/>
        <v>9</v>
      </c>
      <c r="H891" t="str">
        <f>IF(ISNUMBER(FIND(",", E891)), TRIM(MID(E891, FIND(",", E891) + 1, LEN(E891))), E891)</f>
        <v>southern Iran</v>
      </c>
    </row>
    <row r="892" spans="1:8" x14ac:dyDescent="0.25">
      <c r="A892" s="2">
        <v>39699</v>
      </c>
      <c r="B892">
        <v>-13.500999999999999</v>
      </c>
      <c r="C892">
        <v>166.96700000000001</v>
      </c>
      <c r="D892" t="s">
        <v>7</v>
      </c>
      <c r="E892" t="s">
        <v>181</v>
      </c>
      <c r="F892">
        <f t="shared" si="26"/>
        <v>2008</v>
      </c>
      <c r="G892">
        <f t="shared" si="27"/>
        <v>9</v>
      </c>
      <c r="H892" t="str">
        <f>IF(ISNUMBER(FIND(",", E892)), TRIM(MID(E892, FIND(",", E892) + 1, LEN(E892))), E892)</f>
        <v>Vanuatu</v>
      </c>
    </row>
    <row r="893" spans="1:8" x14ac:dyDescent="0.25">
      <c r="A893" s="2">
        <v>39699</v>
      </c>
      <c r="B893">
        <v>-19.963999999999999</v>
      </c>
      <c r="C893">
        <v>169.108</v>
      </c>
      <c r="D893" t="s">
        <v>7</v>
      </c>
      <c r="E893" t="s">
        <v>181</v>
      </c>
      <c r="F893">
        <f t="shared" si="26"/>
        <v>2008</v>
      </c>
      <c r="G893">
        <f t="shared" si="27"/>
        <v>9</v>
      </c>
      <c r="H893" t="str">
        <f>IF(ISNUMBER(FIND(",", E893)), TRIM(MID(E893, FIND(",", E893) + 1, LEN(E893))), E893)</f>
        <v>Vanuatu</v>
      </c>
    </row>
    <row r="894" spans="1:8" x14ac:dyDescent="0.25">
      <c r="A894" s="2">
        <v>39694</v>
      </c>
      <c r="B894">
        <v>-26.736000000000001</v>
      </c>
      <c r="C894">
        <v>-63.225000000000001</v>
      </c>
      <c r="D894" t="s">
        <v>7</v>
      </c>
      <c r="E894" t="s">
        <v>232</v>
      </c>
      <c r="F894">
        <f t="shared" si="26"/>
        <v>2008</v>
      </c>
      <c r="G894">
        <f t="shared" si="27"/>
        <v>9</v>
      </c>
      <c r="H894" t="str">
        <f>IF(ISNUMBER(FIND(",", E894)), TRIM(MID(E894, FIND(",", E894) + 1, LEN(E894))), E894)</f>
        <v>Argentina</v>
      </c>
    </row>
    <row r="895" spans="1:8" x14ac:dyDescent="0.25">
      <c r="A895" s="2">
        <v>39692</v>
      </c>
      <c r="B895">
        <v>-25.387</v>
      </c>
      <c r="C895">
        <v>-177.636</v>
      </c>
      <c r="D895" t="s">
        <v>7</v>
      </c>
      <c r="E895" t="s">
        <v>256</v>
      </c>
      <c r="F895">
        <f t="shared" si="26"/>
        <v>2008</v>
      </c>
      <c r="G895">
        <f t="shared" si="27"/>
        <v>9</v>
      </c>
      <c r="H895" t="str">
        <f>IF(ISNUMBER(FIND(",", E895)), TRIM(MID(E895, FIND(",", E895) + 1, LEN(E895))), E895)</f>
        <v>south of the Fiji Islands</v>
      </c>
    </row>
    <row r="896" spans="1:8" x14ac:dyDescent="0.25">
      <c r="A896" s="2">
        <v>39690</v>
      </c>
      <c r="B896">
        <v>26.241</v>
      </c>
      <c r="C896">
        <v>101.889</v>
      </c>
      <c r="D896" t="s">
        <v>7</v>
      </c>
      <c r="E896" t="s">
        <v>391</v>
      </c>
      <c r="F896">
        <f t="shared" si="26"/>
        <v>2008</v>
      </c>
      <c r="G896">
        <f t="shared" si="27"/>
        <v>8</v>
      </c>
      <c r="H896" t="str">
        <f>IF(ISNUMBER(FIND(",", E896)), TRIM(MID(E896, FIND(",", E896) + 1, LEN(E896))), E896)</f>
        <v>China</v>
      </c>
    </row>
    <row r="897" spans="1:8" x14ac:dyDescent="0.25">
      <c r="A897" s="2">
        <v>39690</v>
      </c>
      <c r="B897">
        <v>-6.1459999999999999</v>
      </c>
      <c r="C897">
        <v>147.25800000000001</v>
      </c>
      <c r="D897" t="s">
        <v>7</v>
      </c>
      <c r="E897" t="s">
        <v>243</v>
      </c>
      <c r="F897">
        <f t="shared" si="26"/>
        <v>2008</v>
      </c>
      <c r="G897">
        <f t="shared" si="27"/>
        <v>8</v>
      </c>
      <c r="H897" t="str">
        <f>IF(ISNUMBER(FIND(",", E897)), TRIM(MID(E897, FIND(",", E897) + 1, LEN(E897))), E897)</f>
        <v>Papua New Guinea</v>
      </c>
    </row>
    <row r="898" spans="1:8" x14ac:dyDescent="0.25">
      <c r="A898" s="2">
        <v>39688</v>
      </c>
      <c r="B898">
        <v>-0.252</v>
      </c>
      <c r="C898">
        <v>-17.358000000000001</v>
      </c>
      <c r="D898" t="s">
        <v>7</v>
      </c>
      <c r="E898" t="s">
        <v>378</v>
      </c>
      <c r="F898">
        <f t="shared" ref="F898:F961" si="28">YEAR(A898)</f>
        <v>2008</v>
      </c>
      <c r="G898">
        <f t="shared" si="27"/>
        <v>8</v>
      </c>
      <c r="H898" t="str">
        <f>IF(ISNUMBER(FIND(",", E898)), TRIM(MID(E898, FIND(",", E898) + 1, LEN(E898))), E898)</f>
        <v>north of Ascension Island</v>
      </c>
    </row>
    <row r="899" spans="1:8" x14ac:dyDescent="0.25">
      <c r="A899" s="2">
        <v>39687</v>
      </c>
      <c r="B899">
        <v>51.606999999999999</v>
      </c>
      <c r="C899">
        <v>104.158</v>
      </c>
      <c r="D899" t="s">
        <v>7</v>
      </c>
      <c r="E899" t="s">
        <v>392</v>
      </c>
      <c r="F899">
        <f t="shared" si="28"/>
        <v>2008</v>
      </c>
      <c r="G899">
        <f t="shared" ref="G899:G962" si="29">MONTH(A899)</f>
        <v>8</v>
      </c>
      <c r="H899" t="str">
        <f>IF(ISNUMBER(FIND(",", E899)), TRIM(MID(E899, FIND(",", E899) + 1, LEN(E899))), E899)</f>
        <v>Russia</v>
      </c>
    </row>
    <row r="900" spans="1:8" x14ac:dyDescent="0.25">
      <c r="A900" s="2">
        <v>39686</v>
      </c>
      <c r="B900">
        <v>-7.641</v>
      </c>
      <c r="C900">
        <v>-74.376999999999995</v>
      </c>
      <c r="D900" t="s">
        <v>7</v>
      </c>
      <c r="E900" t="s">
        <v>277</v>
      </c>
      <c r="F900">
        <f t="shared" si="28"/>
        <v>2008</v>
      </c>
      <c r="G900">
        <f t="shared" si="29"/>
        <v>8</v>
      </c>
      <c r="H900" t="str">
        <f>IF(ISNUMBER(FIND(",", E900)), TRIM(MID(E900, FIND(",", E900) + 1, LEN(E900))), E900)</f>
        <v>northern Peru</v>
      </c>
    </row>
    <row r="901" spans="1:8" x14ac:dyDescent="0.25">
      <c r="A901" s="2">
        <v>39685</v>
      </c>
      <c r="B901">
        <v>30.901</v>
      </c>
      <c r="C901">
        <v>83.52</v>
      </c>
      <c r="D901" t="s">
        <v>7</v>
      </c>
      <c r="E901" t="s">
        <v>388</v>
      </c>
      <c r="F901">
        <f t="shared" si="28"/>
        <v>2008</v>
      </c>
      <c r="G901">
        <f t="shared" si="29"/>
        <v>8</v>
      </c>
      <c r="H901" t="str">
        <f>IF(ISNUMBER(FIND(",", E901)), TRIM(MID(E901, FIND(",", E901) + 1, LEN(E901))), E901)</f>
        <v>western Xizang</v>
      </c>
    </row>
    <row r="902" spans="1:8" x14ac:dyDescent="0.25">
      <c r="A902" s="2">
        <v>39682</v>
      </c>
      <c r="B902">
        <v>-17.768999999999998</v>
      </c>
      <c r="C902">
        <v>65.394000000000005</v>
      </c>
      <c r="D902" t="s">
        <v>7</v>
      </c>
      <c r="E902" t="s">
        <v>220</v>
      </c>
      <c r="F902">
        <f t="shared" si="28"/>
        <v>2008</v>
      </c>
      <c r="G902">
        <f t="shared" si="29"/>
        <v>8</v>
      </c>
      <c r="H902" t="str">
        <f>IF(ISNUMBER(FIND(",", E902)), TRIM(MID(E902, FIND(",", E902) + 1, LEN(E902))), E902)</f>
        <v>Mauritius - Reunion region</v>
      </c>
    </row>
    <row r="903" spans="1:8" x14ac:dyDescent="0.25">
      <c r="A903" s="2">
        <v>39681</v>
      </c>
      <c r="B903">
        <v>25.039000000000001</v>
      </c>
      <c r="C903">
        <v>97.697000000000003</v>
      </c>
      <c r="D903" t="s">
        <v>7</v>
      </c>
      <c r="E903" t="s">
        <v>393</v>
      </c>
      <c r="F903">
        <f t="shared" si="28"/>
        <v>2008</v>
      </c>
      <c r="G903">
        <f t="shared" si="29"/>
        <v>8</v>
      </c>
      <c r="H903" t="str">
        <f>IF(ISNUMBER(FIND(",", E903)), TRIM(MID(E903, FIND(",", E903) + 1, LEN(E903))), E903)</f>
        <v>Myanmar-China border region</v>
      </c>
    </row>
    <row r="904" spans="1:8" x14ac:dyDescent="0.25">
      <c r="A904" s="2">
        <v>39679</v>
      </c>
      <c r="B904">
        <v>-15.087</v>
      </c>
      <c r="C904">
        <v>-173.476</v>
      </c>
      <c r="D904" t="s">
        <v>5</v>
      </c>
      <c r="E904" t="s">
        <v>239</v>
      </c>
      <c r="F904">
        <f t="shared" si="28"/>
        <v>2008</v>
      </c>
      <c r="G904">
        <f t="shared" si="29"/>
        <v>8</v>
      </c>
      <c r="H904" t="str">
        <f>IF(ISNUMBER(FIND(",", E904)), TRIM(MID(E904, FIND(",", E904) + 1, LEN(E904))), E904)</f>
        <v>Tonga</v>
      </c>
    </row>
    <row r="905" spans="1:8" x14ac:dyDescent="0.25">
      <c r="A905" s="2">
        <v>39675</v>
      </c>
      <c r="B905">
        <v>12.897</v>
      </c>
      <c r="C905">
        <v>124.319</v>
      </c>
      <c r="D905" t="s">
        <v>7</v>
      </c>
      <c r="E905" t="s">
        <v>394</v>
      </c>
      <c r="F905">
        <f t="shared" si="28"/>
        <v>2008</v>
      </c>
      <c r="G905">
        <f t="shared" si="29"/>
        <v>8</v>
      </c>
      <c r="H905" t="str">
        <f>IF(ISNUMBER(FIND(",", E905)), TRIM(MID(E905, FIND(",", E905) + 1, LEN(E905))), E905)</f>
        <v>Philippines</v>
      </c>
    </row>
    <row r="906" spans="1:8" x14ac:dyDescent="0.25">
      <c r="A906" s="2">
        <v>39671</v>
      </c>
      <c r="B906">
        <v>-1.02</v>
      </c>
      <c r="C906">
        <v>-21.843</v>
      </c>
      <c r="D906" t="s">
        <v>7</v>
      </c>
      <c r="E906" t="s">
        <v>291</v>
      </c>
      <c r="F906">
        <f t="shared" si="28"/>
        <v>2008</v>
      </c>
      <c r="G906">
        <f t="shared" si="29"/>
        <v>8</v>
      </c>
      <c r="H906" t="str">
        <f>IF(ISNUMBER(FIND(",", E906)), TRIM(MID(E906, FIND(",", E906) + 1, LEN(E906))), E906)</f>
        <v>central Mid-Atlantic Ridge</v>
      </c>
    </row>
    <row r="907" spans="1:8" x14ac:dyDescent="0.25">
      <c r="A907" s="2">
        <v>39670</v>
      </c>
      <c r="B907">
        <v>11.055</v>
      </c>
      <c r="C907">
        <v>91.813999999999993</v>
      </c>
      <c r="D907" t="s">
        <v>7</v>
      </c>
      <c r="E907" t="s">
        <v>323</v>
      </c>
      <c r="F907">
        <f t="shared" si="28"/>
        <v>2008</v>
      </c>
      <c r="G907">
        <f t="shared" si="29"/>
        <v>8</v>
      </c>
      <c r="H907" t="str">
        <f>IF(ISNUMBER(FIND(",", E907)), TRIM(MID(E907, FIND(",", E907) + 1, LEN(E907))), E907)</f>
        <v>India region</v>
      </c>
    </row>
    <row r="908" spans="1:8" x14ac:dyDescent="0.25">
      <c r="A908" s="2">
        <v>39669</v>
      </c>
      <c r="B908">
        <v>-60.692999999999998</v>
      </c>
      <c r="C908">
        <v>153.82599999999999</v>
      </c>
      <c r="D908" t="s">
        <v>7</v>
      </c>
      <c r="E908" t="s">
        <v>205</v>
      </c>
      <c r="F908">
        <f t="shared" si="28"/>
        <v>2008</v>
      </c>
      <c r="G908">
        <f t="shared" si="29"/>
        <v>8</v>
      </c>
      <c r="H908" t="str">
        <f>IF(ISNUMBER(FIND(",", E908)), TRIM(MID(E908, FIND(",", E908) + 1, LEN(E908))), E908)</f>
        <v>west of Macquarie Island</v>
      </c>
    </row>
    <row r="909" spans="1:8" x14ac:dyDescent="0.25">
      <c r="A909" s="2">
        <v>39669</v>
      </c>
      <c r="B909">
        <v>-60.648000000000003</v>
      </c>
      <c r="C909">
        <v>153.77099999999999</v>
      </c>
      <c r="D909" t="s">
        <v>7</v>
      </c>
      <c r="E909" t="s">
        <v>205</v>
      </c>
      <c r="F909">
        <f t="shared" si="28"/>
        <v>2008</v>
      </c>
      <c r="G909">
        <f t="shared" si="29"/>
        <v>8</v>
      </c>
      <c r="H909" t="str">
        <f>IF(ISNUMBER(FIND(",", E909)), TRIM(MID(E909, FIND(",", E909) + 1, LEN(E909))), E909)</f>
        <v>west of Macquarie Island</v>
      </c>
    </row>
    <row r="910" spans="1:8" x14ac:dyDescent="0.25">
      <c r="A910" s="2">
        <v>39665</v>
      </c>
      <c r="B910">
        <v>32.756</v>
      </c>
      <c r="C910">
        <v>105.494</v>
      </c>
      <c r="D910" t="s">
        <v>7</v>
      </c>
      <c r="E910" t="s">
        <v>395</v>
      </c>
      <c r="F910">
        <f t="shared" si="28"/>
        <v>2008</v>
      </c>
      <c r="G910">
        <f t="shared" si="29"/>
        <v>8</v>
      </c>
      <c r="H910" t="str">
        <f>IF(ISNUMBER(FIND(",", E910)), TRIM(MID(E910, FIND(",", E910) + 1, LEN(E910))), E910)</f>
        <v>China</v>
      </c>
    </row>
    <row r="911" spans="1:8" x14ac:dyDescent="0.25">
      <c r="A911" s="2">
        <v>39664</v>
      </c>
      <c r="B911">
        <v>-5.9160000000000004</v>
      </c>
      <c r="C911">
        <v>130.19499999999999</v>
      </c>
      <c r="D911" t="s">
        <v>7</v>
      </c>
      <c r="E911" t="s">
        <v>187</v>
      </c>
      <c r="F911">
        <f t="shared" si="28"/>
        <v>2008</v>
      </c>
      <c r="G911">
        <f t="shared" si="29"/>
        <v>8</v>
      </c>
      <c r="H911" t="str">
        <f>IF(ISNUMBER(FIND(",", E911)), TRIM(MID(E911, FIND(",", E911) + 1, LEN(E911))), E911)</f>
        <v>Banda Sea</v>
      </c>
    </row>
    <row r="912" spans="1:8" x14ac:dyDescent="0.25">
      <c r="A912" s="2">
        <v>39657</v>
      </c>
      <c r="B912">
        <v>-10.577999999999999</v>
      </c>
      <c r="C912">
        <v>163.10300000000001</v>
      </c>
      <c r="D912" t="s">
        <v>7</v>
      </c>
      <c r="E912" t="s">
        <v>221</v>
      </c>
      <c r="F912">
        <f t="shared" si="28"/>
        <v>2008</v>
      </c>
      <c r="G912">
        <f t="shared" si="29"/>
        <v>7</v>
      </c>
      <c r="H912" t="str">
        <f>IF(ISNUMBER(FIND(",", E912)), TRIM(MID(E912, FIND(",", E912) + 1, LEN(E912))), E912)</f>
        <v>Solomon Islands</v>
      </c>
    </row>
    <row r="913" spans="1:8" x14ac:dyDescent="0.25">
      <c r="A913" s="2">
        <v>39653</v>
      </c>
      <c r="B913">
        <v>50.966999999999999</v>
      </c>
      <c r="C913">
        <v>157.584</v>
      </c>
      <c r="D913" t="s">
        <v>7</v>
      </c>
      <c r="E913" t="s">
        <v>191</v>
      </c>
      <c r="F913">
        <f t="shared" si="28"/>
        <v>2008</v>
      </c>
      <c r="G913">
        <f t="shared" si="29"/>
        <v>7</v>
      </c>
      <c r="H913" t="str">
        <f>IF(ISNUMBER(FIND(",", E913)), TRIM(MID(E913, FIND(",", E913) + 1, LEN(E913))), E913)</f>
        <v>Kuril Islands</v>
      </c>
    </row>
    <row r="914" spans="1:8" x14ac:dyDescent="0.25">
      <c r="A914" s="2">
        <v>39652</v>
      </c>
      <c r="B914">
        <v>39.802</v>
      </c>
      <c r="C914">
        <v>141.464</v>
      </c>
      <c r="D914" t="s">
        <v>7</v>
      </c>
      <c r="E914" t="s">
        <v>293</v>
      </c>
      <c r="F914">
        <f t="shared" si="28"/>
        <v>2008</v>
      </c>
      <c r="G914">
        <f t="shared" si="29"/>
        <v>7</v>
      </c>
      <c r="H914" t="str">
        <f>IF(ISNUMBER(FIND(",", E914)), TRIM(MID(E914, FIND(",", E914) + 1, LEN(E914))), E914)</f>
        <v>Japan</v>
      </c>
    </row>
    <row r="915" spans="1:8" x14ac:dyDescent="0.25">
      <c r="A915" s="2">
        <v>39650</v>
      </c>
      <c r="B915">
        <v>37.186</v>
      </c>
      <c r="C915">
        <v>142.05099999999999</v>
      </c>
      <c r="D915" t="s">
        <v>7</v>
      </c>
      <c r="E915" t="s">
        <v>189</v>
      </c>
      <c r="F915">
        <f t="shared" si="28"/>
        <v>2008</v>
      </c>
      <c r="G915">
        <f t="shared" si="29"/>
        <v>7</v>
      </c>
      <c r="H915" t="str">
        <f>IF(ISNUMBER(FIND(",", E915)), TRIM(MID(E915, FIND(",", E915) + 1, LEN(E915))), E915)</f>
        <v>Japan</v>
      </c>
    </row>
    <row r="916" spans="1:8" x14ac:dyDescent="0.25">
      <c r="A916" s="2">
        <v>39648</v>
      </c>
      <c r="B916">
        <v>-17.337</v>
      </c>
      <c r="C916">
        <v>-177.31200000000001</v>
      </c>
      <c r="D916" t="s">
        <v>7</v>
      </c>
      <c r="E916" t="s">
        <v>53</v>
      </c>
      <c r="F916">
        <f t="shared" si="28"/>
        <v>2008</v>
      </c>
      <c r="G916">
        <f t="shared" si="29"/>
        <v>7</v>
      </c>
      <c r="H916" t="str">
        <f>IF(ISNUMBER(FIND(",", E916)), TRIM(MID(E916, FIND(",", E916) + 1, LEN(E916))), E916)</f>
        <v>Fiji region</v>
      </c>
    </row>
    <row r="917" spans="1:8" x14ac:dyDescent="0.25">
      <c r="A917" s="2">
        <v>39648</v>
      </c>
      <c r="B917">
        <v>-11.066000000000001</v>
      </c>
      <c r="C917">
        <v>164.61600000000001</v>
      </c>
      <c r="D917" t="s">
        <v>7</v>
      </c>
      <c r="E917" t="s">
        <v>396</v>
      </c>
      <c r="F917">
        <f t="shared" si="28"/>
        <v>2008</v>
      </c>
      <c r="G917">
        <f t="shared" si="29"/>
        <v>7</v>
      </c>
      <c r="H917" t="str">
        <f>IF(ISNUMBER(FIND(",", E917)), TRIM(MID(E917, FIND(",", E917) + 1, LEN(E917))), E917)</f>
        <v>Santa Cruz Islands region</v>
      </c>
    </row>
    <row r="918" spans="1:8" x14ac:dyDescent="0.25">
      <c r="A918" s="2">
        <v>39648</v>
      </c>
      <c r="B918">
        <v>-11.041</v>
      </c>
      <c r="C918">
        <v>164.49299999999999</v>
      </c>
      <c r="D918" t="s">
        <v>7</v>
      </c>
      <c r="E918" t="s">
        <v>396</v>
      </c>
      <c r="F918">
        <f t="shared" si="28"/>
        <v>2008</v>
      </c>
      <c r="G918">
        <f t="shared" si="29"/>
        <v>7</v>
      </c>
      <c r="H918" t="str">
        <f>IF(ISNUMBER(FIND(",", E918)), TRIM(MID(E918, FIND(",", E918) + 1, LEN(E918))), E918)</f>
        <v>Santa Cruz Islands region</v>
      </c>
    </row>
    <row r="919" spans="1:8" x14ac:dyDescent="0.25">
      <c r="A919" s="2">
        <v>39648</v>
      </c>
      <c r="B919">
        <v>37.552</v>
      </c>
      <c r="C919">
        <v>142.214</v>
      </c>
      <c r="D919" t="s">
        <v>7</v>
      </c>
      <c r="E919" t="s">
        <v>189</v>
      </c>
      <c r="F919">
        <f t="shared" si="28"/>
        <v>2008</v>
      </c>
      <c r="G919">
        <f t="shared" si="29"/>
        <v>7</v>
      </c>
      <c r="H919" t="str">
        <f>IF(ISNUMBER(FIND(",", E919)), TRIM(MID(E919, FIND(",", E919) + 1, LEN(E919))), E919)</f>
        <v>Japan</v>
      </c>
    </row>
    <row r="920" spans="1:8" x14ac:dyDescent="0.25">
      <c r="A920" s="2">
        <v>39644</v>
      </c>
      <c r="B920">
        <v>35.799999999999997</v>
      </c>
      <c r="C920">
        <v>27.86</v>
      </c>
      <c r="D920" t="s">
        <v>7</v>
      </c>
      <c r="E920" t="s">
        <v>228</v>
      </c>
      <c r="F920">
        <f t="shared" si="28"/>
        <v>2008</v>
      </c>
      <c r="G920">
        <f t="shared" si="29"/>
        <v>7</v>
      </c>
      <c r="H920" t="str">
        <f>IF(ISNUMBER(FIND(",", E920)), TRIM(MID(E920, FIND(",", E920) + 1, LEN(E920))), E920)</f>
        <v>Greece</v>
      </c>
    </row>
    <row r="921" spans="1:8" x14ac:dyDescent="0.25">
      <c r="A921" s="2">
        <v>39642</v>
      </c>
      <c r="B921">
        <v>21.013999999999999</v>
      </c>
      <c r="C921">
        <v>121.149</v>
      </c>
      <c r="D921" t="s">
        <v>7</v>
      </c>
      <c r="E921" t="s">
        <v>363</v>
      </c>
      <c r="F921">
        <f t="shared" si="28"/>
        <v>2008</v>
      </c>
      <c r="G921">
        <f t="shared" si="29"/>
        <v>7</v>
      </c>
      <c r="H921" t="str">
        <f>IF(ISNUMBER(FIND(",", E921)), TRIM(MID(E921, FIND(",", E921) + 1, LEN(E921))), E921)</f>
        <v>Taiwan region</v>
      </c>
    </row>
    <row r="922" spans="1:8" x14ac:dyDescent="0.25">
      <c r="A922" s="2">
        <v>39637</v>
      </c>
      <c r="B922">
        <v>-15.986000000000001</v>
      </c>
      <c r="C922">
        <v>-71.748000000000005</v>
      </c>
      <c r="D922" t="s">
        <v>7</v>
      </c>
      <c r="E922" t="s">
        <v>229</v>
      </c>
      <c r="F922">
        <f t="shared" si="28"/>
        <v>2008</v>
      </c>
      <c r="G922">
        <f t="shared" si="29"/>
        <v>7</v>
      </c>
      <c r="H922" t="str">
        <f>IF(ISNUMBER(FIND(",", E922)), TRIM(MID(E922, FIND(",", E922) + 1, LEN(E922))), E922)</f>
        <v>southern Peru</v>
      </c>
    </row>
    <row r="923" spans="1:8" x14ac:dyDescent="0.25">
      <c r="A923" s="2">
        <v>39637</v>
      </c>
      <c r="B923">
        <v>27.532</v>
      </c>
      <c r="C923">
        <v>128.334</v>
      </c>
      <c r="D923" t="s">
        <v>7</v>
      </c>
      <c r="E923" t="s">
        <v>340</v>
      </c>
      <c r="F923">
        <f t="shared" si="28"/>
        <v>2008</v>
      </c>
      <c r="G923">
        <f t="shared" si="29"/>
        <v>7</v>
      </c>
      <c r="H923" t="str">
        <f>IF(ISNUMBER(FIND(",", E923)), TRIM(MID(E923, FIND(",", E923) + 1, LEN(E923))), E923)</f>
        <v>Japan</v>
      </c>
    </row>
    <row r="924" spans="1:8" x14ac:dyDescent="0.25">
      <c r="A924" s="2">
        <v>39634</v>
      </c>
      <c r="B924">
        <v>53.881999999999998</v>
      </c>
      <c r="C924">
        <v>152.886</v>
      </c>
      <c r="D924" t="s">
        <v>7</v>
      </c>
      <c r="E924" t="s">
        <v>74</v>
      </c>
      <c r="F924">
        <f t="shared" si="28"/>
        <v>2008</v>
      </c>
      <c r="G924">
        <f t="shared" si="29"/>
        <v>7</v>
      </c>
      <c r="H924" t="str">
        <f>IF(ISNUMBER(FIND(",", E924)), TRIM(MID(E924, FIND(",", E924) + 1, LEN(E924))), E924)</f>
        <v>Sea of Okhotsk</v>
      </c>
    </row>
    <row r="925" spans="1:8" x14ac:dyDescent="0.25">
      <c r="A925" s="2">
        <v>39632</v>
      </c>
      <c r="B925">
        <v>-23.37</v>
      </c>
      <c r="C925">
        <v>-179.77799999999999</v>
      </c>
      <c r="D925" t="s">
        <v>7</v>
      </c>
      <c r="E925" t="s">
        <v>256</v>
      </c>
      <c r="F925">
        <f t="shared" si="28"/>
        <v>2008</v>
      </c>
      <c r="G925">
        <f t="shared" si="29"/>
        <v>7</v>
      </c>
      <c r="H925" t="str">
        <f>IF(ISNUMBER(FIND(",", E925)), TRIM(MID(E925, FIND(",", E925) + 1, LEN(E925))), E925)</f>
        <v>south of the Fiji Islands</v>
      </c>
    </row>
    <row r="926" spans="1:8" x14ac:dyDescent="0.25">
      <c r="A926" s="2">
        <v>39629</v>
      </c>
      <c r="B926">
        <v>-58.226999999999997</v>
      </c>
      <c r="C926">
        <v>-22.099</v>
      </c>
      <c r="D926" t="s">
        <v>7</v>
      </c>
      <c r="E926" t="s">
        <v>260</v>
      </c>
      <c r="F926">
        <f t="shared" si="28"/>
        <v>2008</v>
      </c>
      <c r="G926">
        <f t="shared" si="29"/>
        <v>6</v>
      </c>
      <c r="H926" t="str">
        <f>IF(ISNUMBER(FIND(",", E926)), TRIM(MID(E926, FIND(",", E926) + 1, LEN(E926))), E926)</f>
        <v>South Sandwich Islands region</v>
      </c>
    </row>
    <row r="927" spans="1:8" x14ac:dyDescent="0.25">
      <c r="A927" s="2">
        <v>39628</v>
      </c>
      <c r="B927">
        <v>45.155999999999999</v>
      </c>
      <c r="C927">
        <v>137.446</v>
      </c>
      <c r="D927" t="s">
        <v>7</v>
      </c>
      <c r="E927" t="s">
        <v>344</v>
      </c>
      <c r="F927">
        <f t="shared" si="28"/>
        <v>2008</v>
      </c>
      <c r="G927">
        <f t="shared" si="29"/>
        <v>6</v>
      </c>
      <c r="H927" t="str">
        <f>IF(ISNUMBER(FIND(",", E927)), TRIM(MID(E927, FIND(",", E927) + 1, LEN(E927))), E927)</f>
        <v>Russia</v>
      </c>
    </row>
    <row r="928" spans="1:8" x14ac:dyDescent="0.25">
      <c r="A928" s="2">
        <v>39627</v>
      </c>
      <c r="B928">
        <v>10.847</v>
      </c>
      <c r="C928">
        <v>91.712000000000003</v>
      </c>
      <c r="D928" t="s">
        <v>7</v>
      </c>
      <c r="E928" t="s">
        <v>323</v>
      </c>
      <c r="F928">
        <f t="shared" si="28"/>
        <v>2008</v>
      </c>
      <c r="G928">
        <f t="shared" si="29"/>
        <v>6</v>
      </c>
      <c r="H928" t="str">
        <f>IF(ISNUMBER(FIND(",", E928)), TRIM(MID(E928, FIND(",", E928) + 1, LEN(E928))), E928)</f>
        <v>India region</v>
      </c>
    </row>
    <row r="929" spans="1:8" x14ac:dyDescent="0.25">
      <c r="A929" s="2">
        <v>39626</v>
      </c>
      <c r="B929">
        <v>11.005000000000001</v>
      </c>
      <c r="C929">
        <v>91.823999999999998</v>
      </c>
      <c r="D929" t="s">
        <v>7</v>
      </c>
      <c r="E929" t="s">
        <v>323</v>
      </c>
      <c r="F929">
        <f t="shared" si="28"/>
        <v>2008</v>
      </c>
      <c r="G929">
        <f t="shared" si="29"/>
        <v>6</v>
      </c>
      <c r="H929" t="str">
        <f>IF(ISNUMBER(FIND(",", E929)), TRIM(MID(E929, FIND(",", E929) + 1, LEN(E929))), E929)</f>
        <v>India region</v>
      </c>
    </row>
    <row r="930" spans="1:8" x14ac:dyDescent="0.25">
      <c r="A930" s="2">
        <v>39625</v>
      </c>
      <c r="B930">
        <v>-20.768000000000001</v>
      </c>
      <c r="C930">
        <v>-173.34200000000001</v>
      </c>
      <c r="D930" t="s">
        <v>5</v>
      </c>
      <c r="E930" t="s">
        <v>239</v>
      </c>
      <c r="F930">
        <f t="shared" si="28"/>
        <v>2008</v>
      </c>
      <c r="G930">
        <f t="shared" si="29"/>
        <v>6</v>
      </c>
      <c r="H930" t="str">
        <f>IF(ISNUMBER(FIND(",", E930)), TRIM(MID(E930, FIND(",", E930) + 1, LEN(E930))), E930)</f>
        <v>Tonga</v>
      </c>
    </row>
    <row r="931" spans="1:8" x14ac:dyDescent="0.25">
      <c r="A931" s="2">
        <v>39621</v>
      </c>
      <c r="B931">
        <v>67.697999999999993</v>
      </c>
      <c r="C931">
        <v>141.27600000000001</v>
      </c>
      <c r="D931" t="s">
        <v>7</v>
      </c>
      <c r="E931" t="s">
        <v>397</v>
      </c>
      <c r="F931">
        <f t="shared" si="28"/>
        <v>2008</v>
      </c>
      <c r="G931">
        <f t="shared" si="29"/>
        <v>6</v>
      </c>
      <c r="H931" t="str">
        <f>IF(ISNUMBER(FIND(",", E931)), TRIM(MID(E931, FIND(",", E931) + 1, LEN(E931))), E931)</f>
        <v>Russia</v>
      </c>
    </row>
    <row r="932" spans="1:8" x14ac:dyDescent="0.25">
      <c r="A932" s="2">
        <v>39614</v>
      </c>
      <c r="B932">
        <v>-36.622999999999998</v>
      </c>
      <c r="C932">
        <v>-107.45</v>
      </c>
      <c r="D932" t="s">
        <v>7</v>
      </c>
      <c r="E932" t="s">
        <v>268</v>
      </c>
      <c r="F932">
        <f t="shared" si="28"/>
        <v>2008</v>
      </c>
      <c r="G932">
        <f t="shared" si="29"/>
        <v>6</v>
      </c>
      <c r="H932" t="str">
        <f>IF(ISNUMBER(FIND(",", E932)), TRIM(MID(E932, FIND(",", E932) + 1, LEN(E932))), E932)</f>
        <v>southern East Pacific Rise</v>
      </c>
    </row>
    <row r="933" spans="1:8" x14ac:dyDescent="0.25">
      <c r="A933" s="2">
        <v>39612</v>
      </c>
      <c r="B933">
        <v>39.03</v>
      </c>
      <c r="C933">
        <v>140.881</v>
      </c>
      <c r="D933" t="s">
        <v>7</v>
      </c>
      <c r="E933" t="s">
        <v>293</v>
      </c>
      <c r="F933">
        <f t="shared" si="28"/>
        <v>2008</v>
      </c>
      <c r="G933">
        <f t="shared" si="29"/>
        <v>6</v>
      </c>
      <c r="H933" t="str">
        <f>IF(ISNUMBER(FIND(",", E933)), TRIM(MID(E933, FIND(",", E933) + 1, LEN(E933))), E933)</f>
        <v>Japan</v>
      </c>
    </row>
    <row r="934" spans="1:8" x14ac:dyDescent="0.25">
      <c r="A934" s="2">
        <v>39607</v>
      </c>
      <c r="B934">
        <v>37.963000000000001</v>
      </c>
      <c r="C934">
        <v>21.524999999999999</v>
      </c>
      <c r="D934" t="s">
        <v>7</v>
      </c>
      <c r="E934" t="s">
        <v>398</v>
      </c>
      <c r="F934">
        <f t="shared" si="28"/>
        <v>2008</v>
      </c>
      <c r="G934">
        <f t="shared" si="29"/>
        <v>6</v>
      </c>
      <c r="H934" t="str">
        <f>IF(ISNUMBER(FIND(",", E934)), TRIM(MID(E934, FIND(",", E934) + 1, LEN(E934))), E934)</f>
        <v>southern Greece</v>
      </c>
    </row>
    <row r="935" spans="1:8" x14ac:dyDescent="0.25">
      <c r="A935" s="2">
        <v>39605</v>
      </c>
      <c r="B935">
        <v>-7.4950000000000001</v>
      </c>
      <c r="C935">
        <v>127.88500000000001</v>
      </c>
      <c r="D935" t="s">
        <v>7</v>
      </c>
      <c r="E935" t="s">
        <v>49</v>
      </c>
      <c r="F935">
        <f t="shared" si="28"/>
        <v>2008</v>
      </c>
      <c r="G935">
        <f t="shared" si="29"/>
        <v>6</v>
      </c>
      <c r="H935" t="str">
        <f>IF(ISNUMBER(FIND(",", E935)), TRIM(MID(E935, FIND(",", E935) + 1, LEN(E935))), E935)</f>
        <v>Indonesia</v>
      </c>
    </row>
    <row r="936" spans="1:8" x14ac:dyDescent="0.25">
      <c r="A936" s="2">
        <v>39604</v>
      </c>
      <c r="B936">
        <v>-38.844000000000001</v>
      </c>
      <c r="C936">
        <v>-91.623000000000005</v>
      </c>
      <c r="D936" t="s">
        <v>7</v>
      </c>
      <c r="E936" t="s">
        <v>71</v>
      </c>
      <c r="F936">
        <f t="shared" si="28"/>
        <v>2008</v>
      </c>
      <c r="G936">
        <f t="shared" si="29"/>
        <v>6</v>
      </c>
      <c r="H936" t="str">
        <f>IF(ISNUMBER(FIND(",", E936)), TRIM(MID(E936, FIND(",", E936) + 1, LEN(E936))), E936)</f>
        <v>West Chile Rise</v>
      </c>
    </row>
    <row r="937" spans="1:8" x14ac:dyDescent="0.25">
      <c r="A937" s="2">
        <v>39602</v>
      </c>
      <c r="B937">
        <v>-8.1</v>
      </c>
      <c r="C937">
        <v>120.23099999999999</v>
      </c>
      <c r="D937" t="s">
        <v>7</v>
      </c>
      <c r="E937" t="s">
        <v>399</v>
      </c>
      <c r="F937">
        <f t="shared" si="28"/>
        <v>2008</v>
      </c>
      <c r="G937">
        <f t="shared" si="29"/>
        <v>6</v>
      </c>
      <c r="H937" t="str">
        <f>IF(ISNUMBER(FIND(",", E937)), TRIM(MID(E937, FIND(",", E937) + 1, LEN(E937))), E937)</f>
        <v>Indonesia</v>
      </c>
    </row>
    <row r="938" spans="1:8" x14ac:dyDescent="0.25">
      <c r="A938" s="2">
        <v>39602</v>
      </c>
      <c r="B938">
        <v>-10.509</v>
      </c>
      <c r="C938">
        <v>161.273</v>
      </c>
      <c r="D938" t="s">
        <v>7</v>
      </c>
      <c r="E938" t="s">
        <v>221</v>
      </c>
      <c r="F938">
        <f t="shared" si="28"/>
        <v>2008</v>
      </c>
      <c r="G938">
        <f t="shared" si="29"/>
        <v>6</v>
      </c>
      <c r="H938" t="str">
        <f>IF(ISNUMBER(FIND(",", E938)), TRIM(MID(E938, FIND(",", E938) + 1, LEN(E938))), E938)</f>
        <v>Solomon Islands</v>
      </c>
    </row>
    <row r="939" spans="1:8" x14ac:dyDescent="0.25">
      <c r="A939" s="2">
        <v>39600</v>
      </c>
      <c r="B939">
        <v>-59.384</v>
      </c>
      <c r="C939">
        <v>149.66</v>
      </c>
      <c r="D939" t="s">
        <v>7</v>
      </c>
      <c r="E939" t="s">
        <v>205</v>
      </c>
      <c r="F939">
        <f t="shared" si="28"/>
        <v>2008</v>
      </c>
      <c r="G939">
        <f t="shared" si="29"/>
        <v>6</v>
      </c>
      <c r="H939" t="str">
        <f>IF(ISNUMBER(FIND(",", E939)), TRIM(MID(E939, FIND(",", E939) + 1, LEN(E939))), E939)</f>
        <v>west of Macquarie Island</v>
      </c>
    </row>
    <row r="940" spans="1:8" x14ac:dyDescent="0.25">
      <c r="A940" s="2">
        <v>39600</v>
      </c>
      <c r="B940">
        <v>20.123999999999999</v>
      </c>
      <c r="C940">
        <v>121.35</v>
      </c>
      <c r="D940" t="s">
        <v>7</v>
      </c>
      <c r="E940" t="s">
        <v>400</v>
      </c>
      <c r="F940">
        <f t="shared" si="28"/>
        <v>2008</v>
      </c>
      <c r="G940">
        <f t="shared" si="29"/>
        <v>6</v>
      </c>
      <c r="H940" t="str">
        <f>IF(ISNUMBER(FIND(",", E940)), TRIM(MID(E940, FIND(",", E940) + 1, LEN(E940))), E940)</f>
        <v>Philippines</v>
      </c>
    </row>
    <row r="941" spans="1:8" x14ac:dyDescent="0.25">
      <c r="A941" s="2">
        <v>39599</v>
      </c>
      <c r="B941">
        <v>-41.198</v>
      </c>
      <c r="C941">
        <v>80.478999999999999</v>
      </c>
      <c r="D941" t="s">
        <v>7</v>
      </c>
      <c r="E941" t="s">
        <v>377</v>
      </c>
      <c r="F941">
        <f t="shared" si="28"/>
        <v>2008</v>
      </c>
      <c r="G941">
        <f t="shared" si="29"/>
        <v>5</v>
      </c>
      <c r="H941" t="str">
        <f>IF(ISNUMBER(FIND(",", E941)), TRIM(MID(E941, FIND(",", E941) + 1, LEN(E941))), E941)</f>
        <v>Mid-Indian Ridge</v>
      </c>
    </row>
    <row r="942" spans="1:8" x14ac:dyDescent="0.25">
      <c r="A942" s="2">
        <v>39597</v>
      </c>
      <c r="B942">
        <v>64.004999999999995</v>
      </c>
      <c r="C942">
        <v>-21.013000000000002</v>
      </c>
      <c r="D942" t="s">
        <v>7</v>
      </c>
      <c r="E942" t="s">
        <v>401</v>
      </c>
      <c r="F942">
        <f t="shared" si="28"/>
        <v>2008</v>
      </c>
      <c r="G942">
        <f t="shared" si="29"/>
        <v>5</v>
      </c>
      <c r="H942" t="str">
        <f>IF(ISNUMBER(FIND(",", E942)), TRIM(MID(E942, FIND(",", E942) + 1, LEN(E942))), E942)</f>
        <v>Iceland</v>
      </c>
    </row>
    <row r="943" spans="1:8" x14ac:dyDescent="0.25">
      <c r="A943" s="2">
        <v>39593</v>
      </c>
      <c r="B943">
        <v>56.087000000000003</v>
      </c>
      <c r="C943">
        <v>-153.78</v>
      </c>
      <c r="D943" t="s">
        <v>5</v>
      </c>
      <c r="E943" t="s">
        <v>374</v>
      </c>
      <c r="F943">
        <f t="shared" si="28"/>
        <v>2008</v>
      </c>
      <c r="G943">
        <f t="shared" si="29"/>
        <v>5</v>
      </c>
      <c r="H943" t="str">
        <f>IF(ISNUMBER(FIND(",", E943)), TRIM(MID(E943, FIND(",", E943) + 1, LEN(E943))), E943)</f>
        <v>Alaska</v>
      </c>
    </row>
    <row r="944" spans="1:8" x14ac:dyDescent="0.25">
      <c r="A944" s="2">
        <v>39593</v>
      </c>
      <c r="B944">
        <v>32.56</v>
      </c>
      <c r="C944">
        <v>105.423</v>
      </c>
      <c r="D944" t="s">
        <v>7</v>
      </c>
      <c r="E944" t="s">
        <v>395</v>
      </c>
      <c r="F944">
        <f t="shared" si="28"/>
        <v>2008</v>
      </c>
      <c r="G944">
        <f t="shared" si="29"/>
        <v>5</v>
      </c>
      <c r="H944" t="str">
        <f>IF(ISNUMBER(FIND(",", E944)), TRIM(MID(E944, FIND(",", E944) + 1, LEN(E944))), E944)</f>
        <v>China</v>
      </c>
    </row>
    <row r="945" spans="1:8" x14ac:dyDescent="0.25">
      <c r="A945" s="2">
        <v>39591</v>
      </c>
      <c r="B945">
        <v>7.3129999999999997</v>
      </c>
      <c r="C945">
        <v>-34.896999999999998</v>
      </c>
      <c r="D945" t="s">
        <v>7</v>
      </c>
      <c r="E945" t="s">
        <v>291</v>
      </c>
      <c r="F945">
        <f t="shared" si="28"/>
        <v>2008</v>
      </c>
      <c r="G945">
        <f t="shared" si="29"/>
        <v>5</v>
      </c>
      <c r="H945" t="str">
        <f>IF(ISNUMBER(FIND(",", E945)), TRIM(MID(E945, FIND(",", E945) + 1, LEN(E945))), E945)</f>
        <v>central Mid-Atlantic Ridge</v>
      </c>
    </row>
    <row r="946" spans="1:8" x14ac:dyDescent="0.25">
      <c r="A946" s="2">
        <v>39588</v>
      </c>
      <c r="B946">
        <v>51.161999999999999</v>
      </c>
      <c r="C946">
        <v>178.75899999999999</v>
      </c>
      <c r="D946" t="s">
        <v>7</v>
      </c>
      <c r="E946" t="s">
        <v>366</v>
      </c>
      <c r="F946">
        <f t="shared" si="28"/>
        <v>2008</v>
      </c>
      <c r="G946">
        <f t="shared" si="29"/>
        <v>5</v>
      </c>
      <c r="H946" t="str">
        <f>IF(ISNUMBER(FIND(",", E946)), TRIM(MID(E946, FIND(",", E946) + 1, LEN(E946))), E946)</f>
        <v>Aleutian Islands, Alaska</v>
      </c>
    </row>
    <row r="947" spans="1:8" x14ac:dyDescent="0.25">
      <c r="A947" s="2">
        <v>39587</v>
      </c>
      <c r="B947">
        <v>1.64</v>
      </c>
      <c r="C947">
        <v>99.147000000000006</v>
      </c>
      <c r="D947" t="s">
        <v>7</v>
      </c>
      <c r="E947" t="s">
        <v>226</v>
      </c>
      <c r="F947">
        <f t="shared" si="28"/>
        <v>2008</v>
      </c>
      <c r="G947">
        <f t="shared" si="29"/>
        <v>5</v>
      </c>
      <c r="H947" t="str">
        <f>IF(ISNUMBER(FIND(",", E947)), TRIM(MID(E947, FIND(",", E947) + 1, LEN(E947))), E947)</f>
        <v>Indonesia</v>
      </c>
    </row>
    <row r="948" spans="1:8" x14ac:dyDescent="0.25">
      <c r="A948" s="2">
        <v>39580</v>
      </c>
      <c r="B948">
        <v>31.213999999999999</v>
      </c>
      <c r="C948">
        <v>103.61799999999999</v>
      </c>
      <c r="D948" t="s">
        <v>7</v>
      </c>
      <c r="E948" t="s">
        <v>402</v>
      </c>
      <c r="F948">
        <f t="shared" si="28"/>
        <v>2008</v>
      </c>
      <c r="G948">
        <f t="shared" si="29"/>
        <v>5</v>
      </c>
      <c r="H948" t="str">
        <f>IF(ISNUMBER(FIND(",", E948)), TRIM(MID(E948, FIND(",", E948) + 1, LEN(E948))), E948)</f>
        <v>China</v>
      </c>
    </row>
    <row r="949" spans="1:8" x14ac:dyDescent="0.25">
      <c r="A949" s="2">
        <v>39580</v>
      </c>
      <c r="B949">
        <v>31.001999999999999</v>
      </c>
      <c r="C949">
        <v>103.322</v>
      </c>
      <c r="D949" t="s">
        <v>7</v>
      </c>
      <c r="E949" t="s">
        <v>402</v>
      </c>
      <c r="F949">
        <f t="shared" si="28"/>
        <v>2008</v>
      </c>
      <c r="G949">
        <f t="shared" si="29"/>
        <v>5</v>
      </c>
      <c r="H949" t="str">
        <f>IF(ISNUMBER(FIND(",", E949)), TRIM(MID(E949, FIND(",", E949) + 1, LEN(E949))), E949)</f>
        <v>China</v>
      </c>
    </row>
    <row r="950" spans="1:8" x14ac:dyDescent="0.25">
      <c r="A950" s="2">
        <v>39577</v>
      </c>
      <c r="B950">
        <v>12.516</v>
      </c>
      <c r="C950">
        <v>143.18100000000001</v>
      </c>
      <c r="D950" t="s">
        <v>7</v>
      </c>
      <c r="E950" t="s">
        <v>403</v>
      </c>
      <c r="F950">
        <f t="shared" si="28"/>
        <v>2008</v>
      </c>
      <c r="G950">
        <f t="shared" si="29"/>
        <v>5</v>
      </c>
      <c r="H950" t="str">
        <f>IF(ISNUMBER(FIND(",", E950)), TRIM(MID(E950, FIND(",", E950) + 1, LEN(E950))), E950)</f>
        <v>Guam region</v>
      </c>
    </row>
    <row r="951" spans="1:8" x14ac:dyDescent="0.25">
      <c r="A951" s="2">
        <v>39575</v>
      </c>
      <c r="B951">
        <v>36.164000000000001</v>
      </c>
      <c r="C951">
        <v>141.52600000000001</v>
      </c>
      <c r="D951" t="s">
        <v>7</v>
      </c>
      <c r="E951" t="s">
        <v>227</v>
      </c>
      <c r="F951">
        <f t="shared" si="28"/>
        <v>2008</v>
      </c>
      <c r="G951">
        <f t="shared" si="29"/>
        <v>5</v>
      </c>
      <c r="H951" t="str">
        <f>IF(ISNUMBER(FIND(",", E951)), TRIM(MID(E951, FIND(",", E951) + 1, LEN(E951))), E951)</f>
        <v>Japan</v>
      </c>
    </row>
    <row r="952" spans="1:8" x14ac:dyDescent="0.25">
      <c r="A952" s="2">
        <v>39575</v>
      </c>
      <c r="B952">
        <v>36.155999999999999</v>
      </c>
      <c r="C952">
        <v>141.756</v>
      </c>
      <c r="D952" t="s">
        <v>7</v>
      </c>
      <c r="E952" t="s">
        <v>227</v>
      </c>
      <c r="F952">
        <f t="shared" si="28"/>
        <v>2008</v>
      </c>
      <c r="G952">
        <f t="shared" si="29"/>
        <v>5</v>
      </c>
      <c r="H952" t="str">
        <f>IF(ISNUMBER(FIND(",", E952)), TRIM(MID(E952, FIND(",", E952) + 1, LEN(E952))), E952)</f>
        <v>Japan</v>
      </c>
    </row>
    <row r="953" spans="1:8" x14ac:dyDescent="0.25">
      <c r="A953" s="2">
        <v>39575</v>
      </c>
      <c r="B953">
        <v>36.177999999999997</v>
      </c>
      <c r="C953">
        <v>141.54499999999999</v>
      </c>
      <c r="D953" t="s">
        <v>7</v>
      </c>
      <c r="E953" t="s">
        <v>227</v>
      </c>
      <c r="F953">
        <f t="shared" si="28"/>
        <v>2008</v>
      </c>
      <c r="G953">
        <f t="shared" si="29"/>
        <v>5</v>
      </c>
      <c r="H953" t="str">
        <f>IF(ISNUMBER(FIND(",", E953)), TRIM(MID(E953, FIND(",", E953) + 1, LEN(E953))), E953)</f>
        <v>Japan</v>
      </c>
    </row>
    <row r="954" spans="1:8" x14ac:dyDescent="0.25">
      <c r="A954" s="2">
        <v>39570</v>
      </c>
      <c r="B954">
        <v>51.863999999999997</v>
      </c>
      <c r="C954">
        <v>-177.52799999999999</v>
      </c>
      <c r="D954" t="s">
        <v>7</v>
      </c>
      <c r="E954" t="s">
        <v>207</v>
      </c>
      <c r="F954">
        <f t="shared" si="28"/>
        <v>2008</v>
      </c>
      <c r="G954">
        <f t="shared" si="29"/>
        <v>5</v>
      </c>
      <c r="H954" t="str">
        <f>IF(ISNUMBER(FIND(",", E954)), TRIM(MID(E954, FIND(",", E954) + 1, LEN(E954))), E954)</f>
        <v>Aleutian Islands, Alaska</v>
      </c>
    </row>
    <row r="955" spans="1:8" x14ac:dyDescent="0.25">
      <c r="A955" s="2">
        <v>39566</v>
      </c>
      <c r="B955">
        <v>-20.238</v>
      </c>
      <c r="C955">
        <v>168.82400000000001</v>
      </c>
      <c r="D955" t="s">
        <v>7</v>
      </c>
      <c r="E955" t="s">
        <v>292</v>
      </c>
      <c r="F955">
        <f t="shared" si="28"/>
        <v>2008</v>
      </c>
      <c r="G955">
        <f t="shared" si="29"/>
        <v>4</v>
      </c>
      <c r="H955" t="str">
        <f>IF(ISNUMBER(FIND(",", E955)), TRIM(MID(E955, FIND(",", E955) + 1, LEN(E955))), E955)</f>
        <v>New Caledonia</v>
      </c>
    </row>
    <row r="956" spans="1:8" x14ac:dyDescent="0.25">
      <c r="A956" s="2">
        <v>39566</v>
      </c>
      <c r="B956">
        <v>-19.940999999999999</v>
      </c>
      <c r="C956">
        <v>168.953</v>
      </c>
      <c r="D956" t="s">
        <v>7</v>
      </c>
      <c r="E956" t="s">
        <v>181</v>
      </c>
      <c r="F956">
        <f t="shared" si="28"/>
        <v>2008</v>
      </c>
      <c r="G956">
        <f t="shared" si="29"/>
        <v>4</v>
      </c>
      <c r="H956" t="str">
        <f>IF(ISNUMBER(FIND(",", E956)), TRIM(MID(E956, FIND(",", E956) + 1, LEN(E956))), E956)</f>
        <v>Vanuatu</v>
      </c>
    </row>
    <row r="957" spans="1:8" x14ac:dyDescent="0.25">
      <c r="A957" s="2">
        <v>39566</v>
      </c>
      <c r="B957">
        <v>-58.738999999999997</v>
      </c>
      <c r="C957">
        <v>-24.713999999999999</v>
      </c>
      <c r="D957" t="s">
        <v>7</v>
      </c>
      <c r="E957" t="s">
        <v>260</v>
      </c>
      <c r="F957">
        <f t="shared" si="28"/>
        <v>2008</v>
      </c>
      <c r="G957">
        <f t="shared" si="29"/>
        <v>4</v>
      </c>
      <c r="H957" t="str">
        <f>IF(ISNUMBER(FIND(",", E957)), TRIM(MID(E957, FIND(",", E957) + 1, LEN(E957))), E957)</f>
        <v>South Sandwich Islands region</v>
      </c>
    </row>
    <row r="958" spans="1:8" x14ac:dyDescent="0.25">
      <c r="A958" s="2">
        <v>39564</v>
      </c>
      <c r="B958">
        <v>-49.091000000000001</v>
      </c>
      <c r="C958">
        <v>164.11699999999999</v>
      </c>
      <c r="D958" t="s">
        <v>5</v>
      </c>
      <c r="E958" t="s">
        <v>404</v>
      </c>
      <c r="F958">
        <f t="shared" si="28"/>
        <v>2008</v>
      </c>
      <c r="G958">
        <f t="shared" si="29"/>
        <v>4</v>
      </c>
      <c r="H958" t="str">
        <f>IF(ISNUMBER(FIND(",", E958)), TRIM(MID(E958, FIND(",", E958) + 1, LEN(E958))), E958)</f>
        <v>New Zealand region</v>
      </c>
    </row>
    <row r="959" spans="1:8" x14ac:dyDescent="0.25">
      <c r="A959" s="2">
        <v>39562</v>
      </c>
      <c r="B959">
        <v>-1.1819999999999999</v>
      </c>
      <c r="C959">
        <v>-23.471</v>
      </c>
      <c r="D959" t="s">
        <v>7</v>
      </c>
      <c r="E959" t="s">
        <v>291</v>
      </c>
      <c r="F959">
        <f t="shared" si="28"/>
        <v>2008</v>
      </c>
      <c r="G959">
        <f t="shared" si="29"/>
        <v>4</v>
      </c>
      <c r="H959" t="str">
        <f>IF(ISNUMBER(FIND(",", E959)), TRIM(MID(E959, FIND(",", E959) + 1, LEN(E959))), E959)</f>
        <v>central Mid-Atlantic Ridge</v>
      </c>
    </row>
    <row r="960" spans="1:8" x14ac:dyDescent="0.25">
      <c r="A960" s="2">
        <v>39561</v>
      </c>
      <c r="B960">
        <v>22.881</v>
      </c>
      <c r="C960">
        <v>121.619</v>
      </c>
      <c r="D960" t="s">
        <v>7</v>
      </c>
      <c r="E960" t="s">
        <v>363</v>
      </c>
      <c r="F960">
        <f t="shared" si="28"/>
        <v>2008</v>
      </c>
      <c r="G960">
        <f t="shared" si="29"/>
        <v>4</v>
      </c>
      <c r="H960" t="str">
        <f>IF(ISNUMBER(FIND(",", E960)), TRIM(MID(E960, FIND(",", E960) + 1, LEN(E960))), E960)</f>
        <v>Taiwan region</v>
      </c>
    </row>
    <row r="961" spans="1:8" x14ac:dyDescent="0.25">
      <c r="A961" s="2">
        <v>39557</v>
      </c>
      <c r="B961">
        <v>-7.875</v>
      </c>
      <c r="C961">
        <v>125.72199999999999</v>
      </c>
      <c r="D961" t="s">
        <v>5</v>
      </c>
      <c r="E961" t="s">
        <v>49</v>
      </c>
      <c r="F961">
        <f t="shared" si="28"/>
        <v>2008</v>
      </c>
      <c r="G961">
        <f t="shared" si="29"/>
        <v>4</v>
      </c>
      <c r="H961" t="str">
        <f>IF(ISNUMBER(FIND(",", E961)), TRIM(MID(E961, FIND(",", E961) + 1, LEN(E961))), E961)</f>
        <v>Indonesia</v>
      </c>
    </row>
    <row r="962" spans="1:8" x14ac:dyDescent="0.25">
      <c r="A962" s="2">
        <v>39557</v>
      </c>
      <c r="B962">
        <v>-20.273</v>
      </c>
      <c r="C962">
        <v>168.79599999999999</v>
      </c>
      <c r="D962" t="s">
        <v>7</v>
      </c>
      <c r="E962" t="s">
        <v>292</v>
      </c>
      <c r="F962">
        <f t="shared" ref="F962:F1025" si="30">YEAR(A962)</f>
        <v>2008</v>
      </c>
      <c r="G962">
        <f t="shared" si="29"/>
        <v>4</v>
      </c>
      <c r="H962" t="str">
        <f>IF(ISNUMBER(FIND(",", E962)), TRIM(MID(E962, FIND(",", E962) + 1, LEN(E962))), E962)</f>
        <v>New Caledonia</v>
      </c>
    </row>
    <row r="963" spans="1:8" x14ac:dyDescent="0.25">
      <c r="A963" s="2">
        <v>39557</v>
      </c>
      <c r="B963">
        <v>-7.8150000000000004</v>
      </c>
      <c r="C963">
        <v>125.694</v>
      </c>
      <c r="D963" t="s">
        <v>7</v>
      </c>
      <c r="E963" t="s">
        <v>49</v>
      </c>
      <c r="F963">
        <f t="shared" si="30"/>
        <v>2008</v>
      </c>
      <c r="G963">
        <f t="shared" ref="G963:G1026" si="31">MONTH(A963)</f>
        <v>4</v>
      </c>
      <c r="H963" t="str">
        <f>IF(ISNUMBER(FIND(",", E963)), TRIM(MID(E963, FIND(",", E963) + 1, LEN(E963))), E963)</f>
        <v>Indonesia</v>
      </c>
    </row>
    <row r="964" spans="1:8" x14ac:dyDescent="0.25">
      <c r="A964" s="2">
        <v>39556</v>
      </c>
      <c r="B964">
        <v>-17.341999999999999</v>
      </c>
      <c r="C964">
        <v>-179.02199999999999</v>
      </c>
      <c r="D964" t="s">
        <v>7</v>
      </c>
      <c r="E964" t="s">
        <v>53</v>
      </c>
      <c r="F964">
        <f t="shared" si="30"/>
        <v>2008</v>
      </c>
      <c r="G964">
        <f t="shared" si="31"/>
        <v>4</v>
      </c>
      <c r="H964" t="str">
        <f>IF(ISNUMBER(FIND(",", E964)), TRIM(MID(E964, FIND(",", E964) + 1, LEN(E964))), E964)</f>
        <v>Fiji region</v>
      </c>
    </row>
    <row r="965" spans="1:8" x14ac:dyDescent="0.25">
      <c r="A965" s="2">
        <v>39554</v>
      </c>
      <c r="B965">
        <v>51.878</v>
      </c>
      <c r="C965">
        <v>-179.16499999999999</v>
      </c>
      <c r="D965" t="s">
        <v>7</v>
      </c>
      <c r="E965" t="s">
        <v>207</v>
      </c>
      <c r="F965">
        <f t="shared" si="30"/>
        <v>2008</v>
      </c>
      <c r="G965">
        <f t="shared" si="31"/>
        <v>4</v>
      </c>
      <c r="H965" t="str">
        <f>IF(ISNUMBER(FIND(",", E965)), TRIM(MID(E965, FIND(",", E965) + 1, LEN(E965))), E965)</f>
        <v>Aleutian Islands, Alaska</v>
      </c>
    </row>
    <row r="966" spans="1:8" x14ac:dyDescent="0.25">
      <c r="A966" s="2">
        <v>39554</v>
      </c>
      <c r="B966">
        <v>-18.609000000000002</v>
      </c>
      <c r="C966">
        <v>-175.69900000000001</v>
      </c>
      <c r="D966" t="s">
        <v>7</v>
      </c>
      <c r="E966" t="s">
        <v>239</v>
      </c>
      <c r="F966">
        <f t="shared" si="30"/>
        <v>2008</v>
      </c>
      <c r="G966">
        <f t="shared" si="31"/>
        <v>4</v>
      </c>
      <c r="H966" t="str">
        <f>IF(ISNUMBER(FIND(",", E966)), TRIM(MID(E966, FIND(",", E966) + 1, LEN(E966))), E966)</f>
        <v>Tonga</v>
      </c>
    </row>
    <row r="967" spans="1:8" x14ac:dyDescent="0.25">
      <c r="A967" s="2">
        <v>39553</v>
      </c>
      <c r="B967">
        <v>51.856000000000002</v>
      </c>
      <c r="C967">
        <v>-179.36099999999999</v>
      </c>
      <c r="D967" t="s">
        <v>7</v>
      </c>
      <c r="E967" t="s">
        <v>207</v>
      </c>
      <c r="F967">
        <f t="shared" si="30"/>
        <v>2008</v>
      </c>
      <c r="G967">
        <f t="shared" si="31"/>
        <v>4</v>
      </c>
      <c r="H967" t="str">
        <f>IF(ISNUMBER(FIND(",", E967)), TRIM(MID(E967, FIND(",", E967) + 1, LEN(E967))), E967)</f>
        <v>Aleutian Islands, Alaska</v>
      </c>
    </row>
    <row r="968" spans="1:8" x14ac:dyDescent="0.25">
      <c r="A968" s="2">
        <v>39553</v>
      </c>
      <c r="B968">
        <v>13.564</v>
      </c>
      <c r="C968">
        <v>-90.599000000000004</v>
      </c>
      <c r="D968" t="s">
        <v>7</v>
      </c>
      <c r="E968" t="s">
        <v>196</v>
      </c>
      <c r="F968">
        <f t="shared" si="30"/>
        <v>2008</v>
      </c>
      <c r="G968">
        <f t="shared" si="31"/>
        <v>4</v>
      </c>
      <c r="H968" t="str">
        <f>IF(ISNUMBER(FIND(",", E968)), TRIM(MID(E968, FIND(",", E968) + 1, LEN(E968))), E968)</f>
        <v>offshore Guatemala</v>
      </c>
    </row>
    <row r="969" spans="1:8" x14ac:dyDescent="0.25">
      <c r="A969" s="2">
        <v>39552</v>
      </c>
      <c r="B969">
        <v>-56.021999999999998</v>
      </c>
      <c r="C969">
        <v>-28.035</v>
      </c>
      <c r="D969" t="s">
        <v>7</v>
      </c>
      <c r="E969" t="s">
        <v>260</v>
      </c>
      <c r="F969">
        <f t="shared" si="30"/>
        <v>2008</v>
      </c>
      <c r="G969">
        <f t="shared" si="31"/>
        <v>4</v>
      </c>
      <c r="H969" t="str">
        <f>IF(ISNUMBER(FIND(",", E969)), TRIM(MID(E969, FIND(",", E969) + 1, LEN(E969))), E969)</f>
        <v>South Sandwich Islands region</v>
      </c>
    </row>
    <row r="970" spans="1:8" x14ac:dyDescent="0.25">
      <c r="A970" s="2">
        <v>39550</v>
      </c>
      <c r="B970">
        <v>-55.664000000000001</v>
      </c>
      <c r="C970">
        <v>158.453</v>
      </c>
      <c r="D970" t="s">
        <v>7</v>
      </c>
      <c r="E970" t="s">
        <v>350</v>
      </c>
      <c r="F970">
        <f t="shared" si="30"/>
        <v>2008</v>
      </c>
      <c r="G970">
        <f t="shared" si="31"/>
        <v>4</v>
      </c>
      <c r="H970" t="str">
        <f>IF(ISNUMBER(FIND(",", E970)), TRIM(MID(E970, FIND(",", E970) + 1, LEN(E970))), E970)</f>
        <v>Macquarie Island region</v>
      </c>
    </row>
    <row r="971" spans="1:8" x14ac:dyDescent="0.25">
      <c r="A971" s="2">
        <v>39549</v>
      </c>
      <c r="B971">
        <v>-20.391999999999999</v>
      </c>
      <c r="C971">
        <v>168.839</v>
      </c>
      <c r="D971" t="s">
        <v>7</v>
      </c>
      <c r="E971" t="s">
        <v>292</v>
      </c>
      <c r="F971">
        <f t="shared" si="30"/>
        <v>2008</v>
      </c>
      <c r="G971">
        <f t="shared" si="31"/>
        <v>4</v>
      </c>
      <c r="H971" t="str">
        <f>IF(ISNUMBER(FIND(",", E971)), TRIM(MID(E971, FIND(",", E971) + 1, LEN(E971))), E971)</f>
        <v>New Caledonia</v>
      </c>
    </row>
    <row r="972" spans="1:8" x14ac:dyDescent="0.25">
      <c r="A972" s="2">
        <v>39547</v>
      </c>
      <c r="B972">
        <v>-19.997</v>
      </c>
      <c r="C972">
        <v>168.874</v>
      </c>
      <c r="D972" t="s">
        <v>7</v>
      </c>
      <c r="E972" t="s">
        <v>181</v>
      </c>
      <c r="F972">
        <f t="shared" si="30"/>
        <v>2008</v>
      </c>
      <c r="G972">
        <f t="shared" si="31"/>
        <v>4</v>
      </c>
      <c r="H972" t="str">
        <f>IF(ISNUMBER(FIND(",", E972)), TRIM(MID(E972, FIND(",", E972) + 1, LEN(E972))), E972)</f>
        <v>Vanuatu</v>
      </c>
    </row>
    <row r="973" spans="1:8" x14ac:dyDescent="0.25">
      <c r="A973" s="2">
        <v>39547</v>
      </c>
      <c r="B973">
        <v>-20.071000000000002</v>
      </c>
      <c r="C973">
        <v>168.892</v>
      </c>
      <c r="D973" t="s">
        <v>7</v>
      </c>
      <c r="E973" t="s">
        <v>292</v>
      </c>
      <c r="F973">
        <f t="shared" si="30"/>
        <v>2008</v>
      </c>
      <c r="G973">
        <f t="shared" si="31"/>
        <v>4</v>
      </c>
      <c r="H973" t="str">
        <f>IF(ISNUMBER(FIND(",", E973)), TRIM(MID(E973, FIND(",", E973) + 1, LEN(E973))), E973)</f>
        <v>New Caledonia</v>
      </c>
    </row>
    <row r="974" spans="1:8" x14ac:dyDescent="0.25">
      <c r="A974" s="2">
        <v>39547</v>
      </c>
      <c r="B974">
        <v>-20.184999999999999</v>
      </c>
      <c r="C974">
        <v>168.905</v>
      </c>
      <c r="D974" t="s">
        <v>7</v>
      </c>
      <c r="E974" t="s">
        <v>292</v>
      </c>
      <c r="F974">
        <f t="shared" si="30"/>
        <v>2008</v>
      </c>
      <c r="G974">
        <f t="shared" si="31"/>
        <v>4</v>
      </c>
      <c r="H974" t="str">
        <f>IF(ISNUMBER(FIND(",", E974)), TRIM(MID(E974, FIND(",", E974) + 1, LEN(E974))), E974)</f>
        <v>New Caledonia</v>
      </c>
    </row>
    <row r="975" spans="1:8" x14ac:dyDescent="0.25">
      <c r="A975" s="2">
        <v>39547</v>
      </c>
      <c r="B975">
        <v>-20.175000000000001</v>
      </c>
      <c r="C975">
        <v>168.86099999999999</v>
      </c>
      <c r="D975" t="s">
        <v>7</v>
      </c>
      <c r="E975" t="s">
        <v>292</v>
      </c>
      <c r="F975">
        <f t="shared" si="30"/>
        <v>2008</v>
      </c>
      <c r="G975">
        <f t="shared" si="31"/>
        <v>4</v>
      </c>
      <c r="H975" t="str">
        <f>IF(ISNUMBER(FIND(",", E975)), TRIM(MID(E975, FIND(",", E975) + 1, LEN(E975))), E975)</f>
        <v>New Caledonia</v>
      </c>
    </row>
    <row r="976" spans="1:8" x14ac:dyDescent="0.25">
      <c r="A976" s="2">
        <v>39536</v>
      </c>
      <c r="B976">
        <v>2.855</v>
      </c>
      <c r="C976">
        <v>95.296000000000006</v>
      </c>
      <c r="D976" t="s">
        <v>7</v>
      </c>
      <c r="E976" t="s">
        <v>222</v>
      </c>
      <c r="F976">
        <f t="shared" si="30"/>
        <v>2008</v>
      </c>
      <c r="G976">
        <f t="shared" si="31"/>
        <v>3</v>
      </c>
      <c r="H976" t="str">
        <f>IF(ISNUMBER(FIND(",", E976)), TRIM(MID(E976, FIND(",", E976) + 1, LEN(E976))), E976)</f>
        <v>Indonesia</v>
      </c>
    </row>
    <row r="977" spans="1:8" x14ac:dyDescent="0.25">
      <c r="A977" s="2">
        <v>39531</v>
      </c>
      <c r="B977">
        <v>-20.042999999999999</v>
      </c>
      <c r="C977">
        <v>-68.962999999999994</v>
      </c>
      <c r="D977" t="s">
        <v>5</v>
      </c>
      <c r="E977" t="s">
        <v>237</v>
      </c>
      <c r="F977">
        <f t="shared" si="30"/>
        <v>2008</v>
      </c>
      <c r="G977">
        <f t="shared" si="31"/>
        <v>3</v>
      </c>
      <c r="H977" t="str">
        <f>IF(ISNUMBER(FIND(",", E977)), TRIM(MID(E977, FIND(",", E977) + 1, LEN(E977))), E977)</f>
        <v>Chile</v>
      </c>
    </row>
    <row r="978" spans="1:8" x14ac:dyDescent="0.25">
      <c r="A978" s="2">
        <v>39529</v>
      </c>
      <c r="B978">
        <v>52.176000000000002</v>
      </c>
      <c r="C978">
        <v>-178.71600000000001</v>
      </c>
      <c r="D978" t="s">
        <v>7</v>
      </c>
      <c r="E978" t="s">
        <v>207</v>
      </c>
      <c r="F978">
        <f t="shared" si="30"/>
        <v>2008</v>
      </c>
      <c r="G978">
        <f t="shared" si="31"/>
        <v>3</v>
      </c>
      <c r="H978" t="str">
        <f>IF(ISNUMBER(FIND(",", E978)), TRIM(MID(E978, FIND(",", E978) + 1, LEN(E978))), E978)</f>
        <v>Aleutian Islands, Alaska</v>
      </c>
    </row>
    <row r="979" spans="1:8" x14ac:dyDescent="0.25">
      <c r="A979" s="2">
        <v>39527</v>
      </c>
      <c r="B979">
        <v>35.49</v>
      </c>
      <c r="C979">
        <v>81.466999999999999</v>
      </c>
      <c r="D979" t="s">
        <v>7</v>
      </c>
      <c r="E979" t="s">
        <v>217</v>
      </c>
      <c r="F979">
        <f t="shared" si="30"/>
        <v>2008</v>
      </c>
      <c r="G979">
        <f t="shared" si="31"/>
        <v>3</v>
      </c>
      <c r="H979" t="str">
        <f>IF(ISNUMBER(FIND(",", E979)), TRIM(MID(E979, FIND(",", E979) + 1, LEN(E979))), E979)</f>
        <v>Xinjiang-Xizang border region</v>
      </c>
    </row>
    <row r="980" spans="1:8" x14ac:dyDescent="0.25">
      <c r="A980" s="2">
        <v>39527</v>
      </c>
      <c r="B980">
        <v>6.1920000000000002</v>
      </c>
      <c r="C980">
        <v>126.934</v>
      </c>
      <c r="D980" t="s">
        <v>5</v>
      </c>
      <c r="E980" t="s">
        <v>200</v>
      </c>
      <c r="F980">
        <f t="shared" si="30"/>
        <v>2008</v>
      </c>
      <c r="G980">
        <f t="shared" si="31"/>
        <v>3</v>
      </c>
      <c r="H980" t="str">
        <f>IF(ISNUMBER(FIND(",", E980)), TRIM(MID(E980, FIND(",", E980) + 1, LEN(E980))), E980)</f>
        <v>Philippines</v>
      </c>
    </row>
    <row r="981" spans="1:8" x14ac:dyDescent="0.25">
      <c r="A981" s="2">
        <v>39525</v>
      </c>
      <c r="B981">
        <v>-29.251999999999999</v>
      </c>
      <c r="C981">
        <v>-177.44</v>
      </c>
      <c r="D981" t="s">
        <v>7</v>
      </c>
      <c r="E981" t="s">
        <v>288</v>
      </c>
      <c r="F981">
        <f t="shared" si="30"/>
        <v>2008</v>
      </c>
      <c r="G981">
        <f t="shared" si="31"/>
        <v>3</v>
      </c>
      <c r="H981" t="str">
        <f>IF(ISNUMBER(FIND(",", E981)), TRIM(MID(E981, FIND(",", E981) + 1, LEN(E981))), E981)</f>
        <v>New Zealand</v>
      </c>
    </row>
    <row r="982" spans="1:8" x14ac:dyDescent="0.25">
      <c r="A982" s="2">
        <v>39522</v>
      </c>
      <c r="B982">
        <v>2.7080000000000002</v>
      </c>
      <c r="C982">
        <v>94.596000000000004</v>
      </c>
      <c r="D982" t="s">
        <v>7</v>
      </c>
      <c r="E982" t="s">
        <v>245</v>
      </c>
      <c r="F982">
        <f t="shared" si="30"/>
        <v>2008</v>
      </c>
      <c r="G982">
        <f t="shared" si="31"/>
        <v>3</v>
      </c>
      <c r="H982" t="str">
        <f>IF(ISNUMBER(FIND(",", E982)), TRIM(MID(E982, FIND(",", E982) + 1, LEN(E982))), E982)</f>
        <v>off the west coast of northern Sumatra</v>
      </c>
    </row>
    <row r="983" spans="1:8" x14ac:dyDescent="0.25">
      <c r="A983" s="2">
        <v>39521</v>
      </c>
      <c r="B983">
        <v>26.988</v>
      </c>
      <c r="C983">
        <v>142.59899999999999</v>
      </c>
      <c r="D983" t="s">
        <v>7</v>
      </c>
      <c r="E983" t="s">
        <v>233</v>
      </c>
      <c r="F983">
        <f t="shared" si="30"/>
        <v>2008</v>
      </c>
      <c r="G983">
        <f t="shared" si="31"/>
        <v>3</v>
      </c>
      <c r="H983" t="str">
        <f>IF(ISNUMBER(FIND(",", E983)), TRIM(MID(E983, FIND(",", E983) + 1, LEN(E983))), E983)</f>
        <v>Japan region</v>
      </c>
    </row>
    <row r="984" spans="1:8" x14ac:dyDescent="0.25">
      <c r="A984" s="2">
        <v>39520</v>
      </c>
      <c r="B984">
        <v>-45.491999999999997</v>
      </c>
      <c r="C984">
        <v>35.008000000000003</v>
      </c>
      <c r="D984" t="s">
        <v>7</v>
      </c>
      <c r="E984" t="s">
        <v>369</v>
      </c>
      <c r="F984">
        <f t="shared" si="30"/>
        <v>2008</v>
      </c>
      <c r="G984">
        <f t="shared" si="31"/>
        <v>3</v>
      </c>
      <c r="H984" t="str">
        <f>IF(ISNUMBER(FIND(",", E984)), TRIM(MID(E984, FIND(",", E984) + 1, LEN(E984))), E984)</f>
        <v>Prince Edward Islands region</v>
      </c>
    </row>
    <row r="985" spans="1:8" x14ac:dyDescent="0.25">
      <c r="A985" s="2">
        <v>39519</v>
      </c>
      <c r="B985">
        <v>-16.489000000000001</v>
      </c>
      <c r="C985">
        <v>167.18299999999999</v>
      </c>
      <c r="D985" t="s">
        <v>7</v>
      </c>
      <c r="E985" t="s">
        <v>181</v>
      </c>
      <c r="F985">
        <f t="shared" si="30"/>
        <v>2008</v>
      </c>
      <c r="G985">
        <f t="shared" si="31"/>
        <v>3</v>
      </c>
      <c r="H985" t="str">
        <f>IF(ISNUMBER(FIND(",", E985)), TRIM(MID(E985, FIND(",", E985) + 1, LEN(E985))), E985)</f>
        <v>Vanuatu</v>
      </c>
    </row>
    <row r="986" spans="1:8" x14ac:dyDescent="0.25">
      <c r="A986" s="2">
        <v>39519</v>
      </c>
      <c r="B986">
        <v>-16.567</v>
      </c>
      <c r="C986">
        <v>167.33500000000001</v>
      </c>
      <c r="D986" t="s">
        <v>7</v>
      </c>
      <c r="E986" t="s">
        <v>181</v>
      </c>
      <c r="F986">
        <f t="shared" si="30"/>
        <v>2008</v>
      </c>
      <c r="G986">
        <f t="shared" si="31"/>
        <v>3</v>
      </c>
      <c r="H986" t="str">
        <f>IF(ISNUMBER(FIND(",", E986)), TRIM(MID(E986, FIND(",", E986) + 1, LEN(E986))), E986)</f>
        <v>Vanuatu</v>
      </c>
    </row>
    <row r="987" spans="1:8" x14ac:dyDescent="0.25">
      <c r="A987" s="2">
        <v>39510</v>
      </c>
      <c r="B987">
        <v>13.351000000000001</v>
      </c>
      <c r="C987">
        <v>125.63</v>
      </c>
      <c r="D987" t="s">
        <v>7</v>
      </c>
      <c r="E987" t="s">
        <v>213</v>
      </c>
      <c r="F987">
        <f t="shared" si="30"/>
        <v>2008</v>
      </c>
      <c r="G987">
        <f t="shared" si="31"/>
        <v>3</v>
      </c>
      <c r="H987" t="str">
        <f>IF(ISNUMBER(FIND(",", E987)), TRIM(MID(E987, FIND(",", E987) + 1, LEN(E987))), E987)</f>
        <v>Philippine Islands region</v>
      </c>
    </row>
    <row r="988" spans="1:8" x14ac:dyDescent="0.25">
      <c r="A988" s="2">
        <v>39510</v>
      </c>
      <c r="B988">
        <v>19.913</v>
      </c>
      <c r="C988">
        <v>121.334</v>
      </c>
      <c r="D988" t="s">
        <v>7</v>
      </c>
      <c r="E988" t="s">
        <v>405</v>
      </c>
      <c r="F988">
        <f t="shared" si="30"/>
        <v>2008</v>
      </c>
      <c r="G988">
        <f t="shared" si="31"/>
        <v>3</v>
      </c>
      <c r="H988" t="str">
        <f>IF(ISNUMBER(FIND(",", E988)), TRIM(MID(E988, FIND(",", E988) + 1, LEN(E988))), E988)</f>
        <v>Philippines</v>
      </c>
    </row>
    <row r="989" spans="1:8" x14ac:dyDescent="0.25">
      <c r="A989" s="2">
        <v>39510</v>
      </c>
      <c r="B989">
        <v>46.405999999999999</v>
      </c>
      <c r="C989">
        <v>153.17500000000001</v>
      </c>
      <c r="D989" t="s">
        <v>7</v>
      </c>
      <c r="E989" t="s">
        <v>191</v>
      </c>
      <c r="F989">
        <f t="shared" si="30"/>
        <v>2008</v>
      </c>
      <c r="G989">
        <f t="shared" si="31"/>
        <v>3</v>
      </c>
      <c r="H989" t="str">
        <f>IF(ISNUMBER(FIND(",", E989)), TRIM(MID(E989, FIND(",", E989) + 1, LEN(E989))), E989)</f>
        <v>Kuril Islands</v>
      </c>
    </row>
    <row r="990" spans="1:8" x14ac:dyDescent="0.25">
      <c r="A990" s="2">
        <v>39510</v>
      </c>
      <c r="B990">
        <v>-2.1800000000000002</v>
      </c>
      <c r="C990">
        <v>99.822999999999993</v>
      </c>
      <c r="D990" t="s">
        <v>7</v>
      </c>
      <c r="E990" t="s">
        <v>209</v>
      </c>
      <c r="F990">
        <f t="shared" si="30"/>
        <v>2008</v>
      </c>
      <c r="G990">
        <f t="shared" si="31"/>
        <v>3</v>
      </c>
      <c r="H990" t="str">
        <f>IF(ISNUMBER(FIND(",", E990)), TRIM(MID(E990, FIND(",", E990) + 1, LEN(E990))), E990)</f>
        <v>Indonesia</v>
      </c>
    </row>
    <row r="991" spans="1:8" x14ac:dyDescent="0.25">
      <c r="A991" s="2">
        <v>39505</v>
      </c>
      <c r="B991">
        <v>26.815999999999999</v>
      </c>
      <c r="C991">
        <v>142.43799999999999</v>
      </c>
      <c r="D991" t="s">
        <v>7</v>
      </c>
      <c r="E991" t="s">
        <v>233</v>
      </c>
      <c r="F991">
        <f t="shared" si="30"/>
        <v>2008</v>
      </c>
      <c r="G991">
        <f t="shared" si="31"/>
        <v>2</v>
      </c>
      <c r="H991" t="str">
        <f>IF(ISNUMBER(FIND(",", E991)), TRIM(MID(E991, FIND(",", E991) + 1, LEN(E991))), E991)</f>
        <v>Japan region</v>
      </c>
    </row>
    <row r="992" spans="1:8" x14ac:dyDescent="0.25">
      <c r="A992" s="2">
        <v>39503</v>
      </c>
      <c r="B992">
        <v>-2.2450000000000001</v>
      </c>
      <c r="C992">
        <v>99.808000000000007</v>
      </c>
      <c r="D992" t="s">
        <v>7</v>
      </c>
      <c r="E992" t="s">
        <v>209</v>
      </c>
      <c r="F992">
        <f t="shared" si="30"/>
        <v>2008</v>
      </c>
      <c r="G992">
        <f t="shared" si="31"/>
        <v>2</v>
      </c>
      <c r="H992" t="str">
        <f>IF(ISNUMBER(FIND(",", E992)), TRIM(MID(E992, FIND(",", E992) + 1, LEN(E992))), E992)</f>
        <v>Indonesia</v>
      </c>
    </row>
    <row r="993" spans="1:8" x14ac:dyDescent="0.25">
      <c r="A993" s="2">
        <v>39503</v>
      </c>
      <c r="B993">
        <v>-2.3319999999999999</v>
      </c>
      <c r="C993">
        <v>99.891000000000005</v>
      </c>
      <c r="D993" t="s">
        <v>7</v>
      </c>
      <c r="E993" t="s">
        <v>209</v>
      </c>
      <c r="F993">
        <f t="shared" si="30"/>
        <v>2008</v>
      </c>
      <c r="G993">
        <f t="shared" si="31"/>
        <v>2</v>
      </c>
      <c r="H993" t="str">
        <f>IF(ISNUMBER(FIND(",", E993)), TRIM(MID(E993, FIND(",", E993) + 1, LEN(E993))), E993)</f>
        <v>Indonesia</v>
      </c>
    </row>
    <row r="994" spans="1:8" x14ac:dyDescent="0.25">
      <c r="A994" s="2">
        <v>39503</v>
      </c>
      <c r="B994">
        <v>-2.4860000000000002</v>
      </c>
      <c r="C994">
        <v>99.971999999999994</v>
      </c>
      <c r="D994" t="s">
        <v>7</v>
      </c>
      <c r="E994" t="s">
        <v>209</v>
      </c>
      <c r="F994">
        <f t="shared" si="30"/>
        <v>2008</v>
      </c>
      <c r="G994">
        <f t="shared" si="31"/>
        <v>2</v>
      </c>
      <c r="H994" t="str">
        <f>IF(ISNUMBER(FIND(",", E994)), TRIM(MID(E994, FIND(",", E994) + 1, LEN(E994))), E994)</f>
        <v>Indonesia</v>
      </c>
    </row>
    <row r="995" spans="1:8" x14ac:dyDescent="0.25">
      <c r="A995" s="2">
        <v>39502</v>
      </c>
      <c r="B995">
        <v>-2.4049999999999998</v>
      </c>
      <c r="C995">
        <v>99.930999999999997</v>
      </c>
      <c r="D995" t="s">
        <v>7</v>
      </c>
      <c r="E995" t="s">
        <v>209</v>
      </c>
      <c r="F995">
        <f t="shared" si="30"/>
        <v>2008</v>
      </c>
      <c r="G995">
        <f t="shared" si="31"/>
        <v>2</v>
      </c>
      <c r="H995" t="str">
        <f>IF(ISNUMBER(FIND(",", E995)), TRIM(MID(E995, FIND(",", E995) + 1, LEN(E995))), E995)</f>
        <v>Indonesia</v>
      </c>
    </row>
    <row r="996" spans="1:8" x14ac:dyDescent="0.25">
      <c r="A996" s="2">
        <v>39501</v>
      </c>
      <c r="B996">
        <v>-57.335000000000001</v>
      </c>
      <c r="C996">
        <v>-23.433</v>
      </c>
      <c r="D996" t="s">
        <v>7</v>
      </c>
      <c r="E996" t="s">
        <v>260</v>
      </c>
      <c r="F996">
        <f t="shared" si="30"/>
        <v>2008</v>
      </c>
      <c r="G996">
        <f t="shared" si="31"/>
        <v>2</v>
      </c>
      <c r="H996" t="str">
        <f>IF(ISNUMBER(FIND(",", E996)), TRIM(MID(E996, FIND(",", E996) + 1, LEN(E996))), E996)</f>
        <v>South Sandwich Islands region</v>
      </c>
    </row>
    <row r="997" spans="1:8" x14ac:dyDescent="0.25">
      <c r="A997" s="2">
        <v>39499</v>
      </c>
      <c r="B997">
        <v>41.152999999999999</v>
      </c>
      <c r="C997">
        <v>-114.867</v>
      </c>
      <c r="D997" t="s">
        <v>7</v>
      </c>
      <c r="E997" t="s">
        <v>406</v>
      </c>
      <c r="F997">
        <f t="shared" si="30"/>
        <v>2008</v>
      </c>
      <c r="G997">
        <f t="shared" si="31"/>
        <v>2</v>
      </c>
      <c r="H997" t="str">
        <f>IF(ISNUMBER(FIND(",", E997)), TRIM(MID(E997, FIND(",", E997) + 1, LEN(E997))), E997)</f>
        <v>Nevada</v>
      </c>
    </row>
    <row r="998" spans="1:8" x14ac:dyDescent="0.25">
      <c r="A998" s="2">
        <v>39499</v>
      </c>
      <c r="B998">
        <v>77.078999999999994</v>
      </c>
      <c r="C998">
        <v>18.571000000000002</v>
      </c>
      <c r="D998" t="s">
        <v>7</v>
      </c>
      <c r="E998" t="s">
        <v>407</v>
      </c>
      <c r="F998">
        <f t="shared" si="30"/>
        <v>2008</v>
      </c>
      <c r="G998">
        <f t="shared" si="31"/>
        <v>2</v>
      </c>
      <c r="H998" t="str">
        <f>IF(ISNUMBER(FIND(",", E998)), TRIM(MID(E998, FIND(",", E998) + 1, LEN(E998))), E998)</f>
        <v>Svalbard region</v>
      </c>
    </row>
    <row r="999" spans="1:8" x14ac:dyDescent="0.25">
      <c r="A999" s="2">
        <v>39498</v>
      </c>
      <c r="B999">
        <v>36.287999999999997</v>
      </c>
      <c r="C999">
        <v>21.774999999999999</v>
      </c>
      <c r="D999" t="s">
        <v>7</v>
      </c>
      <c r="E999" t="s">
        <v>398</v>
      </c>
      <c r="F999">
        <f t="shared" si="30"/>
        <v>2008</v>
      </c>
      <c r="G999">
        <f t="shared" si="31"/>
        <v>2</v>
      </c>
      <c r="H999" t="str">
        <f>IF(ISNUMBER(FIND(",", E999)), TRIM(MID(E999, FIND(",", E999) + 1, LEN(E999))), E999)</f>
        <v>southern Greece</v>
      </c>
    </row>
    <row r="1000" spans="1:8" x14ac:dyDescent="0.25">
      <c r="A1000" s="2">
        <v>39498</v>
      </c>
      <c r="B1000">
        <v>2.7679999999999998</v>
      </c>
      <c r="C1000">
        <v>95.963999999999999</v>
      </c>
      <c r="D1000" t="s">
        <v>7</v>
      </c>
      <c r="E1000" t="s">
        <v>222</v>
      </c>
      <c r="F1000">
        <f t="shared" si="30"/>
        <v>2008</v>
      </c>
      <c r="G1000">
        <f t="shared" si="31"/>
        <v>2</v>
      </c>
      <c r="H1000" t="str">
        <f>IF(ISNUMBER(FIND(",", E1000)), TRIM(MID(E1000, FIND(",", E1000) + 1, LEN(E1000))), E1000)</f>
        <v>Indonesia</v>
      </c>
    </row>
    <row r="1001" spans="1:8" x14ac:dyDescent="0.25">
      <c r="A1001" s="2">
        <v>39494</v>
      </c>
      <c r="B1001">
        <v>-21.346</v>
      </c>
      <c r="C1001">
        <v>-68.385000000000005</v>
      </c>
      <c r="D1001" t="s">
        <v>5</v>
      </c>
      <c r="E1001" t="s">
        <v>289</v>
      </c>
      <c r="F1001">
        <f t="shared" si="30"/>
        <v>2008</v>
      </c>
      <c r="G1001">
        <f t="shared" si="31"/>
        <v>2</v>
      </c>
      <c r="H1001" t="str">
        <f>IF(ISNUMBER(FIND(",", E1001)), TRIM(MID(E1001, FIND(",", E1001) + 1, LEN(E1001))), E1001)</f>
        <v>Chile</v>
      </c>
    </row>
    <row r="1002" spans="1:8" x14ac:dyDescent="0.25">
      <c r="A1002" s="2">
        <v>39492</v>
      </c>
      <c r="B1002">
        <v>36.344999999999999</v>
      </c>
      <c r="C1002">
        <v>21.863</v>
      </c>
      <c r="D1002" t="s">
        <v>7</v>
      </c>
      <c r="E1002" t="s">
        <v>398</v>
      </c>
      <c r="F1002">
        <f t="shared" si="30"/>
        <v>2008</v>
      </c>
      <c r="G1002">
        <f t="shared" si="31"/>
        <v>2</v>
      </c>
      <c r="H1002" t="str">
        <f>IF(ISNUMBER(FIND(",", E1002)), TRIM(MID(E1002, FIND(",", E1002) + 1, LEN(E1002))), E1002)</f>
        <v>southern Greece</v>
      </c>
    </row>
    <row r="1003" spans="1:8" x14ac:dyDescent="0.25">
      <c r="A1003" s="2">
        <v>39492</v>
      </c>
      <c r="B1003">
        <v>36.500999999999998</v>
      </c>
      <c r="C1003">
        <v>21.67</v>
      </c>
      <c r="D1003" t="s">
        <v>7</v>
      </c>
      <c r="E1003" t="s">
        <v>398</v>
      </c>
      <c r="F1003">
        <f t="shared" si="30"/>
        <v>2008</v>
      </c>
      <c r="G1003">
        <f t="shared" si="31"/>
        <v>2</v>
      </c>
      <c r="H1003" t="str">
        <f>IF(ISNUMBER(FIND(",", E1003)), TRIM(MID(E1003, FIND(",", E1003) + 1, LEN(E1003))), E1003)</f>
        <v>southern Greece</v>
      </c>
    </row>
    <row r="1004" spans="1:8" x14ac:dyDescent="0.25">
      <c r="A1004" s="2">
        <v>39491</v>
      </c>
      <c r="B1004">
        <v>-8.1579999999999995</v>
      </c>
      <c r="C1004">
        <v>128.64400000000001</v>
      </c>
      <c r="D1004" t="s">
        <v>7</v>
      </c>
      <c r="E1004" t="s">
        <v>408</v>
      </c>
      <c r="F1004">
        <f t="shared" si="30"/>
        <v>2008</v>
      </c>
      <c r="G1004">
        <f t="shared" si="31"/>
        <v>2</v>
      </c>
      <c r="H1004" t="str">
        <f>IF(ISNUMBER(FIND(",", E1004)), TRIM(MID(E1004, FIND(",", E1004) + 1, LEN(E1004))), E1004)</f>
        <v>Timor Sea</v>
      </c>
    </row>
    <row r="1005" spans="1:8" x14ac:dyDescent="0.25">
      <c r="A1005" s="2">
        <v>39490</v>
      </c>
      <c r="B1005">
        <v>16.356999999999999</v>
      </c>
      <c r="C1005">
        <v>-94.304000000000002</v>
      </c>
      <c r="D1005" t="s">
        <v>7</v>
      </c>
      <c r="E1005" t="s">
        <v>251</v>
      </c>
      <c r="F1005">
        <f t="shared" si="30"/>
        <v>2008</v>
      </c>
      <c r="G1005">
        <f t="shared" si="31"/>
        <v>2</v>
      </c>
      <c r="H1005" t="str">
        <f>IF(ISNUMBER(FIND(",", E1005)), TRIM(MID(E1005, FIND(",", E1005) + 1, LEN(E1005))), E1005)</f>
        <v>Mexico</v>
      </c>
    </row>
    <row r="1006" spans="1:8" x14ac:dyDescent="0.25">
      <c r="A1006" s="2">
        <v>39488</v>
      </c>
      <c r="B1006">
        <v>-60.796999999999997</v>
      </c>
      <c r="C1006">
        <v>-25.585999999999999</v>
      </c>
      <c r="D1006" t="s">
        <v>7</v>
      </c>
      <c r="E1006" t="s">
        <v>260</v>
      </c>
      <c r="F1006">
        <f t="shared" si="30"/>
        <v>2008</v>
      </c>
      <c r="G1006">
        <f t="shared" si="31"/>
        <v>2</v>
      </c>
      <c r="H1006" t="str">
        <f>IF(ISNUMBER(FIND(",", E1006)), TRIM(MID(E1006, FIND(",", E1006) + 1, LEN(E1006))), E1006)</f>
        <v>South Sandwich Islands region</v>
      </c>
    </row>
    <row r="1007" spans="1:8" x14ac:dyDescent="0.25">
      <c r="A1007" s="2">
        <v>39487</v>
      </c>
      <c r="B1007">
        <v>-0.23599999999999999</v>
      </c>
      <c r="C1007">
        <v>125.084</v>
      </c>
      <c r="D1007" t="s">
        <v>7</v>
      </c>
      <c r="E1007" t="s">
        <v>186</v>
      </c>
      <c r="F1007">
        <f t="shared" si="30"/>
        <v>2008</v>
      </c>
      <c r="G1007">
        <f t="shared" si="31"/>
        <v>2</v>
      </c>
      <c r="H1007" t="str">
        <f>IF(ISNUMBER(FIND(",", E1007)), TRIM(MID(E1007, FIND(",", E1007) + 1, LEN(E1007))), E1007)</f>
        <v>Molucca Sea</v>
      </c>
    </row>
    <row r="1008" spans="1:8" x14ac:dyDescent="0.25">
      <c r="A1008" s="2">
        <v>39486</v>
      </c>
      <c r="B1008">
        <v>10.670999999999999</v>
      </c>
      <c r="C1008">
        <v>-41.899000000000001</v>
      </c>
      <c r="D1008" t="s">
        <v>7</v>
      </c>
      <c r="E1008" t="s">
        <v>325</v>
      </c>
      <c r="F1008">
        <f t="shared" si="30"/>
        <v>2008</v>
      </c>
      <c r="G1008">
        <f t="shared" si="31"/>
        <v>2</v>
      </c>
      <c r="H1008" t="str">
        <f>IF(ISNUMBER(FIND(",", E1008)), TRIM(MID(E1008, FIND(",", E1008) + 1, LEN(E1008))), E1008)</f>
        <v>northern Mid-Atlantic Ridge</v>
      </c>
    </row>
    <row r="1009" spans="1:8" x14ac:dyDescent="0.25">
      <c r="A1009" s="2">
        <v>39482</v>
      </c>
      <c r="B1009">
        <v>-20.166</v>
      </c>
      <c r="C1009">
        <v>-70.037000000000006</v>
      </c>
      <c r="D1009" t="s">
        <v>7</v>
      </c>
      <c r="E1009" t="s">
        <v>237</v>
      </c>
      <c r="F1009">
        <f t="shared" si="30"/>
        <v>2008</v>
      </c>
      <c r="G1009">
        <f t="shared" si="31"/>
        <v>2</v>
      </c>
      <c r="H1009" t="str">
        <f>IF(ISNUMBER(FIND(",", E1009)), TRIM(MID(E1009, FIND(",", E1009) + 1, LEN(E1009))), E1009)</f>
        <v>Chile</v>
      </c>
    </row>
    <row r="1010" spans="1:8" x14ac:dyDescent="0.25">
      <c r="A1010" s="2">
        <v>39479</v>
      </c>
      <c r="B1010">
        <v>-21.495000000000001</v>
      </c>
      <c r="C1010">
        <v>-179.352</v>
      </c>
      <c r="D1010" t="s">
        <v>5</v>
      </c>
      <c r="E1010" t="s">
        <v>53</v>
      </c>
      <c r="F1010">
        <f t="shared" si="30"/>
        <v>2008</v>
      </c>
      <c r="G1010">
        <f t="shared" si="31"/>
        <v>2</v>
      </c>
      <c r="H1010" t="str">
        <f>IF(ISNUMBER(FIND(",", E1010)), TRIM(MID(E1010, FIND(",", E1010) + 1, LEN(E1010))), E1010)</f>
        <v>Fiji region</v>
      </c>
    </row>
    <row r="1011" spans="1:8" x14ac:dyDescent="0.25">
      <c r="A1011" s="2">
        <v>39477</v>
      </c>
      <c r="B1011">
        <v>-7.3019999999999996</v>
      </c>
      <c r="C1011">
        <v>127.688</v>
      </c>
      <c r="D1011" t="s">
        <v>7</v>
      </c>
      <c r="E1011" t="s">
        <v>49</v>
      </c>
      <c r="F1011">
        <f t="shared" si="30"/>
        <v>2008</v>
      </c>
      <c r="G1011">
        <f t="shared" si="31"/>
        <v>1</v>
      </c>
      <c r="H1011" t="str">
        <f>IF(ISNUMBER(FIND(",", E1011)), TRIM(MID(E1011, FIND(",", E1011) + 1, LEN(E1011))), E1011)</f>
        <v>Indonesia</v>
      </c>
    </row>
    <row r="1012" spans="1:8" x14ac:dyDescent="0.25">
      <c r="A1012" s="2">
        <v>39469</v>
      </c>
      <c r="B1012">
        <v>1.0109999999999999</v>
      </c>
      <c r="C1012">
        <v>97.441999999999993</v>
      </c>
      <c r="D1012" t="s">
        <v>5</v>
      </c>
      <c r="E1012" t="s">
        <v>295</v>
      </c>
      <c r="F1012">
        <f t="shared" si="30"/>
        <v>2008</v>
      </c>
      <c r="G1012">
        <f t="shared" si="31"/>
        <v>1</v>
      </c>
      <c r="H1012" t="str">
        <f>IF(ISNUMBER(FIND(",", E1012)), TRIM(MID(E1012, FIND(",", E1012) + 1, LEN(E1012))), E1012)</f>
        <v>Indonesia</v>
      </c>
    </row>
    <row r="1013" spans="1:8" x14ac:dyDescent="0.25">
      <c r="A1013" s="2">
        <v>39469</v>
      </c>
      <c r="B1013">
        <v>-15.419</v>
      </c>
      <c r="C1013">
        <v>-175.589</v>
      </c>
      <c r="D1013" t="s">
        <v>7</v>
      </c>
      <c r="E1013" t="s">
        <v>239</v>
      </c>
      <c r="F1013">
        <f t="shared" si="30"/>
        <v>2008</v>
      </c>
      <c r="G1013">
        <f t="shared" si="31"/>
        <v>1</v>
      </c>
      <c r="H1013" t="str">
        <f>IF(ISNUMBER(FIND(",", E1013)), TRIM(MID(E1013, FIND(",", E1013) + 1, LEN(E1013))), E1013)</f>
        <v>Tonga</v>
      </c>
    </row>
    <row r="1014" spans="1:8" x14ac:dyDescent="0.25">
      <c r="A1014" s="2">
        <v>39469</v>
      </c>
      <c r="B1014">
        <v>-15.276999999999999</v>
      </c>
      <c r="C1014">
        <v>-175.34800000000001</v>
      </c>
      <c r="D1014" t="s">
        <v>7</v>
      </c>
      <c r="E1014" t="s">
        <v>239</v>
      </c>
      <c r="F1014">
        <f t="shared" si="30"/>
        <v>2008</v>
      </c>
      <c r="G1014">
        <f t="shared" si="31"/>
        <v>1</v>
      </c>
      <c r="H1014" t="str">
        <f>IF(ISNUMBER(FIND(",", E1014)), TRIM(MID(E1014, FIND(",", E1014) + 1, LEN(E1014))), E1014)</f>
        <v>Tonga</v>
      </c>
    </row>
    <row r="1015" spans="1:8" x14ac:dyDescent="0.25">
      <c r="A1015" s="2">
        <v>39467</v>
      </c>
      <c r="B1015">
        <v>2.3460000000000001</v>
      </c>
      <c r="C1015">
        <v>126.816</v>
      </c>
      <c r="D1015" t="s">
        <v>7</v>
      </c>
      <c r="E1015" t="s">
        <v>186</v>
      </c>
      <c r="F1015">
        <f t="shared" si="30"/>
        <v>2008</v>
      </c>
      <c r="G1015">
        <f t="shared" si="31"/>
        <v>1</v>
      </c>
      <c r="H1015" t="str">
        <f>IF(ISNUMBER(FIND(",", E1015)), TRIM(MID(E1015, FIND(",", E1015) + 1, LEN(E1015))), E1015)</f>
        <v>Molucca Sea</v>
      </c>
    </row>
    <row r="1016" spans="1:8" x14ac:dyDescent="0.25">
      <c r="A1016" s="2">
        <v>39462</v>
      </c>
      <c r="B1016">
        <v>-21.984000000000002</v>
      </c>
      <c r="C1016">
        <v>-179.535</v>
      </c>
      <c r="D1016" t="s">
        <v>7</v>
      </c>
      <c r="E1016" t="s">
        <v>53</v>
      </c>
      <c r="F1016">
        <f t="shared" si="30"/>
        <v>2008</v>
      </c>
      <c r="G1016">
        <f t="shared" si="31"/>
        <v>1</v>
      </c>
      <c r="H1016" t="str">
        <f>IF(ISNUMBER(FIND(",", E1016)), TRIM(MID(E1016, FIND(",", E1016) + 1, LEN(E1016))), E1016)</f>
        <v>Fiji region</v>
      </c>
    </row>
    <row r="1017" spans="1:8" x14ac:dyDescent="0.25">
      <c r="A1017" s="2">
        <v>39457</v>
      </c>
      <c r="B1017">
        <v>43.784999999999997</v>
      </c>
      <c r="C1017">
        <v>-127.264</v>
      </c>
      <c r="D1017" t="s">
        <v>7</v>
      </c>
      <c r="E1017" t="s">
        <v>249</v>
      </c>
      <c r="F1017">
        <f t="shared" si="30"/>
        <v>2008</v>
      </c>
      <c r="G1017">
        <f t="shared" si="31"/>
        <v>1</v>
      </c>
      <c r="H1017" t="str">
        <f>IF(ISNUMBER(FIND(",", E1017)), TRIM(MID(E1017, FIND(",", E1017) + 1, LEN(E1017))), E1017)</f>
        <v>off the coast of Oregon</v>
      </c>
    </row>
    <row r="1018" spans="1:8" x14ac:dyDescent="0.25">
      <c r="A1018" s="2">
        <v>39456</v>
      </c>
      <c r="B1018">
        <v>51.649000000000001</v>
      </c>
      <c r="C1018">
        <v>-131.18299999999999</v>
      </c>
      <c r="D1018" t="s">
        <v>7</v>
      </c>
      <c r="E1018" t="s">
        <v>409</v>
      </c>
      <c r="F1018">
        <f t="shared" si="30"/>
        <v>2008</v>
      </c>
      <c r="G1018">
        <f t="shared" si="31"/>
        <v>1</v>
      </c>
      <c r="H1018" t="str">
        <f>IF(ISNUMBER(FIND(",", E1018)), TRIM(MID(E1018, FIND(",", E1018) + 1, LEN(E1018))), E1018)</f>
        <v>Canada</v>
      </c>
    </row>
    <row r="1019" spans="1:8" x14ac:dyDescent="0.25">
      <c r="A1019" s="2">
        <v>39456</v>
      </c>
      <c r="B1019">
        <v>32.287999999999997</v>
      </c>
      <c r="C1019">
        <v>85.165999999999997</v>
      </c>
      <c r="D1019" t="s">
        <v>7</v>
      </c>
      <c r="E1019" t="s">
        <v>388</v>
      </c>
      <c r="F1019">
        <f t="shared" si="30"/>
        <v>2008</v>
      </c>
      <c r="G1019">
        <f t="shared" si="31"/>
        <v>1</v>
      </c>
      <c r="H1019" t="str">
        <f>IF(ISNUMBER(FIND(",", E1019)), TRIM(MID(E1019, FIND(",", E1019) + 1, LEN(E1019))), E1019)</f>
        <v>western Xizang</v>
      </c>
    </row>
    <row r="1020" spans="1:8" x14ac:dyDescent="0.25">
      <c r="A1020" s="2">
        <v>39453</v>
      </c>
      <c r="B1020">
        <v>37.216000000000001</v>
      </c>
      <c r="C1020">
        <v>22.693000000000001</v>
      </c>
      <c r="D1020" t="s">
        <v>5</v>
      </c>
      <c r="E1020" t="s">
        <v>398</v>
      </c>
      <c r="F1020">
        <f t="shared" si="30"/>
        <v>2008</v>
      </c>
      <c r="G1020">
        <f t="shared" si="31"/>
        <v>1</v>
      </c>
      <c r="H1020" t="str">
        <f>IF(ISNUMBER(FIND(",", E1020)), TRIM(MID(E1020, FIND(",", E1020) + 1, LEN(E1020))), E1020)</f>
        <v>southern Greece</v>
      </c>
    </row>
    <row r="1021" spans="1:8" x14ac:dyDescent="0.25">
      <c r="A1021" s="2">
        <v>39452</v>
      </c>
      <c r="B1021">
        <v>51.162999999999997</v>
      </c>
      <c r="C1021">
        <v>-130.542</v>
      </c>
      <c r="D1021" t="s">
        <v>7</v>
      </c>
      <c r="E1021" t="s">
        <v>409</v>
      </c>
      <c r="F1021">
        <f t="shared" si="30"/>
        <v>2008</v>
      </c>
      <c r="G1021">
        <f t="shared" si="31"/>
        <v>1</v>
      </c>
      <c r="H1021" t="str">
        <f>IF(ISNUMBER(FIND(",", E1021)), TRIM(MID(E1021, FIND(",", E1021) + 1, LEN(E1021))), E1021)</f>
        <v>Canada</v>
      </c>
    </row>
    <row r="1022" spans="1:8" x14ac:dyDescent="0.25">
      <c r="A1022" s="2">
        <v>39452</v>
      </c>
      <c r="B1022">
        <v>51.253999999999998</v>
      </c>
      <c r="C1022">
        <v>-130.74600000000001</v>
      </c>
      <c r="D1022" t="s">
        <v>7</v>
      </c>
      <c r="E1022" t="s">
        <v>409</v>
      </c>
      <c r="F1022">
        <f t="shared" si="30"/>
        <v>2008</v>
      </c>
      <c r="G1022">
        <f t="shared" si="31"/>
        <v>1</v>
      </c>
      <c r="H1022" t="str">
        <f>IF(ISNUMBER(FIND(",", E1022)), TRIM(MID(E1022, FIND(",", E1022) + 1, LEN(E1022))), E1022)</f>
        <v>Canada</v>
      </c>
    </row>
    <row r="1023" spans="1:8" x14ac:dyDescent="0.25">
      <c r="A1023" s="2">
        <v>39451</v>
      </c>
      <c r="B1023">
        <v>-2.782</v>
      </c>
      <c r="C1023">
        <v>101.032</v>
      </c>
      <c r="D1023" t="s">
        <v>7</v>
      </c>
      <c r="E1023" t="s">
        <v>308</v>
      </c>
      <c r="F1023">
        <f t="shared" si="30"/>
        <v>2008</v>
      </c>
      <c r="G1023">
        <f t="shared" si="31"/>
        <v>1</v>
      </c>
      <c r="H1023" t="str">
        <f>IF(ISNUMBER(FIND(",", E1023)), TRIM(MID(E1023, FIND(",", E1023) + 1, LEN(E1023))), E1023)</f>
        <v>Indonesia</v>
      </c>
    </row>
    <row r="1024" spans="1:8" x14ac:dyDescent="0.25">
      <c r="A1024" s="2">
        <v>39448</v>
      </c>
      <c r="B1024">
        <v>-5.8780000000000001</v>
      </c>
      <c r="C1024">
        <v>146.88399999999999</v>
      </c>
      <c r="D1024" t="s">
        <v>7</v>
      </c>
      <c r="E1024" t="s">
        <v>243</v>
      </c>
      <c r="F1024">
        <f t="shared" si="30"/>
        <v>2008</v>
      </c>
      <c r="G1024">
        <f t="shared" si="31"/>
        <v>1</v>
      </c>
      <c r="H1024" t="str">
        <f>IF(ISNUMBER(FIND(",", E1024)), TRIM(MID(E1024, FIND(",", E1024) + 1, LEN(E1024))), E1024)</f>
        <v>Papua New Guinea</v>
      </c>
    </row>
    <row r="1025" spans="1:8" x14ac:dyDescent="0.25">
      <c r="A1025" s="2">
        <v>39442</v>
      </c>
      <c r="B1025">
        <v>52.558</v>
      </c>
      <c r="C1025">
        <v>-168.221</v>
      </c>
      <c r="D1025" t="s">
        <v>7</v>
      </c>
      <c r="E1025" t="s">
        <v>219</v>
      </c>
      <c r="F1025">
        <f t="shared" si="30"/>
        <v>2007</v>
      </c>
      <c r="G1025">
        <f t="shared" si="31"/>
        <v>12</v>
      </c>
      <c r="H1025" t="str">
        <f>IF(ISNUMBER(FIND(",", E1025)), TRIM(MID(E1025, FIND(",", E1025) + 1, LEN(E1025))), E1025)</f>
        <v>Aleutian Islands, Alaska</v>
      </c>
    </row>
    <row r="1026" spans="1:8" x14ac:dyDescent="0.25">
      <c r="A1026" s="2">
        <v>39441</v>
      </c>
      <c r="B1026">
        <v>38.503</v>
      </c>
      <c r="C1026">
        <v>142.02600000000001</v>
      </c>
      <c r="D1026" t="s">
        <v>7</v>
      </c>
      <c r="E1026" t="s">
        <v>227</v>
      </c>
      <c r="F1026">
        <f t="shared" ref="F1026:F1089" si="32">YEAR(A1026)</f>
        <v>2007</v>
      </c>
      <c r="G1026">
        <f t="shared" si="31"/>
        <v>12</v>
      </c>
      <c r="H1026" t="str">
        <f>IF(ISNUMBER(FIND(",", E1026)), TRIM(MID(E1026, FIND(",", E1026) + 1, LEN(E1026))), E1026)</f>
        <v>Japan</v>
      </c>
    </row>
    <row r="1027" spans="1:8" x14ac:dyDescent="0.25">
      <c r="A1027" s="2">
        <v>39438</v>
      </c>
      <c r="B1027">
        <v>2.0870000000000002</v>
      </c>
      <c r="C1027">
        <v>96.805999999999997</v>
      </c>
      <c r="D1027" t="s">
        <v>7</v>
      </c>
      <c r="E1027" t="s">
        <v>222</v>
      </c>
      <c r="F1027">
        <f t="shared" si="32"/>
        <v>2007</v>
      </c>
      <c r="G1027">
        <f t="shared" ref="G1027:G1090" si="33">MONTH(A1027)</f>
        <v>12</v>
      </c>
      <c r="H1027" t="str">
        <f>IF(ISNUMBER(FIND(",", E1027)), TRIM(MID(E1027, FIND(",", E1027) + 1, LEN(E1027))), E1027)</f>
        <v>Indonesia</v>
      </c>
    </row>
    <row r="1028" spans="1:8" x14ac:dyDescent="0.25">
      <c r="A1028" s="2">
        <v>39438</v>
      </c>
      <c r="B1028">
        <v>-2.407</v>
      </c>
      <c r="C1028">
        <v>139.06700000000001</v>
      </c>
      <c r="D1028" t="s">
        <v>7</v>
      </c>
      <c r="E1028" t="s">
        <v>241</v>
      </c>
      <c r="F1028">
        <f t="shared" si="32"/>
        <v>2007</v>
      </c>
      <c r="G1028">
        <f t="shared" si="33"/>
        <v>12</v>
      </c>
      <c r="H1028" t="str">
        <f>IF(ISNUMBER(FIND(",", E1028)), TRIM(MID(E1028, FIND(",", E1028) + 1, LEN(E1028))), E1028)</f>
        <v>Indonesia</v>
      </c>
    </row>
    <row r="1029" spans="1:8" x14ac:dyDescent="0.25">
      <c r="A1029" s="2">
        <v>39437</v>
      </c>
      <c r="B1029">
        <v>51.366</v>
      </c>
      <c r="C1029">
        <v>-178.97900000000001</v>
      </c>
      <c r="D1029" t="s">
        <v>7</v>
      </c>
      <c r="E1029" t="s">
        <v>207</v>
      </c>
      <c r="F1029">
        <f t="shared" si="32"/>
        <v>2007</v>
      </c>
      <c r="G1029">
        <f t="shared" si="33"/>
        <v>12</v>
      </c>
      <c r="H1029" t="str">
        <f>IF(ISNUMBER(FIND(",", E1029)), TRIM(MID(E1029, FIND(",", E1029) + 1, LEN(E1029))), E1029)</f>
        <v>Aleutian Islands, Alaska</v>
      </c>
    </row>
    <row r="1030" spans="1:8" x14ac:dyDescent="0.25">
      <c r="A1030" s="2">
        <v>39436</v>
      </c>
      <c r="B1030">
        <v>-39.011000000000003</v>
      </c>
      <c r="C1030">
        <v>178.291</v>
      </c>
      <c r="D1030" t="s">
        <v>7</v>
      </c>
      <c r="E1030" t="s">
        <v>410</v>
      </c>
      <c r="F1030">
        <f t="shared" si="32"/>
        <v>2007</v>
      </c>
      <c r="G1030">
        <f t="shared" si="33"/>
        <v>12</v>
      </c>
      <c r="H1030" t="str">
        <f>IF(ISNUMBER(FIND(",", E1030)), TRIM(MID(E1030, FIND(",", E1030) + 1, LEN(E1030))), E1030)</f>
        <v>off the east coast of the North Island of New Zealand</v>
      </c>
    </row>
    <row r="1031" spans="1:8" x14ac:dyDescent="0.25">
      <c r="A1031" s="2">
        <v>39435</v>
      </c>
      <c r="B1031">
        <v>51.36</v>
      </c>
      <c r="C1031">
        <v>-179.50899999999999</v>
      </c>
      <c r="D1031" t="s">
        <v>7</v>
      </c>
      <c r="E1031" t="s">
        <v>207</v>
      </c>
      <c r="F1031">
        <f t="shared" si="32"/>
        <v>2007</v>
      </c>
      <c r="G1031">
        <f t="shared" si="33"/>
        <v>12</v>
      </c>
      <c r="H1031" t="str">
        <f>IF(ISNUMBER(FIND(",", E1031)), TRIM(MID(E1031, FIND(",", E1031) + 1, LEN(E1031))), E1031)</f>
        <v>Aleutian Islands, Alaska</v>
      </c>
    </row>
    <row r="1032" spans="1:8" x14ac:dyDescent="0.25">
      <c r="A1032" s="2">
        <v>39432</v>
      </c>
      <c r="B1032">
        <v>-22.954000000000001</v>
      </c>
      <c r="C1032">
        <v>-70.182000000000002</v>
      </c>
      <c r="D1032" t="s">
        <v>5</v>
      </c>
      <c r="E1032" t="s">
        <v>289</v>
      </c>
      <c r="F1032">
        <f t="shared" si="32"/>
        <v>2007</v>
      </c>
      <c r="G1032">
        <f t="shared" si="33"/>
        <v>12</v>
      </c>
      <c r="H1032" t="str">
        <f>IF(ISNUMBER(FIND(",", E1032)), TRIM(MID(E1032, FIND(",", E1032) + 1, LEN(E1032))), E1032)</f>
        <v>Chile</v>
      </c>
    </row>
    <row r="1033" spans="1:8" x14ac:dyDescent="0.25">
      <c r="A1033" s="2">
        <v>39431</v>
      </c>
      <c r="B1033">
        <v>-6.6219999999999999</v>
      </c>
      <c r="C1033">
        <v>131.09</v>
      </c>
      <c r="D1033" t="s">
        <v>7</v>
      </c>
      <c r="E1033" t="s">
        <v>411</v>
      </c>
      <c r="F1033">
        <f t="shared" si="32"/>
        <v>2007</v>
      </c>
      <c r="G1033">
        <f t="shared" si="33"/>
        <v>12</v>
      </c>
      <c r="H1033" t="str">
        <f>IF(ISNUMBER(FIND(",", E1033)), TRIM(MID(E1033, FIND(",", E1033) + 1, LEN(E1033))), E1033)</f>
        <v>Indonesia</v>
      </c>
    </row>
    <row r="1034" spans="1:8" x14ac:dyDescent="0.25">
      <c r="A1034" s="2">
        <v>39431</v>
      </c>
      <c r="B1034">
        <v>-7.5259999999999998</v>
      </c>
      <c r="C1034">
        <v>127.474</v>
      </c>
      <c r="D1034" t="s">
        <v>7</v>
      </c>
      <c r="E1034" t="s">
        <v>49</v>
      </c>
      <c r="F1034">
        <f t="shared" si="32"/>
        <v>2007</v>
      </c>
      <c r="G1034">
        <f t="shared" si="33"/>
        <v>12</v>
      </c>
      <c r="H1034" t="str">
        <f>IF(ISNUMBER(FIND(",", E1034)), TRIM(MID(E1034, FIND(",", E1034) + 1, LEN(E1034))), E1034)</f>
        <v>Indonesia</v>
      </c>
    </row>
    <row r="1035" spans="1:8" x14ac:dyDescent="0.25">
      <c r="A1035" s="2">
        <v>39429</v>
      </c>
      <c r="B1035">
        <v>-15.212999999999999</v>
      </c>
      <c r="C1035">
        <v>-172.36699999999999</v>
      </c>
      <c r="D1035" t="s">
        <v>7</v>
      </c>
      <c r="E1035" t="s">
        <v>352</v>
      </c>
      <c r="F1035">
        <f t="shared" si="32"/>
        <v>2007</v>
      </c>
      <c r="G1035">
        <f t="shared" si="33"/>
        <v>12</v>
      </c>
      <c r="H1035" t="str">
        <f>IF(ISNUMBER(FIND(",", E1035)), TRIM(MID(E1035, FIND(",", E1035) + 1, LEN(E1035))), E1035)</f>
        <v>Samoa Islands region</v>
      </c>
    </row>
    <row r="1036" spans="1:8" x14ac:dyDescent="0.25">
      <c r="A1036" s="2">
        <v>39429</v>
      </c>
      <c r="B1036">
        <v>-23.202000000000002</v>
      </c>
      <c r="C1036">
        <v>-70.549000000000007</v>
      </c>
      <c r="D1036" t="s">
        <v>7</v>
      </c>
      <c r="E1036" t="s">
        <v>289</v>
      </c>
      <c r="F1036">
        <f t="shared" si="32"/>
        <v>2007</v>
      </c>
      <c r="G1036">
        <f t="shared" si="33"/>
        <v>12</v>
      </c>
      <c r="H1036" t="str">
        <f>IF(ISNUMBER(FIND(",", E1036)), TRIM(MID(E1036, FIND(",", E1036) + 1, LEN(E1036))), E1036)</f>
        <v>Chile</v>
      </c>
    </row>
    <row r="1037" spans="1:8" x14ac:dyDescent="0.25">
      <c r="A1037" s="2">
        <v>39429</v>
      </c>
      <c r="B1037">
        <v>-23.157</v>
      </c>
      <c r="C1037">
        <v>-70.478999999999999</v>
      </c>
      <c r="D1037" t="s">
        <v>7</v>
      </c>
      <c r="E1037" t="s">
        <v>289</v>
      </c>
      <c r="F1037">
        <f t="shared" si="32"/>
        <v>2007</v>
      </c>
      <c r="G1037">
        <f t="shared" si="33"/>
        <v>12</v>
      </c>
      <c r="H1037" t="str">
        <f>IF(ISNUMBER(FIND(",", E1037)), TRIM(MID(E1037, FIND(",", E1037) + 1, LEN(E1037))), E1037)</f>
        <v>Chile</v>
      </c>
    </row>
    <row r="1038" spans="1:8" x14ac:dyDescent="0.25">
      <c r="A1038" s="2">
        <v>39425</v>
      </c>
      <c r="B1038">
        <v>-25.995999999999999</v>
      </c>
      <c r="C1038">
        <v>-177.51400000000001</v>
      </c>
      <c r="D1038" t="s">
        <v>7</v>
      </c>
      <c r="E1038" t="s">
        <v>256</v>
      </c>
      <c r="F1038">
        <f t="shared" si="32"/>
        <v>2007</v>
      </c>
      <c r="G1038">
        <f t="shared" si="33"/>
        <v>12</v>
      </c>
      <c r="H1038" t="str">
        <f>IF(ISNUMBER(FIND(",", E1038)), TRIM(MID(E1038, FIND(",", E1038) + 1, LEN(E1038))), E1038)</f>
        <v>south of the Fiji Islands</v>
      </c>
    </row>
    <row r="1039" spans="1:8" x14ac:dyDescent="0.25">
      <c r="A1039" s="2">
        <v>39415</v>
      </c>
      <c r="B1039">
        <v>14.944000000000001</v>
      </c>
      <c r="C1039">
        <v>-61.274000000000001</v>
      </c>
      <c r="D1039" t="s">
        <v>5</v>
      </c>
      <c r="E1039" t="s">
        <v>412</v>
      </c>
      <c r="F1039">
        <f t="shared" si="32"/>
        <v>2007</v>
      </c>
      <c r="G1039">
        <f t="shared" si="33"/>
        <v>11</v>
      </c>
      <c r="H1039" t="str">
        <f>IF(ISNUMBER(FIND(",", E1039)), TRIM(MID(E1039, FIND(",", E1039) + 1, LEN(E1039))), E1039)</f>
        <v>Windward Islands</v>
      </c>
    </row>
    <row r="1040" spans="1:8" x14ac:dyDescent="0.25">
      <c r="A1040" s="2">
        <v>39415</v>
      </c>
      <c r="B1040">
        <v>-36.756</v>
      </c>
      <c r="C1040">
        <v>-97.403999999999996</v>
      </c>
      <c r="D1040" t="s">
        <v>7</v>
      </c>
      <c r="E1040" t="s">
        <v>71</v>
      </c>
      <c r="F1040">
        <f t="shared" si="32"/>
        <v>2007</v>
      </c>
      <c r="G1040">
        <f t="shared" si="33"/>
        <v>11</v>
      </c>
      <c r="H1040" t="str">
        <f>IF(ISNUMBER(FIND(",", E1040)), TRIM(MID(E1040, FIND(",", E1040) + 1, LEN(E1040))), E1040)</f>
        <v>West Chile Rise</v>
      </c>
    </row>
    <row r="1041" spans="1:8" x14ac:dyDescent="0.25">
      <c r="A1041" s="2">
        <v>39413</v>
      </c>
      <c r="B1041">
        <v>-10.95</v>
      </c>
      <c r="C1041">
        <v>162.149</v>
      </c>
      <c r="D1041" t="s">
        <v>7</v>
      </c>
      <c r="E1041" t="s">
        <v>221</v>
      </c>
      <c r="F1041">
        <f t="shared" si="32"/>
        <v>2007</v>
      </c>
      <c r="G1041">
        <f t="shared" si="33"/>
        <v>11</v>
      </c>
      <c r="H1041" t="str">
        <f>IF(ISNUMBER(FIND(",", E1041)), TRIM(MID(E1041, FIND(",", E1041) + 1, LEN(E1041))), E1041)</f>
        <v>Solomon Islands</v>
      </c>
    </row>
    <row r="1042" spans="1:8" x14ac:dyDescent="0.25">
      <c r="A1042" s="2">
        <v>39411</v>
      </c>
      <c r="B1042">
        <v>-8.2240000000000002</v>
      </c>
      <c r="C1042">
        <v>118.467</v>
      </c>
      <c r="D1042" t="s">
        <v>7</v>
      </c>
      <c r="E1042" t="s">
        <v>349</v>
      </c>
      <c r="F1042">
        <f t="shared" si="32"/>
        <v>2007</v>
      </c>
      <c r="G1042">
        <f t="shared" si="33"/>
        <v>11</v>
      </c>
      <c r="H1042" t="str">
        <f>IF(ISNUMBER(FIND(",", E1042)), TRIM(MID(E1042, FIND(",", E1042) + 1, LEN(E1042))), E1042)</f>
        <v>Indonesia</v>
      </c>
    </row>
    <row r="1043" spans="1:8" x14ac:dyDescent="0.25">
      <c r="A1043" s="2">
        <v>39411</v>
      </c>
      <c r="B1043">
        <v>-2.238</v>
      </c>
      <c r="C1043">
        <v>100.413</v>
      </c>
      <c r="D1043" t="s">
        <v>5</v>
      </c>
      <c r="E1043" t="s">
        <v>209</v>
      </c>
      <c r="F1043">
        <f t="shared" si="32"/>
        <v>2007</v>
      </c>
      <c r="G1043">
        <f t="shared" si="33"/>
        <v>11</v>
      </c>
      <c r="H1043" t="str">
        <f>IF(ISNUMBER(FIND(",", E1043)), TRIM(MID(E1043, FIND(",", E1043) + 1, LEN(E1043))), E1043)</f>
        <v>Indonesia</v>
      </c>
    </row>
    <row r="1044" spans="1:8" x14ac:dyDescent="0.25">
      <c r="A1044" s="2">
        <v>39411</v>
      </c>
      <c r="B1044">
        <v>-8.2919999999999998</v>
      </c>
      <c r="C1044">
        <v>118.37</v>
      </c>
      <c r="D1044" t="s">
        <v>7</v>
      </c>
      <c r="E1044" t="s">
        <v>349</v>
      </c>
      <c r="F1044">
        <f t="shared" si="32"/>
        <v>2007</v>
      </c>
      <c r="G1044">
        <f t="shared" si="33"/>
        <v>11</v>
      </c>
      <c r="H1044" t="str">
        <f>IF(ISNUMBER(FIND(",", E1044)), TRIM(MID(E1044, FIND(",", E1044) + 1, LEN(E1044))), E1044)</f>
        <v>Indonesia</v>
      </c>
    </row>
    <row r="1045" spans="1:8" x14ac:dyDescent="0.25">
      <c r="A1045" s="2">
        <v>39408</v>
      </c>
      <c r="B1045">
        <v>-5.7569999999999997</v>
      </c>
      <c r="C1045">
        <v>147.09800000000001</v>
      </c>
      <c r="D1045" t="s">
        <v>7</v>
      </c>
      <c r="E1045" t="s">
        <v>243</v>
      </c>
      <c r="F1045">
        <f t="shared" si="32"/>
        <v>2007</v>
      </c>
      <c r="G1045">
        <f t="shared" si="33"/>
        <v>11</v>
      </c>
      <c r="H1045" t="str">
        <f>IF(ISNUMBER(FIND(",", E1045)), TRIM(MID(E1045, FIND(",", E1045) + 1, LEN(E1045))), E1045)</f>
        <v>Papua New Guinea</v>
      </c>
    </row>
    <row r="1046" spans="1:8" x14ac:dyDescent="0.25">
      <c r="A1046" s="2">
        <v>39406</v>
      </c>
      <c r="B1046">
        <v>-22.917000000000002</v>
      </c>
      <c r="C1046">
        <v>-70.483000000000004</v>
      </c>
      <c r="D1046" t="s">
        <v>7</v>
      </c>
      <c r="E1046" t="s">
        <v>413</v>
      </c>
      <c r="F1046">
        <f t="shared" si="32"/>
        <v>2007</v>
      </c>
      <c r="G1046">
        <f t="shared" si="33"/>
        <v>11</v>
      </c>
      <c r="H1046" t="str">
        <f>IF(ISNUMBER(FIND(",", E1046)), TRIM(MID(E1046, FIND(",", E1046) + 1, LEN(E1046))), E1046)</f>
        <v>Chile</v>
      </c>
    </row>
    <row r="1047" spans="1:8" x14ac:dyDescent="0.25">
      <c r="A1047" s="2">
        <v>39406</v>
      </c>
      <c r="B1047">
        <v>-6.907</v>
      </c>
      <c r="C1047">
        <v>155.672</v>
      </c>
      <c r="D1047" t="s">
        <v>5</v>
      </c>
      <c r="E1047" t="s">
        <v>290</v>
      </c>
      <c r="F1047">
        <f t="shared" si="32"/>
        <v>2007</v>
      </c>
      <c r="G1047">
        <f t="shared" si="33"/>
        <v>11</v>
      </c>
      <c r="H1047" t="str">
        <f>IF(ISNUMBER(FIND(",", E1047)), TRIM(MID(E1047, FIND(",", E1047) + 1, LEN(E1047))), E1047)</f>
        <v>Papua New Guinea</v>
      </c>
    </row>
    <row r="1048" spans="1:8" x14ac:dyDescent="0.25">
      <c r="A1048" s="2">
        <v>39405</v>
      </c>
      <c r="B1048">
        <v>-21.968</v>
      </c>
      <c r="C1048">
        <v>173.48599999999999</v>
      </c>
      <c r="D1048" t="s">
        <v>7</v>
      </c>
      <c r="E1048" t="s">
        <v>281</v>
      </c>
      <c r="F1048">
        <f t="shared" si="32"/>
        <v>2007</v>
      </c>
      <c r="G1048">
        <f t="shared" si="33"/>
        <v>11</v>
      </c>
      <c r="H1048" t="str">
        <f>IF(ISNUMBER(FIND(",", E1048)), TRIM(MID(E1048, FIND(",", E1048) + 1, LEN(E1048))), E1048)</f>
        <v>Vanuatu region</v>
      </c>
    </row>
    <row r="1049" spans="1:8" x14ac:dyDescent="0.25">
      <c r="A1049" s="2">
        <v>39405</v>
      </c>
      <c r="B1049">
        <v>-21.184999999999999</v>
      </c>
      <c r="C1049">
        <v>-178.75200000000001</v>
      </c>
      <c r="D1049" t="s">
        <v>5</v>
      </c>
      <c r="E1049" t="s">
        <v>53</v>
      </c>
      <c r="F1049">
        <f t="shared" si="32"/>
        <v>2007</v>
      </c>
      <c r="G1049">
        <f t="shared" si="33"/>
        <v>11</v>
      </c>
      <c r="H1049" t="str">
        <f>IF(ISNUMBER(FIND(",", E1049)), TRIM(MID(E1049, FIND(",", E1049) + 1, LEN(E1049))), E1049)</f>
        <v>Fiji region</v>
      </c>
    </row>
    <row r="1050" spans="1:8" x14ac:dyDescent="0.25">
      <c r="A1050" s="2">
        <v>39404</v>
      </c>
      <c r="B1050">
        <v>-22.643000000000001</v>
      </c>
      <c r="C1050">
        <v>-66.322999999999993</v>
      </c>
      <c r="D1050" t="s">
        <v>5</v>
      </c>
      <c r="E1050" t="s">
        <v>347</v>
      </c>
      <c r="F1050">
        <f t="shared" si="32"/>
        <v>2007</v>
      </c>
      <c r="G1050">
        <f t="shared" si="33"/>
        <v>11</v>
      </c>
      <c r="H1050" t="str">
        <f>IF(ISNUMBER(FIND(",", E1050)), TRIM(MID(E1050, FIND(",", E1050) + 1, LEN(E1050))), E1050)</f>
        <v>Argentina</v>
      </c>
    </row>
    <row r="1051" spans="1:8" x14ac:dyDescent="0.25">
      <c r="A1051" s="2">
        <v>39402</v>
      </c>
      <c r="B1051">
        <v>-2.3119999999999998</v>
      </c>
      <c r="C1051">
        <v>-77.837999999999994</v>
      </c>
      <c r="D1051" t="s">
        <v>7</v>
      </c>
      <c r="E1051" t="s">
        <v>414</v>
      </c>
      <c r="F1051">
        <f t="shared" si="32"/>
        <v>2007</v>
      </c>
      <c r="G1051">
        <f t="shared" si="33"/>
        <v>11</v>
      </c>
      <c r="H1051" t="str">
        <f>IF(ISNUMBER(FIND(",", E1051)), TRIM(MID(E1051, FIND(",", E1051) + 1, LEN(E1051))), E1051)</f>
        <v>Peru-Ecuador border region</v>
      </c>
    </row>
    <row r="1052" spans="1:8" x14ac:dyDescent="0.25">
      <c r="A1052" s="2">
        <v>39401</v>
      </c>
      <c r="B1052">
        <v>-22.925000000000001</v>
      </c>
      <c r="C1052">
        <v>-70.236999999999995</v>
      </c>
      <c r="D1052" t="s">
        <v>7</v>
      </c>
      <c r="E1052" t="s">
        <v>289</v>
      </c>
      <c r="F1052">
        <f t="shared" si="32"/>
        <v>2007</v>
      </c>
      <c r="G1052">
        <f t="shared" si="33"/>
        <v>11</v>
      </c>
      <c r="H1052" t="str">
        <f>IF(ISNUMBER(FIND(",", E1052)), TRIM(MID(E1052, FIND(",", E1052) + 1, LEN(E1052))), E1052)</f>
        <v>Chile</v>
      </c>
    </row>
    <row r="1053" spans="1:8" x14ac:dyDescent="0.25">
      <c r="A1053" s="2">
        <v>39401</v>
      </c>
      <c r="B1053">
        <v>-22.867000000000001</v>
      </c>
      <c r="C1053">
        <v>-70.406999999999996</v>
      </c>
      <c r="D1053" t="s">
        <v>7</v>
      </c>
      <c r="E1053" t="s">
        <v>413</v>
      </c>
      <c r="F1053">
        <f t="shared" si="32"/>
        <v>2007</v>
      </c>
      <c r="G1053">
        <f t="shared" si="33"/>
        <v>11</v>
      </c>
      <c r="H1053" t="str">
        <f>IF(ISNUMBER(FIND(",", E1053)), TRIM(MID(E1053, FIND(",", E1053) + 1, LEN(E1053))), E1053)</f>
        <v>Chile</v>
      </c>
    </row>
    <row r="1054" spans="1:8" x14ac:dyDescent="0.25">
      <c r="A1054" s="2">
        <v>39400</v>
      </c>
      <c r="B1054">
        <v>-22.247</v>
      </c>
      <c r="C1054">
        <v>-69.89</v>
      </c>
      <c r="D1054" t="s">
        <v>7</v>
      </c>
      <c r="E1054" t="s">
        <v>289</v>
      </c>
      <c r="F1054">
        <f t="shared" si="32"/>
        <v>2007</v>
      </c>
      <c r="G1054">
        <f t="shared" si="33"/>
        <v>11</v>
      </c>
      <c r="H1054" t="str">
        <f>IF(ISNUMBER(FIND(",", E1054)), TRIM(MID(E1054, FIND(",", E1054) + 1, LEN(E1054))), E1054)</f>
        <v>Chile</v>
      </c>
    </row>
    <row r="1055" spans="1:8" x14ac:dyDescent="0.25">
      <c r="A1055" s="2">
        <v>39396</v>
      </c>
      <c r="B1055">
        <v>-51.777000000000001</v>
      </c>
      <c r="C1055">
        <v>161.31800000000001</v>
      </c>
      <c r="D1055" t="s">
        <v>7</v>
      </c>
      <c r="E1055" t="s">
        <v>415</v>
      </c>
      <c r="F1055">
        <f t="shared" si="32"/>
        <v>2007</v>
      </c>
      <c r="G1055">
        <f t="shared" si="33"/>
        <v>11</v>
      </c>
      <c r="H1055" t="str">
        <f>IF(ISNUMBER(FIND(",", E1055)), TRIM(MID(E1055, FIND(",", E1055) + 1, LEN(E1055))), E1055)</f>
        <v>north of Macquarie Island</v>
      </c>
    </row>
    <row r="1056" spans="1:8" x14ac:dyDescent="0.25">
      <c r="A1056" s="2">
        <v>39388</v>
      </c>
      <c r="B1056">
        <v>-55.466000000000001</v>
      </c>
      <c r="C1056">
        <v>-128.96600000000001</v>
      </c>
      <c r="D1056" t="s">
        <v>5</v>
      </c>
      <c r="E1056" t="s">
        <v>179</v>
      </c>
      <c r="F1056">
        <f t="shared" si="32"/>
        <v>2007</v>
      </c>
      <c r="G1056">
        <f t="shared" si="33"/>
        <v>11</v>
      </c>
      <c r="H1056" t="str">
        <f>IF(ISNUMBER(FIND(",", E1056)), TRIM(MID(E1056, FIND(",", E1056) + 1, LEN(E1056))), E1056)</f>
        <v>Pacific-Antarctic Ridge</v>
      </c>
    </row>
    <row r="1057" spans="1:8" x14ac:dyDescent="0.25">
      <c r="A1057" s="2">
        <v>39386</v>
      </c>
      <c r="B1057">
        <v>51.417999999999999</v>
      </c>
      <c r="C1057">
        <v>-178.38</v>
      </c>
      <c r="D1057" t="s">
        <v>7</v>
      </c>
      <c r="E1057" t="s">
        <v>207</v>
      </c>
      <c r="F1057">
        <f t="shared" si="32"/>
        <v>2007</v>
      </c>
      <c r="G1057">
        <f t="shared" si="33"/>
        <v>10</v>
      </c>
      <c r="H1057" t="str">
        <f>IF(ISNUMBER(FIND(",", E1057)), TRIM(MID(E1057, FIND(",", E1057) + 1, LEN(E1057))), E1057)</f>
        <v>Aleutian Islands, Alaska</v>
      </c>
    </row>
    <row r="1058" spans="1:8" x14ac:dyDescent="0.25">
      <c r="A1058" s="2">
        <v>39386</v>
      </c>
      <c r="B1058">
        <v>18.899999999999999</v>
      </c>
      <c r="C1058">
        <v>145.38800000000001</v>
      </c>
      <c r="D1058" t="s">
        <v>5</v>
      </c>
      <c r="E1058" t="s">
        <v>416</v>
      </c>
      <c r="F1058">
        <f t="shared" si="32"/>
        <v>2007</v>
      </c>
      <c r="G1058">
        <f t="shared" si="33"/>
        <v>10</v>
      </c>
      <c r="H1058" t="str">
        <f>IF(ISNUMBER(FIND(",", E1058)), TRIM(MID(E1058, FIND(",", E1058) + 1, LEN(E1058))), E1058)</f>
        <v>Northern Mariana Islands</v>
      </c>
    </row>
    <row r="1059" spans="1:8" x14ac:dyDescent="0.25">
      <c r="A1059" s="2">
        <v>39380</v>
      </c>
      <c r="B1059">
        <v>46.011000000000003</v>
      </c>
      <c r="C1059">
        <v>154.23099999999999</v>
      </c>
      <c r="D1059" t="s">
        <v>7</v>
      </c>
      <c r="E1059" t="s">
        <v>317</v>
      </c>
      <c r="F1059">
        <f t="shared" si="32"/>
        <v>2007</v>
      </c>
      <c r="G1059">
        <f t="shared" si="33"/>
        <v>10</v>
      </c>
      <c r="H1059" t="str">
        <f>IF(ISNUMBER(FIND(",", E1059)), TRIM(MID(E1059, FIND(",", E1059) + 1, LEN(E1059))), E1059)</f>
        <v>east of the Kuril Islands</v>
      </c>
    </row>
    <row r="1060" spans="1:8" x14ac:dyDescent="0.25">
      <c r="A1060" s="2">
        <v>39379</v>
      </c>
      <c r="B1060">
        <v>-3.899</v>
      </c>
      <c r="C1060">
        <v>101.02</v>
      </c>
      <c r="D1060" t="s">
        <v>7</v>
      </c>
      <c r="E1060" t="s">
        <v>308</v>
      </c>
      <c r="F1060">
        <f t="shared" si="32"/>
        <v>2007</v>
      </c>
      <c r="G1060">
        <f t="shared" si="33"/>
        <v>10</v>
      </c>
      <c r="H1060" t="str">
        <f>IF(ISNUMBER(FIND(",", E1060)), TRIM(MID(E1060, FIND(",", E1060) + 1, LEN(E1060))), E1060)</f>
        <v>Indonesia</v>
      </c>
    </row>
    <row r="1061" spans="1:8" x14ac:dyDescent="0.25">
      <c r="A1061" s="2">
        <v>39376</v>
      </c>
      <c r="B1061">
        <v>-6.31</v>
      </c>
      <c r="C1061">
        <v>154.77000000000001</v>
      </c>
      <c r="D1061" t="s">
        <v>5</v>
      </c>
      <c r="E1061" t="s">
        <v>290</v>
      </c>
      <c r="F1061">
        <f t="shared" si="32"/>
        <v>2007</v>
      </c>
      <c r="G1061">
        <f t="shared" si="33"/>
        <v>10</v>
      </c>
      <c r="H1061" t="str">
        <f>IF(ISNUMBER(FIND(",", E1061)), TRIM(MID(E1061, FIND(",", E1061) + 1, LEN(E1061))), E1061)</f>
        <v>Papua New Guinea</v>
      </c>
    </row>
    <row r="1062" spans="1:8" x14ac:dyDescent="0.25">
      <c r="A1062" s="2">
        <v>39371</v>
      </c>
      <c r="B1062">
        <v>-25.774999999999999</v>
      </c>
      <c r="C1062">
        <v>179.53</v>
      </c>
      <c r="D1062" t="s">
        <v>7</v>
      </c>
      <c r="E1062" t="s">
        <v>256</v>
      </c>
      <c r="F1062">
        <f t="shared" si="32"/>
        <v>2007</v>
      </c>
      <c r="G1062">
        <f t="shared" si="33"/>
        <v>10</v>
      </c>
      <c r="H1062" t="str">
        <f>IF(ISNUMBER(FIND(",", E1062)), TRIM(MID(E1062, FIND(",", E1062) + 1, LEN(E1062))), E1062)</f>
        <v>south of the Fiji Islands</v>
      </c>
    </row>
    <row r="1063" spans="1:8" x14ac:dyDescent="0.25">
      <c r="A1063" s="2">
        <v>39370</v>
      </c>
      <c r="B1063">
        <v>-44.792999999999999</v>
      </c>
      <c r="C1063">
        <v>167.458</v>
      </c>
      <c r="D1063" t="s">
        <v>7</v>
      </c>
      <c r="E1063" t="s">
        <v>300</v>
      </c>
      <c r="F1063">
        <f t="shared" si="32"/>
        <v>2007</v>
      </c>
      <c r="G1063">
        <f t="shared" si="33"/>
        <v>10</v>
      </c>
      <c r="H1063" t="str">
        <f>IF(ISNUMBER(FIND(",", E1063)), TRIM(MID(E1063, FIND(",", E1063) + 1, LEN(E1063))), E1063)</f>
        <v>South Island of New Zealand</v>
      </c>
    </row>
    <row r="1064" spans="1:8" x14ac:dyDescent="0.25">
      <c r="A1064" s="2">
        <v>39370</v>
      </c>
      <c r="B1064">
        <v>-44.795999999999999</v>
      </c>
      <c r="C1064">
        <v>167.553</v>
      </c>
      <c r="D1064" t="s">
        <v>7</v>
      </c>
      <c r="E1064" t="s">
        <v>300</v>
      </c>
      <c r="F1064">
        <f t="shared" si="32"/>
        <v>2007</v>
      </c>
      <c r="G1064">
        <f t="shared" si="33"/>
        <v>10</v>
      </c>
      <c r="H1064" t="str">
        <f>IF(ISNUMBER(FIND(",", E1064)), TRIM(MID(E1064, FIND(",", E1064) + 1, LEN(E1064))), E1064)</f>
        <v>South Island of New Zealand</v>
      </c>
    </row>
    <row r="1065" spans="1:8" x14ac:dyDescent="0.25">
      <c r="A1065" s="2">
        <v>39368</v>
      </c>
      <c r="B1065">
        <v>-21.23</v>
      </c>
      <c r="C1065">
        <v>169.19499999999999</v>
      </c>
      <c r="D1065" t="s">
        <v>5</v>
      </c>
      <c r="E1065" t="s">
        <v>254</v>
      </c>
      <c r="F1065">
        <f t="shared" si="32"/>
        <v>2007</v>
      </c>
      <c r="G1065">
        <f t="shared" si="33"/>
        <v>10</v>
      </c>
      <c r="H1065" t="str">
        <f>IF(ISNUMBER(FIND(",", E1065)), TRIM(MID(E1065, FIND(",", E1065) + 1, LEN(E1065))), E1065)</f>
        <v>southeast of the Loyalty Islands</v>
      </c>
    </row>
    <row r="1066" spans="1:8" x14ac:dyDescent="0.25">
      <c r="A1066" s="2">
        <v>39364</v>
      </c>
      <c r="B1066">
        <v>-4.8079999999999998</v>
      </c>
      <c r="C1066">
        <v>152.892</v>
      </c>
      <c r="D1066" t="s">
        <v>5</v>
      </c>
      <c r="E1066" t="s">
        <v>190</v>
      </c>
      <c r="F1066">
        <f t="shared" si="32"/>
        <v>2007</v>
      </c>
      <c r="G1066">
        <f t="shared" si="33"/>
        <v>10</v>
      </c>
      <c r="H1066" t="str">
        <f>IF(ISNUMBER(FIND(",", E1066)), TRIM(MID(E1066, FIND(",", E1066) + 1, LEN(E1066))), E1066)</f>
        <v>Papua New Guinea</v>
      </c>
    </row>
    <row r="1067" spans="1:8" x14ac:dyDescent="0.25">
      <c r="A1067" s="2">
        <v>39361</v>
      </c>
      <c r="B1067">
        <v>18.73</v>
      </c>
      <c r="C1067">
        <v>147.148</v>
      </c>
      <c r="D1067" t="s">
        <v>7</v>
      </c>
      <c r="E1067" t="s">
        <v>72</v>
      </c>
      <c r="F1067">
        <f t="shared" si="32"/>
        <v>2007</v>
      </c>
      <c r="G1067">
        <f t="shared" si="33"/>
        <v>10</v>
      </c>
      <c r="H1067" t="str">
        <f>IF(ISNUMBER(FIND(",", E1067)), TRIM(MID(E1067, FIND(",", E1067) + 1, LEN(E1067))), E1067)</f>
        <v>Mariana Islands region</v>
      </c>
    </row>
    <row r="1068" spans="1:8" x14ac:dyDescent="0.25">
      <c r="A1068" s="2">
        <v>39360</v>
      </c>
      <c r="B1068">
        <v>-25.189</v>
      </c>
      <c r="C1068">
        <v>179.459</v>
      </c>
      <c r="D1068" t="s">
        <v>7</v>
      </c>
      <c r="E1068" t="s">
        <v>256</v>
      </c>
      <c r="F1068">
        <f t="shared" si="32"/>
        <v>2007</v>
      </c>
      <c r="G1068">
        <f t="shared" si="33"/>
        <v>10</v>
      </c>
      <c r="H1068" t="str">
        <f>IF(ISNUMBER(FIND(",", E1068)), TRIM(MID(E1068, FIND(",", E1068) + 1, LEN(E1068))), E1068)</f>
        <v>south of the Fiji Islands</v>
      </c>
    </row>
    <row r="1069" spans="1:8" x14ac:dyDescent="0.25">
      <c r="A1069" s="2">
        <v>39359</v>
      </c>
      <c r="B1069">
        <v>2.5430000000000001</v>
      </c>
      <c r="C1069">
        <v>92.903000000000006</v>
      </c>
      <c r="D1069" t="s">
        <v>5</v>
      </c>
      <c r="E1069" t="s">
        <v>245</v>
      </c>
      <c r="F1069">
        <f t="shared" si="32"/>
        <v>2007</v>
      </c>
      <c r="G1069">
        <f t="shared" si="33"/>
        <v>10</v>
      </c>
      <c r="H1069" t="str">
        <f>IF(ISNUMBER(FIND(",", E1069)), TRIM(MID(E1069, FIND(",", E1069) + 1, LEN(E1069))), E1069)</f>
        <v>off the west coast of northern Sumatra</v>
      </c>
    </row>
    <row r="1070" spans="1:8" x14ac:dyDescent="0.25">
      <c r="A1070" s="2">
        <v>39357</v>
      </c>
      <c r="B1070">
        <v>54.511000000000003</v>
      </c>
      <c r="C1070">
        <v>-161.708</v>
      </c>
      <c r="D1070" t="s">
        <v>7</v>
      </c>
      <c r="E1070" t="s">
        <v>285</v>
      </c>
      <c r="F1070">
        <f t="shared" si="32"/>
        <v>2007</v>
      </c>
      <c r="G1070">
        <f t="shared" si="33"/>
        <v>10</v>
      </c>
      <c r="H1070" t="str">
        <f>IF(ISNUMBER(FIND(",", E1070)), TRIM(MID(E1070, FIND(",", E1070) + 1, LEN(E1070))), E1070)</f>
        <v>Alaska Peninsula</v>
      </c>
    </row>
    <row r="1071" spans="1:8" x14ac:dyDescent="0.25">
      <c r="A1071" s="2">
        <v>39355</v>
      </c>
      <c r="B1071">
        <v>-49.2</v>
      </c>
      <c r="C1071">
        <v>163.69</v>
      </c>
      <c r="D1071" t="s">
        <v>16</v>
      </c>
      <c r="E1071" t="s">
        <v>404</v>
      </c>
      <c r="F1071">
        <f t="shared" si="32"/>
        <v>2007</v>
      </c>
      <c r="G1071">
        <f t="shared" si="33"/>
        <v>9</v>
      </c>
      <c r="H1071" t="str">
        <f>IF(ISNUMBER(FIND(",", E1071)), TRIM(MID(E1071, FIND(",", E1071) + 1, LEN(E1071))), E1071)</f>
        <v>New Zealand region</v>
      </c>
    </row>
    <row r="1072" spans="1:8" x14ac:dyDescent="0.25">
      <c r="A1072" s="2">
        <v>39355</v>
      </c>
      <c r="B1072">
        <v>-49.29</v>
      </c>
      <c r="C1072">
        <v>164.09</v>
      </c>
      <c r="D1072" t="s">
        <v>16</v>
      </c>
      <c r="E1072" t="s">
        <v>404</v>
      </c>
      <c r="F1072">
        <f t="shared" si="32"/>
        <v>2007</v>
      </c>
      <c r="G1072">
        <f t="shared" si="33"/>
        <v>9</v>
      </c>
      <c r="H1072" t="str">
        <f>IF(ISNUMBER(FIND(",", E1072)), TRIM(MID(E1072, FIND(",", E1072) + 1, LEN(E1072))), E1072)</f>
        <v>New Zealand region</v>
      </c>
    </row>
    <row r="1073" spans="1:8" x14ac:dyDescent="0.25">
      <c r="A1073" s="2">
        <v>39355</v>
      </c>
      <c r="B1073">
        <v>10.46</v>
      </c>
      <c r="C1073">
        <v>145.71</v>
      </c>
      <c r="D1073" t="s">
        <v>16</v>
      </c>
      <c r="E1073" t="s">
        <v>321</v>
      </c>
      <c r="F1073">
        <f t="shared" si="32"/>
        <v>2007</v>
      </c>
      <c r="G1073">
        <f t="shared" si="33"/>
        <v>9</v>
      </c>
      <c r="H1073" t="str">
        <f>IF(ISNUMBER(FIND(",", E1073)), TRIM(MID(E1073, FIND(",", E1073) + 1, LEN(E1073))), E1073)</f>
        <v>south of the Mariana Islands</v>
      </c>
    </row>
    <row r="1074" spans="1:8" x14ac:dyDescent="0.25">
      <c r="A1074" s="2">
        <v>39354</v>
      </c>
      <c r="B1074">
        <v>2.91</v>
      </c>
      <c r="C1074">
        <v>95.51</v>
      </c>
      <c r="D1074" t="s">
        <v>16</v>
      </c>
      <c r="E1074" t="s">
        <v>222</v>
      </c>
      <c r="F1074">
        <f t="shared" si="32"/>
        <v>2007</v>
      </c>
      <c r="G1074">
        <f t="shared" si="33"/>
        <v>9</v>
      </c>
      <c r="H1074" t="str">
        <f>IF(ISNUMBER(FIND(",", E1074)), TRIM(MID(E1074, FIND(",", E1074) + 1, LEN(E1074))), E1074)</f>
        <v>Indonesia</v>
      </c>
    </row>
    <row r="1075" spans="1:8" x14ac:dyDescent="0.25">
      <c r="A1075" s="2">
        <v>39353</v>
      </c>
      <c r="B1075">
        <v>21.96</v>
      </c>
      <c r="C1075">
        <v>142.69999999999999</v>
      </c>
      <c r="D1075" t="s">
        <v>16</v>
      </c>
      <c r="E1075" t="s">
        <v>72</v>
      </c>
      <c r="F1075">
        <f t="shared" si="32"/>
        <v>2007</v>
      </c>
      <c r="G1075">
        <f t="shared" si="33"/>
        <v>9</v>
      </c>
      <c r="H1075" t="str">
        <f>IF(ISNUMBER(FIND(",", E1075)), TRIM(MID(E1075, FIND(",", E1075) + 1, LEN(E1075))), E1075)</f>
        <v>Mariana Islands region</v>
      </c>
    </row>
    <row r="1076" spans="1:8" x14ac:dyDescent="0.25">
      <c r="A1076" s="2">
        <v>39353</v>
      </c>
      <c r="B1076">
        <v>-21.18</v>
      </c>
      <c r="C1076">
        <v>169.47</v>
      </c>
      <c r="D1076" t="s">
        <v>16</v>
      </c>
      <c r="E1076" t="s">
        <v>254</v>
      </c>
      <c r="F1076">
        <f t="shared" si="32"/>
        <v>2007</v>
      </c>
      <c r="G1076">
        <f t="shared" si="33"/>
        <v>9</v>
      </c>
      <c r="H1076" t="str">
        <f>IF(ISNUMBER(FIND(",", E1076)), TRIM(MID(E1076, FIND(",", E1076) + 1, LEN(E1076))), E1076)</f>
        <v>southeast of the Loyalty Islands</v>
      </c>
    </row>
    <row r="1077" spans="1:8" x14ac:dyDescent="0.25">
      <c r="A1077" s="2">
        <v>39353</v>
      </c>
      <c r="B1077">
        <v>-21.24</v>
      </c>
      <c r="C1077">
        <v>169.43</v>
      </c>
      <c r="D1077" t="s">
        <v>16</v>
      </c>
      <c r="E1077" t="s">
        <v>254</v>
      </c>
      <c r="F1077">
        <f t="shared" si="32"/>
        <v>2007</v>
      </c>
      <c r="G1077">
        <f t="shared" si="33"/>
        <v>9</v>
      </c>
      <c r="H1077" t="str">
        <f>IF(ISNUMBER(FIND(",", E1077)), TRIM(MID(E1077, FIND(",", E1077) + 1, LEN(E1077))), E1077)</f>
        <v>southeast of the Loyalty Islands</v>
      </c>
    </row>
    <row r="1078" spans="1:8" x14ac:dyDescent="0.25">
      <c r="A1078" s="2">
        <v>39352</v>
      </c>
      <c r="B1078">
        <v>-21.22</v>
      </c>
      <c r="C1078">
        <v>169.37</v>
      </c>
      <c r="D1078" t="s">
        <v>16</v>
      </c>
      <c r="E1078" t="s">
        <v>254</v>
      </c>
      <c r="F1078">
        <f t="shared" si="32"/>
        <v>2007</v>
      </c>
      <c r="G1078">
        <f t="shared" si="33"/>
        <v>9</v>
      </c>
      <c r="H1078" t="str">
        <f>IF(ISNUMBER(FIND(",", E1078)), TRIM(MID(E1078, FIND(",", E1078) + 1, LEN(E1078))), E1078)</f>
        <v>southeast of the Loyalty Islands</v>
      </c>
    </row>
    <row r="1079" spans="1:8" x14ac:dyDescent="0.25">
      <c r="A1079" s="2">
        <v>39351</v>
      </c>
      <c r="B1079">
        <v>-1.78</v>
      </c>
      <c r="C1079">
        <v>99.46</v>
      </c>
      <c r="D1079" t="s">
        <v>16</v>
      </c>
      <c r="E1079" t="s">
        <v>209</v>
      </c>
      <c r="F1079">
        <f t="shared" si="32"/>
        <v>2007</v>
      </c>
      <c r="G1079">
        <f t="shared" si="33"/>
        <v>9</v>
      </c>
      <c r="H1079" t="str">
        <f>IF(ISNUMBER(FIND(",", E1079)), TRIM(MID(E1079, FIND(",", E1079) + 1, LEN(E1079))), E1079)</f>
        <v>Indonesia</v>
      </c>
    </row>
    <row r="1080" spans="1:8" x14ac:dyDescent="0.25">
      <c r="A1080" s="2">
        <v>39351</v>
      </c>
      <c r="B1080">
        <v>-5.01</v>
      </c>
      <c r="C1080">
        <v>153.47999999999999</v>
      </c>
      <c r="D1080" t="s">
        <v>16</v>
      </c>
      <c r="E1080" t="s">
        <v>183</v>
      </c>
      <c r="F1080">
        <f t="shared" si="32"/>
        <v>2007</v>
      </c>
      <c r="G1080">
        <f t="shared" si="33"/>
        <v>9</v>
      </c>
      <c r="H1080" t="str">
        <f>IF(ISNUMBER(FIND(",", E1080)), TRIM(MID(E1080, FIND(",", E1080) + 1, LEN(E1080))), E1080)</f>
        <v>Papua New Guinea</v>
      </c>
    </row>
    <row r="1081" spans="1:8" x14ac:dyDescent="0.25">
      <c r="A1081" s="2">
        <v>39350</v>
      </c>
      <c r="B1081">
        <v>-30.965</v>
      </c>
      <c r="C1081">
        <v>179.99799999999999</v>
      </c>
      <c r="D1081" t="s">
        <v>5</v>
      </c>
      <c r="E1081" t="s">
        <v>240</v>
      </c>
      <c r="F1081">
        <f t="shared" si="32"/>
        <v>2007</v>
      </c>
      <c r="G1081">
        <f t="shared" si="33"/>
        <v>9</v>
      </c>
      <c r="H1081" t="str">
        <f>IF(ISNUMBER(FIND(",", E1081)), TRIM(MID(E1081, FIND(",", E1081) + 1, LEN(E1081))), E1081)</f>
        <v>Kermadec Islands region</v>
      </c>
    </row>
    <row r="1082" spans="1:8" x14ac:dyDescent="0.25">
      <c r="A1082" s="2">
        <v>39350</v>
      </c>
      <c r="B1082">
        <v>-30.93</v>
      </c>
      <c r="C1082">
        <v>-179.99</v>
      </c>
      <c r="D1082" t="s">
        <v>16</v>
      </c>
      <c r="E1082" t="s">
        <v>240</v>
      </c>
      <c r="F1082">
        <f t="shared" si="32"/>
        <v>2007</v>
      </c>
      <c r="G1082">
        <f t="shared" si="33"/>
        <v>9</v>
      </c>
      <c r="H1082" t="str">
        <f>IF(ISNUMBER(FIND(",", E1082)), TRIM(MID(E1082, FIND(",", E1082) + 1, LEN(E1082))), E1082)</f>
        <v>Kermadec Islands region</v>
      </c>
    </row>
    <row r="1083" spans="1:8" x14ac:dyDescent="0.25">
      <c r="A1083" s="2">
        <v>39345</v>
      </c>
      <c r="B1083">
        <v>-2.0099999999999998</v>
      </c>
      <c r="C1083">
        <v>100.14</v>
      </c>
      <c r="D1083" t="s">
        <v>16</v>
      </c>
      <c r="E1083" t="s">
        <v>209</v>
      </c>
      <c r="F1083">
        <f t="shared" si="32"/>
        <v>2007</v>
      </c>
      <c r="G1083">
        <f t="shared" si="33"/>
        <v>9</v>
      </c>
      <c r="H1083" t="str">
        <f>IF(ISNUMBER(FIND(",", E1083)), TRIM(MID(E1083, FIND(",", E1083) + 1, LEN(E1083))), E1083)</f>
        <v>Indonesia</v>
      </c>
    </row>
    <row r="1084" spans="1:8" x14ac:dyDescent="0.25">
      <c r="A1084" s="2">
        <v>39344</v>
      </c>
      <c r="B1084">
        <v>-2.73</v>
      </c>
      <c r="C1084">
        <v>100.9</v>
      </c>
      <c r="D1084" t="s">
        <v>16</v>
      </c>
      <c r="E1084" t="s">
        <v>209</v>
      </c>
      <c r="F1084">
        <f t="shared" si="32"/>
        <v>2007</v>
      </c>
      <c r="G1084">
        <f t="shared" si="33"/>
        <v>9</v>
      </c>
      <c r="H1084" t="str">
        <f>IF(ISNUMBER(FIND(",", E1084)), TRIM(MID(E1084, FIND(",", E1084) + 1, LEN(E1084))), E1084)</f>
        <v>Indonesia</v>
      </c>
    </row>
    <row r="1085" spans="1:8" x14ac:dyDescent="0.25">
      <c r="A1085" s="2">
        <v>39339</v>
      </c>
      <c r="B1085">
        <v>-4.09</v>
      </c>
      <c r="C1085">
        <v>101.14</v>
      </c>
      <c r="D1085" t="s">
        <v>16</v>
      </c>
      <c r="E1085" t="s">
        <v>308</v>
      </c>
      <c r="F1085">
        <f t="shared" si="32"/>
        <v>2007</v>
      </c>
      <c r="G1085">
        <f t="shared" si="33"/>
        <v>9</v>
      </c>
      <c r="H1085" t="str">
        <f>IF(ISNUMBER(FIND(",", E1085)), TRIM(MID(E1085, FIND(",", E1085) + 1, LEN(E1085))), E1085)</f>
        <v>Indonesia</v>
      </c>
    </row>
    <row r="1086" spans="1:8" x14ac:dyDescent="0.25">
      <c r="A1086" s="2">
        <v>39338</v>
      </c>
      <c r="B1086">
        <v>-57.52</v>
      </c>
      <c r="C1086">
        <v>-147.27000000000001</v>
      </c>
      <c r="D1086" t="s">
        <v>16</v>
      </c>
      <c r="E1086" t="s">
        <v>179</v>
      </c>
      <c r="F1086">
        <f t="shared" si="32"/>
        <v>2007</v>
      </c>
      <c r="G1086">
        <f t="shared" si="33"/>
        <v>9</v>
      </c>
      <c r="H1086" t="str">
        <f>IF(ISNUMBER(FIND(",", E1086)), TRIM(MID(E1086, FIND(",", E1086) + 1, LEN(E1086))), E1086)</f>
        <v>Pacific-Antarctic Ridge</v>
      </c>
    </row>
    <row r="1087" spans="1:8" x14ac:dyDescent="0.25">
      <c r="A1087" s="2">
        <v>39338</v>
      </c>
      <c r="B1087">
        <v>-3.2</v>
      </c>
      <c r="C1087">
        <v>101.47</v>
      </c>
      <c r="D1087" t="s">
        <v>16</v>
      </c>
      <c r="E1087" t="s">
        <v>308</v>
      </c>
      <c r="F1087">
        <f t="shared" si="32"/>
        <v>2007</v>
      </c>
      <c r="G1087">
        <f t="shared" si="33"/>
        <v>9</v>
      </c>
      <c r="H1087" t="str">
        <f>IF(ISNUMBER(FIND(",", E1087)), TRIM(MID(E1087, FIND(",", E1087) + 1, LEN(E1087))), E1087)</f>
        <v>Indonesia</v>
      </c>
    </row>
    <row r="1088" spans="1:8" x14ac:dyDescent="0.25">
      <c r="A1088" s="2">
        <v>39338</v>
      </c>
      <c r="B1088">
        <v>3.77</v>
      </c>
      <c r="C1088">
        <v>126.32</v>
      </c>
      <c r="D1088" t="s">
        <v>16</v>
      </c>
      <c r="E1088" t="s">
        <v>372</v>
      </c>
      <c r="F1088">
        <f t="shared" si="32"/>
        <v>2007</v>
      </c>
      <c r="G1088">
        <f t="shared" si="33"/>
        <v>9</v>
      </c>
      <c r="H1088" t="str">
        <f>IF(ISNUMBER(FIND(",", E1088)), TRIM(MID(E1088, FIND(",", E1088) + 1, LEN(E1088))), E1088)</f>
        <v>Indonesia</v>
      </c>
    </row>
    <row r="1089" spans="1:8" x14ac:dyDescent="0.25">
      <c r="A1089" s="2">
        <v>39338</v>
      </c>
      <c r="B1089">
        <v>-2.15</v>
      </c>
      <c r="C1089">
        <v>99.61</v>
      </c>
      <c r="D1089" t="s">
        <v>16</v>
      </c>
      <c r="E1089" t="s">
        <v>209</v>
      </c>
      <c r="F1089">
        <f t="shared" si="32"/>
        <v>2007</v>
      </c>
      <c r="G1089">
        <f t="shared" si="33"/>
        <v>9</v>
      </c>
      <c r="H1089" t="str">
        <f>IF(ISNUMBER(FIND(",", E1089)), TRIM(MID(E1089, FIND(",", E1089) + 1, LEN(E1089))), E1089)</f>
        <v>Indonesia</v>
      </c>
    </row>
    <row r="1090" spans="1:8" x14ac:dyDescent="0.25">
      <c r="A1090" s="2">
        <v>39338</v>
      </c>
      <c r="B1090">
        <v>-1.66</v>
      </c>
      <c r="C1090">
        <v>99.63</v>
      </c>
      <c r="D1090" t="s">
        <v>16</v>
      </c>
      <c r="E1090" t="s">
        <v>209</v>
      </c>
      <c r="F1090">
        <f t="shared" ref="F1090:F1153" si="34">YEAR(A1090)</f>
        <v>2007</v>
      </c>
      <c r="G1090">
        <f t="shared" si="33"/>
        <v>9</v>
      </c>
      <c r="H1090" t="str">
        <f>IF(ISNUMBER(FIND(",", E1090)), TRIM(MID(E1090, FIND(",", E1090) + 1, LEN(E1090))), E1090)</f>
        <v>Indonesia</v>
      </c>
    </row>
    <row r="1091" spans="1:8" x14ac:dyDescent="0.25">
      <c r="A1091" s="2">
        <v>39337</v>
      </c>
      <c r="B1091">
        <v>-2.66</v>
      </c>
      <c r="C1091">
        <v>100.83</v>
      </c>
      <c r="D1091" t="s">
        <v>16</v>
      </c>
      <c r="E1091" t="s">
        <v>209</v>
      </c>
      <c r="F1091">
        <f t="shared" si="34"/>
        <v>2007</v>
      </c>
      <c r="G1091">
        <f t="shared" ref="G1091:G1154" si="35">MONTH(A1091)</f>
        <v>9</v>
      </c>
      <c r="H1091" t="str">
        <f>IF(ISNUMBER(FIND(",", E1091)), TRIM(MID(E1091, FIND(",", E1091) + 1, LEN(E1091))), E1091)</f>
        <v>Indonesia</v>
      </c>
    </row>
    <row r="1092" spans="1:8" x14ac:dyDescent="0.25">
      <c r="A1092" s="2">
        <v>39337</v>
      </c>
      <c r="B1092">
        <v>-4.4400000000000004</v>
      </c>
      <c r="C1092">
        <v>101.37</v>
      </c>
      <c r="D1092" t="s">
        <v>16</v>
      </c>
      <c r="E1092" t="s">
        <v>308</v>
      </c>
      <c r="F1092">
        <f t="shared" si="34"/>
        <v>2007</v>
      </c>
      <c r="G1092">
        <f t="shared" si="35"/>
        <v>9</v>
      </c>
      <c r="H1092" t="str">
        <f>IF(ISNUMBER(FIND(",", E1092)), TRIM(MID(E1092, FIND(",", E1092) + 1, LEN(E1092))), E1092)</f>
        <v>Indonesia</v>
      </c>
    </row>
    <row r="1093" spans="1:8" x14ac:dyDescent="0.25">
      <c r="A1093" s="2">
        <v>39335</v>
      </c>
      <c r="B1093">
        <v>2.96</v>
      </c>
      <c r="C1093">
        <v>-77.95</v>
      </c>
      <c r="D1093" t="s">
        <v>16</v>
      </c>
      <c r="E1093" t="s">
        <v>417</v>
      </c>
      <c r="F1093">
        <f t="shared" si="34"/>
        <v>2007</v>
      </c>
      <c r="G1093">
        <f t="shared" si="35"/>
        <v>9</v>
      </c>
      <c r="H1093" t="str">
        <f>IF(ISNUMBER(FIND(",", E1093)), TRIM(MID(E1093, FIND(",", E1093) + 1, LEN(E1093))), E1093)</f>
        <v>near the west coast of Colombia</v>
      </c>
    </row>
    <row r="1094" spans="1:8" x14ac:dyDescent="0.25">
      <c r="A1094" s="2">
        <v>39331</v>
      </c>
      <c r="B1094">
        <v>24.35</v>
      </c>
      <c r="C1094">
        <v>122.22</v>
      </c>
      <c r="D1094" t="s">
        <v>16</v>
      </c>
      <c r="E1094" t="s">
        <v>363</v>
      </c>
      <c r="F1094">
        <f t="shared" si="34"/>
        <v>2007</v>
      </c>
      <c r="G1094">
        <f t="shared" si="35"/>
        <v>9</v>
      </c>
      <c r="H1094" t="str">
        <f>IF(ISNUMBER(FIND(",", E1094)), TRIM(MID(E1094, FIND(",", E1094) + 1, LEN(E1094))), E1094)</f>
        <v>Taiwan region</v>
      </c>
    </row>
    <row r="1095" spans="1:8" x14ac:dyDescent="0.25">
      <c r="A1095" s="2">
        <v>39328</v>
      </c>
      <c r="B1095">
        <v>45.83</v>
      </c>
      <c r="C1095">
        <v>150.08000000000001</v>
      </c>
      <c r="D1095" t="s">
        <v>16</v>
      </c>
      <c r="E1095" t="s">
        <v>191</v>
      </c>
      <c r="F1095">
        <f t="shared" si="34"/>
        <v>2007</v>
      </c>
      <c r="G1095">
        <f t="shared" si="35"/>
        <v>9</v>
      </c>
      <c r="H1095" t="str">
        <f>IF(ISNUMBER(FIND(",", E1095)), TRIM(MID(E1095, FIND(",", E1095) + 1, LEN(E1095))), E1095)</f>
        <v>Kuril Islands</v>
      </c>
    </row>
    <row r="1096" spans="1:8" x14ac:dyDescent="0.25">
      <c r="A1096" s="2">
        <v>39327</v>
      </c>
      <c r="B1096">
        <v>-11.766</v>
      </c>
      <c r="C1096">
        <v>165.69900000000001</v>
      </c>
      <c r="D1096" t="s">
        <v>7</v>
      </c>
      <c r="E1096" t="s">
        <v>211</v>
      </c>
      <c r="F1096">
        <f t="shared" si="34"/>
        <v>2007</v>
      </c>
      <c r="G1096">
        <f t="shared" si="35"/>
        <v>9</v>
      </c>
      <c r="H1096" t="str">
        <f>IF(ISNUMBER(FIND(",", E1096)), TRIM(MID(E1096, FIND(",", E1096) + 1, LEN(E1096))), E1096)</f>
        <v>Santa Cruz Islands</v>
      </c>
    </row>
    <row r="1097" spans="1:8" x14ac:dyDescent="0.25">
      <c r="A1097" s="2">
        <v>39327</v>
      </c>
      <c r="B1097">
        <v>-11.83</v>
      </c>
      <c r="C1097">
        <v>165.81</v>
      </c>
      <c r="D1097" t="s">
        <v>16</v>
      </c>
      <c r="E1097" t="s">
        <v>211</v>
      </c>
      <c r="F1097">
        <f t="shared" si="34"/>
        <v>2007</v>
      </c>
      <c r="G1097">
        <f t="shared" si="35"/>
        <v>9</v>
      </c>
      <c r="H1097" t="str">
        <f>IF(ISNUMBER(FIND(",", E1097)), TRIM(MID(E1097, FIND(",", E1097) + 1, LEN(E1097))), E1097)</f>
        <v>Santa Cruz Islands</v>
      </c>
    </row>
    <row r="1098" spans="1:8" x14ac:dyDescent="0.25">
      <c r="A1098" s="2">
        <v>39327</v>
      </c>
      <c r="B1098">
        <v>-11.62</v>
      </c>
      <c r="C1098">
        <v>165.84</v>
      </c>
      <c r="D1098" t="s">
        <v>16</v>
      </c>
      <c r="E1098" t="s">
        <v>211</v>
      </c>
      <c r="F1098">
        <f t="shared" si="34"/>
        <v>2007</v>
      </c>
      <c r="G1098">
        <f t="shared" si="35"/>
        <v>9</v>
      </c>
      <c r="H1098" t="str">
        <f>IF(ISNUMBER(FIND(",", E1098)), TRIM(MID(E1098, FIND(",", E1098) + 1, LEN(E1098))), E1098)</f>
        <v>Santa Cruz Islands</v>
      </c>
    </row>
    <row r="1099" spans="1:8" x14ac:dyDescent="0.25">
      <c r="A1099" s="2">
        <v>39326</v>
      </c>
      <c r="B1099">
        <v>24.96</v>
      </c>
      <c r="C1099">
        <v>-109.7</v>
      </c>
      <c r="D1099" t="s">
        <v>16</v>
      </c>
      <c r="E1099" t="s">
        <v>282</v>
      </c>
      <c r="F1099">
        <f t="shared" si="34"/>
        <v>2007</v>
      </c>
      <c r="G1099">
        <f t="shared" si="35"/>
        <v>9</v>
      </c>
      <c r="H1099" t="str">
        <f>IF(ISNUMBER(FIND(",", E1099)), TRIM(MID(E1099, FIND(",", E1099) + 1, LEN(E1099))), E1099)</f>
        <v>Gulf of California</v>
      </c>
    </row>
    <row r="1100" spans="1:8" x14ac:dyDescent="0.25">
      <c r="A1100" s="2">
        <v>39320</v>
      </c>
      <c r="B1100">
        <v>-17.420000000000002</v>
      </c>
      <c r="C1100">
        <v>-174.32</v>
      </c>
      <c r="D1100" t="s">
        <v>16</v>
      </c>
      <c r="E1100" t="s">
        <v>239</v>
      </c>
      <c r="F1100">
        <f t="shared" si="34"/>
        <v>2007</v>
      </c>
      <c r="G1100">
        <f t="shared" si="35"/>
        <v>8</v>
      </c>
      <c r="H1100" t="str">
        <f>IF(ISNUMBER(FIND(",", E1100)), TRIM(MID(E1100, FIND(",", E1100) + 1, LEN(E1100))), E1100)</f>
        <v>Tonga</v>
      </c>
    </row>
    <row r="1101" spans="1:8" x14ac:dyDescent="0.25">
      <c r="A1101" s="2">
        <v>39314</v>
      </c>
      <c r="B1101">
        <v>8.01</v>
      </c>
      <c r="C1101">
        <v>-39.26</v>
      </c>
      <c r="D1101" t="s">
        <v>16</v>
      </c>
      <c r="E1101" t="s">
        <v>291</v>
      </c>
      <c r="F1101">
        <f t="shared" si="34"/>
        <v>2007</v>
      </c>
      <c r="G1101">
        <f t="shared" si="35"/>
        <v>8</v>
      </c>
      <c r="H1101" t="str">
        <f>IF(ISNUMBER(FIND(",", E1101)), TRIM(MID(E1101, FIND(",", E1101) + 1, LEN(E1101))), E1101)</f>
        <v>central Mid-Atlantic Ridge</v>
      </c>
    </row>
    <row r="1102" spans="1:8" x14ac:dyDescent="0.25">
      <c r="A1102" s="2">
        <v>39314</v>
      </c>
      <c r="B1102">
        <v>6.15</v>
      </c>
      <c r="C1102">
        <v>127.4</v>
      </c>
      <c r="D1102" t="s">
        <v>16</v>
      </c>
      <c r="E1102" t="s">
        <v>213</v>
      </c>
      <c r="F1102">
        <f t="shared" si="34"/>
        <v>2007</v>
      </c>
      <c r="G1102">
        <f t="shared" si="35"/>
        <v>8</v>
      </c>
      <c r="H1102" t="str">
        <f>IF(ISNUMBER(FIND(",", E1102)), TRIM(MID(E1102, FIND(",", E1102) + 1, LEN(E1102))), E1102)</f>
        <v>Philippine Islands region</v>
      </c>
    </row>
    <row r="1103" spans="1:8" x14ac:dyDescent="0.25">
      <c r="A1103" s="2">
        <v>39312</v>
      </c>
      <c r="B1103">
        <v>-13.81</v>
      </c>
      <c r="C1103">
        <v>-76.290000000000006</v>
      </c>
      <c r="D1103" t="s">
        <v>16</v>
      </c>
      <c r="E1103" t="s">
        <v>258</v>
      </c>
      <c r="F1103">
        <f t="shared" si="34"/>
        <v>2007</v>
      </c>
      <c r="G1103">
        <f t="shared" si="35"/>
        <v>8</v>
      </c>
      <c r="H1103" t="str">
        <f>IF(ISNUMBER(FIND(",", E1103)), TRIM(MID(E1103, FIND(",", E1103) + 1, LEN(E1103))), E1103)</f>
        <v>near the coast of central Peru</v>
      </c>
    </row>
    <row r="1104" spans="1:8" x14ac:dyDescent="0.25">
      <c r="A1104" s="2">
        <v>39311</v>
      </c>
      <c r="B1104">
        <v>-5.3</v>
      </c>
      <c r="C1104">
        <v>129.4</v>
      </c>
      <c r="D1104" t="s">
        <v>16</v>
      </c>
      <c r="E1104" t="s">
        <v>187</v>
      </c>
      <c r="F1104">
        <f t="shared" si="34"/>
        <v>2007</v>
      </c>
      <c r="G1104">
        <f t="shared" si="35"/>
        <v>8</v>
      </c>
      <c r="H1104" t="str">
        <f>IF(ISNUMBER(FIND(",", E1104)), TRIM(MID(E1104, FIND(",", E1104) + 1, LEN(E1104))), E1104)</f>
        <v>Banda Sea</v>
      </c>
    </row>
    <row r="1105" spans="1:8" x14ac:dyDescent="0.25">
      <c r="A1105" s="2">
        <v>39310</v>
      </c>
      <c r="B1105">
        <v>-14.286</v>
      </c>
      <c r="C1105">
        <v>-76.213999999999999</v>
      </c>
      <c r="D1105" t="s">
        <v>7</v>
      </c>
      <c r="E1105" t="s">
        <v>258</v>
      </c>
      <c r="F1105">
        <f t="shared" si="34"/>
        <v>2007</v>
      </c>
      <c r="G1105">
        <f t="shared" si="35"/>
        <v>8</v>
      </c>
      <c r="H1105" t="str">
        <f>IF(ISNUMBER(FIND(",", E1105)), TRIM(MID(E1105, FIND(",", E1105) + 1, LEN(E1105))), E1105)</f>
        <v>near the coast of central Peru</v>
      </c>
    </row>
    <row r="1106" spans="1:8" x14ac:dyDescent="0.25">
      <c r="A1106" s="2">
        <v>39310</v>
      </c>
      <c r="B1106">
        <v>-14.38</v>
      </c>
      <c r="C1106">
        <v>-76.150000000000006</v>
      </c>
      <c r="D1106" t="s">
        <v>16</v>
      </c>
      <c r="E1106" t="s">
        <v>258</v>
      </c>
      <c r="F1106">
        <f t="shared" si="34"/>
        <v>2007</v>
      </c>
      <c r="G1106">
        <f t="shared" si="35"/>
        <v>8</v>
      </c>
      <c r="H1106" t="str">
        <f>IF(ISNUMBER(FIND(",", E1106)), TRIM(MID(E1106, FIND(",", E1106) + 1, LEN(E1106))), E1106)</f>
        <v>near the coast of central Peru</v>
      </c>
    </row>
    <row r="1107" spans="1:8" x14ac:dyDescent="0.25">
      <c r="A1107" s="2">
        <v>39310</v>
      </c>
      <c r="B1107">
        <v>-9.83</v>
      </c>
      <c r="C1107">
        <v>159.49</v>
      </c>
      <c r="D1107" t="s">
        <v>16</v>
      </c>
      <c r="E1107" t="s">
        <v>221</v>
      </c>
      <c r="F1107">
        <f t="shared" si="34"/>
        <v>2007</v>
      </c>
      <c r="G1107">
        <f t="shared" si="35"/>
        <v>8</v>
      </c>
      <c r="H1107" t="str">
        <f>IF(ISNUMBER(FIND(",", E1107)), TRIM(MID(E1107, FIND(",", E1107) + 1, LEN(E1107))), E1107)</f>
        <v>Solomon Islands</v>
      </c>
    </row>
    <row r="1108" spans="1:8" x14ac:dyDescent="0.25">
      <c r="A1108" s="2">
        <v>39310</v>
      </c>
      <c r="B1108">
        <v>-14.28</v>
      </c>
      <c r="C1108">
        <v>-76.150000000000006</v>
      </c>
      <c r="D1108" t="s">
        <v>16</v>
      </c>
      <c r="E1108" t="s">
        <v>258</v>
      </c>
      <c r="F1108">
        <f t="shared" si="34"/>
        <v>2007</v>
      </c>
      <c r="G1108">
        <f t="shared" si="35"/>
        <v>8</v>
      </c>
      <c r="H1108" t="str">
        <f>IF(ISNUMBER(FIND(",", E1108)), TRIM(MID(E1108, FIND(",", E1108) + 1, LEN(E1108))), E1108)</f>
        <v>near the coast of central Peru</v>
      </c>
    </row>
    <row r="1109" spans="1:8" x14ac:dyDescent="0.25">
      <c r="A1109" s="2">
        <v>39309</v>
      </c>
      <c r="B1109">
        <v>-13.38</v>
      </c>
      <c r="C1109">
        <v>-76.61</v>
      </c>
      <c r="D1109" t="s">
        <v>16</v>
      </c>
      <c r="E1109" t="s">
        <v>258</v>
      </c>
      <c r="F1109">
        <f t="shared" si="34"/>
        <v>2007</v>
      </c>
      <c r="G1109">
        <f t="shared" si="35"/>
        <v>8</v>
      </c>
      <c r="H1109" t="str">
        <f>IF(ISNUMBER(FIND(",", E1109)), TRIM(MID(E1109, FIND(",", E1109) + 1, LEN(E1109))), E1109)</f>
        <v>near the coast of central Peru</v>
      </c>
    </row>
    <row r="1110" spans="1:8" x14ac:dyDescent="0.25">
      <c r="A1110" s="2">
        <v>39309</v>
      </c>
      <c r="B1110">
        <v>50.28</v>
      </c>
      <c r="C1110">
        <v>-177.52</v>
      </c>
      <c r="D1110" t="s">
        <v>16</v>
      </c>
      <c r="E1110" t="s">
        <v>207</v>
      </c>
      <c r="F1110">
        <f t="shared" si="34"/>
        <v>2007</v>
      </c>
      <c r="G1110">
        <f t="shared" si="35"/>
        <v>8</v>
      </c>
      <c r="H1110" t="str">
        <f>IF(ISNUMBER(FIND(",", E1110)), TRIM(MID(E1110, FIND(",", E1110) + 1, LEN(E1110))), E1110)</f>
        <v>Aleutian Islands, Alaska</v>
      </c>
    </row>
    <row r="1111" spans="1:8" x14ac:dyDescent="0.25">
      <c r="A1111" s="2">
        <v>39307</v>
      </c>
      <c r="B1111">
        <v>-60.52</v>
      </c>
      <c r="C1111">
        <v>153.83000000000001</v>
      </c>
      <c r="D1111" t="s">
        <v>16</v>
      </c>
      <c r="E1111" t="s">
        <v>205</v>
      </c>
      <c r="F1111">
        <f t="shared" si="34"/>
        <v>2007</v>
      </c>
      <c r="G1111">
        <f t="shared" si="35"/>
        <v>8</v>
      </c>
      <c r="H1111" t="str">
        <f>IF(ISNUMBER(FIND(",", E1111)), TRIM(MID(E1111, FIND(",", E1111) + 1, LEN(E1111))), E1111)</f>
        <v>west of Macquarie Island</v>
      </c>
    </row>
    <row r="1112" spans="1:8" x14ac:dyDescent="0.25">
      <c r="A1112" s="2">
        <v>39306</v>
      </c>
      <c r="B1112">
        <v>-11.38</v>
      </c>
      <c r="C1112">
        <v>166.3</v>
      </c>
      <c r="D1112" t="s">
        <v>16</v>
      </c>
      <c r="E1112" t="s">
        <v>211</v>
      </c>
      <c r="F1112">
        <f t="shared" si="34"/>
        <v>2007</v>
      </c>
      <c r="G1112">
        <f t="shared" si="35"/>
        <v>8</v>
      </c>
      <c r="H1112" t="str">
        <f>IF(ISNUMBER(FIND(",", E1112)), TRIM(MID(E1112, FIND(",", E1112) + 1, LEN(E1112))), E1112)</f>
        <v>Santa Cruz Islands</v>
      </c>
    </row>
    <row r="1113" spans="1:8" x14ac:dyDescent="0.25">
      <c r="A1113" s="2">
        <v>39302</v>
      </c>
      <c r="B1113">
        <v>-5.859</v>
      </c>
      <c r="C1113">
        <v>107.419</v>
      </c>
      <c r="D1113" t="s">
        <v>7</v>
      </c>
      <c r="E1113" t="s">
        <v>358</v>
      </c>
      <c r="F1113">
        <f t="shared" si="34"/>
        <v>2007</v>
      </c>
      <c r="G1113">
        <f t="shared" si="35"/>
        <v>8</v>
      </c>
      <c r="H1113" t="str">
        <f>IF(ISNUMBER(FIND(",", E1113)), TRIM(MID(E1113, FIND(",", E1113) + 1, LEN(E1113))), E1113)</f>
        <v>Indonesia</v>
      </c>
    </row>
    <row r="1114" spans="1:8" x14ac:dyDescent="0.25">
      <c r="A1114" s="2">
        <v>39302</v>
      </c>
      <c r="B1114">
        <v>-5.91</v>
      </c>
      <c r="C1114">
        <v>107.67</v>
      </c>
      <c r="D1114" t="s">
        <v>16</v>
      </c>
      <c r="E1114" t="s">
        <v>358</v>
      </c>
      <c r="F1114">
        <f t="shared" si="34"/>
        <v>2007</v>
      </c>
      <c r="G1114">
        <f t="shared" si="35"/>
        <v>8</v>
      </c>
      <c r="H1114" t="str">
        <f>IF(ISNUMBER(FIND(",", E1114)), TRIM(MID(E1114, FIND(",", E1114) + 1, LEN(E1114))), E1114)</f>
        <v>Indonesia</v>
      </c>
    </row>
    <row r="1115" spans="1:8" x14ac:dyDescent="0.25">
      <c r="A1115" s="2">
        <v>39301</v>
      </c>
      <c r="B1115">
        <v>27.29</v>
      </c>
      <c r="C1115">
        <v>126.86</v>
      </c>
      <c r="D1115" t="s">
        <v>16</v>
      </c>
      <c r="E1115" t="s">
        <v>418</v>
      </c>
      <c r="F1115">
        <f t="shared" si="34"/>
        <v>2007</v>
      </c>
      <c r="G1115">
        <f t="shared" si="35"/>
        <v>8</v>
      </c>
      <c r="H1115" t="str">
        <f>IF(ISNUMBER(FIND(",", E1115)), TRIM(MID(E1115, FIND(",", E1115) + 1, LEN(E1115))), E1115)</f>
        <v>Japan</v>
      </c>
    </row>
    <row r="1116" spans="1:8" x14ac:dyDescent="0.25">
      <c r="A1116" s="2">
        <v>39298</v>
      </c>
      <c r="B1116">
        <v>-4.8</v>
      </c>
      <c r="C1116">
        <v>-105.5</v>
      </c>
      <c r="D1116" t="s">
        <v>16</v>
      </c>
      <c r="E1116" t="s">
        <v>381</v>
      </c>
      <c r="F1116">
        <f t="shared" si="34"/>
        <v>2007</v>
      </c>
      <c r="G1116">
        <f t="shared" si="35"/>
        <v>8</v>
      </c>
      <c r="H1116" t="str">
        <f>IF(ISNUMBER(FIND(",", E1116)), TRIM(MID(E1116, FIND(",", E1116) + 1, LEN(E1116))), E1116)</f>
        <v>central East Pacific Rise</v>
      </c>
    </row>
    <row r="1117" spans="1:8" x14ac:dyDescent="0.25">
      <c r="A1117" s="2">
        <v>39296</v>
      </c>
      <c r="B1117">
        <v>51.26</v>
      </c>
      <c r="C1117">
        <v>-179.94</v>
      </c>
      <c r="D1117" t="s">
        <v>16</v>
      </c>
      <c r="E1117" t="s">
        <v>207</v>
      </c>
      <c r="F1117">
        <f t="shared" si="34"/>
        <v>2007</v>
      </c>
      <c r="G1117">
        <f t="shared" si="35"/>
        <v>8</v>
      </c>
      <c r="H1117" t="str">
        <f>IF(ISNUMBER(FIND(",", E1117)), TRIM(MID(E1117, FIND(",", E1117) + 1, LEN(E1117))), E1117)</f>
        <v>Aleutian Islands, Alaska</v>
      </c>
    </row>
    <row r="1118" spans="1:8" x14ac:dyDescent="0.25">
      <c r="A1118" s="2">
        <v>39296</v>
      </c>
      <c r="B1118">
        <v>47.11</v>
      </c>
      <c r="C1118">
        <v>141.81</v>
      </c>
      <c r="D1118" t="s">
        <v>16</v>
      </c>
      <c r="E1118" t="s">
        <v>419</v>
      </c>
      <c r="F1118">
        <f t="shared" si="34"/>
        <v>2007</v>
      </c>
      <c r="G1118">
        <f t="shared" si="35"/>
        <v>8</v>
      </c>
      <c r="H1118" t="str">
        <f>IF(ISNUMBER(FIND(",", E1118)), TRIM(MID(E1118, FIND(",", E1118) + 1, LEN(E1118))), E1118)</f>
        <v>Russia</v>
      </c>
    </row>
    <row r="1119" spans="1:8" x14ac:dyDescent="0.25">
      <c r="A1119" s="2">
        <v>39295</v>
      </c>
      <c r="B1119">
        <v>-15.62</v>
      </c>
      <c r="C1119">
        <v>167.71</v>
      </c>
      <c r="D1119" t="s">
        <v>16</v>
      </c>
      <c r="E1119" t="s">
        <v>181</v>
      </c>
      <c r="F1119">
        <f t="shared" si="34"/>
        <v>2007</v>
      </c>
      <c r="G1119">
        <f t="shared" si="35"/>
        <v>8</v>
      </c>
      <c r="H1119" t="str">
        <f>IF(ISNUMBER(FIND(",", E1119)), TRIM(MID(E1119, FIND(",", E1119) + 1, LEN(E1119))), E1119)</f>
        <v>Vanuatu</v>
      </c>
    </row>
    <row r="1120" spans="1:8" x14ac:dyDescent="0.25">
      <c r="A1120" s="2">
        <v>39294</v>
      </c>
      <c r="B1120">
        <v>-0.16</v>
      </c>
      <c r="C1120">
        <v>-17.79</v>
      </c>
      <c r="D1120" t="s">
        <v>16</v>
      </c>
      <c r="E1120" t="s">
        <v>378</v>
      </c>
      <c r="F1120">
        <f t="shared" si="34"/>
        <v>2007</v>
      </c>
      <c r="G1120">
        <f t="shared" si="35"/>
        <v>7</v>
      </c>
      <c r="H1120" t="str">
        <f>IF(ISNUMBER(FIND(",", E1120)), TRIM(MID(E1120, FIND(",", E1120) + 1, LEN(E1120))), E1120)</f>
        <v>north of Ascension Island</v>
      </c>
    </row>
    <row r="1121" spans="1:8" x14ac:dyDescent="0.25">
      <c r="A1121" s="2">
        <v>39290</v>
      </c>
      <c r="B1121">
        <v>-21.48</v>
      </c>
      <c r="C1121">
        <v>171.03</v>
      </c>
      <c r="D1121" t="s">
        <v>16</v>
      </c>
      <c r="E1121" t="s">
        <v>254</v>
      </c>
      <c r="F1121">
        <f t="shared" si="34"/>
        <v>2007</v>
      </c>
      <c r="G1121">
        <f t="shared" si="35"/>
        <v>7</v>
      </c>
      <c r="H1121" t="str">
        <f>IF(ISNUMBER(FIND(",", E1121)), TRIM(MID(E1121, FIND(",", E1121) + 1, LEN(E1121))), E1121)</f>
        <v>southeast of the Loyalty Islands</v>
      </c>
    </row>
    <row r="1122" spans="1:8" x14ac:dyDescent="0.25">
      <c r="A1122" s="2">
        <v>39289</v>
      </c>
      <c r="B1122">
        <v>2.82</v>
      </c>
      <c r="C1122">
        <v>127.46</v>
      </c>
      <c r="D1122" t="s">
        <v>16</v>
      </c>
      <c r="E1122" t="s">
        <v>186</v>
      </c>
      <c r="F1122">
        <f t="shared" si="34"/>
        <v>2007</v>
      </c>
      <c r="G1122">
        <f t="shared" si="35"/>
        <v>7</v>
      </c>
      <c r="H1122" t="str">
        <f>IF(ISNUMBER(FIND(",", E1122)), TRIM(MID(E1122, FIND(",", E1122) + 1, LEN(E1122))), E1122)</f>
        <v>Molucca Sea</v>
      </c>
    </row>
    <row r="1123" spans="1:8" x14ac:dyDescent="0.25">
      <c r="A1123" s="2">
        <v>39288</v>
      </c>
      <c r="B1123">
        <v>7.16</v>
      </c>
      <c r="C1123">
        <v>92.51</v>
      </c>
      <c r="D1123" t="s">
        <v>16</v>
      </c>
      <c r="E1123" t="s">
        <v>322</v>
      </c>
      <c r="F1123">
        <f t="shared" si="34"/>
        <v>2007</v>
      </c>
      <c r="G1123">
        <f t="shared" si="35"/>
        <v>7</v>
      </c>
      <c r="H1123" t="str">
        <f>IF(ISNUMBER(FIND(",", E1123)), TRIM(MID(E1123, FIND(",", E1123) + 1, LEN(E1123))), E1123)</f>
        <v>India region</v>
      </c>
    </row>
    <row r="1124" spans="1:8" x14ac:dyDescent="0.25">
      <c r="A1124" s="2">
        <v>39284</v>
      </c>
      <c r="B1124">
        <v>-22.22</v>
      </c>
      <c r="C1124">
        <v>-65.83</v>
      </c>
      <c r="D1124" t="s">
        <v>16</v>
      </c>
      <c r="E1124" t="s">
        <v>347</v>
      </c>
      <c r="F1124">
        <f t="shared" si="34"/>
        <v>2007</v>
      </c>
      <c r="G1124">
        <f t="shared" si="35"/>
        <v>7</v>
      </c>
      <c r="H1124" t="str">
        <f>IF(ISNUMBER(FIND(",", E1124)), TRIM(MID(E1124, FIND(",", E1124) + 1, LEN(E1124))), E1124)</f>
        <v>Argentina</v>
      </c>
    </row>
    <row r="1125" spans="1:8" x14ac:dyDescent="0.25">
      <c r="A1125" s="2">
        <v>39284</v>
      </c>
      <c r="B1125">
        <v>-8.09</v>
      </c>
      <c r="C1125">
        <v>-71.28</v>
      </c>
      <c r="D1125" t="s">
        <v>16</v>
      </c>
      <c r="E1125" t="s">
        <v>326</v>
      </c>
      <c r="F1125">
        <f t="shared" si="34"/>
        <v>2007</v>
      </c>
      <c r="G1125">
        <f t="shared" si="35"/>
        <v>7</v>
      </c>
      <c r="H1125" t="str">
        <f>IF(ISNUMBER(FIND(",", E1125)), TRIM(MID(E1125, FIND(",", E1125) + 1, LEN(E1125))), E1125)</f>
        <v>Brazil</v>
      </c>
    </row>
    <row r="1126" spans="1:8" x14ac:dyDescent="0.25">
      <c r="A1126" s="2">
        <v>39281</v>
      </c>
      <c r="B1126">
        <v>-26.27</v>
      </c>
      <c r="C1126">
        <v>-177.68</v>
      </c>
      <c r="D1126" t="s">
        <v>16</v>
      </c>
      <c r="E1126" t="s">
        <v>256</v>
      </c>
      <c r="F1126">
        <f t="shared" si="34"/>
        <v>2007</v>
      </c>
      <c r="G1126">
        <f t="shared" si="35"/>
        <v>7</v>
      </c>
      <c r="H1126" t="str">
        <f>IF(ISNUMBER(FIND(",", E1126)), TRIM(MID(E1126, FIND(",", E1126) + 1, LEN(E1126))), E1126)</f>
        <v>south of the Fiji Islands</v>
      </c>
    </row>
    <row r="1127" spans="1:8" x14ac:dyDescent="0.25">
      <c r="A1127" s="2">
        <v>39280</v>
      </c>
      <c r="B1127">
        <v>-26.21</v>
      </c>
      <c r="C1127">
        <v>-177.67</v>
      </c>
      <c r="D1127" t="s">
        <v>16</v>
      </c>
      <c r="E1127" t="s">
        <v>256</v>
      </c>
      <c r="F1127">
        <f t="shared" si="34"/>
        <v>2007</v>
      </c>
      <c r="G1127">
        <f t="shared" si="35"/>
        <v>7</v>
      </c>
      <c r="H1127" t="str">
        <f>IF(ISNUMBER(FIND(",", E1127)), TRIM(MID(E1127, FIND(",", E1127) + 1, LEN(E1127))), E1127)</f>
        <v>south of the Fiji Islands</v>
      </c>
    </row>
    <row r="1128" spans="1:8" x14ac:dyDescent="0.25">
      <c r="A1128" s="2">
        <v>39279</v>
      </c>
      <c r="B1128">
        <v>36.799999999999997</v>
      </c>
      <c r="C1128">
        <v>134.86000000000001</v>
      </c>
      <c r="D1128" t="s">
        <v>16</v>
      </c>
      <c r="E1128" t="s">
        <v>420</v>
      </c>
      <c r="F1128">
        <f t="shared" si="34"/>
        <v>2007</v>
      </c>
      <c r="G1128">
        <f t="shared" si="35"/>
        <v>7</v>
      </c>
      <c r="H1128" t="str">
        <f>IF(ISNUMBER(FIND(",", E1128)), TRIM(MID(E1128, FIND(",", E1128) + 1, LEN(E1128))), E1128)</f>
        <v>Sea of Japan</v>
      </c>
    </row>
    <row r="1129" spans="1:8" x14ac:dyDescent="0.25">
      <c r="A1129" s="2">
        <v>39279</v>
      </c>
      <c r="B1129">
        <v>37.520000000000003</v>
      </c>
      <c r="C1129">
        <v>138.46</v>
      </c>
      <c r="D1129" t="s">
        <v>16</v>
      </c>
      <c r="E1129" t="s">
        <v>298</v>
      </c>
      <c r="F1129">
        <f t="shared" si="34"/>
        <v>2007</v>
      </c>
      <c r="G1129">
        <f t="shared" si="35"/>
        <v>7</v>
      </c>
      <c r="H1129" t="str">
        <f>IF(ISNUMBER(FIND(",", E1129)), TRIM(MID(E1129, FIND(",", E1129) + 1, LEN(E1129))), E1129)</f>
        <v>Japan</v>
      </c>
    </row>
    <row r="1130" spans="1:8" x14ac:dyDescent="0.25">
      <c r="A1130" s="2">
        <v>39278</v>
      </c>
      <c r="B1130">
        <v>52.46</v>
      </c>
      <c r="C1130">
        <v>-168.01</v>
      </c>
      <c r="D1130" t="s">
        <v>16</v>
      </c>
      <c r="E1130" t="s">
        <v>219</v>
      </c>
      <c r="F1130">
        <f t="shared" si="34"/>
        <v>2007</v>
      </c>
      <c r="G1130">
        <f t="shared" si="35"/>
        <v>7</v>
      </c>
      <c r="H1130" t="str">
        <f>IF(ISNUMBER(FIND(",", E1130)), TRIM(MID(E1130, FIND(",", E1130) + 1, LEN(E1130))), E1130)</f>
        <v>Aleutian Islands, Alaska</v>
      </c>
    </row>
    <row r="1131" spans="1:8" x14ac:dyDescent="0.25">
      <c r="A1131" s="2">
        <v>39278</v>
      </c>
      <c r="B1131">
        <v>-15.44</v>
      </c>
      <c r="C1131">
        <v>168.67</v>
      </c>
      <c r="D1131" t="s">
        <v>16</v>
      </c>
      <c r="E1131" t="s">
        <v>181</v>
      </c>
      <c r="F1131">
        <f t="shared" si="34"/>
        <v>2007</v>
      </c>
      <c r="G1131">
        <f t="shared" si="35"/>
        <v>7</v>
      </c>
      <c r="H1131" t="str">
        <f>IF(ISNUMBER(FIND(",", E1131)), TRIM(MID(E1131, FIND(",", E1131) + 1, LEN(E1131))), E1131)</f>
        <v>Vanuatu</v>
      </c>
    </row>
    <row r="1132" spans="1:8" x14ac:dyDescent="0.25">
      <c r="A1132" s="2">
        <v>39276</v>
      </c>
      <c r="B1132">
        <v>51.8</v>
      </c>
      <c r="C1132">
        <v>-176.25</v>
      </c>
      <c r="D1132" t="s">
        <v>16</v>
      </c>
      <c r="E1132" t="s">
        <v>207</v>
      </c>
      <c r="F1132">
        <f t="shared" si="34"/>
        <v>2007</v>
      </c>
      <c r="G1132">
        <f t="shared" si="35"/>
        <v>7</v>
      </c>
      <c r="H1132" t="str">
        <f>IF(ISNUMBER(FIND(",", E1132)), TRIM(MID(E1132, FIND(",", E1132) + 1, LEN(E1132))), E1132)</f>
        <v>Aleutian Islands, Alaska</v>
      </c>
    </row>
    <row r="1133" spans="1:8" x14ac:dyDescent="0.25">
      <c r="A1133" s="2">
        <v>39275</v>
      </c>
      <c r="B1133">
        <v>-7.93</v>
      </c>
      <c r="C1133">
        <v>-74.37</v>
      </c>
      <c r="D1133" t="s">
        <v>16</v>
      </c>
      <c r="E1133" t="s">
        <v>277</v>
      </c>
      <c r="F1133">
        <f t="shared" si="34"/>
        <v>2007</v>
      </c>
      <c r="G1133">
        <f t="shared" si="35"/>
        <v>7</v>
      </c>
      <c r="H1133" t="str">
        <f>IF(ISNUMBER(FIND(",", E1133)), TRIM(MID(E1133, FIND(",", E1133) + 1, LEN(E1133))), E1133)</f>
        <v>northern Peru</v>
      </c>
    </row>
    <row r="1134" spans="1:8" x14ac:dyDescent="0.25">
      <c r="A1134" s="2">
        <v>39269</v>
      </c>
      <c r="B1134">
        <v>16.489999999999998</v>
      </c>
      <c r="C1134">
        <v>-93.63</v>
      </c>
      <c r="D1134" t="s">
        <v>16</v>
      </c>
      <c r="E1134" t="s">
        <v>421</v>
      </c>
      <c r="F1134">
        <f t="shared" si="34"/>
        <v>2007</v>
      </c>
      <c r="G1134">
        <f t="shared" si="35"/>
        <v>7</v>
      </c>
      <c r="H1134" t="str">
        <f>IF(ISNUMBER(FIND(",", E1134)), TRIM(MID(E1134, FIND(",", E1134) + 1, LEN(E1134))), E1134)</f>
        <v>Mexico</v>
      </c>
    </row>
    <row r="1135" spans="1:8" x14ac:dyDescent="0.25">
      <c r="A1135" s="2">
        <v>39266</v>
      </c>
      <c r="B1135">
        <v>0.7</v>
      </c>
      <c r="C1135">
        <v>-30.25</v>
      </c>
      <c r="D1135" t="s">
        <v>16</v>
      </c>
      <c r="E1135" t="s">
        <v>291</v>
      </c>
      <c r="F1135">
        <f t="shared" si="34"/>
        <v>2007</v>
      </c>
      <c r="G1135">
        <f t="shared" si="35"/>
        <v>7</v>
      </c>
      <c r="H1135" t="str">
        <f>IF(ISNUMBER(FIND(",", E1135)), TRIM(MID(E1135, FIND(",", E1135) + 1, LEN(E1135))), E1135)</f>
        <v>central Mid-Atlantic Ridge</v>
      </c>
    </row>
    <row r="1136" spans="1:8" x14ac:dyDescent="0.25">
      <c r="A1136" s="2">
        <v>39261</v>
      </c>
      <c r="B1136">
        <v>-7.97</v>
      </c>
      <c r="C1136">
        <v>154.65</v>
      </c>
      <c r="D1136" t="s">
        <v>16</v>
      </c>
      <c r="E1136" t="s">
        <v>290</v>
      </c>
      <c r="F1136">
        <f t="shared" si="34"/>
        <v>2007</v>
      </c>
      <c r="G1136">
        <f t="shared" si="35"/>
        <v>6</v>
      </c>
      <c r="H1136" t="str">
        <f>IF(ISNUMBER(FIND(",", E1136)), TRIM(MID(E1136, FIND(",", E1136) + 1, LEN(E1136))), E1136)</f>
        <v>Papua New Guinea</v>
      </c>
    </row>
    <row r="1137" spans="1:8" x14ac:dyDescent="0.25">
      <c r="A1137" s="2">
        <v>39259</v>
      </c>
      <c r="B1137">
        <v>-10.53</v>
      </c>
      <c r="C1137">
        <v>108.15</v>
      </c>
      <c r="D1137" t="s">
        <v>16</v>
      </c>
      <c r="E1137" t="s">
        <v>212</v>
      </c>
      <c r="F1137">
        <f t="shared" si="34"/>
        <v>2007</v>
      </c>
      <c r="G1137">
        <f t="shared" si="35"/>
        <v>6</v>
      </c>
      <c r="H1137" t="str">
        <f>IF(ISNUMBER(FIND(",", E1137)), TRIM(MID(E1137, FIND(",", E1137) + 1, LEN(E1137))), E1137)</f>
        <v>Indonesia</v>
      </c>
    </row>
    <row r="1138" spans="1:8" x14ac:dyDescent="0.25">
      <c r="A1138" s="2">
        <v>39257</v>
      </c>
      <c r="B1138">
        <v>-55.64</v>
      </c>
      <c r="C1138">
        <v>-2.63</v>
      </c>
      <c r="D1138" t="s">
        <v>16</v>
      </c>
      <c r="E1138" t="s">
        <v>422</v>
      </c>
      <c r="F1138">
        <f t="shared" si="34"/>
        <v>2007</v>
      </c>
      <c r="G1138">
        <f t="shared" si="35"/>
        <v>6</v>
      </c>
      <c r="H1138" t="str">
        <f>IF(ISNUMBER(FIND(",", E1138)), TRIM(MID(E1138, FIND(",", E1138) + 1, LEN(E1138))), E1138)</f>
        <v>southern Mid-Atlantic Ridge</v>
      </c>
    </row>
    <row r="1139" spans="1:8" x14ac:dyDescent="0.25">
      <c r="A1139" s="2">
        <v>39251</v>
      </c>
      <c r="B1139">
        <v>-3.57</v>
      </c>
      <c r="C1139">
        <v>151</v>
      </c>
      <c r="D1139" t="s">
        <v>16</v>
      </c>
      <c r="E1139" t="s">
        <v>183</v>
      </c>
      <c r="F1139">
        <f t="shared" si="34"/>
        <v>2007</v>
      </c>
      <c r="G1139">
        <f t="shared" si="35"/>
        <v>6</v>
      </c>
      <c r="H1139" t="str">
        <f>IF(ISNUMBER(FIND(",", E1139)), TRIM(MID(E1139, FIND(",", E1139) + 1, LEN(E1139))), E1139)</f>
        <v>Papua New Guinea</v>
      </c>
    </row>
    <row r="1140" spans="1:8" x14ac:dyDescent="0.25">
      <c r="A1140" s="2">
        <v>39246</v>
      </c>
      <c r="B1140">
        <v>13.56</v>
      </c>
      <c r="C1140">
        <v>-90.66</v>
      </c>
      <c r="D1140" t="s">
        <v>16</v>
      </c>
      <c r="E1140" t="s">
        <v>196</v>
      </c>
      <c r="F1140">
        <f t="shared" si="34"/>
        <v>2007</v>
      </c>
      <c r="G1140">
        <f t="shared" si="35"/>
        <v>6</v>
      </c>
      <c r="H1140" t="str">
        <f>IF(ISNUMBER(FIND(",", E1140)), TRIM(MID(E1140, FIND(",", E1140) + 1, LEN(E1140))), E1140)</f>
        <v>offshore Guatemala</v>
      </c>
    </row>
    <row r="1141" spans="1:8" x14ac:dyDescent="0.25">
      <c r="A1141" s="2">
        <v>39240</v>
      </c>
      <c r="B1141">
        <v>-3.3</v>
      </c>
      <c r="C1141">
        <v>146.74</v>
      </c>
      <c r="D1141" t="s">
        <v>16</v>
      </c>
      <c r="E1141" t="s">
        <v>380</v>
      </c>
      <c r="F1141">
        <f t="shared" si="34"/>
        <v>2007</v>
      </c>
      <c r="G1141">
        <f t="shared" si="35"/>
        <v>6</v>
      </c>
      <c r="H1141" t="str">
        <f>IF(ISNUMBER(FIND(",", E1141)), TRIM(MID(E1141, FIND(",", E1141) + 1, LEN(E1141))), E1141)</f>
        <v>Bismarck Sea</v>
      </c>
    </row>
    <row r="1142" spans="1:8" x14ac:dyDescent="0.25">
      <c r="A1142" s="2">
        <v>39235</v>
      </c>
      <c r="B1142">
        <v>23.02</v>
      </c>
      <c r="C1142">
        <v>101.01</v>
      </c>
      <c r="D1142" t="s">
        <v>16</v>
      </c>
      <c r="E1142" t="s">
        <v>423</v>
      </c>
      <c r="F1142">
        <f t="shared" si="34"/>
        <v>2007</v>
      </c>
      <c r="G1142">
        <f t="shared" si="35"/>
        <v>6</v>
      </c>
      <c r="H1142" t="str">
        <f>IF(ISNUMBER(FIND(",", E1142)), TRIM(MID(E1142, FIND(",", E1142) + 1, LEN(E1142))), E1142)</f>
        <v>China</v>
      </c>
    </row>
    <row r="1143" spans="1:8" x14ac:dyDescent="0.25">
      <c r="A1143" s="2">
        <v>39232</v>
      </c>
      <c r="B1143">
        <v>52.13</v>
      </c>
      <c r="C1143">
        <v>157.29</v>
      </c>
      <c r="D1143" t="s">
        <v>16</v>
      </c>
      <c r="E1143" t="s">
        <v>424</v>
      </c>
      <c r="F1143">
        <f t="shared" si="34"/>
        <v>2007</v>
      </c>
      <c r="G1143">
        <f t="shared" si="35"/>
        <v>5</v>
      </c>
      <c r="H1143" t="str">
        <f>IF(ISNUMBER(FIND(",", E1143)), TRIM(MID(E1143, FIND(",", E1143) + 1, LEN(E1143))), E1143)</f>
        <v>Russia</v>
      </c>
    </row>
    <row r="1144" spans="1:8" x14ac:dyDescent="0.25">
      <c r="A1144" s="2">
        <v>39231</v>
      </c>
      <c r="B1144">
        <v>-1.08</v>
      </c>
      <c r="C1144">
        <v>127.33</v>
      </c>
      <c r="D1144" t="s">
        <v>16</v>
      </c>
      <c r="E1144" t="s">
        <v>330</v>
      </c>
      <c r="F1144">
        <f t="shared" si="34"/>
        <v>2007</v>
      </c>
      <c r="G1144">
        <f t="shared" si="35"/>
        <v>5</v>
      </c>
      <c r="H1144" t="str">
        <f>IF(ISNUMBER(FIND(",", E1144)), TRIM(MID(E1144, FIND(",", E1144) + 1, LEN(E1144))), E1144)</f>
        <v>Indonesia</v>
      </c>
    </row>
    <row r="1145" spans="1:8" x14ac:dyDescent="0.25">
      <c r="A1145" s="2">
        <v>39231</v>
      </c>
      <c r="B1145">
        <v>-4.6100000000000003</v>
      </c>
      <c r="C1145">
        <v>151.88</v>
      </c>
      <c r="D1145" t="s">
        <v>16</v>
      </c>
      <c r="E1145" t="s">
        <v>190</v>
      </c>
      <c r="F1145">
        <f t="shared" si="34"/>
        <v>2007</v>
      </c>
      <c r="G1145">
        <f t="shared" si="35"/>
        <v>5</v>
      </c>
      <c r="H1145" t="str">
        <f>IF(ISNUMBER(FIND(",", E1145)), TRIM(MID(E1145, FIND(",", E1145) + 1, LEN(E1145))), E1145)</f>
        <v>Papua New Guinea</v>
      </c>
    </row>
    <row r="1146" spans="1:8" x14ac:dyDescent="0.25">
      <c r="A1146" s="2">
        <v>39219</v>
      </c>
      <c r="B1146">
        <v>-30.7</v>
      </c>
      <c r="C1146">
        <v>-178.05</v>
      </c>
      <c r="D1146" t="s">
        <v>16</v>
      </c>
      <c r="E1146" t="s">
        <v>288</v>
      </c>
      <c r="F1146">
        <f t="shared" si="34"/>
        <v>2007</v>
      </c>
      <c r="G1146">
        <f t="shared" si="35"/>
        <v>5</v>
      </c>
      <c r="H1146" t="str">
        <f>IF(ISNUMBER(FIND(",", E1146)), TRIM(MID(E1146, FIND(",", E1146) + 1, LEN(E1146))), E1146)</f>
        <v>New Zealand</v>
      </c>
    </row>
    <row r="1147" spans="1:8" x14ac:dyDescent="0.25">
      <c r="A1147" s="2">
        <v>39218</v>
      </c>
      <c r="B1147">
        <v>20.47</v>
      </c>
      <c r="C1147">
        <v>100.69</v>
      </c>
      <c r="D1147" t="s">
        <v>16</v>
      </c>
      <c r="E1147" t="s">
        <v>425</v>
      </c>
      <c r="F1147">
        <f t="shared" si="34"/>
        <v>2007</v>
      </c>
      <c r="G1147">
        <f t="shared" si="35"/>
        <v>5</v>
      </c>
      <c r="H1147" t="str">
        <f>IF(ISNUMBER(FIND(",", E1147)), TRIM(MID(E1147, FIND(",", E1147) + 1, LEN(E1147))), E1147)</f>
        <v>Laos</v>
      </c>
    </row>
    <row r="1148" spans="1:8" x14ac:dyDescent="0.25">
      <c r="A1148" s="2">
        <v>39209</v>
      </c>
      <c r="B1148">
        <v>-44.95</v>
      </c>
      <c r="C1148">
        <v>-80.58</v>
      </c>
      <c r="D1148" t="s">
        <v>16</v>
      </c>
      <c r="E1148" t="s">
        <v>194</v>
      </c>
      <c r="F1148">
        <f t="shared" si="34"/>
        <v>2007</v>
      </c>
      <c r="G1148">
        <f t="shared" si="35"/>
        <v>5</v>
      </c>
      <c r="H1148" t="str">
        <f>IF(ISNUMBER(FIND(",", E1148)), TRIM(MID(E1148, FIND(",", E1148) + 1, LEN(E1148))), E1148)</f>
        <v>Chile</v>
      </c>
    </row>
    <row r="1149" spans="1:8" x14ac:dyDescent="0.25">
      <c r="A1149" s="2">
        <v>39208</v>
      </c>
      <c r="B1149">
        <v>-19.41</v>
      </c>
      <c r="C1149">
        <v>-179.24</v>
      </c>
      <c r="D1149" t="s">
        <v>16</v>
      </c>
      <c r="E1149" t="s">
        <v>53</v>
      </c>
      <c r="F1149">
        <f t="shared" si="34"/>
        <v>2007</v>
      </c>
      <c r="G1149">
        <f t="shared" si="35"/>
        <v>5</v>
      </c>
      <c r="H1149" t="str">
        <f>IF(ISNUMBER(FIND(",", E1149)), TRIM(MID(E1149, FIND(",", E1149) + 1, LEN(E1149))), E1149)</f>
        <v>Fiji region</v>
      </c>
    </row>
    <row r="1150" spans="1:8" x14ac:dyDescent="0.25">
      <c r="A1150" s="2">
        <v>39208</v>
      </c>
      <c r="B1150">
        <v>-19.41</v>
      </c>
      <c r="C1150">
        <v>-179.27</v>
      </c>
      <c r="D1150" t="s">
        <v>16</v>
      </c>
      <c r="E1150" t="s">
        <v>53</v>
      </c>
      <c r="F1150">
        <f t="shared" si="34"/>
        <v>2007</v>
      </c>
      <c r="G1150">
        <f t="shared" si="35"/>
        <v>5</v>
      </c>
      <c r="H1150" t="str">
        <f>IF(ISNUMBER(FIND(",", E1150)), TRIM(MID(E1150, FIND(",", E1150) + 1, LEN(E1150))), E1150)</f>
        <v>Fiji region</v>
      </c>
    </row>
    <row r="1151" spans="1:8" x14ac:dyDescent="0.25">
      <c r="A1151" s="2">
        <v>39207</v>
      </c>
      <c r="B1151">
        <v>34.26</v>
      </c>
      <c r="C1151">
        <v>81.99</v>
      </c>
      <c r="D1151" t="s">
        <v>16</v>
      </c>
      <c r="E1151" t="s">
        <v>388</v>
      </c>
      <c r="F1151">
        <f t="shared" si="34"/>
        <v>2007</v>
      </c>
      <c r="G1151">
        <f t="shared" si="35"/>
        <v>5</v>
      </c>
      <c r="H1151" t="str">
        <f>IF(ISNUMBER(FIND(",", E1151)), TRIM(MID(E1151, FIND(",", E1151) + 1, LEN(E1151))), E1151)</f>
        <v>western Xizang</v>
      </c>
    </row>
    <row r="1152" spans="1:8" x14ac:dyDescent="0.25">
      <c r="A1152" s="2">
        <v>39206</v>
      </c>
      <c r="B1152">
        <v>-1.39</v>
      </c>
      <c r="C1152">
        <v>-14.92</v>
      </c>
      <c r="D1152" t="s">
        <v>16</v>
      </c>
      <c r="E1152" t="s">
        <v>378</v>
      </c>
      <c r="F1152">
        <f t="shared" si="34"/>
        <v>2007</v>
      </c>
      <c r="G1152">
        <f t="shared" si="35"/>
        <v>5</v>
      </c>
      <c r="H1152" t="str">
        <f>IF(ISNUMBER(FIND(",", E1152)), TRIM(MID(E1152, FIND(",", E1152) + 1, LEN(E1152))), E1152)</f>
        <v>north of Ascension Island</v>
      </c>
    </row>
    <row r="1153" spans="1:8" x14ac:dyDescent="0.25">
      <c r="A1153" s="2">
        <v>39201</v>
      </c>
      <c r="B1153">
        <v>51.97</v>
      </c>
      <c r="C1153">
        <v>-179.94</v>
      </c>
      <c r="D1153" t="s">
        <v>16</v>
      </c>
      <c r="E1153" t="s">
        <v>207</v>
      </c>
      <c r="F1153">
        <f t="shared" si="34"/>
        <v>2007</v>
      </c>
      <c r="G1153">
        <f t="shared" si="35"/>
        <v>4</v>
      </c>
      <c r="H1153" t="str">
        <f>IF(ISNUMBER(FIND(",", E1153)), TRIM(MID(E1153, FIND(",", E1153) + 1, LEN(E1153))), E1153)</f>
        <v>Aleutian Islands, Alaska</v>
      </c>
    </row>
    <row r="1154" spans="1:8" x14ac:dyDescent="0.25">
      <c r="A1154" s="2">
        <v>39200</v>
      </c>
      <c r="B1154">
        <v>-60.77</v>
      </c>
      <c r="C1154">
        <v>-20.22</v>
      </c>
      <c r="D1154" t="s">
        <v>16</v>
      </c>
      <c r="E1154" t="s">
        <v>242</v>
      </c>
      <c r="F1154">
        <f t="shared" ref="F1154:F1217" si="36">YEAR(A1154)</f>
        <v>2007</v>
      </c>
      <c r="G1154">
        <f t="shared" si="35"/>
        <v>4</v>
      </c>
      <c r="H1154" t="str">
        <f>IF(ISNUMBER(FIND(",", E1154)), TRIM(MID(E1154, FIND(",", E1154) + 1, LEN(E1154))), E1154)</f>
        <v>east of the South Sandwich Islands</v>
      </c>
    </row>
    <row r="1155" spans="1:8" x14ac:dyDescent="0.25">
      <c r="A1155" s="2">
        <v>39197</v>
      </c>
      <c r="B1155">
        <v>-14.28</v>
      </c>
      <c r="C1155">
        <v>166.87</v>
      </c>
      <c r="D1155" t="s">
        <v>16</v>
      </c>
      <c r="E1155" t="s">
        <v>181</v>
      </c>
      <c r="F1155">
        <f t="shared" si="36"/>
        <v>2007</v>
      </c>
      <c r="G1155">
        <f t="shared" ref="G1155:G1218" si="37">MONTH(A1155)</f>
        <v>4</v>
      </c>
      <c r="H1155" t="str">
        <f>IF(ISNUMBER(FIND(",", E1155)), TRIM(MID(E1155, FIND(",", E1155) + 1, LEN(E1155))), E1155)</f>
        <v>Vanuatu</v>
      </c>
    </row>
    <row r="1156" spans="1:8" x14ac:dyDescent="0.25">
      <c r="A1156" s="2">
        <v>39193</v>
      </c>
      <c r="B1156">
        <v>-45.24</v>
      </c>
      <c r="C1156">
        <v>-72.67</v>
      </c>
      <c r="D1156" t="s">
        <v>16</v>
      </c>
      <c r="E1156" t="s">
        <v>426</v>
      </c>
      <c r="F1156">
        <f t="shared" si="36"/>
        <v>2007</v>
      </c>
      <c r="G1156">
        <f t="shared" si="37"/>
        <v>4</v>
      </c>
      <c r="H1156" t="str">
        <f>IF(ISNUMBER(FIND(",", E1156)), TRIM(MID(E1156, FIND(",", E1156) + 1, LEN(E1156))), E1156)</f>
        <v>Chile</v>
      </c>
    </row>
    <row r="1157" spans="1:8" x14ac:dyDescent="0.25">
      <c r="A1157" s="2">
        <v>39193</v>
      </c>
      <c r="B1157">
        <v>-13.84</v>
      </c>
      <c r="C1157">
        <v>166.81</v>
      </c>
      <c r="D1157" t="s">
        <v>16</v>
      </c>
      <c r="E1157" t="s">
        <v>181</v>
      </c>
      <c r="F1157">
        <f t="shared" si="36"/>
        <v>2007</v>
      </c>
      <c r="G1157">
        <f t="shared" si="37"/>
        <v>4</v>
      </c>
      <c r="H1157" t="str">
        <f>IF(ISNUMBER(FIND(",", E1157)), TRIM(MID(E1157, FIND(",", E1157) + 1, LEN(E1157))), E1157)</f>
        <v>Vanuatu</v>
      </c>
    </row>
    <row r="1158" spans="1:8" x14ac:dyDescent="0.25">
      <c r="A1158" s="2">
        <v>39193</v>
      </c>
      <c r="B1158">
        <v>-3.56</v>
      </c>
      <c r="C1158">
        <v>151.32</v>
      </c>
      <c r="D1158" t="s">
        <v>16</v>
      </c>
      <c r="E1158" t="s">
        <v>183</v>
      </c>
      <c r="F1158">
        <f t="shared" si="36"/>
        <v>2007</v>
      </c>
      <c r="G1158">
        <f t="shared" si="37"/>
        <v>4</v>
      </c>
      <c r="H1158" t="str">
        <f>IF(ISNUMBER(FIND(",", E1158)), TRIM(MID(E1158, FIND(",", E1158) + 1, LEN(E1158))), E1158)</f>
        <v>Papua New Guinea</v>
      </c>
    </row>
    <row r="1159" spans="1:8" x14ac:dyDescent="0.25">
      <c r="A1159" s="2">
        <v>39192</v>
      </c>
      <c r="B1159">
        <v>25.62</v>
      </c>
      <c r="C1159">
        <v>125.03</v>
      </c>
      <c r="D1159" t="s">
        <v>16</v>
      </c>
      <c r="E1159" t="s">
        <v>312</v>
      </c>
      <c r="F1159">
        <f t="shared" si="36"/>
        <v>2007</v>
      </c>
      <c r="G1159">
        <f t="shared" si="37"/>
        <v>4</v>
      </c>
      <c r="H1159" t="str">
        <f>IF(ISNUMBER(FIND(",", E1159)), TRIM(MID(E1159, FIND(",", E1159) + 1, LEN(E1159))), E1159)</f>
        <v>Japan</v>
      </c>
    </row>
    <row r="1160" spans="1:8" x14ac:dyDescent="0.25">
      <c r="A1160" s="2">
        <v>39192</v>
      </c>
      <c r="B1160">
        <v>25.71</v>
      </c>
      <c r="C1160">
        <v>125.1</v>
      </c>
      <c r="D1160" t="s">
        <v>16</v>
      </c>
      <c r="E1160" t="s">
        <v>312</v>
      </c>
      <c r="F1160">
        <f t="shared" si="36"/>
        <v>2007</v>
      </c>
      <c r="G1160">
        <f t="shared" si="37"/>
        <v>4</v>
      </c>
      <c r="H1160" t="str">
        <f>IF(ISNUMBER(FIND(",", E1160)), TRIM(MID(E1160, FIND(",", E1160) + 1, LEN(E1160))), E1160)</f>
        <v>Japan</v>
      </c>
    </row>
    <row r="1161" spans="1:8" x14ac:dyDescent="0.25">
      <c r="A1161" s="2">
        <v>39192</v>
      </c>
      <c r="B1161">
        <v>25.71</v>
      </c>
      <c r="C1161">
        <v>125.08</v>
      </c>
      <c r="D1161" t="s">
        <v>16</v>
      </c>
      <c r="E1161" t="s">
        <v>312</v>
      </c>
      <c r="F1161">
        <f t="shared" si="36"/>
        <v>2007</v>
      </c>
      <c r="G1161">
        <f t="shared" si="37"/>
        <v>4</v>
      </c>
      <c r="H1161" t="str">
        <f>IF(ISNUMBER(FIND(",", E1161)), TRIM(MID(E1161, FIND(",", E1161) + 1, LEN(E1161))), E1161)</f>
        <v>Japan</v>
      </c>
    </row>
    <row r="1162" spans="1:8" x14ac:dyDescent="0.25">
      <c r="A1162" s="2">
        <v>39188</v>
      </c>
      <c r="B1162">
        <v>-58.03</v>
      </c>
      <c r="C1162">
        <v>147.96</v>
      </c>
      <c r="D1162" t="s">
        <v>16</v>
      </c>
      <c r="E1162" t="s">
        <v>205</v>
      </c>
      <c r="F1162">
        <f t="shared" si="36"/>
        <v>2007</v>
      </c>
      <c r="G1162">
        <f t="shared" si="37"/>
        <v>4</v>
      </c>
      <c r="H1162" t="str">
        <f>IF(ISNUMBER(FIND(",", E1162)), TRIM(MID(E1162, FIND(",", E1162) + 1, LEN(E1162))), E1162)</f>
        <v>west of Macquarie Island</v>
      </c>
    </row>
    <row r="1163" spans="1:8" x14ac:dyDescent="0.25">
      <c r="A1163" s="2">
        <v>39185</v>
      </c>
      <c r="B1163">
        <v>-35</v>
      </c>
      <c r="C1163">
        <v>-108.86</v>
      </c>
      <c r="D1163" t="s">
        <v>16</v>
      </c>
      <c r="E1163" t="s">
        <v>268</v>
      </c>
      <c r="F1163">
        <f t="shared" si="36"/>
        <v>2007</v>
      </c>
      <c r="G1163">
        <f t="shared" si="37"/>
        <v>4</v>
      </c>
      <c r="H1163" t="str">
        <f>IF(ISNUMBER(FIND(",", E1163)), TRIM(MID(E1163, FIND(",", E1163) + 1, LEN(E1163))), E1163)</f>
        <v>southern East Pacific Rise</v>
      </c>
    </row>
    <row r="1164" spans="1:8" x14ac:dyDescent="0.25">
      <c r="A1164" s="2">
        <v>39185</v>
      </c>
      <c r="B1164">
        <v>17.27</v>
      </c>
      <c r="C1164">
        <v>-100.23</v>
      </c>
      <c r="D1164" t="s">
        <v>16</v>
      </c>
      <c r="E1164" t="s">
        <v>192</v>
      </c>
      <c r="F1164">
        <f t="shared" si="36"/>
        <v>2007</v>
      </c>
      <c r="G1164">
        <f t="shared" si="37"/>
        <v>4</v>
      </c>
      <c r="H1164" t="str">
        <f>IF(ISNUMBER(FIND(",", E1164)), TRIM(MID(E1164, FIND(",", E1164) + 1, LEN(E1164))), E1164)</f>
        <v>Mexico</v>
      </c>
    </row>
    <row r="1165" spans="1:8" x14ac:dyDescent="0.25">
      <c r="A1165" s="2">
        <v>39184</v>
      </c>
      <c r="B1165">
        <v>-61.81</v>
      </c>
      <c r="C1165">
        <v>161.03</v>
      </c>
      <c r="D1165" t="s">
        <v>16</v>
      </c>
      <c r="E1165" t="s">
        <v>283</v>
      </c>
      <c r="F1165">
        <f t="shared" si="36"/>
        <v>2007</v>
      </c>
      <c r="G1165">
        <f t="shared" si="37"/>
        <v>4</v>
      </c>
      <c r="H1165" t="str">
        <f>IF(ISNUMBER(FIND(",", E1165)), TRIM(MID(E1165, FIND(",", E1165) + 1, LEN(E1165))), E1165)</f>
        <v>Balleny Islands region</v>
      </c>
    </row>
    <row r="1166" spans="1:8" x14ac:dyDescent="0.25">
      <c r="A1166" s="2">
        <v>39179</v>
      </c>
      <c r="B1166">
        <v>2.91</v>
      </c>
      <c r="C1166">
        <v>95.67</v>
      </c>
      <c r="D1166" t="s">
        <v>16</v>
      </c>
      <c r="E1166" t="s">
        <v>222</v>
      </c>
      <c r="F1166">
        <f t="shared" si="36"/>
        <v>2007</v>
      </c>
      <c r="G1166">
        <f t="shared" si="37"/>
        <v>4</v>
      </c>
      <c r="H1166" t="str">
        <f>IF(ISNUMBER(FIND(",", E1166)), TRIM(MID(E1166, FIND(",", E1166) + 1, LEN(E1166))), E1166)</f>
        <v>Indonesia</v>
      </c>
    </row>
    <row r="1167" spans="1:8" x14ac:dyDescent="0.25">
      <c r="A1167" s="2">
        <v>39179</v>
      </c>
      <c r="B1167">
        <v>37.28</v>
      </c>
      <c r="C1167">
        <v>-24.49</v>
      </c>
      <c r="D1167" t="s">
        <v>16</v>
      </c>
      <c r="E1167" t="s">
        <v>427</v>
      </c>
      <c r="F1167">
        <f t="shared" si="36"/>
        <v>2007</v>
      </c>
      <c r="G1167">
        <f t="shared" si="37"/>
        <v>4</v>
      </c>
      <c r="H1167" t="str">
        <f>IF(ISNUMBER(FIND(",", E1167)), TRIM(MID(E1167, FIND(",", E1167) + 1, LEN(E1167))), E1167)</f>
        <v>Azores Islands region</v>
      </c>
    </row>
    <row r="1168" spans="1:8" x14ac:dyDescent="0.25">
      <c r="A1168" s="2">
        <v>39177</v>
      </c>
      <c r="B1168">
        <v>37.32</v>
      </c>
      <c r="C1168">
        <v>-24.61</v>
      </c>
      <c r="D1168" t="s">
        <v>16</v>
      </c>
      <c r="E1168" t="s">
        <v>427</v>
      </c>
      <c r="F1168">
        <f t="shared" si="36"/>
        <v>2007</v>
      </c>
      <c r="G1168">
        <f t="shared" si="37"/>
        <v>4</v>
      </c>
      <c r="H1168" t="str">
        <f>IF(ISNUMBER(FIND(",", E1168)), TRIM(MID(E1168, FIND(",", E1168) + 1, LEN(E1168))), E1168)</f>
        <v>Azores Islands region</v>
      </c>
    </row>
    <row r="1169" spans="1:8" x14ac:dyDescent="0.25">
      <c r="A1169" s="2">
        <v>39176</v>
      </c>
      <c r="B1169">
        <v>-20.687999999999999</v>
      </c>
      <c r="C1169">
        <v>169.05600000000001</v>
      </c>
      <c r="D1169" t="s">
        <v>7</v>
      </c>
      <c r="E1169" t="s">
        <v>181</v>
      </c>
      <c r="F1169">
        <f t="shared" si="36"/>
        <v>2007</v>
      </c>
      <c r="G1169">
        <f t="shared" si="37"/>
        <v>4</v>
      </c>
      <c r="H1169" t="str">
        <f>IF(ISNUMBER(FIND(",", E1169)), TRIM(MID(E1169, FIND(",", E1169) + 1, LEN(E1169))), E1169)</f>
        <v>Vanuatu</v>
      </c>
    </row>
    <row r="1170" spans="1:8" x14ac:dyDescent="0.25">
      <c r="A1170" s="2">
        <v>39176</v>
      </c>
      <c r="B1170">
        <v>-20.72</v>
      </c>
      <c r="C1170">
        <v>168.89</v>
      </c>
      <c r="D1170" t="s">
        <v>16</v>
      </c>
      <c r="E1170" t="s">
        <v>292</v>
      </c>
      <c r="F1170">
        <f t="shared" si="36"/>
        <v>2007</v>
      </c>
      <c r="G1170">
        <f t="shared" si="37"/>
        <v>4</v>
      </c>
      <c r="H1170" t="str">
        <f>IF(ISNUMBER(FIND(",", E1170)), TRIM(MID(E1170, FIND(",", E1170) + 1, LEN(E1170))), E1170)</f>
        <v>New Caledonia</v>
      </c>
    </row>
    <row r="1171" spans="1:8" x14ac:dyDescent="0.25">
      <c r="A1171" s="2">
        <v>39176</v>
      </c>
      <c r="B1171">
        <v>-7.78</v>
      </c>
      <c r="C1171">
        <v>156.53</v>
      </c>
      <c r="D1171" t="s">
        <v>16</v>
      </c>
      <c r="E1171" t="s">
        <v>221</v>
      </c>
      <c r="F1171">
        <f t="shared" si="36"/>
        <v>2007</v>
      </c>
      <c r="G1171">
        <f t="shared" si="37"/>
        <v>4</v>
      </c>
      <c r="H1171" t="str">
        <f>IF(ISNUMBER(FIND(",", E1171)), TRIM(MID(E1171, FIND(",", E1171) + 1, LEN(E1171))), E1171)</f>
        <v>Solomon Islands</v>
      </c>
    </row>
    <row r="1172" spans="1:8" x14ac:dyDescent="0.25">
      <c r="A1172" s="2">
        <v>39175</v>
      </c>
      <c r="B1172">
        <v>-20.66</v>
      </c>
      <c r="C1172">
        <v>169.03</v>
      </c>
      <c r="D1172" t="s">
        <v>16</v>
      </c>
      <c r="E1172" t="s">
        <v>181</v>
      </c>
      <c r="F1172">
        <f t="shared" si="36"/>
        <v>2007</v>
      </c>
      <c r="G1172">
        <f t="shared" si="37"/>
        <v>4</v>
      </c>
      <c r="H1172" t="str">
        <f>IF(ISNUMBER(FIND(",", E1172)), TRIM(MID(E1172, FIND(",", E1172) + 1, LEN(E1172))), E1172)</f>
        <v>Vanuatu</v>
      </c>
    </row>
    <row r="1173" spans="1:8" x14ac:dyDescent="0.25">
      <c r="A1173" s="2">
        <v>39175</v>
      </c>
      <c r="B1173">
        <v>-7.86</v>
      </c>
      <c r="C1173">
        <v>155.84</v>
      </c>
      <c r="D1173" t="s">
        <v>16</v>
      </c>
      <c r="E1173" t="s">
        <v>221</v>
      </c>
      <c r="F1173">
        <f t="shared" si="36"/>
        <v>2007</v>
      </c>
      <c r="G1173">
        <f t="shared" si="37"/>
        <v>4</v>
      </c>
      <c r="H1173" t="str">
        <f>IF(ISNUMBER(FIND(",", E1173)), TRIM(MID(E1173, FIND(",", E1173) + 1, LEN(E1173))), E1173)</f>
        <v>Solomon Islands</v>
      </c>
    </row>
    <row r="1174" spans="1:8" x14ac:dyDescent="0.25">
      <c r="A1174" s="2">
        <v>39175</v>
      </c>
      <c r="B1174">
        <v>36.39</v>
      </c>
      <c r="C1174">
        <v>70.64</v>
      </c>
      <c r="D1174" t="s">
        <v>16</v>
      </c>
      <c r="E1174" t="s">
        <v>314</v>
      </c>
      <c r="F1174">
        <f t="shared" si="36"/>
        <v>2007</v>
      </c>
      <c r="G1174">
        <f t="shared" si="37"/>
        <v>4</v>
      </c>
      <c r="H1174" t="str">
        <f>IF(ISNUMBER(FIND(",", E1174)), TRIM(MID(E1174, FIND(",", E1174) + 1, LEN(E1174))), E1174)</f>
        <v>Afghanistan</v>
      </c>
    </row>
    <row r="1175" spans="1:8" x14ac:dyDescent="0.25">
      <c r="A1175" s="2">
        <v>39174</v>
      </c>
      <c r="B1175">
        <v>-8.6199999999999992</v>
      </c>
      <c r="C1175">
        <v>157.44999999999999</v>
      </c>
      <c r="D1175" t="s">
        <v>16</v>
      </c>
      <c r="E1175" t="s">
        <v>221</v>
      </c>
      <c r="F1175">
        <f t="shared" si="36"/>
        <v>2007</v>
      </c>
      <c r="G1175">
        <f t="shared" si="37"/>
        <v>4</v>
      </c>
      <c r="H1175" t="str">
        <f>IF(ISNUMBER(FIND(",", E1175)), TRIM(MID(E1175, FIND(",", E1175) + 1, LEN(E1175))), E1175)</f>
        <v>Solomon Islands</v>
      </c>
    </row>
    <row r="1176" spans="1:8" x14ac:dyDescent="0.25">
      <c r="A1176" s="2">
        <v>39174</v>
      </c>
      <c r="B1176">
        <v>-8.6999999999999993</v>
      </c>
      <c r="C1176">
        <v>157.63999999999999</v>
      </c>
      <c r="D1176" t="s">
        <v>16</v>
      </c>
      <c r="E1176" t="s">
        <v>221</v>
      </c>
      <c r="F1176">
        <f t="shared" si="36"/>
        <v>2007</v>
      </c>
      <c r="G1176">
        <f t="shared" si="37"/>
        <v>4</v>
      </c>
      <c r="H1176" t="str">
        <f>IF(ISNUMBER(FIND(",", E1176)), TRIM(MID(E1176, FIND(",", E1176) + 1, LEN(E1176))), E1176)</f>
        <v>Solomon Islands</v>
      </c>
    </row>
    <row r="1177" spans="1:8" x14ac:dyDescent="0.25">
      <c r="A1177" s="2">
        <v>39174</v>
      </c>
      <c r="B1177">
        <v>-7.27</v>
      </c>
      <c r="C1177">
        <v>156.25</v>
      </c>
      <c r="D1177" t="s">
        <v>16</v>
      </c>
      <c r="E1177" t="s">
        <v>221</v>
      </c>
      <c r="F1177">
        <f t="shared" si="36"/>
        <v>2007</v>
      </c>
      <c r="G1177">
        <f t="shared" si="37"/>
        <v>4</v>
      </c>
      <c r="H1177" t="str">
        <f>IF(ISNUMBER(FIND(",", E1177)), TRIM(MID(E1177, FIND(",", E1177) + 1, LEN(E1177))), E1177)</f>
        <v>Solomon Islands</v>
      </c>
    </row>
    <row r="1178" spans="1:8" x14ac:dyDescent="0.25">
      <c r="A1178" s="2">
        <v>39174</v>
      </c>
      <c r="B1178">
        <v>-45.37</v>
      </c>
      <c r="C1178">
        <v>-72.930000000000007</v>
      </c>
      <c r="D1178" t="s">
        <v>16</v>
      </c>
      <c r="E1178" t="s">
        <v>426</v>
      </c>
      <c r="F1178">
        <f t="shared" si="36"/>
        <v>2007</v>
      </c>
      <c r="G1178">
        <f t="shared" si="37"/>
        <v>4</v>
      </c>
      <c r="H1178" t="str">
        <f>IF(ISNUMBER(FIND(",", E1178)), TRIM(MID(E1178, FIND(",", E1178) + 1, LEN(E1178))), E1178)</f>
        <v>Chile</v>
      </c>
    </row>
    <row r="1179" spans="1:8" x14ac:dyDescent="0.25">
      <c r="A1179" s="2">
        <v>39173</v>
      </c>
      <c r="B1179">
        <v>-7.3029999999999999</v>
      </c>
      <c r="C1179">
        <v>155.68199999999999</v>
      </c>
      <c r="D1179" t="s">
        <v>13</v>
      </c>
      <c r="E1179" t="s">
        <v>221</v>
      </c>
      <c r="F1179">
        <f t="shared" si="36"/>
        <v>2007</v>
      </c>
      <c r="G1179">
        <f t="shared" si="37"/>
        <v>4</v>
      </c>
      <c r="H1179" t="str">
        <f>IF(ISNUMBER(FIND(",", E1179)), TRIM(MID(E1179, FIND(",", E1179) + 1, LEN(E1179))), E1179)</f>
        <v>Solomon Islands</v>
      </c>
    </row>
    <row r="1180" spans="1:8" x14ac:dyDescent="0.25">
      <c r="A1180" s="2">
        <v>39173</v>
      </c>
      <c r="B1180">
        <v>-7.33</v>
      </c>
      <c r="C1180">
        <v>155.79</v>
      </c>
      <c r="D1180" t="s">
        <v>16</v>
      </c>
      <c r="E1180" t="s">
        <v>221</v>
      </c>
      <c r="F1180">
        <f t="shared" si="36"/>
        <v>2007</v>
      </c>
      <c r="G1180">
        <f t="shared" si="37"/>
        <v>4</v>
      </c>
      <c r="H1180" t="str">
        <f>IF(ISNUMBER(FIND(",", E1180)), TRIM(MID(E1180, FIND(",", E1180) + 1, LEN(E1180))), E1180)</f>
        <v>Solomon Islands</v>
      </c>
    </row>
    <row r="1181" spans="1:8" x14ac:dyDescent="0.25">
      <c r="A1181" s="2">
        <v>39173</v>
      </c>
      <c r="B1181">
        <v>-7.1689999999999996</v>
      </c>
      <c r="C1181">
        <v>155.77699999999999</v>
      </c>
      <c r="D1181" t="s">
        <v>13</v>
      </c>
      <c r="E1181" t="s">
        <v>221</v>
      </c>
      <c r="F1181">
        <f t="shared" si="36"/>
        <v>2007</v>
      </c>
      <c r="G1181">
        <f t="shared" si="37"/>
        <v>4</v>
      </c>
      <c r="H1181" t="str">
        <f>IF(ISNUMBER(FIND(",", E1181)), TRIM(MID(E1181, FIND(",", E1181) + 1, LEN(E1181))), E1181)</f>
        <v>Solomon Islands</v>
      </c>
    </row>
    <row r="1182" spans="1:8" x14ac:dyDescent="0.25">
      <c r="A1182" s="2">
        <v>39173</v>
      </c>
      <c r="B1182">
        <v>-9.5050000000000008</v>
      </c>
      <c r="C1182">
        <v>156.934</v>
      </c>
      <c r="D1182" t="s">
        <v>13</v>
      </c>
      <c r="E1182" t="s">
        <v>221</v>
      </c>
      <c r="F1182">
        <f t="shared" si="36"/>
        <v>2007</v>
      </c>
      <c r="G1182">
        <f t="shared" si="37"/>
        <v>4</v>
      </c>
      <c r="H1182" t="str">
        <f>IF(ISNUMBER(FIND(",", E1182)), TRIM(MID(E1182, FIND(",", E1182) + 1, LEN(E1182))), E1182)</f>
        <v>Solomon Islands</v>
      </c>
    </row>
    <row r="1183" spans="1:8" x14ac:dyDescent="0.25">
      <c r="A1183" s="2">
        <v>39173</v>
      </c>
      <c r="B1183">
        <v>-8.43</v>
      </c>
      <c r="C1183">
        <v>157.06</v>
      </c>
      <c r="D1183" t="s">
        <v>16</v>
      </c>
      <c r="E1183" t="s">
        <v>221</v>
      </c>
      <c r="F1183">
        <f t="shared" si="36"/>
        <v>2007</v>
      </c>
      <c r="G1183">
        <f t="shared" si="37"/>
        <v>4</v>
      </c>
      <c r="H1183" t="str">
        <f>IF(ISNUMBER(FIND(",", E1183)), TRIM(MID(E1183, FIND(",", E1183) + 1, LEN(E1183))), E1183)</f>
        <v>Solomon Islands</v>
      </c>
    </row>
    <row r="1184" spans="1:8" x14ac:dyDescent="0.25">
      <c r="A1184" s="2">
        <v>39172</v>
      </c>
      <c r="B1184">
        <v>-56.02</v>
      </c>
      <c r="C1184">
        <v>-123.22</v>
      </c>
      <c r="D1184" t="s">
        <v>16</v>
      </c>
      <c r="E1184" t="s">
        <v>268</v>
      </c>
      <c r="F1184">
        <f t="shared" si="36"/>
        <v>2007</v>
      </c>
      <c r="G1184">
        <f t="shared" si="37"/>
        <v>3</v>
      </c>
      <c r="H1184" t="str">
        <f>IF(ISNUMBER(FIND(",", E1184)), TRIM(MID(E1184, FIND(",", E1184) + 1, LEN(E1184))), E1184)</f>
        <v>southern East Pacific Rise</v>
      </c>
    </row>
    <row r="1185" spans="1:8" x14ac:dyDescent="0.25">
      <c r="A1185" s="2">
        <v>39166</v>
      </c>
      <c r="B1185">
        <v>-20.76</v>
      </c>
      <c r="C1185">
        <v>169.43</v>
      </c>
      <c r="D1185" t="s">
        <v>16</v>
      </c>
      <c r="E1185" t="s">
        <v>181</v>
      </c>
      <c r="F1185">
        <f t="shared" si="36"/>
        <v>2007</v>
      </c>
      <c r="G1185">
        <f t="shared" si="37"/>
        <v>3</v>
      </c>
      <c r="H1185" t="str">
        <f>IF(ISNUMBER(FIND(",", E1185)), TRIM(MID(E1185, FIND(",", E1185) + 1, LEN(E1185))), E1185)</f>
        <v>Vanuatu</v>
      </c>
    </row>
    <row r="1186" spans="1:8" x14ac:dyDescent="0.25">
      <c r="A1186" s="2">
        <v>39166</v>
      </c>
      <c r="B1186">
        <v>37.340000000000003</v>
      </c>
      <c r="C1186">
        <v>136.54</v>
      </c>
      <c r="D1186" t="s">
        <v>16</v>
      </c>
      <c r="E1186" t="s">
        <v>298</v>
      </c>
      <c r="F1186">
        <f t="shared" si="36"/>
        <v>2007</v>
      </c>
      <c r="G1186">
        <f t="shared" si="37"/>
        <v>3</v>
      </c>
      <c r="H1186" t="str">
        <f>IF(ISNUMBER(FIND(",", E1186)), TRIM(MID(E1186, FIND(",", E1186) + 1, LEN(E1186))), E1186)</f>
        <v>Japan</v>
      </c>
    </row>
    <row r="1187" spans="1:8" x14ac:dyDescent="0.25">
      <c r="A1187" s="2">
        <v>39166</v>
      </c>
      <c r="B1187">
        <v>-20.62</v>
      </c>
      <c r="C1187">
        <v>169.41</v>
      </c>
      <c r="D1187" t="s">
        <v>16</v>
      </c>
      <c r="E1187" t="s">
        <v>181</v>
      </c>
      <c r="F1187">
        <f t="shared" si="36"/>
        <v>2007</v>
      </c>
      <c r="G1187">
        <f t="shared" si="37"/>
        <v>3</v>
      </c>
      <c r="H1187" t="str">
        <f>IF(ISNUMBER(FIND(",", E1187)), TRIM(MID(E1187, FIND(",", E1187) + 1, LEN(E1187))), E1187)</f>
        <v>Vanuatu</v>
      </c>
    </row>
    <row r="1188" spans="1:8" x14ac:dyDescent="0.25">
      <c r="A1188" s="2">
        <v>39159</v>
      </c>
      <c r="B1188">
        <v>4.59</v>
      </c>
      <c r="C1188">
        <v>-78.489999999999995</v>
      </c>
      <c r="D1188" t="s">
        <v>16</v>
      </c>
      <c r="E1188" t="s">
        <v>231</v>
      </c>
      <c r="F1188">
        <f t="shared" si="36"/>
        <v>2007</v>
      </c>
      <c r="G1188">
        <f t="shared" si="37"/>
        <v>3</v>
      </c>
      <c r="H1188" t="str">
        <f>IF(ISNUMBER(FIND(",", E1188)), TRIM(MID(E1188, FIND(",", E1188) + 1, LEN(E1188))), E1188)</f>
        <v>south of Panama</v>
      </c>
    </row>
    <row r="1189" spans="1:8" x14ac:dyDescent="0.25">
      <c r="A1189" s="2">
        <v>39158</v>
      </c>
      <c r="B1189">
        <v>4.54</v>
      </c>
      <c r="C1189">
        <v>-78.53</v>
      </c>
      <c r="D1189" t="s">
        <v>16</v>
      </c>
      <c r="E1189" t="s">
        <v>231</v>
      </c>
      <c r="F1189">
        <f t="shared" si="36"/>
        <v>2007</v>
      </c>
      <c r="G1189">
        <f t="shared" si="37"/>
        <v>3</v>
      </c>
      <c r="H1189" t="str">
        <f>IF(ISNUMBER(FIND(",", E1189)), TRIM(MID(E1189, FIND(",", E1189) + 1, LEN(E1189))), E1189)</f>
        <v>south of Panama</v>
      </c>
    </row>
    <row r="1190" spans="1:8" x14ac:dyDescent="0.25">
      <c r="A1190" s="2">
        <v>39158</v>
      </c>
      <c r="B1190">
        <v>1.1399999999999999</v>
      </c>
      <c r="C1190">
        <v>126.2</v>
      </c>
      <c r="D1190" t="s">
        <v>16</v>
      </c>
      <c r="E1190" t="s">
        <v>186</v>
      </c>
      <c r="F1190">
        <f t="shared" si="36"/>
        <v>2007</v>
      </c>
      <c r="G1190">
        <f t="shared" si="37"/>
        <v>3</v>
      </c>
      <c r="H1190" t="str">
        <f>IF(ISNUMBER(FIND(",", E1190)), TRIM(MID(E1190, FIND(",", E1190) + 1, LEN(E1190))), E1190)</f>
        <v>Molucca Sea</v>
      </c>
    </row>
    <row r="1191" spans="1:8" x14ac:dyDescent="0.25">
      <c r="A1191" s="2">
        <v>39150</v>
      </c>
      <c r="B1191">
        <v>43.21</v>
      </c>
      <c r="C1191">
        <v>133.52000000000001</v>
      </c>
      <c r="D1191" t="s">
        <v>16</v>
      </c>
      <c r="E1191" t="s">
        <v>344</v>
      </c>
      <c r="F1191">
        <f t="shared" si="36"/>
        <v>2007</v>
      </c>
      <c r="G1191">
        <f t="shared" si="37"/>
        <v>3</v>
      </c>
      <c r="H1191" t="str">
        <f>IF(ISNUMBER(FIND(",", E1191)), TRIM(MID(E1191, FIND(",", E1191) + 1, LEN(E1191))), E1191)</f>
        <v>Russia</v>
      </c>
    </row>
    <row r="1192" spans="1:8" x14ac:dyDescent="0.25">
      <c r="A1192" s="2">
        <v>39149</v>
      </c>
      <c r="B1192">
        <v>-58.15</v>
      </c>
      <c r="C1192">
        <v>-7.72</v>
      </c>
      <c r="D1192" t="s">
        <v>16</v>
      </c>
      <c r="E1192" t="s">
        <v>242</v>
      </c>
      <c r="F1192">
        <f t="shared" si="36"/>
        <v>2007</v>
      </c>
      <c r="G1192">
        <f t="shared" si="37"/>
        <v>3</v>
      </c>
      <c r="H1192" t="str">
        <f>IF(ISNUMBER(FIND(",", E1192)), TRIM(MID(E1192, FIND(",", E1192) + 1, LEN(E1192))), E1192)</f>
        <v>east of the South Sandwich Islands</v>
      </c>
    </row>
    <row r="1193" spans="1:8" x14ac:dyDescent="0.25">
      <c r="A1193" s="2">
        <v>39149</v>
      </c>
      <c r="B1193">
        <v>29.89</v>
      </c>
      <c r="C1193">
        <v>140.24</v>
      </c>
      <c r="D1193" t="s">
        <v>16</v>
      </c>
      <c r="E1193" t="s">
        <v>88</v>
      </c>
      <c r="F1193">
        <f t="shared" si="36"/>
        <v>2007</v>
      </c>
      <c r="G1193">
        <f t="shared" si="37"/>
        <v>3</v>
      </c>
      <c r="H1193" t="str">
        <f>IF(ISNUMBER(FIND(",", E1193)), TRIM(MID(E1193, FIND(",", E1193) + 1, LEN(E1193))), E1193)</f>
        <v>Japan region</v>
      </c>
    </row>
    <row r="1194" spans="1:8" x14ac:dyDescent="0.25">
      <c r="A1194" s="2">
        <v>39147</v>
      </c>
      <c r="B1194">
        <v>-0.5</v>
      </c>
      <c r="C1194">
        <v>100.52</v>
      </c>
      <c r="D1194" t="s">
        <v>16</v>
      </c>
      <c r="E1194" t="s">
        <v>308</v>
      </c>
      <c r="F1194">
        <f t="shared" si="36"/>
        <v>2007</v>
      </c>
      <c r="G1194">
        <f t="shared" si="37"/>
        <v>3</v>
      </c>
      <c r="H1194" t="str">
        <f>IF(ISNUMBER(FIND(",", E1194)), TRIM(MID(E1194, FIND(",", E1194) + 1, LEN(E1194))), E1194)</f>
        <v>Indonesia</v>
      </c>
    </row>
    <row r="1195" spans="1:8" x14ac:dyDescent="0.25">
      <c r="A1195" s="2">
        <v>39147</v>
      </c>
      <c r="B1195">
        <v>-0.48</v>
      </c>
      <c r="C1195">
        <v>100.47</v>
      </c>
      <c r="D1195" t="s">
        <v>16</v>
      </c>
      <c r="E1195" t="s">
        <v>308</v>
      </c>
      <c r="F1195">
        <f t="shared" si="36"/>
        <v>2007</v>
      </c>
      <c r="G1195">
        <f t="shared" si="37"/>
        <v>3</v>
      </c>
      <c r="H1195" t="str">
        <f>IF(ISNUMBER(FIND(",", E1195)), TRIM(MID(E1195, FIND(",", E1195) + 1, LEN(E1195))), E1195)</f>
        <v>Indonesia</v>
      </c>
    </row>
    <row r="1196" spans="1:8" x14ac:dyDescent="0.25">
      <c r="A1196" s="2">
        <v>39142</v>
      </c>
      <c r="B1196">
        <v>26.56</v>
      </c>
      <c r="C1196">
        <v>-44.6</v>
      </c>
      <c r="D1196" t="s">
        <v>16</v>
      </c>
      <c r="E1196" t="s">
        <v>325</v>
      </c>
      <c r="F1196">
        <f t="shared" si="36"/>
        <v>2007</v>
      </c>
      <c r="G1196">
        <f t="shared" si="37"/>
        <v>3</v>
      </c>
      <c r="H1196" t="str">
        <f>IF(ISNUMBER(FIND(",", E1196)), TRIM(MID(E1196, FIND(",", E1196) + 1, LEN(E1196))), E1196)</f>
        <v>northern Mid-Atlantic Ridge</v>
      </c>
    </row>
    <row r="1197" spans="1:8" x14ac:dyDescent="0.25">
      <c r="A1197" s="2">
        <v>39141</v>
      </c>
      <c r="B1197">
        <v>-55.23</v>
      </c>
      <c r="C1197">
        <v>-29.11</v>
      </c>
      <c r="D1197" t="s">
        <v>16</v>
      </c>
      <c r="E1197" t="s">
        <v>260</v>
      </c>
      <c r="F1197">
        <f t="shared" si="36"/>
        <v>2007</v>
      </c>
      <c r="G1197">
        <f t="shared" si="37"/>
        <v>2</v>
      </c>
      <c r="H1197" t="str">
        <f>IF(ISNUMBER(FIND(",", E1197)), TRIM(MID(E1197, FIND(",", E1197) + 1, LEN(E1197))), E1197)</f>
        <v>South Sandwich Islands region</v>
      </c>
    </row>
    <row r="1198" spans="1:8" x14ac:dyDescent="0.25">
      <c r="A1198" s="2">
        <v>39137</v>
      </c>
      <c r="B1198">
        <v>-7.03</v>
      </c>
      <c r="C1198">
        <v>-80.489999999999995</v>
      </c>
      <c r="D1198" t="s">
        <v>16</v>
      </c>
      <c r="E1198" t="s">
        <v>428</v>
      </c>
      <c r="F1198">
        <f t="shared" si="36"/>
        <v>2007</v>
      </c>
      <c r="G1198">
        <f t="shared" si="37"/>
        <v>2</v>
      </c>
      <c r="H1198" t="str">
        <f>IF(ISNUMBER(FIND(",", E1198)), TRIM(MID(E1198, FIND(",", E1198) + 1, LEN(E1198))), E1198)</f>
        <v>off the coast of northern Peru</v>
      </c>
    </row>
    <row r="1199" spans="1:8" x14ac:dyDescent="0.25">
      <c r="A1199" s="2">
        <v>39133</v>
      </c>
      <c r="B1199">
        <v>-1.03</v>
      </c>
      <c r="C1199">
        <v>126.94</v>
      </c>
      <c r="D1199" t="s">
        <v>16</v>
      </c>
      <c r="E1199" t="s">
        <v>429</v>
      </c>
      <c r="F1199">
        <f t="shared" si="36"/>
        <v>2007</v>
      </c>
      <c r="G1199">
        <f t="shared" si="37"/>
        <v>2</v>
      </c>
      <c r="H1199" t="str">
        <f>IF(ISNUMBER(FIND(",", E1199)), TRIM(MID(E1199, FIND(",", E1199) + 1, LEN(E1199))), E1199)</f>
        <v>Indonesia</v>
      </c>
    </row>
    <row r="1200" spans="1:8" x14ac:dyDescent="0.25">
      <c r="A1200" s="2">
        <v>39133</v>
      </c>
      <c r="B1200">
        <v>-1.03</v>
      </c>
      <c r="C1200">
        <v>126.97</v>
      </c>
      <c r="D1200" t="s">
        <v>16</v>
      </c>
      <c r="E1200" t="s">
        <v>429</v>
      </c>
      <c r="F1200">
        <f t="shared" si="36"/>
        <v>2007</v>
      </c>
      <c r="G1200">
        <f t="shared" si="37"/>
        <v>2</v>
      </c>
      <c r="H1200" t="str">
        <f>IF(ISNUMBER(FIND(",", E1200)), TRIM(MID(E1200, FIND(",", E1200) + 1, LEN(E1200))), E1200)</f>
        <v>Indonesia</v>
      </c>
    </row>
    <row r="1201" spans="1:8" x14ac:dyDescent="0.25">
      <c r="A1201" s="2">
        <v>39130</v>
      </c>
      <c r="B1201">
        <v>41.82</v>
      </c>
      <c r="C1201">
        <v>143.55000000000001</v>
      </c>
      <c r="D1201" t="s">
        <v>16</v>
      </c>
      <c r="E1201" t="s">
        <v>265</v>
      </c>
      <c r="F1201">
        <f t="shared" si="36"/>
        <v>2007</v>
      </c>
      <c r="G1201">
        <f t="shared" si="37"/>
        <v>2</v>
      </c>
      <c r="H1201" t="str">
        <f>IF(ISNUMBER(FIND(",", E1201)), TRIM(MID(E1201, FIND(",", E1201) + 1, LEN(E1201))), E1201)</f>
        <v>Japan region</v>
      </c>
    </row>
    <row r="1202" spans="1:8" x14ac:dyDescent="0.25">
      <c r="A1202" s="2">
        <v>39125</v>
      </c>
      <c r="B1202">
        <v>5.56</v>
      </c>
      <c r="C1202">
        <v>126.14</v>
      </c>
      <c r="D1202" t="s">
        <v>16</v>
      </c>
      <c r="E1202" t="s">
        <v>200</v>
      </c>
      <c r="F1202">
        <f t="shared" si="36"/>
        <v>2007</v>
      </c>
      <c r="G1202">
        <f t="shared" si="37"/>
        <v>2</v>
      </c>
      <c r="H1202" t="str">
        <f>IF(ISNUMBER(FIND(",", E1202)), TRIM(MID(E1202, FIND(",", E1202) + 1, LEN(E1202))), E1202)</f>
        <v>Philippines</v>
      </c>
    </row>
    <row r="1203" spans="1:8" x14ac:dyDescent="0.25">
      <c r="A1203" s="2">
        <v>39125</v>
      </c>
      <c r="B1203">
        <v>35.78</v>
      </c>
      <c r="C1203">
        <v>-10.28</v>
      </c>
      <c r="D1203" t="s">
        <v>16</v>
      </c>
      <c r="E1203" t="s">
        <v>430</v>
      </c>
      <c r="F1203">
        <f t="shared" si="36"/>
        <v>2007</v>
      </c>
      <c r="G1203">
        <f t="shared" si="37"/>
        <v>2</v>
      </c>
      <c r="H1203" t="str">
        <f>IF(ISNUMBER(FIND(",", E1203)), TRIM(MID(E1203, FIND(",", E1203) + 1, LEN(E1203))), E1203)</f>
        <v>Azores-Cape St. Vincent Ridge</v>
      </c>
    </row>
    <row r="1204" spans="1:8" x14ac:dyDescent="0.25">
      <c r="A1204" s="2">
        <v>39117</v>
      </c>
      <c r="B1204">
        <v>-55.82</v>
      </c>
      <c r="C1204">
        <v>-122.78</v>
      </c>
      <c r="D1204" t="s">
        <v>16</v>
      </c>
      <c r="E1204" t="s">
        <v>268</v>
      </c>
      <c r="F1204">
        <f t="shared" si="36"/>
        <v>2007</v>
      </c>
      <c r="G1204">
        <f t="shared" si="37"/>
        <v>2</v>
      </c>
      <c r="H1204" t="str">
        <f>IF(ISNUMBER(FIND(",", E1204)), TRIM(MID(E1204, FIND(",", E1204) + 1, LEN(E1204))), E1204)</f>
        <v>southern East Pacific Rise</v>
      </c>
    </row>
    <row r="1205" spans="1:8" x14ac:dyDescent="0.25">
      <c r="A1205" s="2">
        <v>39117</v>
      </c>
      <c r="B1205">
        <v>19.32</v>
      </c>
      <c r="C1205">
        <v>-78.52</v>
      </c>
      <c r="D1205" t="s">
        <v>16</v>
      </c>
      <c r="E1205" t="s">
        <v>431</v>
      </c>
      <c r="F1205">
        <f t="shared" si="36"/>
        <v>2007</v>
      </c>
      <c r="G1205">
        <f t="shared" si="37"/>
        <v>2</v>
      </c>
      <c r="H1205" t="str">
        <f>IF(ISNUMBER(FIND(",", E1205)), TRIM(MID(E1205, FIND(",", E1205) + 1, LEN(E1205))), E1205)</f>
        <v>Cuba region</v>
      </c>
    </row>
    <row r="1206" spans="1:8" x14ac:dyDescent="0.25">
      <c r="A1206" s="2">
        <v>39113</v>
      </c>
      <c r="B1206">
        <v>-29.8</v>
      </c>
      <c r="C1206">
        <v>-177.84</v>
      </c>
      <c r="D1206" t="s">
        <v>16</v>
      </c>
      <c r="E1206" t="s">
        <v>288</v>
      </c>
      <c r="F1206">
        <f t="shared" si="36"/>
        <v>2007</v>
      </c>
      <c r="G1206">
        <f t="shared" si="37"/>
        <v>1</v>
      </c>
      <c r="H1206" t="str">
        <f>IF(ISNUMBER(FIND(",", E1206)), TRIM(MID(E1206, FIND(",", E1206) + 1, LEN(E1206))), E1206)</f>
        <v>New Zealand</v>
      </c>
    </row>
    <row r="1207" spans="1:8" x14ac:dyDescent="0.25">
      <c r="A1207" s="2">
        <v>39112</v>
      </c>
      <c r="B1207">
        <v>20.96</v>
      </c>
      <c r="C1207">
        <v>144.82</v>
      </c>
      <c r="D1207" t="s">
        <v>16</v>
      </c>
      <c r="E1207" t="s">
        <v>335</v>
      </c>
      <c r="F1207">
        <f t="shared" si="36"/>
        <v>2007</v>
      </c>
      <c r="G1207">
        <f t="shared" si="37"/>
        <v>1</v>
      </c>
      <c r="H1207" t="str">
        <f>IF(ISNUMBER(FIND(",", E1207)), TRIM(MID(E1207, FIND(",", E1207) + 1, LEN(E1207))), E1207)</f>
        <v>Northern Mariana Islands</v>
      </c>
    </row>
    <row r="1208" spans="1:8" x14ac:dyDescent="0.25">
      <c r="A1208" s="2">
        <v>39112</v>
      </c>
      <c r="B1208">
        <v>-54.8</v>
      </c>
      <c r="C1208">
        <v>146.38</v>
      </c>
      <c r="D1208" t="s">
        <v>16</v>
      </c>
      <c r="E1208" t="s">
        <v>205</v>
      </c>
      <c r="F1208">
        <f t="shared" si="36"/>
        <v>2007</v>
      </c>
      <c r="G1208">
        <f t="shared" si="37"/>
        <v>1</v>
      </c>
      <c r="H1208" t="str">
        <f>IF(ISNUMBER(FIND(",", E1208)), TRIM(MID(E1208, FIND(",", E1208) + 1, LEN(E1208))), E1208)</f>
        <v>west of Macquarie Island</v>
      </c>
    </row>
    <row r="1209" spans="1:8" x14ac:dyDescent="0.25">
      <c r="A1209" s="2">
        <v>39107</v>
      </c>
      <c r="B1209">
        <v>22.54</v>
      </c>
      <c r="C1209">
        <v>121.94</v>
      </c>
      <c r="D1209" t="s">
        <v>16</v>
      </c>
      <c r="E1209" t="s">
        <v>363</v>
      </c>
      <c r="F1209">
        <f t="shared" si="36"/>
        <v>2007</v>
      </c>
      <c r="G1209">
        <f t="shared" si="37"/>
        <v>1</v>
      </c>
      <c r="H1209" t="str">
        <f>IF(ISNUMBER(FIND(",", E1209)), TRIM(MID(E1209, FIND(",", E1209) + 1, LEN(E1209))), E1209)</f>
        <v>Taiwan region</v>
      </c>
    </row>
    <row r="1210" spans="1:8" x14ac:dyDescent="0.25">
      <c r="A1210" s="2">
        <v>39103</v>
      </c>
      <c r="B1210">
        <v>1.05</v>
      </c>
      <c r="C1210">
        <v>126.3</v>
      </c>
      <c r="D1210" t="s">
        <v>16</v>
      </c>
      <c r="E1210" t="s">
        <v>186</v>
      </c>
      <c r="F1210">
        <f t="shared" si="36"/>
        <v>2007</v>
      </c>
      <c r="G1210">
        <f t="shared" si="37"/>
        <v>1</v>
      </c>
      <c r="H1210" t="str">
        <f>IF(ISNUMBER(FIND(",", E1210)), TRIM(MID(E1210, FIND(",", E1210) + 1, LEN(E1210))), E1210)</f>
        <v>Molucca Sea</v>
      </c>
    </row>
    <row r="1211" spans="1:8" x14ac:dyDescent="0.25">
      <c r="A1211" s="2">
        <v>39103</v>
      </c>
      <c r="B1211">
        <v>1.1200000000000001</v>
      </c>
      <c r="C1211">
        <v>126.34</v>
      </c>
      <c r="D1211" t="s">
        <v>16</v>
      </c>
      <c r="E1211" t="s">
        <v>186</v>
      </c>
      <c r="F1211">
        <f t="shared" si="36"/>
        <v>2007</v>
      </c>
      <c r="G1211">
        <f t="shared" si="37"/>
        <v>1</v>
      </c>
      <c r="H1211" t="str">
        <f>IF(ISNUMBER(FIND(",", E1211)), TRIM(MID(E1211, FIND(",", E1211) + 1, LEN(E1211))), E1211)</f>
        <v>Molucca Sea</v>
      </c>
    </row>
    <row r="1212" spans="1:8" x14ac:dyDescent="0.25">
      <c r="A1212" s="2">
        <v>39102</v>
      </c>
      <c r="B1212">
        <v>-55.28</v>
      </c>
      <c r="C1212">
        <v>-29.53</v>
      </c>
      <c r="D1212" t="s">
        <v>16</v>
      </c>
      <c r="E1212" t="s">
        <v>260</v>
      </c>
      <c r="F1212">
        <f t="shared" si="36"/>
        <v>2007</v>
      </c>
      <c r="G1212">
        <f t="shared" si="37"/>
        <v>1</v>
      </c>
      <c r="H1212" t="str">
        <f>IF(ISNUMBER(FIND(",", E1212)), TRIM(MID(E1212, FIND(",", E1212) + 1, LEN(E1212))), E1212)</f>
        <v>South Sandwich Islands region</v>
      </c>
    </row>
    <row r="1213" spans="1:8" x14ac:dyDescent="0.25">
      <c r="A1213" s="2">
        <v>39099</v>
      </c>
      <c r="B1213">
        <v>10.1</v>
      </c>
      <c r="C1213">
        <v>58.67</v>
      </c>
      <c r="D1213" t="s">
        <v>16</v>
      </c>
      <c r="E1213" t="s">
        <v>432</v>
      </c>
      <c r="F1213">
        <f t="shared" si="36"/>
        <v>2007</v>
      </c>
      <c r="G1213">
        <f t="shared" si="37"/>
        <v>1</v>
      </c>
      <c r="H1213" t="str">
        <f>IF(ISNUMBER(FIND(",", E1213)), TRIM(MID(E1213, FIND(",", E1213) + 1, LEN(E1213))), E1213)</f>
        <v>Carlsberg Ridge</v>
      </c>
    </row>
    <row r="1214" spans="1:8" x14ac:dyDescent="0.25">
      <c r="A1214" s="2">
        <v>39099</v>
      </c>
      <c r="B1214">
        <v>-3.31</v>
      </c>
      <c r="C1214">
        <v>139.85</v>
      </c>
      <c r="D1214" t="s">
        <v>16</v>
      </c>
      <c r="E1214" t="s">
        <v>210</v>
      </c>
      <c r="F1214">
        <f t="shared" si="36"/>
        <v>2007</v>
      </c>
      <c r="G1214">
        <f t="shared" si="37"/>
        <v>1</v>
      </c>
      <c r="H1214" t="str">
        <f>IF(ISNUMBER(FIND(",", E1214)), TRIM(MID(E1214, FIND(",", E1214) + 1, LEN(E1214))), E1214)</f>
        <v>Indonesia</v>
      </c>
    </row>
    <row r="1215" spans="1:8" x14ac:dyDescent="0.25">
      <c r="A1215" s="2">
        <v>39095</v>
      </c>
      <c r="B1215">
        <v>46.88</v>
      </c>
      <c r="C1215">
        <v>156.28</v>
      </c>
      <c r="D1215" t="s">
        <v>16</v>
      </c>
      <c r="E1215" t="s">
        <v>317</v>
      </c>
      <c r="F1215">
        <f t="shared" si="36"/>
        <v>2007</v>
      </c>
      <c r="G1215">
        <f t="shared" si="37"/>
        <v>1</v>
      </c>
      <c r="H1215" t="str">
        <f>IF(ISNUMBER(FIND(",", E1215)), TRIM(MID(E1215, FIND(",", E1215) + 1, LEN(E1215))), E1215)</f>
        <v>east of the Kuril Islands</v>
      </c>
    </row>
    <row r="1216" spans="1:8" x14ac:dyDescent="0.25">
      <c r="A1216" s="2">
        <v>39095</v>
      </c>
      <c r="B1216">
        <v>46.23</v>
      </c>
      <c r="C1216">
        <v>154.55000000000001</v>
      </c>
      <c r="D1216" t="s">
        <v>16</v>
      </c>
      <c r="E1216" t="s">
        <v>317</v>
      </c>
      <c r="F1216">
        <f t="shared" si="36"/>
        <v>2007</v>
      </c>
      <c r="G1216">
        <f t="shared" si="37"/>
        <v>1</v>
      </c>
      <c r="H1216" t="str">
        <f>IF(ISNUMBER(FIND(",", E1216)), TRIM(MID(E1216, FIND(",", E1216) + 1, LEN(E1216))), E1216)</f>
        <v>east of the Kuril Islands</v>
      </c>
    </row>
    <row r="1217" spans="1:8" x14ac:dyDescent="0.25">
      <c r="A1217" s="2">
        <v>39093</v>
      </c>
      <c r="B1217">
        <v>-3.66</v>
      </c>
      <c r="C1217">
        <v>127.26</v>
      </c>
      <c r="D1217" t="s">
        <v>16</v>
      </c>
      <c r="E1217" t="s">
        <v>433</v>
      </c>
      <c r="F1217">
        <f t="shared" si="36"/>
        <v>2007</v>
      </c>
      <c r="G1217">
        <f t="shared" si="37"/>
        <v>1</v>
      </c>
      <c r="H1217" t="str">
        <f>IF(ISNUMBER(FIND(",", E1217)), TRIM(MID(E1217, FIND(",", E1217) + 1, LEN(E1217))), E1217)</f>
        <v>Indonesia</v>
      </c>
    </row>
    <row r="1218" spans="1:8" x14ac:dyDescent="0.25">
      <c r="A1218" s="2">
        <v>39090</v>
      </c>
      <c r="B1218">
        <v>-18.57</v>
      </c>
      <c r="C1218">
        <v>-177.79</v>
      </c>
      <c r="D1218" t="s">
        <v>16</v>
      </c>
      <c r="E1218" t="s">
        <v>53</v>
      </c>
      <c r="F1218">
        <f t="shared" ref="F1218:F1281" si="38">YEAR(A1218)</f>
        <v>2007</v>
      </c>
      <c r="G1218">
        <f t="shared" si="37"/>
        <v>1</v>
      </c>
      <c r="H1218" t="str">
        <f>IF(ISNUMBER(FIND(",", E1218)), TRIM(MID(E1218, FIND(",", E1218) + 1, LEN(E1218))), E1218)</f>
        <v>Fiji region</v>
      </c>
    </row>
    <row r="1219" spans="1:8" x14ac:dyDescent="0.25">
      <c r="A1219" s="2">
        <v>39090</v>
      </c>
      <c r="B1219">
        <v>39.770000000000003</v>
      </c>
      <c r="C1219">
        <v>70.3</v>
      </c>
      <c r="D1219" t="s">
        <v>16</v>
      </c>
      <c r="E1219" t="s">
        <v>284</v>
      </c>
      <c r="F1219">
        <f t="shared" si="38"/>
        <v>2007</v>
      </c>
      <c r="G1219">
        <f t="shared" ref="G1219:G1282" si="39">MONTH(A1219)</f>
        <v>1</v>
      </c>
      <c r="H1219" t="str">
        <f>IF(ISNUMBER(FIND(",", E1219)), TRIM(MID(E1219, FIND(",", E1219) + 1, LEN(E1219))), E1219)</f>
        <v>Kyrgyzstan</v>
      </c>
    </row>
    <row r="1220" spans="1:8" x14ac:dyDescent="0.25">
      <c r="A1220" s="2">
        <v>39090</v>
      </c>
      <c r="B1220">
        <v>8.09</v>
      </c>
      <c r="C1220">
        <v>92.41</v>
      </c>
      <c r="D1220" t="s">
        <v>16</v>
      </c>
      <c r="E1220" t="s">
        <v>322</v>
      </c>
      <c r="F1220">
        <f t="shared" si="38"/>
        <v>2007</v>
      </c>
      <c r="G1220">
        <f t="shared" si="39"/>
        <v>1</v>
      </c>
      <c r="H1220" t="str">
        <f>IF(ISNUMBER(FIND(",", E1220)), TRIM(MID(E1220, FIND(",", E1220) + 1, LEN(E1220))), E1220)</f>
        <v>India region</v>
      </c>
    </row>
    <row r="1221" spans="1:8" x14ac:dyDescent="0.25">
      <c r="A1221" s="2">
        <v>39081</v>
      </c>
      <c r="B1221">
        <v>13.3</v>
      </c>
      <c r="C1221">
        <v>51.31</v>
      </c>
      <c r="D1221" t="s">
        <v>16</v>
      </c>
      <c r="E1221" t="s">
        <v>434</v>
      </c>
      <c r="F1221">
        <f t="shared" si="38"/>
        <v>2006</v>
      </c>
      <c r="G1221">
        <f t="shared" si="39"/>
        <v>12</v>
      </c>
      <c r="H1221" t="str">
        <f>IF(ISNUMBER(FIND(",", E1221)), TRIM(MID(E1221, FIND(",", E1221) + 1, LEN(E1221))), E1221)</f>
        <v>Gulf of Aden</v>
      </c>
    </row>
    <row r="1222" spans="1:8" x14ac:dyDescent="0.25">
      <c r="A1222" s="2">
        <v>39078</v>
      </c>
      <c r="B1222">
        <v>-5.78</v>
      </c>
      <c r="C1222">
        <v>154.43</v>
      </c>
      <c r="D1222" t="s">
        <v>16</v>
      </c>
      <c r="E1222" t="s">
        <v>290</v>
      </c>
      <c r="F1222">
        <f t="shared" si="38"/>
        <v>2006</v>
      </c>
      <c r="G1222">
        <f t="shared" si="39"/>
        <v>12</v>
      </c>
      <c r="H1222" t="str">
        <f>IF(ISNUMBER(FIND(",", E1222)), TRIM(MID(E1222, FIND(",", E1222) + 1, LEN(E1222))), E1222)</f>
        <v>Papua New Guinea</v>
      </c>
    </row>
    <row r="1223" spans="1:8" x14ac:dyDescent="0.25">
      <c r="A1223" s="2">
        <v>39077</v>
      </c>
      <c r="B1223">
        <v>48.33</v>
      </c>
      <c r="C1223">
        <v>154.86000000000001</v>
      </c>
      <c r="D1223" t="s">
        <v>16</v>
      </c>
      <c r="E1223" t="s">
        <v>191</v>
      </c>
      <c r="F1223">
        <f t="shared" si="38"/>
        <v>2006</v>
      </c>
      <c r="G1223">
        <f t="shared" si="39"/>
        <v>12</v>
      </c>
      <c r="H1223" t="str">
        <f>IF(ISNUMBER(FIND(",", E1223)), TRIM(MID(E1223, FIND(",", E1223) + 1, LEN(E1223))), E1223)</f>
        <v>Kuril Islands</v>
      </c>
    </row>
    <row r="1224" spans="1:8" x14ac:dyDescent="0.25">
      <c r="A1224" s="2">
        <v>39077</v>
      </c>
      <c r="B1224">
        <v>21.97</v>
      </c>
      <c r="C1224">
        <v>120.51</v>
      </c>
      <c r="D1224" t="s">
        <v>16</v>
      </c>
      <c r="E1224" t="s">
        <v>363</v>
      </c>
      <c r="F1224">
        <f t="shared" si="38"/>
        <v>2006</v>
      </c>
      <c r="G1224">
        <f t="shared" si="39"/>
        <v>12</v>
      </c>
      <c r="H1224" t="str">
        <f>IF(ISNUMBER(FIND(",", E1224)), TRIM(MID(E1224, FIND(",", E1224) + 1, LEN(E1224))), E1224)</f>
        <v>Taiwan region</v>
      </c>
    </row>
    <row r="1225" spans="1:8" x14ac:dyDescent="0.25">
      <c r="A1225" s="2">
        <v>39077</v>
      </c>
      <c r="B1225">
        <v>21.78</v>
      </c>
      <c r="C1225">
        <v>120.54</v>
      </c>
      <c r="D1225" t="s">
        <v>16</v>
      </c>
      <c r="E1225" t="s">
        <v>363</v>
      </c>
      <c r="F1225">
        <f t="shared" si="38"/>
        <v>2006</v>
      </c>
      <c r="G1225">
        <f t="shared" si="39"/>
        <v>12</v>
      </c>
      <c r="H1225" t="str">
        <f>IF(ISNUMBER(FIND(",", E1225)), TRIM(MID(E1225, FIND(",", E1225) + 1, LEN(E1225))), E1225)</f>
        <v>Taiwan region</v>
      </c>
    </row>
    <row r="1226" spans="1:8" x14ac:dyDescent="0.25">
      <c r="A1226" s="2">
        <v>39073</v>
      </c>
      <c r="B1226">
        <v>10.64</v>
      </c>
      <c r="C1226">
        <v>92.33</v>
      </c>
      <c r="D1226" t="s">
        <v>16</v>
      </c>
      <c r="E1226" t="s">
        <v>323</v>
      </c>
      <c r="F1226">
        <f t="shared" si="38"/>
        <v>2006</v>
      </c>
      <c r="G1226">
        <f t="shared" si="39"/>
        <v>12</v>
      </c>
      <c r="H1226" t="str">
        <f>IF(ISNUMBER(FIND(",", E1226)), TRIM(MID(E1226, FIND(",", E1226) + 1, LEN(E1226))), E1226)</f>
        <v>India region</v>
      </c>
    </row>
    <row r="1227" spans="1:8" x14ac:dyDescent="0.25">
      <c r="A1227" s="2">
        <v>39063</v>
      </c>
      <c r="B1227">
        <v>3.71</v>
      </c>
      <c r="C1227">
        <v>124.73</v>
      </c>
      <c r="D1227" t="s">
        <v>16</v>
      </c>
      <c r="E1227" t="s">
        <v>203</v>
      </c>
      <c r="F1227">
        <f t="shared" si="38"/>
        <v>2006</v>
      </c>
      <c r="G1227">
        <f t="shared" si="39"/>
        <v>12</v>
      </c>
      <c r="H1227" t="str">
        <f>IF(ISNUMBER(FIND(",", E1227)), TRIM(MID(E1227, FIND(",", E1227) + 1, LEN(E1227))), E1227)</f>
        <v>Celebes Sea</v>
      </c>
    </row>
    <row r="1228" spans="1:8" x14ac:dyDescent="0.25">
      <c r="A1228" s="2">
        <v>39058</v>
      </c>
      <c r="B1228">
        <v>46.13</v>
      </c>
      <c r="C1228">
        <v>154.38999999999999</v>
      </c>
      <c r="D1228" t="s">
        <v>16</v>
      </c>
      <c r="E1228" t="s">
        <v>317</v>
      </c>
      <c r="F1228">
        <f t="shared" si="38"/>
        <v>2006</v>
      </c>
      <c r="G1228">
        <f t="shared" si="39"/>
        <v>12</v>
      </c>
      <c r="H1228" t="str">
        <f>IF(ISNUMBER(FIND(",", E1228)), TRIM(MID(E1228, FIND(",", E1228) + 1, LEN(E1228))), E1228)</f>
        <v>east of the Kuril Islands</v>
      </c>
    </row>
    <row r="1229" spans="1:8" x14ac:dyDescent="0.25">
      <c r="A1229" s="2">
        <v>39054</v>
      </c>
      <c r="B1229">
        <v>13.97</v>
      </c>
      <c r="C1229">
        <v>-91.22</v>
      </c>
      <c r="D1229" t="s">
        <v>16</v>
      </c>
      <c r="E1229" t="s">
        <v>371</v>
      </c>
      <c r="F1229">
        <f t="shared" si="38"/>
        <v>2006</v>
      </c>
      <c r="G1229">
        <f t="shared" si="39"/>
        <v>12</v>
      </c>
      <c r="H1229" t="str">
        <f>IF(ISNUMBER(FIND(",", E1229)), TRIM(MID(E1229, FIND(",", E1229) + 1, LEN(E1229))), E1229)</f>
        <v>Guatemala</v>
      </c>
    </row>
    <row r="1230" spans="1:8" x14ac:dyDescent="0.25">
      <c r="A1230" s="2">
        <v>39052</v>
      </c>
      <c r="B1230">
        <v>-8.25</v>
      </c>
      <c r="C1230">
        <v>118.69</v>
      </c>
      <c r="D1230" t="s">
        <v>16</v>
      </c>
      <c r="E1230" t="s">
        <v>349</v>
      </c>
      <c r="F1230">
        <f t="shared" si="38"/>
        <v>2006</v>
      </c>
      <c r="G1230">
        <f t="shared" si="39"/>
        <v>12</v>
      </c>
      <c r="H1230" t="str">
        <f>IF(ISNUMBER(FIND(",", E1230)), TRIM(MID(E1230, FIND(",", E1230) + 1, LEN(E1230))), E1230)</f>
        <v>Indonesia</v>
      </c>
    </row>
    <row r="1231" spans="1:8" x14ac:dyDescent="0.25">
      <c r="A1231" s="2">
        <v>39052</v>
      </c>
      <c r="B1231">
        <v>3.39</v>
      </c>
      <c r="C1231">
        <v>99.09</v>
      </c>
      <c r="D1231" t="s">
        <v>16</v>
      </c>
      <c r="E1231" t="s">
        <v>226</v>
      </c>
      <c r="F1231">
        <f t="shared" si="38"/>
        <v>2006</v>
      </c>
      <c r="G1231">
        <f t="shared" si="39"/>
        <v>12</v>
      </c>
      <c r="H1231" t="str">
        <f>IF(ISNUMBER(FIND(",", E1231)), TRIM(MID(E1231, FIND(",", E1231) + 1, LEN(E1231))), E1231)</f>
        <v>Indonesia</v>
      </c>
    </row>
    <row r="1232" spans="1:8" x14ac:dyDescent="0.25">
      <c r="A1232" s="2">
        <v>39051</v>
      </c>
      <c r="B1232">
        <v>-53.85</v>
      </c>
      <c r="C1232">
        <v>-134.19999999999999</v>
      </c>
      <c r="D1232" t="s">
        <v>16</v>
      </c>
      <c r="E1232" t="s">
        <v>179</v>
      </c>
      <c r="F1232">
        <f t="shared" si="38"/>
        <v>2006</v>
      </c>
      <c r="G1232">
        <f t="shared" si="39"/>
        <v>11</v>
      </c>
      <c r="H1232" t="str">
        <f>IF(ISNUMBER(FIND(",", E1232)), TRIM(MID(E1232, FIND(",", E1232) + 1, LEN(E1232))), E1232)</f>
        <v>Pacific-Antarctic Ridge</v>
      </c>
    </row>
    <row r="1233" spans="1:8" x14ac:dyDescent="0.25">
      <c r="A1233" s="2">
        <v>39051</v>
      </c>
      <c r="B1233">
        <v>-21.39</v>
      </c>
      <c r="C1233">
        <v>-174.52</v>
      </c>
      <c r="D1233" t="s">
        <v>16</v>
      </c>
      <c r="E1233" t="s">
        <v>239</v>
      </c>
      <c r="F1233">
        <f t="shared" si="38"/>
        <v>2006</v>
      </c>
      <c r="G1233">
        <f t="shared" si="39"/>
        <v>11</v>
      </c>
      <c r="H1233" t="str">
        <f>IF(ISNUMBER(FIND(",", E1233)), TRIM(MID(E1233, FIND(",", E1233) + 1, LEN(E1233))), E1233)</f>
        <v>Tonga</v>
      </c>
    </row>
    <row r="1234" spans="1:8" x14ac:dyDescent="0.25">
      <c r="A1234" s="2">
        <v>39050</v>
      </c>
      <c r="B1234">
        <v>2.5099999999999998</v>
      </c>
      <c r="C1234">
        <v>128.25</v>
      </c>
      <c r="D1234" t="s">
        <v>16</v>
      </c>
      <c r="E1234" t="s">
        <v>311</v>
      </c>
      <c r="F1234">
        <f t="shared" si="38"/>
        <v>2006</v>
      </c>
      <c r="G1234">
        <f t="shared" si="39"/>
        <v>11</v>
      </c>
      <c r="H1234" t="str">
        <f>IF(ISNUMBER(FIND(",", E1234)), TRIM(MID(E1234, FIND(",", E1234) + 1, LEN(E1234))), E1234)</f>
        <v>Indonesia</v>
      </c>
    </row>
    <row r="1235" spans="1:8" x14ac:dyDescent="0.25">
      <c r="A1235" s="2">
        <v>39040</v>
      </c>
      <c r="B1235">
        <v>-4.58</v>
      </c>
      <c r="C1235">
        <v>-104.96</v>
      </c>
      <c r="D1235" t="s">
        <v>16</v>
      </c>
      <c r="E1235" t="s">
        <v>381</v>
      </c>
      <c r="F1235">
        <f t="shared" si="38"/>
        <v>2006</v>
      </c>
      <c r="G1235">
        <f t="shared" si="39"/>
        <v>11</v>
      </c>
      <c r="H1235" t="str">
        <f>IF(ISNUMBER(FIND(",", E1235)), TRIM(MID(E1235, FIND(",", E1235) + 1, LEN(E1235))), E1235)</f>
        <v>central East Pacific Rise</v>
      </c>
    </row>
    <row r="1236" spans="1:8" x14ac:dyDescent="0.25">
      <c r="A1236" s="2">
        <v>39038</v>
      </c>
      <c r="B1236">
        <v>28.59</v>
      </c>
      <c r="C1236">
        <v>129.9</v>
      </c>
      <c r="D1236" t="s">
        <v>16</v>
      </c>
      <c r="E1236" t="s">
        <v>340</v>
      </c>
      <c r="F1236">
        <f t="shared" si="38"/>
        <v>2006</v>
      </c>
      <c r="G1236">
        <f t="shared" si="39"/>
        <v>11</v>
      </c>
      <c r="H1236" t="str">
        <f>IF(ISNUMBER(FIND(",", E1236)), TRIM(MID(E1236, FIND(",", E1236) + 1, LEN(E1236))), E1236)</f>
        <v>Japan</v>
      </c>
    </row>
    <row r="1237" spans="1:8" x14ac:dyDescent="0.25">
      <c r="A1237" s="2">
        <v>39037</v>
      </c>
      <c r="B1237">
        <v>-52.03</v>
      </c>
      <c r="C1237">
        <v>139.52000000000001</v>
      </c>
      <c r="D1237" t="s">
        <v>16</v>
      </c>
      <c r="E1237" t="s">
        <v>205</v>
      </c>
      <c r="F1237">
        <f t="shared" si="38"/>
        <v>2006</v>
      </c>
      <c r="G1237">
        <f t="shared" si="39"/>
        <v>11</v>
      </c>
      <c r="H1237" t="str">
        <f>IF(ISNUMBER(FIND(",", E1237)), TRIM(MID(E1237, FIND(",", E1237) + 1, LEN(E1237))), E1237)</f>
        <v>west of Macquarie Island</v>
      </c>
    </row>
    <row r="1238" spans="1:8" x14ac:dyDescent="0.25">
      <c r="A1238" s="2">
        <v>39037</v>
      </c>
      <c r="B1238">
        <v>46.33</v>
      </c>
      <c r="C1238">
        <v>154.5</v>
      </c>
      <c r="D1238" t="s">
        <v>16</v>
      </c>
      <c r="E1238" t="s">
        <v>317</v>
      </c>
      <c r="F1238">
        <f t="shared" si="38"/>
        <v>2006</v>
      </c>
      <c r="G1238">
        <f t="shared" si="39"/>
        <v>11</v>
      </c>
      <c r="H1238" t="str">
        <f>IF(ISNUMBER(FIND(",", E1238)), TRIM(MID(E1238, FIND(",", E1238) + 1, LEN(E1238))), E1238)</f>
        <v>east of the Kuril Islands</v>
      </c>
    </row>
    <row r="1239" spans="1:8" x14ac:dyDescent="0.25">
      <c r="A1239" s="2">
        <v>39036</v>
      </c>
      <c r="B1239">
        <v>47</v>
      </c>
      <c r="C1239">
        <v>155</v>
      </c>
      <c r="D1239" t="s">
        <v>16</v>
      </c>
      <c r="E1239" t="s">
        <v>191</v>
      </c>
      <c r="F1239">
        <f t="shared" si="38"/>
        <v>2006</v>
      </c>
      <c r="G1239">
        <f t="shared" si="39"/>
        <v>11</v>
      </c>
      <c r="H1239" t="str">
        <f>IF(ISNUMBER(FIND(",", E1239)), TRIM(MID(E1239, FIND(",", E1239) + 1, LEN(E1239))), E1239)</f>
        <v>Kuril Islands</v>
      </c>
    </row>
    <row r="1240" spans="1:8" x14ac:dyDescent="0.25">
      <c r="A1240" s="2">
        <v>39036</v>
      </c>
      <c r="B1240">
        <v>46.45</v>
      </c>
      <c r="C1240">
        <v>154.75</v>
      </c>
      <c r="D1240" t="s">
        <v>16</v>
      </c>
      <c r="E1240" t="s">
        <v>317</v>
      </c>
      <c r="F1240">
        <f t="shared" si="38"/>
        <v>2006</v>
      </c>
      <c r="G1240">
        <f t="shared" si="39"/>
        <v>11</v>
      </c>
      <c r="H1240" t="str">
        <f>IF(ISNUMBER(FIND(",", E1240)), TRIM(MID(E1240, FIND(",", E1240) + 1, LEN(E1240))), E1240)</f>
        <v>east of the Kuril Islands</v>
      </c>
    </row>
    <row r="1241" spans="1:8" x14ac:dyDescent="0.25">
      <c r="A1241" s="2">
        <v>39036</v>
      </c>
      <c r="B1241">
        <v>46.652000000000001</v>
      </c>
      <c r="C1241">
        <v>155.30500000000001</v>
      </c>
      <c r="D1241" t="s">
        <v>13</v>
      </c>
      <c r="E1241" t="s">
        <v>317</v>
      </c>
      <c r="F1241">
        <f t="shared" si="38"/>
        <v>2006</v>
      </c>
      <c r="G1241">
        <f t="shared" si="39"/>
        <v>11</v>
      </c>
      <c r="H1241" t="str">
        <f>IF(ISNUMBER(FIND(",", E1241)), TRIM(MID(E1241, FIND(",", E1241) + 1, LEN(E1241))), E1241)</f>
        <v>east of the Kuril Islands</v>
      </c>
    </row>
    <row r="1242" spans="1:8" x14ac:dyDescent="0.25">
      <c r="A1242" s="2">
        <v>39036</v>
      </c>
      <c r="B1242">
        <v>46.371000000000002</v>
      </c>
      <c r="C1242">
        <v>154.47499999999999</v>
      </c>
      <c r="D1242" t="s">
        <v>13</v>
      </c>
      <c r="E1242" t="s">
        <v>317</v>
      </c>
      <c r="F1242">
        <f t="shared" si="38"/>
        <v>2006</v>
      </c>
      <c r="G1242">
        <f t="shared" si="39"/>
        <v>11</v>
      </c>
      <c r="H1242" t="str">
        <f>IF(ISNUMBER(FIND(",", E1242)), TRIM(MID(E1242, FIND(",", E1242) + 1, LEN(E1242))), E1242)</f>
        <v>east of the Kuril Islands</v>
      </c>
    </row>
    <row r="1243" spans="1:8" x14ac:dyDescent="0.25">
      <c r="A1243" s="2">
        <v>39036</v>
      </c>
      <c r="B1243">
        <v>46.085999999999999</v>
      </c>
      <c r="C1243">
        <v>154.1</v>
      </c>
      <c r="D1243" t="s">
        <v>13</v>
      </c>
      <c r="E1243" t="s">
        <v>317</v>
      </c>
      <c r="F1243">
        <f t="shared" si="38"/>
        <v>2006</v>
      </c>
      <c r="G1243">
        <f t="shared" si="39"/>
        <v>11</v>
      </c>
      <c r="H1243" t="str">
        <f>IF(ISNUMBER(FIND(",", E1243)), TRIM(MID(E1243, FIND(",", E1243) + 1, LEN(E1243))), E1243)</f>
        <v>east of the Kuril Islands</v>
      </c>
    </row>
    <row r="1244" spans="1:8" x14ac:dyDescent="0.25">
      <c r="A1244" s="2">
        <v>39036</v>
      </c>
      <c r="B1244">
        <v>47.518000000000001</v>
      </c>
      <c r="C1244">
        <v>152.64699999999999</v>
      </c>
      <c r="D1244" t="s">
        <v>13</v>
      </c>
      <c r="E1244" t="s">
        <v>191</v>
      </c>
      <c r="F1244">
        <f t="shared" si="38"/>
        <v>2006</v>
      </c>
      <c r="G1244">
        <f t="shared" si="39"/>
        <v>11</v>
      </c>
      <c r="H1244" t="str">
        <f>IF(ISNUMBER(FIND(",", E1244)), TRIM(MID(E1244, FIND(",", E1244) + 1, LEN(E1244))), E1244)</f>
        <v>Kuril Islands</v>
      </c>
    </row>
    <row r="1245" spans="1:8" x14ac:dyDescent="0.25">
      <c r="A1245" s="2">
        <v>39036</v>
      </c>
      <c r="B1245">
        <v>46.58</v>
      </c>
      <c r="C1245">
        <v>153.27000000000001</v>
      </c>
      <c r="D1245" t="s">
        <v>16</v>
      </c>
      <c r="E1245" t="s">
        <v>191</v>
      </c>
      <c r="F1245">
        <f t="shared" si="38"/>
        <v>2006</v>
      </c>
      <c r="G1245">
        <f t="shared" si="39"/>
        <v>11</v>
      </c>
      <c r="H1245" t="str">
        <f>IF(ISNUMBER(FIND(",", E1245)), TRIM(MID(E1245, FIND(",", E1245) + 1, LEN(E1245))), E1245)</f>
        <v>Kuril Islands</v>
      </c>
    </row>
    <row r="1246" spans="1:8" x14ac:dyDescent="0.25">
      <c r="A1246" s="2">
        <v>39035</v>
      </c>
      <c r="B1246">
        <v>-6.45</v>
      </c>
      <c r="C1246">
        <v>127.96</v>
      </c>
      <c r="D1246" t="s">
        <v>16</v>
      </c>
      <c r="E1246" t="s">
        <v>187</v>
      </c>
      <c r="F1246">
        <f t="shared" si="38"/>
        <v>2006</v>
      </c>
      <c r="G1246">
        <f t="shared" si="39"/>
        <v>11</v>
      </c>
      <c r="H1246" t="str">
        <f>IF(ISNUMBER(FIND(",", E1246)), TRIM(MID(E1246, FIND(",", E1246) + 1, LEN(E1246))), E1246)</f>
        <v>Banda Sea</v>
      </c>
    </row>
    <row r="1247" spans="1:8" x14ac:dyDescent="0.25">
      <c r="A1247" s="2">
        <v>39034</v>
      </c>
      <c r="B1247">
        <v>-6.37</v>
      </c>
      <c r="C1247">
        <v>151.27000000000001</v>
      </c>
      <c r="D1247" t="s">
        <v>16</v>
      </c>
      <c r="E1247" t="s">
        <v>190</v>
      </c>
      <c r="F1247">
        <f t="shared" si="38"/>
        <v>2006</v>
      </c>
      <c r="G1247">
        <f t="shared" si="39"/>
        <v>11</v>
      </c>
      <c r="H1247" t="str">
        <f>IF(ISNUMBER(FIND(",", E1247)), TRIM(MID(E1247, FIND(",", E1247) + 1, LEN(E1247))), E1247)</f>
        <v>Papua New Guinea</v>
      </c>
    </row>
    <row r="1248" spans="1:8" x14ac:dyDescent="0.25">
      <c r="A1248" s="2">
        <v>39034</v>
      </c>
      <c r="B1248">
        <v>-26.06</v>
      </c>
      <c r="C1248">
        <v>-63.25</v>
      </c>
      <c r="D1248" t="s">
        <v>16</v>
      </c>
      <c r="E1248" t="s">
        <v>232</v>
      </c>
      <c r="F1248">
        <f t="shared" si="38"/>
        <v>2006</v>
      </c>
      <c r="G1248">
        <f t="shared" si="39"/>
        <v>11</v>
      </c>
      <c r="H1248" t="str">
        <f>IF(ISNUMBER(FIND(",", E1248)), TRIM(MID(E1248, FIND(",", E1248) + 1, LEN(E1248))), E1248)</f>
        <v>Argentina</v>
      </c>
    </row>
    <row r="1249" spans="1:8" x14ac:dyDescent="0.25">
      <c r="A1249" s="2">
        <v>39033</v>
      </c>
      <c r="B1249">
        <v>-6.23</v>
      </c>
      <c r="C1249">
        <v>151.07</v>
      </c>
      <c r="D1249" t="s">
        <v>16</v>
      </c>
      <c r="E1249" t="s">
        <v>190</v>
      </c>
      <c r="F1249">
        <f t="shared" si="38"/>
        <v>2006</v>
      </c>
      <c r="G1249">
        <f t="shared" si="39"/>
        <v>11</v>
      </c>
      <c r="H1249" t="str">
        <f>IF(ISNUMBER(FIND(",", E1249)), TRIM(MID(E1249, FIND(",", E1249) + 1, LEN(E1249))), E1249)</f>
        <v>Papua New Guinea</v>
      </c>
    </row>
    <row r="1250" spans="1:8" x14ac:dyDescent="0.25">
      <c r="A1250" s="2">
        <v>39028</v>
      </c>
      <c r="B1250">
        <v>-6.48</v>
      </c>
      <c r="C1250">
        <v>151.26</v>
      </c>
      <c r="D1250" t="s">
        <v>16</v>
      </c>
      <c r="E1250" t="s">
        <v>190</v>
      </c>
      <c r="F1250">
        <f t="shared" si="38"/>
        <v>2006</v>
      </c>
      <c r="G1250">
        <f t="shared" si="39"/>
        <v>11</v>
      </c>
      <c r="H1250" t="str">
        <f>IF(ISNUMBER(FIND(",", E1250)), TRIM(MID(E1250, FIND(",", E1250) + 1, LEN(E1250))), E1250)</f>
        <v>Papua New Guinea</v>
      </c>
    </row>
    <row r="1251" spans="1:8" x14ac:dyDescent="0.25">
      <c r="A1251" s="2">
        <v>39027</v>
      </c>
      <c r="B1251">
        <v>-5.44</v>
      </c>
      <c r="C1251">
        <v>146.68</v>
      </c>
      <c r="D1251" t="s">
        <v>16</v>
      </c>
      <c r="E1251" t="s">
        <v>243</v>
      </c>
      <c r="F1251">
        <f t="shared" si="38"/>
        <v>2006</v>
      </c>
      <c r="G1251">
        <f t="shared" si="39"/>
        <v>11</v>
      </c>
      <c r="H1251" t="str">
        <f>IF(ISNUMBER(FIND(",", E1251)), TRIM(MID(E1251, FIND(",", E1251) + 1, LEN(E1251))), E1251)</f>
        <v>Papua New Guinea</v>
      </c>
    </row>
    <row r="1252" spans="1:8" x14ac:dyDescent="0.25">
      <c r="A1252" s="2">
        <v>39016</v>
      </c>
      <c r="B1252">
        <v>-13.39</v>
      </c>
      <c r="C1252">
        <v>-76.64</v>
      </c>
      <c r="D1252" t="s">
        <v>16</v>
      </c>
      <c r="E1252" t="s">
        <v>258</v>
      </c>
      <c r="F1252">
        <f t="shared" si="38"/>
        <v>2006</v>
      </c>
      <c r="G1252">
        <f t="shared" si="39"/>
        <v>10</v>
      </c>
      <c r="H1252" t="str">
        <f>IF(ISNUMBER(FIND(",", E1252)), TRIM(MID(E1252, FIND(",", E1252) + 1, LEN(E1252))), E1252)</f>
        <v>near the coast of central Peru</v>
      </c>
    </row>
    <row r="1253" spans="1:8" x14ac:dyDescent="0.25">
      <c r="A1253" s="2">
        <v>39013</v>
      </c>
      <c r="B1253">
        <v>29.34</v>
      </c>
      <c r="C1253">
        <v>140.30000000000001</v>
      </c>
      <c r="D1253" t="s">
        <v>16</v>
      </c>
      <c r="E1253" t="s">
        <v>88</v>
      </c>
      <c r="F1253">
        <f t="shared" si="38"/>
        <v>2006</v>
      </c>
      <c r="G1253">
        <f t="shared" si="39"/>
        <v>10</v>
      </c>
      <c r="H1253" t="str">
        <f>IF(ISNUMBER(FIND(",", E1253)), TRIM(MID(E1253, FIND(",", E1253) + 1, LEN(E1253))), E1253)</f>
        <v>Japan region</v>
      </c>
    </row>
    <row r="1254" spans="1:8" x14ac:dyDescent="0.25">
      <c r="A1254" s="2">
        <v>39012</v>
      </c>
      <c r="B1254">
        <v>-45.77</v>
      </c>
      <c r="C1254">
        <v>95.92</v>
      </c>
      <c r="D1254" t="s">
        <v>16</v>
      </c>
      <c r="E1254" t="s">
        <v>310</v>
      </c>
      <c r="F1254">
        <f t="shared" si="38"/>
        <v>2006</v>
      </c>
      <c r="G1254">
        <f t="shared" si="39"/>
        <v>10</v>
      </c>
      <c r="H1254" t="str">
        <f>IF(ISNUMBER(FIND(",", E1254)), TRIM(MID(E1254, FIND(",", E1254) + 1, LEN(E1254))), E1254)</f>
        <v>southeast Indian Ridge</v>
      </c>
    </row>
    <row r="1255" spans="1:8" x14ac:dyDescent="0.25">
      <c r="A1255" s="2">
        <v>39010</v>
      </c>
      <c r="B1255">
        <v>-13.45</v>
      </c>
      <c r="C1255">
        <v>-76.66</v>
      </c>
      <c r="D1255" t="s">
        <v>16</v>
      </c>
      <c r="E1255" t="s">
        <v>258</v>
      </c>
      <c r="F1255">
        <f t="shared" si="38"/>
        <v>2006</v>
      </c>
      <c r="G1255">
        <f t="shared" si="39"/>
        <v>10</v>
      </c>
      <c r="H1255" t="str">
        <f>IF(ISNUMBER(FIND(",", E1255)), TRIM(MID(E1255, FIND(",", E1255) + 1, LEN(E1255))), E1255)</f>
        <v>near the coast of central Peru</v>
      </c>
    </row>
    <row r="1256" spans="1:8" x14ac:dyDescent="0.25">
      <c r="A1256" s="2">
        <v>39008</v>
      </c>
      <c r="B1256">
        <v>-15.05</v>
      </c>
      <c r="C1256">
        <v>167.33</v>
      </c>
      <c r="D1256" t="s">
        <v>16</v>
      </c>
      <c r="E1256" t="s">
        <v>181</v>
      </c>
      <c r="F1256">
        <f t="shared" si="38"/>
        <v>2006</v>
      </c>
      <c r="G1256">
        <f t="shared" si="39"/>
        <v>10</v>
      </c>
      <c r="H1256" t="str">
        <f>IF(ISNUMBER(FIND(",", E1256)), TRIM(MID(E1256, FIND(",", E1256) + 1, LEN(E1256))), E1256)</f>
        <v>Vanuatu</v>
      </c>
    </row>
    <row r="1257" spans="1:8" x14ac:dyDescent="0.25">
      <c r="A1257" s="2">
        <v>39007</v>
      </c>
      <c r="B1257">
        <v>-5.89</v>
      </c>
      <c r="C1257">
        <v>151.03</v>
      </c>
      <c r="D1257" t="s">
        <v>16</v>
      </c>
      <c r="E1257" t="s">
        <v>190</v>
      </c>
      <c r="F1257">
        <f t="shared" si="38"/>
        <v>2006</v>
      </c>
      <c r="G1257">
        <f t="shared" si="39"/>
        <v>10</v>
      </c>
      <c r="H1257" t="str">
        <f>IF(ISNUMBER(FIND(",", E1257)), TRIM(MID(E1257, FIND(",", E1257) + 1, LEN(E1257))), E1257)</f>
        <v>Papua New Guinea</v>
      </c>
    </row>
    <row r="1258" spans="1:8" x14ac:dyDescent="0.25">
      <c r="A1258" s="2">
        <v>39005</v>
      </c>
      <c r="B1258">
        <v>20.07</v>
      </c>
      <c r="C1258">
        <v>-156.04</v>
      </c>
      <c r="D1258" t="s">
        <v>16</v>
      </c>
      <c r="E1258" t="s">
        <v>435</v>
      </c>
      <c r="F1258">
        <f t="shared" si="38"/>
        <v>2006</v>
      </c>
      <c r="G1258">
        <f t="shared" si="39"/>
        <v>10</v>
      </c>
      <c r="H1258" t="str">
        <f>IF(ISNUMBER(FIND(",", E1258)), TRIM(MID(E1258, FIND(",", E1258) + 1, LEN(E1258))), E1258)</f>
        <v>Hawaii</v>
      </c>
    </row>
    <row r="1259" spans="1:8" x14ac:dyDescent="0.25">
      <c r="A1259" s="2">
        <v>39005</v>
      </c>
      <c r="B1259">
        <v>19.86</v>
      </c>
      <c r="C1259">
        <v>-155.99</v>
      </c>
      <c r="D1259" t="s">
        <v>16</v>
      </c>
      <c r="E1259" t="s">
        <v>436</v>
      </c>
      <c r="F1259">
        <f t="shared" si="38"/>
        <v>2006</v>
      </c>
      <c r="G1259">
        <f t="shared" si="39"/>
        <v>10</v>
      </c>
      <c r="H1259" t="str">
        <f>IF(ISNUMBER(FIND(",", E1259)), TRIM(MID(E1259, FIND(",", E1259) + 1, LEN(E1259))), E1259)</f>
        <v>Hawaii</v>
      </c>
    </row>
    <row r="1260" spans="1:8" x14ac:dyDescent="0.25">
      <c r="A1260" s="2">
        <v>39002</v>
      </c>
      <c r="B1260">
        <v>-31.26</v>
      </c>
      <c r="C1260">
        <v>-71.33</v>
      </c>
      <c r="D1260" t="s">
        <v>16</v>
      </c>
      <c r="E1260" t="s">
        <v>193</v>
      </c>
      <c r="F1260">
        <f t="shared" si="38"/>
        <v>2006</v>
      </c>
      <c r="G1260">
        <f t="shared" si="39"/>
        <v>10</v>
      </c>
      <c r="H1260" t="str">
        <f>IF(ISNUMBER(FIND(",", E1260)), TRIM(MID(E1260, FIND(",", E1260) + 1, LEN(E1260))), E1260)</f>
        <v>Chile</v>
      </c>
    </row>
    <row r="1261" spans="1:8" x14ac:dyDescent="0.25">
      <c r="A1261" s="2">
        <v>39000</v>
      </c>
      <c r="B1261">
        <v>37.197000000000003</v>
      </c>
      <c r="C1261">
        <v>142.66399999999999</v>
      </c>
      <c r="D1261" t="s">
        <v>5</v>
      </c>
      <c r="E1261" t="s">
        <v>189</v>
      </c>
      <c r="F1261">
        <f t="shared" si="38"/>
        <v>2006</v>
      </c>
      <c r="G1261">
        <f t="shared" si="39"/>
        <v>10</v>
      </c>
      <c r="H1261" t="str">
        <f>IF(ISNUMBER(FIND(",", E1261)), TRIM(MID(E1261, FIND(",", E1261) + 1, LEN(E1261))), E1261)</f>
        <v>Japan</v>
      </c>
    </row>
    <row r="1262" spans="1:8" x14ac:dyDescent="0.25">
      <c r="A1262" s="2">
        <v>39000</v>
      </c>
      <c r="B1262">
        <v>-56.04</v>
      </c>
      <c r="C1262">
        <v>-122.33</v>
      </c>
      <c r="D1262" t="s">
        <v>16</v>
      </c>
      <c r="E1262" t="s">
        <v>268</v>
      </c>
      <c r="F1262">
        <f t="shared" si="38"/>
        <v>2006</v>
      </c>
      <c r="G1262">
        <f t="shared" si="39"/>
        <v>10</v>
      </c>
      <c r="H1262" t="str">
        <f>IF(ISNUMBER(FIND(",", E1262)), TRIM(MID(E1262, FIND(",", E1262) + 1, LEN(E1262))), E1262)</f>
        <v>southern East Pacific Rise</v>
      </c>
    </row>
    <row r="1263" spans="1:8" x14ac:dyDescent="0.25">
      <c r="A1263" s="2">
        <v>38999</v>
      </c>
      <c r="B1263">
        <v>20.65</v>
      </c>
      <c r="C1263">
        <v>120.03</v>
      </c>
      <c r="D1263" t="s">
        <v>16</v>
      </c>
      <c r="E1263" t="s">
        <v>213</v>
      </c>
      <c r="F1263">
        <f t="shared" si="38"/>
        <v>2006</v>
      </c>
      <c r="G1263">
        <f t="shared" si="39"/>
        <v>10</v>
      </c>
      <c r="H1263" t="str">
        <f>IF(ISNUMBER(FIND(",", E1263)), TRIM(MID(E1263, FIND(",", E1263) + 1, LEN(E1263))), E1263)</f>
        <v>Philippine Islands region</v>
      </c>
    </row>
    <row r="1264" spans="1:8" x14ac:dyDescent="0.25">
      <c r="A1264" s="2">
        <v>38993</v>
      </c>
      <c r="B1264">
        <v>-18.86</v>
      </c>
      <c r="C1264">
        <v>169.09</v>
      </c>
      <c r="D1264" t="s">
        <v>16</v>
      </c>
      <c r="E1264" t="s">
        <v>181</v>
      </c>
      <c r="F1264">
        <f t="shared" si="38"/>
        <v>2006</v>
      </c>
      <c r="G1264">
        <f t="shared" si="39"/>
        <v>10</v>
      </c>
      <c r="H1264" t="str">
        <f>IF(ISNUMBER(FIND(",", E1264)), TRIM(MID(E1264, FIND(",", E1264) + 1, LEN(E1264))), E1264)</f>
        <v>Vanuatu</v>
      </c>
    </row>
    <row r="1265" spans="1:8" x14ac:dyDescent="0.25">
      <c r="A1265" s="2">
        <v>38991</v>
      </c>
      <c r="B1265">
        <v>46.46</v>
      </c>
      <c r="C1265">
        <v>153.26</v>
      </c>
      <c r="D1265" t="s">
        <v>16</v>
      </c>
      <c r="E1265" t="s">
        <v>191</v>
      </c>
      <c r="F1265">
        <f t="shared" si="38"/>
        <v>2006</v>
      </c>
      <c r="G1265">
        <f t="shared" si="39"/>
        <v>10</v>
      </c>
      <c r="H1265" t="str">
        <f>IF(ISNUMBER(FIND(",", E1265)), TRIM(MID(E1265, FIND(",", E1265) + 1, LEN(E1265))), E1265)</f>
        <v>Kuril Islands</v>
      </c>
    </row>
    <row r="1266" spans="1:8" x14ac:dyDescent="0.25">
      <c r="A1266" s="2">
        <v>38990</v>
      </c>
      <c r="B1266">
        <v>46.23</v>
      </c>
      <c r="C1266">
        <v>153.16999999999999</v>
      </c>
      <c r="D1266" t="s">
        <v>16</v>
      </c>
      <c r="E1266" t="s">
        <v>191</v>
      </c>
      <c r="F1266">
        <f t="shared" si="38"/>
        <v>2006</v>
      </c>
      <c r="G1266">
        <f t="shared" si="39"/>
        <v>9</v>
      </c>
      <c r="H1266" t="str">
        <f>IF(ISNUMBER(FIND(",", E1266)), TRIM(MID(E1266, FIND(",", E1266) + 1, LEN(E1266))), E1266)</f>
        <v>Kuril Islands</v>
      </c>
    </row>
    <row r="1267" spans="1:8" x14ac:dyDescent="0.25">
      <c r="A1267" s="2">
        <v>38990</v>
      </c>
      <c r="B1267">
        <v>46.34</v>
      </c>
      <c r="C1267">
        <v>153.16999999999999</v>
      </c>
      <c r="D1267" t="s">
        <v>16</v>
      </c>
      <c r="E1267" t="s">
        <v>191</v>
      </c>
      <c r="F1267">
        <f t="shared" si="38"/>
        <v>2006</v>
      </c>
      <c r="G1267">
        <f t="shared" si="39"/>
        <v>9</v>
      </c>
      <c r="H1267" t="str">
        <f>IF(ISNUMBER(FIND(",", E1267)), TRIM(MID(E1267, FIND(",", E1267) + 1, LEN(E1267))), E1267)</f>
        <v>Kuril Islands</v>
      </c>
    </row>
    <row r="1268" spans="1:8" x14ac:dyDescent="0.25">
      <c r="A1268" s="2">
        <v>38990</v>
      </c>
      <c r="B1268">
        <v>-15.57</v>
      </c>
      <c r="C1268">
        <v>-73.17</v>
      </c>
      <c r="D1268" t="s">
        <v>16</v>
      </c>
      <c r="E1268" t="s">
        <v>229</v>
      </c>
      <c r="F1268">
        <f t="shared" si="38"/>
        <v>2006</v>
      </c>
      <c r="G1268">
        <f t="shared" si="39"/>
        <v>9</v>
      </c>
      <c r="H1268" t="str">
        <f>IF(ISNUMBER(FIND(",", E1268)), TRIM(MID(E1268, FIND(",", E1268) + 1, LEN(E1268))), E1268)</f>
        <v>southern Peru</v>
      </c>
    </row>
    <row r="1269" spans="1:8" x14ac:dyDescent="0.25">
      <c r="A1269" s="2">
        <v>38989</v>
      </c>
      <c r="B1269">
        <v>10.87</v>
      </c>
      <c r="C1269">
        <v>-61.79</v>
      </c>
      <c r="D1269" t="s">
        <v>16</v>
      </c>
      <c r="E1269" t="s">
        <v>437</v>
      </c>
      <c r="F1269">
        <f t="shared" si="38"/>
        <v>2006</v>
      </c>
      <c r="G1269">
        <f t="shared" si="39"/>
        <v>9</v>
      </c>
      <c r="H1269" t="str">
        <f>IF(ISNUMBER(FIND(",", E1269)), TRIM(MID(E1269, FIND(",", E1269) + 1, LEN(E1269))), E1269)</f>
        <v>Venezuela</v>
      </c>
    </row>
    <row r="1270" spans="1:8" x14ac:dyDescent="0.25">
      <c r="A1270" s="2">
        <v>38988</v>
      </c>
      <c r="B1270">
        <v>-16.579999999999998</v>
      </c>
      <c r="C1270">
        <v>-171.99</v>
      </c>
      <c r="D1270" t="s">
        <v>16</v>
      </c>
      <c r="E1270" t="s">
        <v>352</v>
      </c>
      <c r="F1270">
        <f t="shared" si="38"/>
        <v>2006</v>
      </c>
      <c r="G1270">
        <f t="shared" si="39"/>
        <v>9</v>
      </c>
      <c r="H1270" t="str">
        <f>IF(ISNUMBER(FIND(",", E1270)), TRIM(MID(E1270, FIND(",", E1270) + 1, LEN(E1270))), E1270)</f>
        <v>Samoa Islands region</v>
      </c>
    </row>
    <row r="1271" spans="1:8" x14ac:dyDescent="0.25">
      <c r="A1271" s="2">
        <v>38982</v>
      </c>
      <c r="B1271">
        <v>-26.83</v>
      </c>
      <c r="C1271">
        <v>-63.1</v>
      </c>
      <c r="D1271" t="s">
        <v>16</v>
      </c>
      <c r="E1271" t="s">
        <v>232</v>
      </c>
      <c r="F1271">
        <f t="shared" si="38"/>
        <v>2006</v>
      </c>
      <c r="G1271">
        <f t="shared" si="39"/>
        <v>9</v>
      </c>
      <c r="H1271" t="str">
        <f>IF(ISNUMBER(FIND(",", E1271)), TRIM(MID(E1271, FIND(",", E1271) + 1, LEN(E1271))), E1271)</f>
        <v>Argentina</v>
      </c>
    </row>
    <row r="1272" spans="1:8" x14ac:dyDescent="0.25">
      <c r="A1272" s="2">
        <v>38981</v>
      </c>
      <c r="B1272">
        <v>-9.09</v>
      </c>
      <c r="C1272">
        <v>110.39</v>
      </c>
      <c r="D1272" t="s">
        <v>16</v>
      </c>
      <c r="E1272" t="s">
        <v>212</v>
      </c>
      <c r="F1272">
        <f t="shared" si="38"/>
        <v>2006</v>
      </c>
      <c r="G1272">
        <f t="shared" si="39"/>
        <v>9</v>
      </c>
      <c r="H1272" t="str">
        <f>IF(ISNUMBER(FIND(",", E1272)), TRIM(MID(E1272, FIND(",", E1272) + 1, LEN(E1272))), E1272)</f>
        <v>Indonesia</v>
      </c>
    </row>
    <row r="1273" spans="1:8" x14ac:dyDescent="0.25">
      <c r="A1273" s="2">
        <v>38977</v>
      </c>
      <c r="B1273">
        <v>-31.71</v>
      </c>
      <c r="C1273">
        <v>-67.12</v>
      </c>
      <c r="D1273" t="s">
        <v>16</v>
      </c>
      <c r="E1273" t="s">
        <v>339</v>
      </c>
      <c r="F1273">
        <f t="shared" si="38"/>
        <v>2006</v>
      </c>
      <c r="G1273">
        <f t="shared" si="39"/>
        <v>9</v>
      </c>
      <c r="H1273" t="str">
        <f>IF(ISNUMBER(FIND(",", E1273)), TRIM(MID(E1273, FIND(",", E1273) + 1, LEN(E1273))), E1273)</f>
        <v>Argentina</v>
      </c>
    </row>
    <row r="1274" spans="1:8" x14ac:dyDescent="0.25">
      <c r="A1274" s="2">
        <v>38976</v>
      </c>
      <c r="B1274">
        <v>-3.1</v>
      </c>
      <c r="C1274">
        <v>129.41</v>
      </c>
      <c r="D1274" t="s">
        <v>16</v>
      </c>
      <c r="E1274" t="s">
        <v>433</v>
      </c>
      <c r="F1274">
        <f t="shared" si="38"/>
        <v>2006</v>
      </c>
      <c r="G1274">
        <f t="shared" si="39"/>
        <v>9</v>
      </c>
      <c r="H1274" t="str">
        <f>IF(ISNUMBER(FIND(",", E1274)), TRIM(MID(E1274, FIND(",", E1274) + 1, LEN(E1274))), E1274)</f>
        <v>Indonesia</v>
      </c>
    </row>
    <row r="1275" spans="1:8" x14ac:dyDescent="0.25">
      <c r="A1275" s="2">
        <v>38969</v>
      </c>
      <c r="B1275">
        <v>-7.23</v>
      </c>
      <c r="C1275">
        <v>120.09</v>
      </c>
      <c r="D1275" t="s">
        <v>16</v>
      </c>
      <c r="E1275" t="s">
        <v>438</v>
      </c>
      <c r="F1275">
        <f t="shared" si="38"/>
        <v>2006</v>
      </c>
      <c r="G1275">
        <f t="shared" si="39"/>
        <v>9</v>
      </c>
      <c r="H1275" t="str">
        <f>IF(ISNUMBER(FIND(",", E1275)), TRIM(MID(E1275, FIND(",", E1275) + 1, LEN(E1275))), E1275)</f>
        <v>Flores Sea</v>
      </c>
    </row>
    <row r="1276" spans="1:8" x14ac:dyDescent="0.25">
      <c r="A1276" s="2">
        <v>38961</v>
      </c>
      <c r="B1276">
        <v>-6.78</v>
      </c>
      <c r="C1276">
        <v>155.54</v>
      </c>
      <c r="D1276" t="s">
        <v>16</v>
      </c>
      <c r="E1276" t="s">
        <v>290</v>
      </c>
      <c r="F1276">
        <f t="shared" si="38"/>
        <v>2006</v>
      </c>
      <c r="G1276">
        <f t="shared" si="39"/>
        <v>9</v>
      </c>
      <c r="H1276" t="str">
        <f>IF(ISNUMBER(FIND(",", E1276)), TRIM(MID(E1276, FIND(",", E1276) + 1, LEN(E1276))), E1276)</f>
        <v>Papua New Guinea</v>
      </c>
    </row>
    <row r="1277" spans="1:8" x14ac:dyDescent="0.25">
      <c r="A1277" s="2">
        <v>38954</v>
      </c>
      <c r="B1277">
        <v>-24.39</v>
      </c>
      <c r="C1277">
        <v>-67.040000000000006</v>
      </c>
      <c r="D1277" t="s">
        <v>16</v>
      </c>
      <c r="E1277" t="s">
        <v>337</v>
      </c>
      <c r="F1277">
        <f t="shared" si="38"/>
        <v>2006</v>
      </c>
      <c r="G1277">
        <f t="shared" si="39"/>
        <v>8</v>
      </c>
      <c r="H1277" t="str">
        <f>IF(ISNUMBER(FIND(",", E1277)), TRIM(MID(E1277, FIND(",", E1277) + 1, LEN(E1277))), E1277)</f>
        <v>Argentina</v>
      </c>
    </row>
    <row r="1278" spans="1:8" x14ac:dyDescent="0.25">
      <c r="A1278" s="2">
        <v>38953</v>
      </c>
      <c r="B1278">
        <v>51.15</v>
      </c>
      <c r="C1278">
        <v>157.54</v>
      </c>
      <c r="D1278" t="s">
        <v>16</v>
      </c>
      <c r="E1278" t="s">
        <v>225</v>
      </c>
      <c r="F1278">
        <f t="shared" si="38"/>
        <v>2006</v>
      </c>
      <c r="G1278">
        <f t="shared" si="39"/>
        <v>8</v>
      </c>
      <c r="H1278" t="str">
        <f>IF(ISNUMBER(FIND(",", E1278)), TRIM(MID(E1278, FIND(",", E1278) + 1, LEN(E1278))), E1278)</f>
        <v>Russia</v>
      </c>
    </row>
    <row r="1279" spans="1:8" x14ac:dyDescent="0.25">
      <c r="A1279" s="2">
        <v>38949</v>
      </c>
      <c r="B1279">
        <v>-61.02</v>
      </c>
      <c r="C1279">
        <v>-34.450000000000003</v>
      </c>
      <c r="D1279" t="s">
        <v>16</v>
      </c>
      <c r="E1279" t="s">
        <v>56</v>
      </c>
      <c r="F1279">
        <f t="shared" si="38"/>
        <v>2006</v>
      </c>
      <c r="G1279">
        <f t="shared" si="39"/>
        <v>8</v>
      </c>
      <c r="H1279" t="str">
        <f>IF(ISNUMBER(FIND(",", E1279)), TRIM(MID(E1279, FIND(",", E1279) + 1, LEN(E1279))), E1279)</f>
        <v>Scotia Sea</v>
      </c>
    </row>
    <row r="1280" spans="1:8" x14ac:dyDescent="0.25">
      <c r="A1280" s="2">
        <v>38949</v>
      </c>
      <c r="B1280">
        <v>49.83</v>
      </c>
      <c r="C1280">
        <v>156.41999999999999</v>
      </c>
      <c r="D1280" t="s">
        <v>16</v>
      </c>
      <c r="E1280" t="s">
        <v>191</v>
      </c>
      <c r="F1280">
        <f t="shared" si="38"/>
        <v>2006</v>
      </c>
      <c r="G1280">
        <f t="shared" si="39"/>
        <v>8</v>
      </c>
      <c r="H1280" t="str">
        <f>IF(ISNUMBER(FIND(",", E1280)), TRIM(MID(E1280, FIND(",", E1280) + 1, LEN(E1280))), E1280)</f>
        <v>Kuril Islands</v>
      </c>
    </row>
    <row r="1281" spans="1:8" x14ac:dyDescent="0.25">
      <c r="A1281" s="2">
        <v>38944</v>
      </c>
      <c r="B1281">
        <v>-21.17</v>
      </c>
      <c r="C1281">
        <v>-176.17</v>
      </c>
      <c r="D1281" t="s">
        <v>16</v>
      </c>
      <c r="E1281" t="s">
        <v>53</v>
      </c>
      <c r="F1281">
        <f t="shared" si="38"/>
        <v>2006</v>
      </c>
      <c r="G1281">
        <f t="shared" si="39"/>
        <v>8</v>
      </c>
      <c r="H1281" t="str">
        <f>IF(ISNUMBER(FIND(",", E1281)), TRIM(MID(E1281, FIND(",", E1281) + 1, LEN(E1281))), E1281)</f>
        <v>Fiji region</v>
      </c>
    </row>
    <row r="1282" spans="1:8" x14ac:dyDescent="0.25">
      <c r="A1282" s="2">
        <v>38940</v>
      </c>
      <c r="B1282">
        <v>2.39</v>
      </c>
      <c r="C1282">
        <v>96.32</v>
      </c>
      <c r="D1282" t="s">
        <v>16</v>
      </c>
      <c r="E1282" t="s">
        <v>222</v>
      </c>
      <c r="F1282">
        <f t="shared" ref="F1282:F1345" si="40">YEAR(A1282)</f>
        <v>2006</v>
      </c>
      <c r="G1282">
        <f t="shared" si="39"/>
        <v>8</v>
      </c>
      <c r="H1282" t="str">
        <f>IF(ISNUMBER(FIND(",", E1282)), TRIM(MID(E1282, FIND(",", E1282) + 1, LEN(E1282))), E1282)</f>
        <v>Indonesia</v>
      </c>
    </row>
    <row r="1283" spans="1:8" x14ac:dyDescent="0.25">
      <c r="A1283" s="2">
        <v>38940</v>
      </c>
      <c r="B1283">
        <v>18.53</v>
      </c>
      <c r="C1283">
        <v>-101.08</v>
      </c>
      <c r="D1283" t="s">
        <v>16</v>
      </c>
      <c r="E1283" t="s">
        <v>248</v>
      </c>
      <c r="F1283">
        <f t="shared" si="40"/>
        <v>2006</v>
      </c>
      <c r="G1283">
        <f t="shared" ref="G1283:G1346" si="41">MONTH(A1283)</f>
        <v>8</v>
      </c>
      <c r="H1283" t="str">
        <f>IF(ISNUMBER(FIND(",", E1283)), TRIM(MID(E1283, FIND(",", E1283) + 1, LEN(E1283))), E1283)</f>
        <v>Mexico</v>
      </c>
    </row>
    <row r="1284" spans="1:8" x14ac:dyDescent="0.25">
      <c r="A1284" s="2">
        <v>38936</v>
      </c>
      <c r="B1284">
        <v>-15.8</v>
      </c>
      <c r="C1284">
        <v>167.82</v>
      </c>
      <c r="D1284" t="s">
        <v>16</v>
      </c>
      <c r="E1284" t="s">
        <v>181</v>
      </c>
      <c r="F1284">
        <f t="shared" si="40"/>
        <v>2006</v>
      </c>
      <c r="G1284">
        <f t="shared" si="41"/>
        <v>8</v>
      </c>
      <c r="H1284" t="str">
        <f>IF(ISNUMBER(FIND(",", E1284)), TRIM(MID(E1284, FIND(",", E1284) + 1, LEN(E1284))), E1284)</f>
        <v>Vanuatu</v>
      </c>
    </row>
    <row r="1285" spans="1:8" x14ac:dyDescent="0.25">
      <c r="A1285" s="2">
        <v>38925</v>
      </c>
      <c r="B1285">
        <v>1.71</v>
      </c>
      <c r="C1285">
        <v>97.1</v>
      </c>
      <c r="D1285" t="s">
        <v>16</v>
      </c>
      <c r="E1285" t="s">
        <v>295</v>
      </c>
      <c r="F1285">
        <f t="shared" si="40"/>
        <v>2006</v>
      </c>
      <c r="G1285">
        <f t="shared" si="41"/>
        <v>7</v>
      </c>
      <c r="H1285" t="str">
        <f>IF(ISNUMBER(FIND(",", E1285)), TRIM(MID(E1285, FIND(",", E1285) + 1, LEN(E1285))), E1285)</f>
        <v>Indonesia</v>
      </c>
    </row>
    <row r="1286" spans="1:8" x14ac:dyDescent="0.25">
      <c r="A1286" s="2">
        <v>38921</v>
      </c>
      <c r="B1286">
        <v>-0.37</v>
      </c>
      <c r="C1286">
        <v>123.19</v>
      </c>
      <c r="D1286" t="s">
        <v>16</v>
      </c>
      <c r="E1286" t="s">
        <v>182</v>
      </c>
      <c r="F1286">
        <f t="shared" si="40"/>
        <v>2006</v>
      </c>
      <c r="G1286">
        <f t="shared" si="41"/>
        <v>7</v>
      </c>
      <c r="H1286" t="str">
        <f>IF(ISNUMBER(FIND(",", E1286)), TRIM(MID(E1286, FIND(",", E1286) + 1, LEN(E1286))), E1286)</f>
        <v>Indonesia</v>
      </c>
    </row>
    <row r="1287" spans="1:8" x14ac:dyDescent="0.25">
      <c r="A1287" s="2">
        <v>38917</v>
      </c>
      <c r="B1287">
        <v>-5.51</v>
      </c>
      <c r="C1287">
        <v>150.74</v>
      </c>
      <c r="D1287" t="s">
        <v>16</v>
      </c>
      <c r="E1287" t="s">
        <v>190</v>
      </c>
      <c r="F1287">
        <f t="shared" si="40"/>
        <v>2006</v>
      </c>
      <c r="G1287">
        <f t="shared" si="41"/>
        <v>7</v>
      </c>
      <c r="H1287" t="str">
        <f>IF(ISNUMBER(FIND(",", E1287)), TRIM(MID(E1287, FIND(",", E1287) + 1, LEN(E1287))), E1287)</f>
        <v>Papua New Guinea</v>
      </c>
    </row>
    <row r="1288" spans="1:8" x14ac:dyDescent="0.25">
      <c r="A1288" s="2">
        <v>38917</v>
      </c>
      <c r="B1288">
        <v>-6.58</v>
      </c>
      <c r="C1288">
        <v>105.35</v>
      </c>
      <c r="D1288" t="s">
        <v>16</v>
      </c>
      <c r="E1288" t="s">
        <v>278</v>
      </c>
      <c r="F1288">
        <f t="shared" si="40"/>
        <v>2006</v>
      </c>
      <c r="G1288">
        <f t="shared" si="41"/>
        <v>7</v>
      </c>
      <c r="H1288" t="str">
        <f>IF(ISNUMBER(FIND(",", E1288)), TRIM(MID(E1288, FIND(",", E1288) + 1, LEN(E1288))), E1288)</f>
        <v>Indonesia</v>
      </c>
    </row>
    <row r="1289" spans="1:8" x14ac:dyDescent="0.25">
      <c r="A1289" s="2">
        <v>38915</v>
      </c>
      <c r="B1289">
        <v>-9.4499999999999993</v>
      </c>
      <c r="C1289">
        <v>108.26</v>
      </c>
      <c r="D1289" t="s">
        <v>16</v>
      </c>
      <c r="E1289" t="s">
        <v>212</v>
      </c>
      <c r="F1289">
        <f t="shared" si="40"/>
        <v>2006</v>
      </c>
      <c r="G1289">
        <f t="shared" si="41"/>
        <v>7</v>
      </c>
      <c r="H1289" t="str">
        <f>IF(ISNUMBER(FIND(",", E1289)), TRIM(MID(E1289, FIND(",", E1289) + 1, LEN(E1289))), E1289)</f>
        <v>Indonesia</v>
      </c>
    </row>
    <row r="1290" spans="1:8" x14ac:dyDescent="0.25">
      <c r="A1290" s="2">
        <v>38915</v>
      </c>
      <c r="B1290">
        <v>-9.1</v>
      </c>
      <c r="C1290">
        <v>107.77</v>
      </c>
      <c r="D1290" t="s">
        <v>16</v>
      </c>
      <c r="E1290" t="s">
        <v>212</v>
      </c>
      <c r="F1290">
        <f t="shared" si="40"/>
        <v>2006</v>
      </c>
      <c r="G1290">
        <f t="shared" si="41"/>
        <v>7</v>
      </c>
      <c r="H1290" t="str">
        <f>IF(ISNUMBER(FIND(",", E1290)), TRIM(MID(E1290, FIND(",", E1290) + 1, LEN(E1290))), E1290)</f>
        <v>Indonesia</v>
      </c>
    </row>
    <row r="1291" spans="1:8" x14ac:dyDescent="0.25">
      <c r="A1291" s="2">
        <v>38915</v>
      </c>
      <c r="B1291">
        <v>-9.32</v>
      </c>
      <c r="C1291">
        <v>107.33</v>
      </c>
      <c r="D1291" t="s">
        <v>16</v>
      </c>
      <c r="E1291" t="s">
        <v>212</v>
      </c>
      <c r="F1291">
        <f t="shared" si="40"/>
        <v>2006</v>
      </c>
      <c r="G1291">
        <f t="shared" si="41"/>
        <v>7</v>
      </c>
      <c r="H1291" t="str">
        <f>IF(ISNUMBER(FIND(",", E1291)), TRIM(MID(E1291, FIND(",", E1291) + 1, LEN(E1291))), E1291)</f>
        <v>Indonesia</v>
      </c>
    </row>
    <row r="1292" spans="1:8" x14ac:dyDescent="0.25">
      <c r="A1292" s="2">
        <v>38914</v>
      </c>
      <c r="B1292">
        <v>-28.69</v>
      </c>
      <c r="C1292">
        <v>-72.5</v>
      </c>
      <c r="D1292" t="s">
        <v>16</v>
      </c>
      <c r="E1292" t="s">
        <v>439</v>
      </c>
      <c r="F1292">
        <f t="shared" si="40"/>
        <v>2006</v>
      </c>
      <c r="G1292">
        <f t="shared" si="41"/>
        <v>7</v>
      </c>
      <c r="H1292" t="str">
        <f>IF(ISNUMBER(FIND(",", E1292)), TRIM(MID(E1292, FIND(",", E1292) + 1, LEN(E1292))), E1292)</f>
        <v>Chile</v>
      </c>
    </row>
    <row r="1293" spans="1:8" x14ac:dyDescent="0.25">
      <c r="A1293" s="2">
        <v>38906</v>
      </c>
      <c r="B1293">
        <v>51.23</v>
      </c>
      <c r="C1293">
        <v>-179.26</v>
      </c>
      <c r="D1293" t="s">
        <v>16</v>
      </c>
      <c r="E1293" t="s">
        <v>207</v>
      </c>
      <c r="F1293">
        <f t="shared" si="40"/>
        <v>2006</v>
      </c>
      <c r="G1293">
        <f t="shared" si="41"/>
        <v>7</v>
      </c>
      <c r="H1293" t="str">
        <f>IF(ISNUMBER(FIND(",", E1293)), TRIM(MID(E1293, FIND(",", E1293) + 1, LEN(E1293))), E1293)</f>
        <v>Aleutian Islands, Alaska</v>
      </c>
    </row>
    <row r="1294" spans="1:8" x14ac:dyDescent="0.25">
      <c r="A1294" s="2">
        <v>38905</v>
      </c>
      <c r="B1294">
        <v>-15.27</v>
      </c>
      <c r="C1294">
        <v>-173.55</v>
      </c>
      <c r="D1294" t="s">
        <v>16</v>
      </c>
      <c r="E1294" t="s">
        <v>239</v>
      </c>
      <c r="F1294">
        <f t="shared" si="40"/>
        <v>2006</v>
      </c>
      <c r="G1294">
        <f t="shared" si="41"/>
        <v>7</v>
      </c>
      <c r="H1294" t="str">
        <f>IF(ISNUMBER(FIND(",", E1294)), TRIM(MID(E1294, FIND(",", E1294) + 1, LEN(E1294))), E1294)</f>
        <v>Tonga</v>
      </c>
    </row>
    <row r="1295" spans="1:8" x14ac:dyDescent="0.25">
      <c r="A1295" s="2">
        <v>38895</v>
      </c>
      <c r="B1295">
        <v>6.47</v>
      </c>
      <c r="C1295">
        <v>92.73</v>
      </c>
      <c r="D1295" t="s">
        <v>16</v>
      </c>
      <c r="E1295" t="s">
        <v>322</v>
      </c>
      <c r="F1295">
        <f t="shared" si="40"/>
        <v>2006</v>
      </c>
      <c r="G1295">
        <f t="shared" si="41"/>
        <v>6</v>
      </c>
      <c r="H1295" t="str">
        <f>IF(ISNUMBER(FIND(",", E1295)), TRIM(MID(E1295, FIND(",", E1295) + 1, LEN(E1295))), E1295)</f>
        <v>India region</v>
      </c>
    </row>
    <row r="1296" spans="1:8" x14ac:dyDescent="0.25">
      <c r="A1296" s="2">
        <v>38895</v>
      </c>
      <c r="B1296">
        <v>-19.86</v>
      </c>
      <c r="C1296">
        <v>-178.2</v>
      </c>
      <c r="D1296" t="s">
        <v>16</v>
      </c>
      <c r="E1296" t="s">
        <v>53</v>
      </c>
      <c r="F1296">
        <f t="shared" si="40"/>
        <v>2006</v>
      </c>
      <c r="G1296">
        <f t="shared" si="41"/>
        <v>6</v>
      </c>
      <c r="H1296" t="str">
        <f>IF(ISNUMBER(FIND(",", E1296)), TRIM(MID(E1296, FIND(",", E1296) + 1, LEN(E1296))), E1296)</f>
        <v>Fiji region</v>
      </c>
    </row>
    <row r="1297" spans="1:8" x14ac:dyDescent="0.25">
      <c r="A1297" s="2">
        <v>38895</v>
      </c>
      <c r="B1297">
        <v>52.21</v>
      </c>
      <c r="C1297">
        <v>176.2</v>
      </c>
      <c r="D1297" t="s">
        <v>16</v>
      </c>
      <c r="E1297" t="s">
        <v>366</v>
      </c>
      <c r="F1297">
        <f t="shared" si="40"/>
        <v>2006</v>
      </c>
      <c r="G1297">
        <f t="shared" si="41"/>
        <v>6</v>
      </c>
      <c r="H1297" t="str">
        <f>IF(ISNUMBER(FIND(",", E1297)), TRIM(MID(E1297, FIND(",", E1297) + 1, LEN(E1297))), E1297)</f>
        <v>Aleutian Islands, Alaska</v>
      </c>
    </row>
    <row r="1298" spans="1:8" x14ac:dyDescent="0.25">
      <c r="A1298" s="2">
        <v>38892</v>
      </c>
      <c r="B1298">
        <v>-0.4</v>
      </c>
      <c r="C1298">
        <v>123.23</v>
      </c>
      <c r="D1298" t="s">
        <v>16</v>
      </c>
      <c r="E1298" t="s">
        <v>182</v>
      </c>
      <c r="F1298">
        <f t="shared" si="40"/>
        <v>2006</v>
      </c>
      <c r="G1298">
        <f t="shared" si="41"/>
        <v>6</v>
      </c>
      <c r="H1298" t="str">
        <f>IF(ISNUMBER(FIND(",", E1298)), TRIM(MID(E1298, FIND(",", E1298) + 1, LEN(E1298))), E1298)</f>
        <v>Indonesia</v>
      </c>
    </row>
    <row r="1299" spans="1:8" x14ac:dyDescent="0.25">
      <c r="A1299" s="2">
        <v>38890</v>
      </c>
      <c r="B1299">
        <v>45.41</v>
      </c>
      <c r="C1299">
        <v>149.37</v>
      </c>
      <c r="D1299" t="s">
        <v>16</v>
      </c>
      <c r="E1299" t="s">
        <v>191</v>
      </c>
      <c r="F1299">
        <f t="shared" si="40"/>
        <v>2006</v>
      </c>
      <c r="G1299">
        <f t="shared" si="41"/>
        <v>6</v>
      </c>
      <c r="H1299" t="str">
        <f>IF(ISNUMBER(FIND(",", E1299)), TRIM(MID(E1299, FIND(",", E1299) + 1, LEN(E1299))), E1299)</f>
        <v>Kuril Islands</v>
      </c>
    </row>
    <row r="1300" spans="1:8" x14ac:dyDescent="0.25">
      <c r="A1300" s="2">
        <v>38889</v>
      </c>
      <c r="B1300">
        <v>6.94</v>
      </c>
      <c r="C1300">
        <v>92.43</v>
      </c>
      <c r="D1300" t="s">
        <v>16</v>
      </c>
      <c r="E1300" t="s">
        <v>322</v>
      </c>
      <c r="F1300">
        <f t="shared" si="40"/>
        <v>2006</v>
      </c>
      <c r="G1300">
        <f t="shared" si="41"/>
        <v>6</v>
      </c>
      <c r="H1300" t="str">
        <f>IF(ISNUMBER(FIND(",", E1300)), TRIM(MID(E1300, FIND(",", E1300) + 1, LEN(E1300))), E1300)</f>
        <v>India region</v>
      </c>
    </row>
    <row r="1301" spans="1:8" x14ac:dyDescent="0.25">
      <c r="A1301" s="2">
        <v>38886</v>
      </c>
      <c r="B1301">
        <v>32.99</v>
      </c>
      <c r="C1301">
        <v>-39.700000000000003</v>
      </c>
      <c r="D1301" t="s">
        <v>16</v>
      </c>
      <c r="E1301" t="s">
        <v>325</v>
      </c>
      <c r="F1301">
        <f t="shared" si="40"/>
        <v>2006</v>
      </c>
      <c r="G1301">
        <f t="shared" si="41"/>
        <v>6</v>
      </c>
      <c r="H1301" t="str">
        <f>IF(ISNUMBER(FIND(",", E1301)), TRIM(MID(E1301, FIND(",", E1301) + 1, LEN(E1301))), E1301)</f>
        <v>northern Mid-Atlantic Ridge</v>
      </c>
    </row>
    <row r="1302" spans="1:8" x14ac:dyDescent="0.25">
      <c r="A1302" s="2">
        <v>38882</v>
      </c>
      <c r="B1302">
        <v>51.94</v>
      </c>
      <c r="C1302">
        <v>177.17</v>
      </c>
      <c r="D1302" t="s">
        <v>16</v>
      </c>
      <c r="E1302" t="s">
        <v>366</v>
      </c>
      <c r="F1302">
        <f t="shared" si="40"/>
        <v>2006</v>
      </c>
      <c r="G1302">
        <f t="shared" si="41"/>
        <v>6</v>
      </c>
      <c r="H1302" t="str">
        <f>IF(ISNUMBER(FIND(",", E1302)), TRIM(MID(E1302, FIND(",", E1302) + 1, LEN(E1302))), E1302)</f>
        <v>Aleutian Islands, Alaska</v>
      </c>
    </row>
    <row r="1303" spans="1:8" x14ac:dyDescent="0.25">
      <c r="A1303" s="2">
        <v>38882</v>
      </c>
      <c r="B1303">
        <v>51.72</v>
      </c>
      <c r="C1303">
        <v>177.14</v>
      </c>
      <c r="D1303" t="s">
        <v>16</v>
      </c>
      <c r="E1303" t="s">
        <v>366</v>
      </c>
      <c r="F1303">
        <f t="shared" si="40"/>
        <v>2006</v>
      </c>
      <c r="G1303">
        <f t="shared" si="41"/>
        <v>6</v>
      </c>
      <c r="H1303" t="str">
        <f>IF(ISNUMBER(FIND(",", E1303)), TRIM(MID(E1303, FIND(",", E1303) + 1, LEN(E1303))), E1303)</f>
        <v>Aleutian Islands, Alaska</v>
      </c>
    </row>
    <row r="1304" spans="1:8" x14ac:dyDescent="0.25">
      <c r="A1304" s="2">
        <v>38879</v>
      </c>
      <c r="B1304">
        <v>33.130000000000003</v>
      </c>
      <c r="C1304">
        <v>131.15</v>
      </c>
      <c r="D1304" t="s">
        <v>16</v>
      </c>
      <c r="E1304" t="s">
        <v>357</v>
      </c>
      <c r="F1304">
        <f t="shared" si="40"/>
        <v>2006</v>
      </c>
      <c r="G1304">
        <f t="shared" si="41"/>
        <v>6</v>
      </c>
      <c r="H1304" t="str">
        <f>IF(ISNUMBER(FIND(",", E1304)), TRIM(MID(E1304, FIND(",", E1304) + 1, LEN(E1304))), E1304)</f>
        <v>Japan</v>
      </c>
    </row>
    <row r="1305" spans="1:8" x14ac:dyDescent="0.25">
      <c r="A1305" s="2">
        <v>38877</v>
      </c>
      <c r="B1305">
        <v>-17.52</v>
      </c>
      <c r="C1305">
        <v>-178.7</v>
      </c>
      <c r="D1305" t="s">
        <v>16</v>
      </c>
      <c r="E1305" t="s">
        <v>53</v>
      </c>
      <c r="F1305">
        <f t="shared" si="40"/>
        <v>2006</v>
      </c>
      <c r="G1305">
        <f t="shared" si="41"/>
        <v>6</v>
      </c>
      <c r="H1305" t="str">
        <f>IF(ISNUMBER(FIND(",", E1305)), TRIM(MID(E1305, FIND(",", E1305) + 1, LEN(E1305))), E1305)</f>
        <v>Fiji region</v>
      </c>
    </row>
    <row r="1306" spans="1:8" x14ac:dyDescent="0.25">
      <c r="A1306" s="2">
        <v>38873</v>
      </c>
      <c r="B1306">
        <v>1.1299999999999999</v>
      </c>
      <c r="C1306">
        <v>-28.01</v>
      </c>
      <c r="D1306" t="s">
        <v>16</v>
      </c>
      <c r="E1306" t="s">
        <v>291</v>
      </c>
      <c r="F1306">
        <f t="shared" si="40"/>
        <v>2006</v>
      </c>
      <c r="G1306">
        <f t="shared" si="41"/>
        <v>6</v>
      </c>
      <c r="H1306" t="str">
        <f>IF(ISNUMBER(FIND(",", E1306)), TRIM(MID(E1306, FIND(",", E1306) + 1, LEN(E1306))), E1306)</f>
        <v>central Mid-Atlantic Ridge</v>
      </c>
    </row>
    <row r="1307" spans="1:8" x14ac:dyDescent="0.25">
      <c r="A1307" s="2">
        <v>38870</v>
      </c>
      <c r="B1307">
        <v>-20.83</v>
      </c>
      <c r="C1307">
        <v>-178.62</v>
      </c>
      <c r="D1307" t="s">
        <v>16</v>
      </c>
      <c r="E1307" t="s">
        <v>53</v>
      </c>
      <c r="F1307">
        <f t="shared" si="40"/>
        <v>2006</v>
      </c>
      <c r="G1307">
        <f t="shared" si="41"/>
        <v>6</v>
      </c>
      <c r="H1307" t="str">
        <f>IF(ISNUMBER(FIND(",", E1307)), TRIM(MID(E1307, FIND(",", E1307) + 1, LEN(E1307))), E1307)</f>
        <v>Fiji region</v>
      </c>
    </row>
    <row r="1308" spans="1:8" x14ac:dyDescent="0.25">
      <c r="A1308" s="2">
        <v>38865</v>
      </c>
      <c r="B1308">
        <v>-5.71</v>
      </c>
      <c r="C1308">
        <v>151.19999999999999</v>
      </c>
      <c r="D1308" t="s">
        <v>16</v>
      </c>
      <c r="E1308" t="s">
        <v>190</v>
      </c>
      <c r="F1308">
        <f t="shared" si="40"/>
        <v>2006</v>
      </c>
      <c r="G1308">
        <f t="shared" si="41"/>
        <v>5</v>
      </c>
      <c r="H1308" t="str">
        <f>IF(ISNUMBER(FIND(",", E1308)), TRIM(MID(E1308, FIND(",", E1308) + 1, LEN(E1308))), E1308)</f>
        <v>Papua New Guinea</v>
      </c>
    </row>
    <row r="1309" spans="1:8" x14ac:dyDescent="0.25">
      <c r="A1309" s="2">
        <v>38863</v>
      </c>
      <c r="B1309">
        <v>-7.96</v>
      </c>
      <c r="C1309">
        <v>110.34</v>
      </c>
      <c r="D1309" t="s">
        <v>16</v>
      </c>
      <c r="E1309" t="s">
        <v>358</v>
      </c>
      <c r="F1309">
        <f t="shared" si="40"/>
        <v>2006</v>
      </c>
      <c r="G1309">
        <f t="shared" si="41"/>
        <v>5</v>
      </c>
      <c r="H1309" t="str">
        <f>IF(ISNUMBER(FIND(",", E1309)), TRIM(MID(E1309, FIND(",", E1309) + 1, LEN(E1309))), E1309)</f>
        <v>Indonesia</v>
      </c>
    </row>
    <row r="1310" spans="1:8" x14ac:dyDescent="0.25">
      <c r="A1310" s="2">
        <v>38859</v>
      </c>
      <c r="B1310">
        <v>-4.76</v>
      </c>
      <c r="C1310">
        <v>126.79</v>
      </c>
      <c r="D1310" t="s">
        <v>16</v>
      </c>
      <c r="E1310" t="s">
        <v>187</v>
      </c>
      <c r="F1310">
        <f t="shared" si="40"/>
        <v>2006</v>
      </c>
      <c r="G1310">
        <f t="shared" si="41"/>
        <v>5</v>
      </c>
      <c r="H1310" t="str">
        <f>IF(ISNUMBER(FIND(",", E1310)), TRIM(MID(E1310, FIND(",", E1310) + 1, LEN(E1310))), E1310)</f>
        <v>Banda Sea</v>
      </c>
    </row>
    <row r="1311" spans="1:8" x14ac:dyDescent="0.25">
      <c r="A1311" s="2">
        <v>38859</v>
      </c>
      <c r="B1311">
        <v>54.26</v>
      </c>
      <c r="C1311">
        <v>158.46</v>
      </c>
      <c r="D1311" t="s">
        <v>16</v>
      </c>
      <c r="E1311" t="s">
        <v>424</v>
      </c>
      <c r="F1311">
        <f t="shared" si="40"/>
        <v>2006</v>
      </c>
      <c r="G1311">
        <f t="shared" si="41"/>
        <v>5</v>
      </c>
      <c r="H1311" t="str">
        <f>IF(ISNUMBER(FIND(",", E1311)), TRIM(MID(E1311, FIND(",", E1311) + 1, LEN(E1311))), E1311)</f>
        <v>Russia</v>
      </c>
    </row>
    <row r="1312" spans="1:8" x14ac:dyDescent="0.25">
      <c r="A1312" s="2">
        <v>38859</v>
      </c>
      <c r="B1312">
        <v>60.76</v>
      </c>
      <c r="C1312">
        <v>165.75</v>
      </c>
      <c r="D1312" t="s">
        <v>16</v>
      </c>
      <c r="E1312" t="s">
        <v>440</v>
      </c>
      <c r="F1312">
        <f t="shared" si="40"/>
        <v>2006</v>
      </c>
      <c r="G1312">
        <f t="shared" si="41"/>
        <v>5</v>
      </c>
      <c r="H1312" t="str">
        <f>IF(ISNUMBER(FIND(",", E1312)), TRIM(MID(E1312, FIND(",", E1312) + 1, LEN(E1312))), E1312)</f>
        <v>Russia</v>
      </c>
    </row>
    <row r="1313" spans="1:8" x14ac:dyDescent="0.25">
      <c r="A1313" s="2">
        <v>38858</v>
      </c>
      <c r="B1313">
        <v>1.52</v>
      </c>
      <c r="C1313">
        <v>-85.41</v>
      </c>
      <c r="D1313" t="s">
        <v>16</v>
      </c>
      <c r="E1313" t="s">
        <v>267</v>
      </c>
      <c r="F1313">
        <f t="shared" si="40"/>
        <v>2006</v>
      </c>
      <c r="G1313">
        <f t="shared" si="41"/>
        <v>5</v>
      </c>
      <c r="H1313" t="str">
        <f>IF(ISNUMBER(FIND(",", E1313)), TRIM(MID(E1313, FIND(",", E1313) + 1, LEN(E1313))), E1313)</f>
        <v>off the coast of Ecuador</v>
      </c>
    </row>
    <row r="1314" spans="1:8" x14ac:dyDescent="0.25">
      <c r="A1314" s="2">
        <v>38856</v>
      </c>
      <c r="B1314">
        <v>-0.21</v>
      </c>
      <c r="C1314">
        <v>124.71</v>
      </c>
      <c r="D1314" t="s">
        <v>16</v>
      </c>
      <c r="E1314" t="s">
        <v>186</v>
      </c>
      <c r="F1314">
        <f t="shared" si="40"/>
        <v>2006</v>
      </c>
      <c r="G1314">
        <f t="shared" si="41"/>
        <v>5</v>
      </c>
      <c r="H1314" t="str">
        <f>IF(ISNUMBER(FIND(",", E1314)), TRIM(MID(E1314, FIND(",", E1314) + 1, LEN(E1314))), E1314)</f>
        <v>Molucca Sea</v>
      </c>
    </row>
    <row r="1315" spans="1:8" x14ac:dyDescent="0.25">
      <c r="A1315" s="2">
        <v>38853</v>
      </c>
      <c r="B1315">
        <v>0.09</v>
      </c>
      <c r="C1315">
        <v>97.01</v>
      </c>
      <c r="D1315" t="s">
        <v>16</v>
      </c>
      <c r="E1315" t="s">
        <v>295</v>
      </c>
      <c r="F1315">
        <f t="shared" si="40"/>
        <v>2006</v>
      </c>
      <c r="G1315">
        <f t="shared" si="41"/>
        <v>5</v>
      </c>
      <c r="H1315" t="str">
        <f>IF(ISNUMBER(FIND(",", E1315)), TRIM(MID(E1315, FIND(",", E1315) + 1, LEN(E1315))), E1315)</f>
        <v>Indonesia</v>
      </c>
    </row>
    <row r="1316" spans="1:8" x14ac:dyDescent="0.25">
      <c r="A1316" s="2">
        <v>38853</v>
      </c>
      <c r="B1316">
        <v>-31.83</v>
      </c>
      <c r="C1316">
        <v>-179.21</v>
      </c>
      <c r="D1316" t="s">
        <v>16</v>
      </c>
      <c r="E1316" t="s">
        <v>240</v>
      </c>
      <c r="F1316">
        <f t="shared" si="40"/>
        <v>2006</v>
      </c>
      <c r="G1316">
        <f t="shared" si="41"/>
        <v>5</v>
      </c>
      <c r="H1316" t="str">
        <f>IF(ISNUMBER(FIND(",", E1316)), TRIM(MID(E1316, FIND(",", E1316) + 1, LEN(E1316))), E1316)</f>
        <v>Kermadec Islands region</v>
      </c>
    </row>
    <row r="1317" spans="1:8" x14ac:dyDescent="0.25">
      <c r="A1317" s="2">
        <v>38847</v>
      </c>
      <c r="B1317">
        <v>52.47</v>
      </c>
      <c r="C1317">
        <v>-169.24</v>
      </c>
      <c r="D1317" t="s">
        <v>16</v>
      </c>
      <c r="E1317" t="s">
        <v>219</v>
      </c>
      <c r="F1317">
        <f t="shared" si="40"/>
        <v>2006</v>
      </c>
      <c r="G1317">
        <f t="shared" si="41"/>
        <v>5</v>
      </c>
      <c r="H1317" t="str">
        <f>IF(ISNUMBER(FIND(",", E1317)), TRIM(MID(E1317, FIND(",", E1317) + 1, LEN(E1317))), E1317)</f>
        <v>Aleutian Islands, Alaska</v>
      </c>
    </row>
    <row r="1318" spans="1:8" x14ac:dyDescent="0.25">
      <c r="A1318" s="2">
        <v>38844</v>
      </c>
      <c r="B1318">
        <v>-36.770000000000003</v>
      </c>
      <c r="C1318">
        <v>78.510000000000005</v>
      </c>
      <c r="D1318" t="s">
        <v>16</v>
      </c>
      <c r="E1318" t="s">
        <v>377</v>
      </c>
      <c r="F1318">
        <f t="shared" si="40"/>
        <v>2006</v>
      </c>
      <c r="G1318">
        <f t="shared" si="41"/>
        <v>5</v>
      </c>
      <c r="H1318" t="str">
        <f>IF(ISNUMBER(FIND(",", E1318)), TRIM(MID(E1318, FIND(",", E1318) + 1, LEN(E1318))), E1318)</f>
        <v>Mid-Indian Ridge</v>
      </c>
    </row>
    <row r="1319" spans="1:8" x14ac:dyDescent="0.25">
      <c r="A1319" s="2">
        <v>38840</v>
      </c>
      <c r="B1319">
        <v>-20.149999999999999</v>
      </c>
      <c r="C1319">
        <v>-174.1</v>
      </c>
      <c r="D1319" t="s">
        <v>16</v>
      </c>
      <c r="E1319" t="s">
        <v>239</v>
      </c>
      <c r="F1319">
        <f t="shared" si="40"/>
        <v>2006</v>
      </c>
      <c r="G1319">
        <f t="shared" si="41"/>
        <v>5</v>
      </c>
      <c r="H1319" t="str">
        <f>IF(ISNUMBER(FIND(",", E1319)), TRIM(MID(E1319, FIND(",", E1319) + 1, LEN(E1319))), E1319)</f>
        <v>Tonga</v>
      </c>
    </row>
    <row r="1320" spans="1:8" x14ac:dyDescent="0.25">
      <c r="A1320" s="2">
        <v>38837</v>
      </c>
      <c r="B1320">
        <v>-27.18</v>
      </c>
      <c r="C1320">
        <v>-71.05</v>
      </c>
      <c r="D1320" t="s">
        <v>16</v>
      </c>
      <c r="E1320" t="s">
        <v>439</v>
      </c>
      <c r="F1320">
        <f t="shared" si="40"/>
        <v>2006</v>
      </c>
      <c r="G1320">
        <f t="shared" si="41"/>
        <v>4</v>
      </c>
      <c r="H1320" t="str">
        <f>IF(ISNUMBER(FIND(",", E1320)), TRIM(MID(E1320, FIND(",", E1320) + 1, LEN(E1320))), E1320)</f>
        <v>Chile</v>
      </c>
    </row>
    <row r="1321" spans="1:8" x14ac:dyDescent="0.25">
      <c r="A1321" s="2">
        <v>38837</v>
      </c>
      <c r="B1321">
        <v>-15.54</v>
      </c>
      <c r="C1321">
        <v>-173.03</v>
      </c>
      <c r="D1321" t="s">
        <v>16</v>
      </c>
      <c r="E1321" t="s">
        <v>239</v>
      </c>
      <c r="F1321">
        <f t="shared" si="40"/>
        <v>2006</v>
      </c>
      <c r="G1321">
        <f t="shared" si="41"/>
        <v>4</v>
      </c>
      <c r="H1321" t="str">
        <f>IF(ISNUMBER(FIND(",", E1321)), TRIM(MID(E1321, FIND(",", E1321) + 1, LEN(E1321))), E1321)</f>
        <v>Tonga</v>
      </c>
    </row>
    <row r="1322" spans="1:8" x14ac:dyDescent="0.25">
      <c r="A1322" s="2">
        <v>38837</v>
      </c>
      <c r="B1322">
        <v>-27.07</v>
      </c>
      <c r="C1322">
        <v>-71.22</v>
      </c>
      <c r="D1322" t="s">
        <v>16</v>
      </c>
      <c r="E1322" t="s">
        <v>439</v>
      </c>
      <c r="F1322">
        <f t="shared" si="40"/>
        <v>2006</v>
      </c>
      <c r="G1322">
        <f t="shared" si="41"/>
        <v>4</v>
      </c>
      <c r="H1322" t="str">
        <f>IF(ISNUMBER(FIND(",", E1322)), TRIM(MID(E1322, FIND(",", E1322) + 1, LEN(E1322))), E1322)</f>
        <v>Chile</v>
      </c>
    </row>
    <row r="1323" spans="1:8" x14ac:dyDescent="0.25">
      <c r="A1323" s="2">
        <v>38837</v>
      </c>
      <c r="B1323">
        <v>-15.1</v>
      </c>
      <c r="C1323">
        <v>167.47</v>
      </c>
      <c r="D1323" t="s">
        <v>16</v>
      </c>
      <c r="E1323" t="s">
        <v>181</v>
      </c>
      <c r="F1323">
        <f t="shared" si="40"/>
        <v>2006</v>
      </c>
      <c r="G1323">
        <f t="shared" si="41"/>
        <v>4</v>
      </c>
      <c r="H1323" t="str">
        <f>IF(ISNUMBER(FIND(",", E1323)), TRIM(MID(E1323, FIND(",", E1323) + 1, LEN(E1323))), E1323)</f>
        <v>Vanuatu</v>
      </c>
    </row>
    <row r="1324" spans="1:8" x14ac:dyDescent="0.25">
      <c r="A1324" s="2">
        <v>38836</v>
      </c>
      <c r="B1324">
        <v>60.5</v>
      </c>
      <c r="C1324">
        <v>167.53</v>
      </c>
      <c r="D1324" t="s">
        <v>16</v>
      </c>
      <c r="E1324" t="s">
        <v>440</v>
      </c>
      <c r="F1324">
        <f t="shared" si="40"/>
        <v>2006</v>
      </c>
      <c r="G1324">
        <f t="shared" si="41"/>
        <v>4</v>
      </c>
      <c r="H1324" t="str">
        <f>IF(ISNUMBER(FIND(",", E1324)), TRIM(MID(E1324, FIND(",", E1324) + 1, LEN(E1324))), E1324)</f>
        <v>Russia</v>
      </c>
    </row>
    <row r="1325" spans="1:8" x14ac:dyDescent="0.25">
      <c r="A1325" s="2">
        <v>38833</v>
      </c>
      <c r="B1325">
        <v>-57.51</v>
      </c>
      <c r="C1325">
        <v>147.76</v>
      </c>
      <c r="D1325" t="s">
        <v>16</v>
      </c>
      <c r="E1325" t="s">
        <v>205</v>
      </c>
      <c r="F1325">
        <f t="shared" si="40"/>
        <v>2006</v>
      </c>
      <c r="G1325">
        <f t="shared" si="41"/>
        <v>4</v>
      </c>
      <c r="H1325" t="str">
        <f>IF(ISNUMBER(FIND(",", E1325)), TRIM(MID(E1325, FIND(",", E1325) + 1, LEN(E1325))), E1325)</f>
        <v>west of Macquarie Island</v>
      </c>
    </row>
    <row r="1326" spans="1:8" x14ac:dyDescent="0.25">
      <c r="A1326" s="2">
        <v>38832</v>
      </c>
      <c r="B1326">
        <v>1.99</v>
      </c>
      <c r="C1326">
        <v>96.97</v>
      </c>
      <c r="D1326" t="s">
        <v>16</v>
      </c>
      <c r="E1326" t="s">
        <v>295</v>
      </c>
      <c r="F1326">
        <f t="shared" si="40"/>
        <v>2006</v>
      </c>
      <c r="G1326">
        <f t="shared" si="41"/>
        <v>4</v>
      </c>
      <c r="H1326" t="str">
        <f>IF(ISNUMBER(FIND(",", E1326)), TRIM(MID(E1326, FIND(",", E1326) + 1, LEN(E1326))), E1326)</f>
        <v>Indonesia</v>
      </c>
    </row>
    <row r="1327" spans="1:8" x14ac:dyDescent="0.25">
      <c r="A1327" s="2">
        <v>38828</v>
      </c>
      <c r="B1327">
        <v>61.36</v>
      </c>
      <c r="C1327">
        <v>167.54</v>
      </c>
      <c r="D1327" t="s">
        <v>16</v>
      </c>
      <c r="E1327" t="s">
        <v>441</v>
      </c>
      <c r="F1327">
        <f t="shared" si="40"/>
        <v>2006</v>
      </c>
      <c r="G1327">
        <f t="shared" si="41"/>
        <v>4</v>
      </c>
      <c r="H1327" t="str">
        <f>IF(ISNUMBER(FIND(",", E1327)), TRIM(MID(E1327, FIND(",", E1327) + 1, LEN(E1327))), E1327)</f>
        <v>Russia</v>
      </c>
    </row>
    <row r="1328" spans="1:8" x14ac:dyDescent="0.25">
      <c r="A1328" s="2">
        <v>38828</v>
      </c>
      <c r="B1328">
        <v>60.55</v>
      </c>
      <c r="C1328">
        <v>165.85</v>
      </c>
      <c r="D1328" t="s">
        <v>16</v>
      </c>
      <c r="E1328" t="s">
        <v>440</v>
      </c>
      <c r="F1328">
        <f t="shared" si="40"/>
        <v>2006</v>
      </c>
      <c r="G1328">
        <f t="shared" si="41"/>
        <v>4</v>
      </c>
      <c r="H1328" t="str">
        <f>IF(ISNUMBER(FIND(",", E1328)), TRIM(MID(E1328, FIND(",", E1328) + 1, LEN(E1328))), E1328)</f>
        <v>Russia</v>
      </c>
    </row>
    <row r="1329" spans="1:8" x14ac:dyDescent="0.25">
      <c r="A1329" s="2">
        <v>38827</v>
      </c>
      <c r="B1329">
        <v>60.874000000000002</v>
      </c>
      <c r="C1329">
        <v>167.00700000000001</v>
      </c>
      <c r="D1329" t="s">
        <v>13</v>
      </c>
      <c r="E1329" t="s">
        <v>440</v>
      </c>
      <c r="F1329">
        <f t="shared" si="40"/>
        <v>2006</v>
      </c>
      <c r="G1329">
        <f t="shared" si="41"/>
        <v>4</v>
      </c>
      <c r="H1329" t="str">
        <f>IF(ISNUMBER(FIND(",", E1329)), TRIM(MID(E1329, FIND(",", E1329) + 1, LEN(E1329))), E1329)</f>
        <v>Russia</v>
      </c>
    </row>
    <row r="1330" spans="1:8" x14ac:dyDescent="0.25">
      <c r="A1330" s="2">
        <v>38827</v>
      </c>
      <c r="B1330">
        <v>60.94</v>
      </c>
      <c r="C1330">
        <v>167.14</v>
      </c>
      <c r="D1330" t="s">
        <v>16</v>
      </c>
      <c r="E1330" t="s">
        <v>440</v>
      </c>
      <c r="F1330">
        <f t="shared" si="40"/>
        <v>2006</v>
      </c>
      <c r="G1330">
        <f t="shared" si="41"/>
        <v>4</v>
      </c>
      <c r="H1330" t="str">
        <f>IF(ISNUMBER(FIND(",", E1330)), TRIM(MID(E1330, FIND(",", E1330) + 1, LEN(E1330))), E1330)</f>
        <v>Russia</v>
      </c>
    </row>
    <row r="1331" spans="1:8" x14ac:dyDescent="0.25">
      <c r="A1331" s="2">
        <v>38826</v>
      </c>
      <c r="B1331">
        <v>2.62</v>
      </c>
      <c r="C1331">
        <v>93.17</v>
      </c>
      <c r="D1331" t="s">
        <v>16</v>
      </c>
      <c r="E1331" t="s">
        <v>245</v>
      </c>
      <c r="F1331">
        <f t="shared" si="40"/>
        <v>2006</v>
      </c>
      <c r="G1331">
        <f t="shared" si="41"/>
        <v>4</v>
      </c>
      <c r="H1331" t="str">
        <f>IF(ISNUMBER(FIND(",", E1331)), TRIM(MID(E1331, FIND(",", E1331) + 1, LEN(E1331))), E1331)</f>
        <v>off the west coast of northern Sumatra</v>
      </c>
    </row>
    <row r="1332" spans="1:8" x14ac:dyDescent="0.25">
      <c r="A1332" s="2">
        <v>38824</v>
      </c>
      <c r="B1332">
        <v>-12.53</v>
      </c>
      <c r="C1332">
        <v>166.44</v>
      </c>
      <c r="D1332" t="s">
        <v>16</v>
      </c>
      <c r="E1332" t="s">
        <v>211</v>
      </c>
      <c r="F1332">
        <f t="shared" si="40"/>
        <v>2006</v>
      </c>
      <c r="G1332">
        <f t="shared" si="41"/>
        <v>4</v>
      </c>
      <c r="H1332" t="str">
        <f>IF(ISNUMBER(FIND(",", E1332)), TRIM(MID(E1332, FIND(",", E1332) + 1, LEN(E1332))), E1332)</f>
        <v>Santa Cruz Islands</v>
      </c>
    </row>
    <row r="1333" spans="1:8" x14ac:dyDescent="0.25">
      <c r="A1333" s="2">
        <v>38822</v>
      </c>
      <c r="B1333">
        <v>-29.66</v>
      </c>
      <c r="C1333">
        <v>-71.92</v>
      </c>
      <c r="D1333" t="s">
        <v>16</v>
      </c>
      <c r="E1333" t="s">
        <v>442</v>
      </c>
      <c r="F1333">
        <f t="shared" si="40"/>
        <v>2006</v>
      </c>
      <c r="G1333">
        <f t="shared" si="41"/>
        <v>4</v>
      </c>
      <c r="H1333" t="str">
        <f>IF(ISNUMBER(FIND(",", E1333)), TRIM(MID(E1333, FIND(",", E1333) + 1, LEN(E1333))), E1333)</f>
        <v>Chile</v>
      </c>
    </row>
    <row r="1334" spans="1:8" x14ac:dyDescent="0.25">
      <c r="A1334" s="2">
        <v>38819</v>
      </c>
      <c r="B1334">
        <v>56.41</v>
      </c>
      <c r="C1334">
        <v>164.02</v>
      </c>
      <c r="D1334" t="s">
        <v>16</v>
      </c>
      <c r="E1334" t="s">
        <v>443</v>
      </c>
      <c r="F1334">
        <f t="shared" si="40"/>
        <v>2006</v>
      </c>
      <c r="G1334">
        <f t="shared" si="41"/>
        <v>4</v>
      </c>
      <c r="H1334" t="str">
        <f>IF(ISNUMBER(FIND(",", E1334)), TRIM(MID(E1334, FIND(",", E1334) + 1, LEN(E1334))), E1334)</f>
        <v>Russia region</v>
      </c>
    </row>
    <row r="1335" spans="1:8" x14ac:dyDescent="0.25">
      <c r="A1335" s="2">
        <v>38814</v>
      </c>
      <c r="B1335">
        <v>-16.600000000000001</v>
      </c>
      <c r="C1335">
        <v>177.04</v>
      </c>
      <c r="D1335" t="s">
        <v>16</v>
      </c>
      <c r="E1335" t="s">
        <v>348</v>
      </c>
      <c r="F1335">
        <f t="shared" si="40"/>
        <v>2006</v>
      </c>
      <c r="G1335">
        <f t="shared" si="41"/>
        <v>4</v>
      </c>
      <c r="H1335" t="str">
        <f>IF(ISNUMBER(FIND(",", E1335)), TRIM(MID(E1335, FIND(",", E1335) + 1, LEN(E1335))), E1335)</f>
        <v>Fiji</v>
      </c>
    </row>
    <row r="1336" spans="1:8" x14ac:dyDescent="0.25">
      <c r="A1336" s="2">
        <v>38811</v>
      </c>
      <c r="B1336">
        <v>18.760000000000002</v>
      </c>
      <c r="C1336">
        <v>-106.99</v>
      </c>
      <c r="D1336" t="s">
        <v>16</v>
      </c>
      <c r="E1336" t="s">
        <v>315</v>
      </c>
      <c r="F1336">
        <f t="shared" si="40"/>
        <v>2006</v>
      </c>
      <c r="G1336">
        <f t="shared" si="41"/>
        <v>4</v>
      </c>
      <c r="H1336" t="str">
        <f>IF(ISNUMBER(FIND(",", E1336)), TRIM(MID(E1336, FIND(",", E1336) + 1, LEN(E1336))), E1336)</f>
        <v>Mexico</v>
      </c>
    </row>
    <row r="1337" spans="1:8" x14ac:dyDescent="0.25">
      <c r="A1337" s="2">
        <v>38808</v>
      </c>
      <c r="B1337">
        <v>22.86</v>
      </c>
      <c r="C1337">
        <v>121.28</v>
      </c>
      <c r="D1337" t="s">
        <v>16</v>
      </c>
      <c r="E1337" t="s">
        <v>363</v>
      </c>
      <c r="F1337">
        <f t="shared" si="40"/>
        <v>2006</v>
      </c>
      <c r="G1337">
        <f t="shared" si="41"/>
        <v>4</v>
      </c>
      <c r="H1337" t="str">
        <f>IF(ISNUMBER(FIND(",", E1337)), TRIM(MID(E1337, FIND(",", E1337) + 1, LEN(E1337))), E1337)</f>
        <v>Taiwan region</v>
      </c>
    </row>
    <row r="1338" spans="1:8" x14ac:dyDescent="0.25">
      <c r="A1338" s="2">
        <v>38807</v>
      </c>
      <c r="B1338">
        <v>3.8</v>
      </c>
      <c r="C1338">
        <v>126.41</v>
      </c>
      <c r="D1338" t="s">
        <v>16</v>
      </c>
      <c r="E1338" t="s">
        <v>372</v>
      </c>
      <c r="F1338">
        <f t="shared" si="40"/>
        <v>2006</v>
      </c>
      <c r="G1338">
        <f t="shared" si="41"/>
        <v>3</v>
      </c>
      <c r="H1338" t="str">
        <f>IF(ISNUMBER(FIND(",", E1338)), TRIM(MID(E1338, FIND(",", E1338) + 1, LEN(E1338))), E1338)</f>
        <v>Indonesia</v>
      </c>
    </row>
    <row r="1339" spans="1:8" x14ac:dyDescent="0.25">
      <c r="A1339" s="2">
        <v>38807</v>
      </c>
      <c r="B1339">
        <v>-29.61</v>
      </c>
      <c r="C1339">
        <v>-176.73</v>
      </c>
      <c r="D1339" t="s">
        <v>16</v>
      </c>
      <c r="E1339" t="s">
        <v>240</v>
      </c>
      <c r="F1339">
        <f t="shared" si="40"/>
        <v>2006</v>
      </c>
      <c r="G1339">
        <f t="shared" si="41"/>
        <v>3</v>
      </c>
      <c r="H1339" t="str">
        <f>IF(ISNUMBER(FIND(",", E1339)), TRIM(MID(E1339, FIND(",", E1339) + 1, LEN(E1339))), E1339)</f>
        <v>Kermadec Islands region</v>
      </c>
    </row>
    <row r="1340" spans="1:8" x14ac:dyDescent="0.25">
      <c r="A1340" s="2">
        <v>38807</v>
      </c>
      <c r="B1340">
        <v>33.51</v>
      </c>
      <c r="C1340">
        <v>48.76</v>
      </c>
      <c r="D1340" t="s">
        <v>16</v>
      </c>
      <c r="E1340" t="s">
        <v>444</v>
      </c>
      <c r="F1340">
        <f t="shared" si="40"/>
        <v>2006</v>
      </c>
      <c r="G1340">
        <f t="shared" si="41"/>
        <v>3</v>
      </c>
      <c r="H1340" t="str">
        <f>IF(ISNUMBER(FIND(",", E1340)), TRIM(MID(E1340, FIND(",", E1340) + 1, LEN(E1340))), E1340)</f>
        <v>western Iran</v>
      </c>
    </row>
    <row r="1341" spans="1:8" x14ac:dyDescent="0.25">
      <c r="A1341" s="2">
        <v>38800</v>
      </c>
      <c r="B1341">
        <v>-16.93</v>
      </c>
      <c r="C1341">
        <v>174.56</v>
      </c>
      <c r="D1341" t="s">
        <v>16</v>
      </c>
      <c r="E1341" t="s">
        <v>53</v>
      </c>
      <c r="F1341">
        <f t="shared" si="40"/>
        <v>2006</v>
      </c>
      <c r="G1341">
        <f t="shared" si="41"/>
        <v>3</v>
      </c>
      <c r="H1341" t="str">
        <f>IF(ISNUMBER(FIND(",", E1341)), TRIM(MID(E1341, FIND(",", E1341) + 1, LEN(E1341))), E1341)</f>
        <v>Fiji region</v>
      </c>
    </row>
    <row r="1342" spans="1:8" x14ac:dyDescent="0.25">
      <c r="A1342" s="2">
        <v>38800</v>
      </c>
      <c r="B1342">
        <v>-3.25</v>
      </c>
      <c r="C1342">
        <v>143.16999999999999</v>
      </c>
      <c r="D1342" t="s">
        <v>16</v>
      </c>
      <c r="E1342" t="s">
        <v>216</v>
      </c>
      <c r="F1342">
        <f t="shared" si="40"/>
        <v>2006</v>
      </c>
      <c r="G1342">
        <f t="shared" si="41"/>
        <v>3</v>
      </c>
      <c r="H1342" t="str">
        <f>IF(ISNUMBER(FIND(",", E1342)), TRIM(MID(E1342, FIND(",", E1342) + 1, LEN(E1342))), E1342)</f>
        <v>Papua New Guinea</v>
      </c>
    </row>
    <row r="1343" spans="1:8" x14ac:dyDescent="0.25">
      <c r="A1343" s="2">
        <v>38790</v>
      </c>
      <c r="B1343">
        <v>-3.59</v>
      </c>
      <c r="C1343">
        <v>127.2</v>
      </c>
      <c r="D1343" t="s">
        <v>16</v>
      </c>
      <c r="E1343" t="s">
        <v>433</v>
      </c>
      <c r="F1343">
        <f t="shared" si="40"/>
        <v>2006</v>
      </c>
      <c r="G1343">
        <f t="shared" si="41"/>
        <v>3</v>
      </c>
      <c r="H1343" t="str">
        <f>IF(ISNUMBER(FIND(",", E1343)), TRIM(MID(E1343, FIND(",", E1343) + 1, LEN(E1343))), E1343)</f>
        <v>Indonesia</v>
      </c>
    </row>
    <row r="1344" spans="1:8" x14ac:dyDescent="0.25">
      <c r="A1344" s="2">
        <v>38785</v>
      </c>
      <c r="B1344">
        <v>0.73</v>
      </c>
      <c r="C1344">
        <v>-26.06</v>
      </c>
      <c r="D1344" t="s">
        <v>16</v>
      </c>
      <c r="E1344" t="s">
        <v>291</v>
      </c>
      <c r="F1344">
        <f t="shared" si="40"/>
        <v>2006</v>
      </c>
      <c r="G1344">
        <f t="shared" si="41"/>
        <v>3</v>
      </c>
      <c r="H1344" t="str">
        <f>IF(ISNUMBER(FIND(",", E1344)), TRIM(MID(E1344, FIND(",", E1344) + 1, LEN(E1344))), E1344)</f>
        <v>central Mid-Atlantic Ridge</v>
      </c>
    </row>
    <row r="1345" spans="1:8" x14ac:dyDescent="0.25">
      <c r="A1345" s="2">
        <v>38783</v>
      </c>
      <c r="B1345">
        <v>-14.8</v>
      </c>
      <c r="C1345">
        <v>167.41</v>
      </c>
      <c r="D1345" t="s">
        <v>16</v>
      </c>
      <c r="E1345" t="s">
        <v>181</v>
      </c>
      <c r="F1345">
        <f t="shared" si="40"/>
        <v>2006</v>
      </c>
      <c r="G1345">
        <f t="shared" si="41"/>
        <v>3</v>
      </c>
      <c r="H1345" t="str">
        <f>IF(ISNUMBER(FIND(",", E1345)), TRIM(MID(E1345, FIND(",", E1345) + 1, LEN(E1345))), E1345)</f>
        <v>Vanuatu</v>
      </c>
    </row>
    <row r="1346" spans="1:8" x14ac:dyDescent="0.25">
      <c r="A1346" s="2">
        <v>38782</v>
      </c>
      <c r="B1346">
        <v>-40.119999999999997</v>
      </c>
      <c r="C1346">
        <v>78.400000000000006</v>
      </c>
      <c r="D1346" t="s">
        <v>16</v>
      </c>
      <c r="E1346" t="s">
        <v>377</v>
      </c>
      <c r="F1346">
        <f t="shared" ref="F1346:F1409" si="42">YEAR(A1346)</f>
        <v>2006</v>
      </c>
      <c r="G1346">
        <f t="shared" si="41"/>
        <v>3</v>
      </c>
      <c r="H1346" t="str">
        <f>IF(ISNUMBER(FIND(",", E1346)), TRIM(MID(E1346, FIND(",", E1346) + 1, LEN(E1346))), E1346)</f>
        <v>Mid-Indian Ridge</v>
      </c>
    </row>
    <row r="1347" spans="1:8" x14ac:dyDescent="0.25">
      <c r="A1347" s="2">
        <v>38781</v>
      </c>
      <c r="B1347">
        <v>-20.100000000000001</v>
      </c>
      <c r="C1347">
        <v>-175.62</v>
      </c>
      <c r="D1347" t="s">
        <v>16</v>
      </c>
      <c r="E1347" t="s">
        <v>239</v>
      </c>
      <c r="F1347">
        <f t="shared" si="42"/>
        <v>2006</v>
      </c>
      <c r="G1347">
        <f t="shared" ref="G1347:G1410" si="43">MONTH(A1347)</f>
        <v>3</v>
      </c>
      <c r="H1347" t="str">
        <f>IF(ISNUMBER(FIND(",", E1347)), TRIM(MID(E1347, FIND(",", E1347) + 1, LEN(E1347))), E1347)</f>
        <v>Tonga</v>
      </c>
    </row>
    <row r="1348" spans="1:8" x14ac:dyDescent="0.25">
      <c r="A1348" s="2">
        <v>38779</v>
      </c>
      <c r="B1348">
        <v>-55.72</v>
      </c>
      <c r="C1348">
        <v>-4.24</v>
      </c>
      <c r="D1348" t="s">
        <v>16</v>
      </c>
      <c r="E1348" t="s">
        <v>422</v>
      </c>
      <c r="F1348">
        <f t="shared" si="42"/>
        <v>2006</v>
      </c>
      <c r="G1348">
        <f t="shared" si="43"/>
        <v>3</v>
      </c>
      <c r="H1348" t="str">
        <f>IF(ISNUMBER(FIND(",", E1348)), TRIM(MID(E1348, FIND(",", E1348) + 1, LEN(E1348))), E1348)</f>
        <v>southern Mid-Atlantic Ridge</v>
      </c>
    </row>
    <row r="1349" spans="1:8" x14ac:dyDescent="0.25">
      <c r="A1349" s="2">
        <v>38776</v>
      </c>
      <c r="B1349">
        <v>28.13</v>
      </c>
      <c r="C1349">
        <v>56.82</v>
      </c>
      <c r="D1349" t="s">
        <v>16</v>
      </c>
      <c r="E1349" t="s">
        <v>390</v>
      </c>
      <c r="F1349">
        <f t="shared" si="42"/>
        <v>2006</v>
      </c>
      <c r="G1349">
        <f t="shared" si="43"/>
        <v>2</v>
      </c>
      <c r="H1349" t="str">
        <f>IF(ISNUMBER(FIND(",", E1349)), TRIM(MID(E1349, FIND(",", E1349) + 1, LEN(E1349))), E1349)</f>
        <v>southern Iran</v>
      </c>
    </row>
    <row r="1350" spans="1:8" x14ac:dyDescent="0.25">
      <c r="A1350" s="2">
        <v>38774</v>
      </c>
      <c r="B1350">
        <v>-15.28</v>
      </c>
      <c r="C1350">
        <v>-176.19</v>
      </c>
      <c r="D1350" t="s">
        <v>16</v>
      </c>
      <c r="E1350" t="s">
        <v>53</v>
      </c>
      <c r="F1350">
        <f t="shared" si="42"/>
        <v>2006</v>
      </c>
      <c r="G1350">
        <f t="shared" si="43"/>
        <v>2</v>
      </c>
      <c r="H1350" t="str">
        <f>IF(ISNUMBER(FIND(",", E1350)), TRIM(MID(E1350, FIND(",", E1350) + 1, LEN(E1350))), E1350)</f>
        <v>Fiji region</v>
      </c>
    </row>
    <row r="1351" spans="1:8" x14ac:dyDescent="0.25">
      <c r="A1351" s="2">
        <v>38774</v>
      </c>
      <c r="B1351">
        <v>-23.61</v>
      </c>
      <c r="C1351">
        <v>-179.91</v>
      </c>
      <c r="D1351" t="s">
        <v>16</v>
      </c>
      <c r="E1351" t="s">
        <v>256</v>
      </c>
      <c r="F1351">
        <f t="shared" si="42"/>
        <v>2006</v>
      </c>
      <c r="G1351">
        <f t="shared" si="43"/>
        <v>2</v>
      </c>
      <c r="H1351" t="str">
        <f>IF(ISNUMBER(FIND(",", E1351)), TRIM(MID(E1351, FIND(",", E1351) + 1, LEN(E1351))), E1351)</f>
        <v>south of the Fiji Islands</v>
      </c>
    </row>
    <row r="1352" spans="1:8" x14ac:dyDescent="0.25">
      <c r="A1352" s="2">
        <v>38772</v>
      </c>
      <c r="B1352">
        <v>-17.989999999999998</v>
      </c>
      <c r="C1352">
        <v>-179.51</v>
      </c>
      <c r="D1352" t="s">
        <v>16</v>
      </c>
      <c r="E1352" t="s">
        <v>53</v>
      </c>
      <c r="F1352">
        <f t="shared" si="42"/>
        <v>2006</v>
      </c>
      <c r="G1352">
        <f t="shared" si="43"/>
        <v>2</v>
      </c>
      <c r="H1352" t="str">
        <f>IF(ISNUMBER(FIND(",", E1352)), TRIM(MID(E1352, FIND(",", E1352) + 1, LEN(E1352))), E1352)</f>
        <v>Fiji region</v>
      </c>
    </row>
    <row r="1353" spans="1:8" x14ac:dyDescent="0.25">
      <c r="A1353" s="2">
        <v>38771</v>
      </c>
      <c r="B1353">
        <v>-54.62</v>
      </c>
      <c r="C1353">
        <v>1.64</v>
      </c>
      <c r="D1353" t="s">
        <v>16</v>
      </c>
      <c r="E1353" t="s">
        <v>368</v>
      </c>
      <c r="F1353">
        <f t="shared" si="42"/>
        <v>2006</v>
      </c>
      <c r="G1353">
        <f t="shared" si="43"/>
        <v>2</v>
      </c>
      <c r="H1353" t="str">
        <f>IF(ISNUMBER(FIND(",", E1353)), TRIM(MID(E1353, FIND(",", E1353) + 1, LEN(E1353))), E1353)</f>
        <v>Bouvet Island region</v>
      </c>
    </row>
    <row r="1354" spans="1:8" x14ac:dyDescent="0.25">
      <c r="A1354" s="2">
        <v>38770</v>
      </c>
      <c r="B1354">
        <v>-21.26</v>
      </c>
      <c r="C1354">
        <v>33.619999999999997</v>
      </c>
      <c r="D1354" t="s">
        <v>16</v>
      </c>
      <c r="E1354" t="s">
        <v>445</v>
      </c>
      <c r="F1354">
        <f t="shared" si="42"/>
        <v>2006</v>
      </c>
      <c r="G1354">
        <f t="shared" si="43"/>
        <v>2</v>
      </c>
      <c r="H1354" t="str">
        <f>IF(ISNUMBER(FIND(",", E1354)), TRIM(MID(E1354, FIND(",", E1354) + 1, LEN(E1354))), E1354)</f>
        <v>Mozambique</v>
      </c>
    </row>
    <row r="1355" spans="1:8" x14ac:dyDescent="0.25">
      <c r="A1355" s="2">
        <v>38766</v>
      </c>
      <c r="B1355">
        <v>-5.2</v>
      </c>
      <c r="C1355">
        <v>152.11000000000001</v>
      </c>
      <c r="D1355" t="s">
        <v>16</v>
      </c>
      <c r="E1355" t="s">
        <v>190</v>
      </c>
      <c r="F1355">
        <f t="shared" si="42"/>
        <v>2006</v>
      </c>
      <c r="G1355">
        <f t="shared" si="43"/>
        <v>2</v>
      </c>
      <c r="H1355" t="str">
        <f>IF(ISNUMBER(FIND(",", E1355)), TRIM(MID(E1355, FIND(",", E1355) + 1, LEN(E1355))), E1355)</f>
        <v>Papua New Guinea</v>
      </c>
    </row>
    <row r="1356" spans="1:8" x14ac:dyDescent="0.25">
      <c r="A1356" s="2">
        <v>38762</v>
      </c>
      <c r="B1356">
        <v>20.83</v>
      </c>
      <c r="C1356">
        <v>146.21</v>
      </c>
      <c r="D1356" t="s">
        <v>16</v>
      </c>
      <c r="E1356" t="s">
        <v>72</v>
      </c>
      <c r="F1356">
        <f t="shared" si="42"/>
        <v>2006</v>
      </c>
      <c r="G1356">
        <f t="shared" si="43"/>
        <v>2</v>
      </c>
      <c r="H1356" t="str">
        <f>IF(ISNUMBER(FIND(",", E1356)), TRIM(MID(E1356, FIND(",", E1356) + 1, LEN(E1356))), E1356)</f>
        <v>Mariana Islands region</v>
      </c>
    </row>
    <row r="1357" spans="1:8" x14ac:dyDescent="0.25">
      <c r="A1357" s="2">
        <v>38751</v>
      </c>
      <c r="B1357">
        <v>11.84</v>
      </c>
      <c r="C1357">
        <v>92.35</v>
      </c>
      <c r="D1357" t="s">
        <v>16</v>
      </c>
      <c r="E1357" t="s">
        <v>323</v>
      </c>
      <c r="F1357">
        <f t="shared" si="42"/>
        <v>2006</v>
      </c>
      <c r="G1357">
        <f t="shared" si="43"/>
        <v>2</v>
      </c>
      <c r="H1357" t="str">
        <f>IF(ISNUMBER(FIND(",", E1357)), TRIM(MID(E1357, FIND(",", E1357) + 1, LEN(E1357))), E1357)</f>
        <v>India region</v>
      </c>
    </row>
    <row r="1358" spans="1:8" x14ac:dyDescent="0.25">
      <c r="A1358" s="2">
        <v>38750</v>
      </c>
      <c r="B1358">
        <v>-17.760000000000002</v>
      </c>
      <c r="C1358">
        <v>-178.31</v>
      </c>
      <c r="D1358" t="s">
        <v>16</v>
      </c>
      <c r="E1358" t="s">
        <v>53</v>
      </c>
      <c r="F1358">
        <f t="shared" si="42"/>
        <v>2006</v>
      </c>
      <c r="G1358">
        <f t="shared" si="43"/>
        <v>2</v>
      </c>
      <c r="H1358" t="str">
        <f>IF(ISNUMBER(FIND(",", E1358)), TRIM(MID(E1358, FIND(",", E1358) + 1, LEN(E1358))), E1358)</f>
        <v>Fiji region</v>
      </c>
    </row>
    <row r="1359" spans="1:8" x14ac:dyDescent="0.25">
      <c r="A1359" s="2">
        <v>38744</v>
      </c>
      <c r="B1359">
        <v>-5.45</v>
      </c>
      <c r="C1359">
        <v>128.16999999999999</v>
      </c>
      <c r="D1359" t="s">
        <v>16</v>
      </c>
      <c r="E1359" t="s">
        <v>187</v>
      </c>
      <c r="F1359">
        <f t="shared" si="42"/>
        <v>2006</v>
      </c>
      <c r="G1359">
        <f t="shared" si="43"/>
        <v>1</v>
      </c>
      <c r="H1359" t="str">
        <f>IF(ISNUMBER(FIND(",", E1359)), TRIM(MID(E1359, FIND(",", E1359) + 1, LEN(E1359))), E1359)</f>
        <v>Banda Sea</v>
      </c>
    </row>
    <row r="1360" spans="1:8" x14ac:dyDescent="0.25">
      <c r="A1360" s="2">
        <v>38740</v>
      </c>
      <c r="B1360">
        <v>6.88</v>
      </c>
      <c r="C1360">
        <v>-77.77</v>
      </c>
      <c r="D1360" t="s">
        <v>16</v>
      </c>
      <c r="E1360" t="s">
        <v>417</v>
      </c>
      <c r="F1360">
        <f t="shared" si="42"/>
        <v>2006</v>
      </c>
      <c r="G1360">
        <f t="shared" si="43"/>
        <v>1</v>
      </c>
      <c r="H1360" t="str">
        <f>IF(ISNUMBER(FIND(",", E1360)), TRIM(MID(E1360, FIND(",", E1360) + 1, LEN(E1360))), E1360)</f>
        <v>near the west coast of Colombia</v>
      </c>
    </row>
    <row r="1361" spans="1:8" x14ac:dyDescent="0.25">
      <c r="A1361" s="2">
        <v>38740</v>
      </c>
      <c r="B1361">
        <v>-17.36</v>
      </c>
      <c r="C1361">
        <v>167.78</v>
      </c>
      <c r="D1361" t="s">
        <v>16</v>
      </c>
      <c r="E1361" t="s">
        <v>181</v>
      </c>
      <c r="F1361">
        <f t="shared" si="42"/>
        <v>2006</v>
      </c>
      <c r="G1361">
        <f t="shared" si="43"/>
        <v>1</v>
      </c>
      <c r="H1361" t="str">
        <f>IF(ISNUMBER(FIND(",", E1361)), TRIM(MID(E1361, FIND(",", E1361) + 1, LEN(E1361))), E1361)</f>
        <v>Vanuatu</v>
      </c>
    </row>
    <row r="1362" spans="1:8" x14ac:dyDescent="0.25">
      <c r="A1362" s="2">
        <v>38732</v>
      </c>
      <c r="B1362">
        <v>-7.85</v>
      </c>
      <c r="C1362">
        <v>122.54</v>
      </c>
      <c r="D1362" t="s">
        <v>16</v>
      </c>
      <c r="E1362" t="s">
        <v>438</v>
      </c>
      <c r="F1362">
        <f t="shared" si="42"/>
        <v>2006</v>
      </c>
      <c r="G1362">
        <f t="shared" si="43"/>
        <v>1</v>
      </c>
      <c r="H1362" t="str">
        <f>IF(ISNUMBER(FIND(",", E1362)), TRIM(MID(E1362, FIND(",", E1362) + 1, LEN(E1362))), E1362)</f>
        <v>Flores Sea</v>
      </c>
    </row>
    <row r="1363" spans="1:8" x14ac:dyDescent="0.25">
      <c r="A1363" s="2">
        <v>38725</v>
      </c>
      <c r="B1363">
        <v>36.299999999999997</v>
      </c>
      <c r="C1363">
        <v>23.34</v>
      </c>
      <c r="D1363" t="s">
        <v>16</v>
      </c>
      <c r="E1363" t="s">
        <v>398</v>
      </c>
      <c r="F1363">
        <f t="shared" si="42"/>
        <v>2006</v>
      </c>
      <c r="G1363">
        <f t="shared" si="43"/>
        <v>1</v>
      </c>
      <c r="H1363" t="str">
        <f>IF(ISNUMBER(FIND(",", E1363)), TRIM(MID(E1363, FIND(",", E1363) + 1, LEN(E1363))), E1363)</f>
        <v>southern Greece</v>
      </c>
    </row>
    <row r="1364" spans="1:8" x14ac:dyDescent="0.25">
      <c r="A1364" s="2">
        <v>38723</v>
      </c>
      <c r="B1364">
        <v>6.6</v>
      </c>
      <c r="C1364">
        <v>-82.38</v>
      </c>
      <c r="D1364" t="s">
        <v>16</v>
      </c>
      <c r="E1364" t="s">
        <v>231</v>
      </c>
      <c r="F1364">
        <f t="shared" si="42"/>
        <v>2006</v>
      </c>
      <c r="G1364">
        <f t="shared" si="43"/>
        <v>1</v>
      </c>
      <c r="H1364" t="str">
        <f>IF(ISNUMBER(FIND(",", E1364)), TRIM(MID(E1364, FIND(",", E1364) + 1, LEN(E1364))), E1364)</f>
        <v>south of Panama</v>
      </c>
    </row>
    <row r="1365" spans="1:8" x14ac:dyDescent="0.25">
      <c r="A1365" s="2">
        <v>38721</v>
      </c>
      <c r="B1365">
        <v>28.22</v>
      </c>
      <c r="C1365">
        <v>-112.11</v>
      </c>
      <c r="D1365" t="s">
        <v>16</v>
      </c>
      <c r="E1365" t="s">
        <v>282</v>
      </c>
      <c r="F1365">
        <f t="shared" si="42"/>
        <v>2006</v>
      </c>
      <c r="G1365">
        <f t="shared" si="43"/>
        <v>1</v>
      </c>
      <c r="H1365" t="str">
        <f>IF(ISNUMBER(FIND(",", E1365)), TRIM(MID(E1365, FIND(",", E1365) + 1, LEN(E1365))), E1365)</f>
        <v>Gulf of California</v>
      </c>
    </row>
    <row r="1366" spans="1:8" x14ac:dyDescent="0.25">
      <c r="A1366" s="2">
        <v>38719</v>
      </c>
      <c r="B1366">
        <v>-19.940000000000001</v>
      </c>
      <c r="C1366">
        <v>-178.12</v>
      </c>
      <c r="D1366" t="s">
        <v>16</v>
      </c>
      <c r="E1366" t="s">
        <v>53</v>
      </c>
      <c r="F1366">
        <f t="shared" si="42"/>
        <v>2006</v>
      </c>
      <c r="G1366">
        <f t="shared" si="43"/>
        <v>1</v>
      </c>
      <c r="H1366" t="str">
        <f>IF(ISNUMBER(FIND(",", E1366)), TRIM(MID(E1366, FIND(",", E1366) + 1, LEN(E1366))), E1366)</f>
        <v>Fiji region</v>
      </c>
    </row>
    <row r="1367" spans="1:8" x14ac:dyDescent="0.25">
      <c r="A1367" s="2">
        <v>38719</v>
      </c>
      <c r="B1367">
        <v>-60.91</v>
      </c>
      <c r="C1367">
        <v>-21.57</v>
      </c>
      <c r="D1367" t="s">
        <v>16</v>
      </c>
      <c r="E1367" t="s">
        <v>242</v>
      </c>
      <c r="F1367">
        <f t="shared" si="42"/>
        <v>2006</v>
      </c>
      <c r="G1367">
        <f t="shared" si="43"/>
        <v>1</v>
      </c>
      <c r="H1367" t="str">
        <f>IF(ISNUMBER(FIND(",", E1367)), TRIM(MID(E1367, FIND(",", E1367) + 1, LEN(E1367))), E1367)</f>
        <v>east of the South Sandwich Islands</v>
      </c>
    </row>
    <row r="1368" spans="1:8" x14ac:dyDescent="0.25">
      <c r="A1368" s="2">
        <v>38716</v>
      </c>
      <c r="B1368">
        <v>7.56</v>
      </c>
      <c r="C1368">
        <v>-82.26</v>
      </c>
      <c r="D1368" t="s">
        <v>16</v>
      </c>
      <c r="E1368" t="s">
        <v>231</v>
      </c>
      <c r="F1368">
        <f t="shared" si="42"/>
        <v>2005</v>
      </c>
      <c r="G1368">
        <f t="shared" si="43"/>
        <v>12</v>
      </c>
      <c r="H1368" t="str">
        <f>IF(ISNUMBER(FIND(",", E1368)), TRIM(MID(E1368, FIND(",", E1368) + 1, LEN(E1368))), E1368)</f>
        <v>south of Panama</v>
      </c>
    </row>
    <row r="1369" spans="1:8" x14ac:dyDescent="0.25">
      <c r="A1369" s="2">
        <v>38709</v>
      </c>
      <c r="B1369">
        <v>-1.41</v>
      </c>
      <c r="C1369">
        <v>-77.53</v>
      </c>
      <c r="D1369" t="s">
        <v>16</v>
      </c>
      <c r="E1369" t="s">
        <v>316</v>
      </c>
      <c r="F1369">
        <f t="shared" si="42"/>
        <v>2005</v>
      </c>
      <c r="G1369">
        <f t="shared" si="43"/>
        <v>12</v>
      </c>
      <c r="H1369" t="str">
        <f>IF(ISNUMBER(FIND(",", E1369)), TRIM(MID(E1369, FIND(",", E1369) + 1, LEN(E1369))), E1369)</f>
        <v>Ecuador</v>
      </c>
    </row>
    <row r="1370" spans="1:8" x14ac:dyDescent="0.25">
      <c r="A1370" s="2">
        <v>38708</v>
      </c>
      <c r="B1370">
        <v>-54.56</v>
      </c>
      <c r="C1370">
        <v>-135.80000000000001</v>
      </c>
      <c r="D1370" t="s">
        <v>16</v>
      </c>
      <c r="E1370" t="s">
        <v>179</v>
      </c>
      <c r="F1370">
        <f t="shared" si="42"/>
        <v>2005</v>
      </c>
      <c r="G1370">
        <f t="shared" si="43"/>
        <v>12</v>
      </c>
      <c r="H1370" t="str">
        <f>IF(ISNUMBER(FIND(",", E1370)), TRIM(MID(E1370, FIND(",", E1370) + 1, LEN(E1370))), E1370)</f>
        <v>Pacific-Antarctic Ridge</v>
      </c>
    </row>
    <row r="1371" spans="1:8" x14ac:dyDescent="0.25">
      <c r="A1371" s="2">
        <v>38707</v>
      </c>
      <c r="B1371">
        <v>-0.11</v>
      </c>
      <c r="C1371">
        <v>124.67</v>
      </c>
      <c r="D1371" t="s">
        <v>16</v>
      </c>
      <c r="E1371" t="s">
        <v>186</v>
      </c>
      <c r="F1371">
        <f t="shared" si="42"/>
        <v>2005</v>
      </c>
      <c r="G1371">
        <f t="shared" si="43"/>
        <v>12</v>
      </c>
      <c r="H1371" t="str">
        <f>IF(ISNUMBER(FIND(",", E1371)), TRIM(MID(E1371, FIND(",", E1371) + 1, LEN(E1371))), E1371)</f>
        <v>Molucca Sea</v>
      </c>
    </row>
    <row r="1372" spans="1:8" x14ac:dyDescent="0.25">
      <c r="A1372" s="2">
        <v>38706</v>
      </c>
      <c r="B1372">
        <v>12.23</v>
      </c>
      <c r="C1372">
        <v>141.07</v>
      </c>
      <c r="D1372" t="s">
        <v>16</v>
      </c>
      <c r="E1372" t="s">
        <v>72</v>
      </c>
      <c r="F1372">
        <f t="shared" si="42"/>
        <v>2005</v>
      </c>
      <c r="G1372">
        <f t="shared" si="43"/>
        <v>12</v>
      </c>
      <c r="H1372" t="str">
        <f>IF(ISNUMBER(FIND(",", E1372)), TRIM(MID(E1372, FIND(",", E1372) + 1, LEN(E1372))), E1372)</f>
        <v>Mariana Islands region</v>
      </c>
    </row>
    <row r="1373" spans="1:8" x14ac:dyDescent="0.25">
      <c r="A1373" s="2">
        <v>38702</v>
      </c>
      <c r="B1373">
        <v>38.49</v>
      </c>
      <c r="C1373">
        <v>141.93</v>
      </c>
      <c r="D1373" t="s">
        <v>16</v>
      </c>
      <c r="E1373" t="s">
        <v>227</v>
      </c>
      <c r="F1373">
        <f t="shared" si="42"/>
        <v>2005</v>
      </c>
      <c r="G1373">
        <f t="shared" si="43"/>
        <v>12</v>
      </c>
      <c r="H1373" t="str">
        <f>IF(ISNUMBER(FIND(",", E1373)), TRIM(MID(E1373, FIND(",", E1373) + 1, LEN(E1373))), E1373)</f>
        <v>Japan</v>
      </c>
    </row>
    <row r="1374" spans="1:8" x14ac:dyDescent="0.25">
      <c r="A1374" s="2">
        <v>38699</v>
      </c>
      <c r="B1374">
        <v>-15.26</v>
      </c>
      <c r="C1374">
        <v>-178.53</v>
      </c>
      <c r="D1374" t="s">
        <v>16</v>
      </c>
      <c r="E1374" t="s">
        <v>53</v>
      </c>
      <c r="F1374">
        <f t="shared" si="42"/>
        <v>2005</v>
      </c>
      <c r="G1374">
        <f t="shared" si="43"/>
        <v>12</v>
      </c>
      <c r="H1374" t="str">
        <f>IF(ISNUMBER(FIND(",", E1374)), TRIM(MID(E1374, FIND(",", E1374) + 1, LEN(E1374))), E1374)</f>
        <v>Fiji region</v>
      </c>
    </row>
    <row r="1375" spans="1:8" x14ac:dyDescent="0.25">
      <c r="A1375" s="2">
        <v>38698</v>
      </c>
      <c r="B1375">
        <v>36.28</v>
      </c>
      <c r="C1375">
        <v>71.11</v>
      </c>
      <c r="D1375" t="s">
        <v>16</v>
      </c>
      <c r="E1375" t="s">
        <v>314</v>
      </c>
      <c r="F1375">
        <f t="shared" si="42"/>
        <v>2005</v>
      </c>
      <c r="G1375">
        <f t="shared" si="43"/>
        <v>12</v>
      </c>
      <c r="H1375" t="str">
        <f>IF(ISNUMBER(FIND(",", E1375)), TRIM(MID(E1375, FIND(",", E1375) + 1, LEN(E1375))), E1375)</f>
        <v>Afghanistan</v>
      </c>
    </row>
    <row r="1376" spans="1:8" x14ac:dyDescent="0.25">
      <c r="A1376" s="2">
        <v>38697</v>
      </c>
      <c r="B1376">
        <v>-6.59</v>
      </c>
      <c r="C1376">
        <v>152.25</v>
      </c>
      <c r="D1376" t="s">
        <v>16</v>
      </c>
      <c r="E1376" t="s">
        <v>190</v>
      </c>
      <c r="F1376">
        <f t="shared" si="42"/>
        <v>2005</v>
      </c>
      <c r="G1376">
        <f t="shared" si="43"/>
        <v>12</v>
      </c>
      <c r="H1376" t="str">
        <f>IF(ISNUMBER(FIND(",", E1376)), TRIM(MID(E1376, FIND(",", E1376) + 1, LEN(E1376))), E1376)</f>
        <v>Papua New Guinea</v>
      </c>
    </row>
    <row r="1377" spans="1:8" x14ac:dyDescent="0.25">
      <c r="A1377" s="2">
        <v>38694</v>
      </c>
      <c r="B1377">
        <v>-5.43</v>
      </c>
      <c r="C1377">
        <v>147.01</v>
      </c>
      <c r="D1377" t="s">
        <v>16</v>
      </c>
      <c r="E1377" t="s">
        <v>243</v>
      </c>
      <c r="F1377">
        <f t="shared" si="42"/>
        <v>2005</v>
      </c>
      <c r="G1377">
        <f t="shared" si="43"/>
        <v>12</v>
      </c>
      <c r="H1377" t="str">
        <f>IF(ISNUMBER(FIND(",", E1377)), TRIM(MID(E1377, FIND(",", E1377) + 1, LEN(E1377))), E1377)</f>
        <v>Papua New Guinea</v>
      </c>
    </row>
    <row r="1378" spans="1:8" x14ac:dyDescent="0.25">
      <c r="A1378" s="2">
        <v>38693</v>
      </c>
      <c r="B1378">
        <v>-30.14</v>
      </c>
      <c r="C1378">
        <v>-177.51</v>
      </c>
      <c r="D1378" t="s">
        <v>16</v>
      </c>
      <c r="E1378" t="s">
        <v>288</v>
      </c>
      <c r="F1378">
        <f t="shared" si="42"/>
        <v>2005</v>
      </c>
      <c r="G1378">
        <f t="shared" si="43"/>
        <v>12</v>
      </c>
      <c r="H1378" t="str">
        <f>IF(ISNUMBER(FIND(",", E1378)), TRIM(MID(E1378, FIND(",", E1378) + 1, LEN(E1378))), E1378)</f>
        <v>New Zealand</v>
      </c>
    </row>
    <row r="1379" spans="1:8" x14ac:dyDescent="0.25">
      <c r="A1379" s="2">
        <v>38691</v>
      </c>
      <c r="B1379">
        <v>-6.25</v>
      </c>
      <c r="C1379">
        <v>29.77</v>
      </c>
      <c r="D1379" t="s">
        <v>16</v>
      </c>
      <c r="E1379" t="s">
        <v>446</v>
      </c>
      <c r="F1379">
        <f t="shared" si="42"/>
        <v>2005</v>
      </c>
      <c r="G1379">
        <f t="shared" si="43"/>
        <v>12</v>
      </c>
      <c r="H1379" t="str">
        <f>IF(ISNUMBER(FIND(",", E1379)), TRIM(MID(E1379, FIND(",", E1379) + 1, LEN(E1379))), E1379)</f>
        <v>Dem. Republic of the Congo-Tanzania</v>
      </c>
    </row>
    <row r="1380" spans="1:8" x14ac:dyDescent="0.25">
      <c r="A1380" s="2">
        <v>38688</v>
      </c>
      <c r="B1380">
        <v>38.07</v>
      </c>
      <c r="C1380">
        <v>142.13</v>
      </c>
      <c r="D1380" t="s">
        <v>16</v>
      </c>
      <c r="E1380" t="s">
        <v>227</v>
      </c>
      <c r="F1380">
        <f t="shared" si="42"/>
        <v>2005</v>
      </c>
      <c r="G1380">
        <f t="shared" si="43"/>
        <v>12</v>
      </c>
      <c r="H1380" t="str">
        <f>IF(ISNUMBER(FIND(",", E1380)), TRIM(MID(E1380, FIND(",", E1380) + 1, LEN(E1380))), E1380)</f>
        <v>Japan</v>
      </c>
    </row>
    <row r="1381" spans="1:8" x14ac:dyDescent="0.25">
      <c r="A1381" s="2">
        <v>38686</v>
      </c>
      <c r="B1381">
        <v>6.25</v>
      </c>
      <c r="C1381">
        <v>124.01</v>
      </c>
      <c r="D1381" t="s">
        <v>16</v>
      </c>
      <c r="E1381" t="s">
        <v>200</v>
      </c>
      <c r="F1381">
        <f t="shared" si="42"/>
        <v>2005</v>
      </c>
      <c r="G1381">
        <f t="shared" si="43"/>
        <v>11</v>
      </c>
      <c r="H1381" t="str">
        <f>IF(ISNUMBER(FIND(",", E1381)), TRIM(MID(E1381, FIND(",", E1381) + 1, LEN(E1381))), E1381)</f>
        <v>Philippines</v>
      </c>
    </row>
    <row r="1382" spans="1:8" x14ac:dyDescent="0.25">
      <c r="A1382" s="2">
        <v>38684</v>
      </c>
      <c r="B1382">
        <v>20.27</v>
      </c>
      <c r="C1382">
        <v>146.08000000000001</v>
      </c>
      <c r="D1382" t="s">
        <v>16</v>
      </c>
      <c r="E1382" t="s">
        <v>72</v>
      </c>
      <c r="F1382">
        <f t="shared" si="42"/>
        <v>2005</v>
      </c>
      <c r="G1382">
        <f t="shared" si="43"/>
        <v>11</v>
      </c>
      <c r="H1382" t="str">
        <f>IF(ISNUMBER(FIND(",", E1382)), TRIM(MID(E1382, FIND(",", E1382) + 1, LEN(E1382))), E1382)</f>
        <v>Mariana Islands region</v>
      </c>
    </row>
    <row r="1383" spans="1:8" x14ac:dyDescent="0.25">
      <c r="A1383" s="2">
        <v>38678</v>
      </c>
      <c r="B1383">
        <v>-5.18</v>
      </c>
      <c r="C1383">
        <v>145.31</v>
      </c>
      <c r="D1383" t="s">
        <v>16</v>
      </c>
      <c r="E1383" t="s">
        <v>243</v>
      </c>
      <c r="F1383">
        <f t="shared" si="42"/>
        <v>2005</v>
      </c>
      <c r="G1383">
        <f t="shared" si="43"/>
        <v>11</v>
      </c>
      <c r="H1383" t="str">
        <f>IF(ISNUMBER(FIND(",", E1383)), TRIM(MID(E1383, FIND(",", E1383) + 1, LEN(E1383))), E1383)</f>
        <v>Papua New Guinea</v>
      </c>
    </row>
    <row r="1384" spans="1:8" x14ac:dyDescent="0.25">
      <c r="A1384" s="2">
        <v>38677</v>
      </c>
      <c r="B1384">
        <v>31</v>
      </c>
      <c r="C1384">
        <v>130.03</v>
      </c>
      <c r="D1384" t="s">
        <v>16</v>
      </c>
      <c r="E1384" t="s">
        <v>357</v>
      </c>
      <c r="F1384">
        <f t="shared" si="42"/>
        <v>2005</v>
      </c>
      <c r="G1384">
        <f t="shared" si="43"/>
        <v>11</v>
      </c>
      <c r="H1384" t="str">
        <f>IF(ISNUMBER(FIND(",", E1384)), TRIM(MID(E1384, FIND(",", E1384) + 1, LEN(E1384))), E1384)</f>
        <v>Japan</v>
      </c>
    </row>
    <row r="1385" spans="1:8" x14ac:dyDescent="0.25">
      <c r="A1385" s="2">
        <v>38676</v>
      </c>
      <c r="B1385">
        <v>53.83</v>
      </c>
      <c r="C1385">
        <v>-164.02</v>
      </c>
      <c r="D1385" t="s">
        <v>16</v>
      </c>
      <c r="E1385" t="s">
        <v>447</v>
      </c>
      <c r="F1385">
        <f t="shared" si="42"/>
        <v>2005</v>
      </c>
      <c r="G1385">
        <f t="shared" si="43"/>
        <v>11</v>
      </c>
      <c r="H1385" t="str">
        <f>IF(ISNUMBER(FIND(",", E1385)), TRIM(MID(E1385, FIND(",", E1385) + 1, LEN(E1385))), E1385)</f>
        <v>Alaska</v>
      </c>
    </row>
    <row r="1386" spans="1:8" x14ac:dyDescent="0.25">
      <c r="A1386" s="2">
        <v>38675</v>
      </c>
      <c r="B1386">
        <v>2.14</v>
      </c>
      <c r="C1386">
        <v>96.78</v>
      </c>
      <c r="D1386" t="s">
        <v>16</v>
      </c>
      <c r="E1386" t="s">
        <v>222</v>
      </c>
      <c r="F1386">
        <f t="shared" si="42"/>
        <v>2005</v>
      </c>
      <c r="G1386">
        <f t="shared" si="43"/>
        <v>11</v>
      </c>
      <c r="H1386" t="str">
        <f>IF(ISNUMBER(FIND(",", E1386)), TRIM(MID(E1386, FIND(",", E1386) + 1, LEN(E1386))), E1386)</f>
        <v>Indonesia</v>
      </c>
    </row>
    <row r="1387" spans="1:8" x14ac:dyDescent="0.25">
      <c r="A1387" s="2">
        <v>38673</v>
      </c>
      <c r="B1387">
        <v>-22.4</v>
      </c>
      <c r="C1387">
        <v>-67.92</v>
      </c>
      <c r="D1387" t="s">
        <v>16</v>
      </c>
      <c r="E1387" t="s">
        <v>289</v>
      </c>
      <c r="F1387">
        <f t="shared" si="42"/>
        <v>2005</v>
      </c>
      <c r="G1387">
        <f t="shared" si="43"/>
        <v>11</v>
      </c>
      <c r="H1387" t="str">
        <f>IF(ISNUMBER(FIND(",", E1387)), TRIM(MID(E1387, FIND(",", E1387) + 1, LEN(E1387))), E1387)</f>
        <v>Chile</v>
      </c>
    </row>
    <row r="1388" spans="1:8" x14ac:dyDescent="0.25">
      <c r="A1388" s="2">
        <v>38670</v>
      </c>
      <c r="B1388">
        <v>38.11</v>
      </c>
      <c r="C1388">
        <v>144.91</v>
      </c>
      <c r="D1388" t="s">
        <v>16</v>
      </c>
      <c r="E1388" t="s">
        <v>189</v>
      </c>
      <c r="F1388">
        <f t="shared" si="42"/>
        <v>2005</v>
      </c>
      <c r="G1388">
        <f t="shared" si="43"/>
        <v>11</v>
      </c>
      <c r="H1388" t="str">
        <f>IF(ISNUMBER(FIND(",", E1388)), TRIM(MID(E1388, FIND(",", E1388) + 1, LEN(E1388))), E1388)</f>
        <v>Japan</v>
      </c>
    </row>
    <row r="1389" spans="1:8" x14ac:dyDescent="0.25">
      <c r="A1389" s="2">
        <v>38661</v>
      </c>
      <c r="B1389">
        <v>-3.14</v>
      </c>
      <c r="C1389">
        <v>148.16</v>
      </c>
      <c r="D1389" t="s">
        <v>16</v>
      </c>
      <c r="E1389" t="s">
        <v>380</v>
      </c>
      <c r="F1389">
        <f t="shared" si="42"/>
        <v>2005</v>
      </c>
      <c r="G1389">
        <f t="shared" si="43"/>
        <v>11</v>
      </c>
      <c r="H1389" t="str">
        <f>IF(ISNUMBER(FIND(",", E1389)), TRIM(MID(E1389, FIND(",", E1389) + 1, LEN(E1389))), E1389)</f>
        <v>Bismarck Sea</v>
      </c>
    </row>
    <row r="1390" spans="1:8" x14ac:dyDescent="0.25">
      <c r="A1390" s="2">
        <v>38654</v>
      </c>
      <c r="B1390">
        <v>-45.22</v>
      </c>
      <c r="C1390">
        <v>96.89</v>
      </c>
      <c r="D1390" t="s">
        <v>16</v>
      </c>
      <c r="E1390" t="s">
        <v>310</v>
      </c>
      <c r="F1390">
        <f t="shared" si="42"/>
        <v>2005</v>
      </c>
      <c r="G1390">
        <f t="shared" si="43"/>
        <v>10</v>
      </c>
      <c r="H1390" t="str">
        <f>IF(ISNUMBER(FIND(",", E1390)), TRIM(MID(E1390, FIND(",", E1390) + 1, LEN(E1390))), E1390)</f>
        <v>southeast Indian Ridge</v>
      </c>
    </row>
    <row r="1391" spans="1:8" x14ac:dyDescent="0.25">
      <c r="A1391" s="2">
        <v>38644</v>
      </c>
      <c r="B1391">
        <v>36.380000000000003</v>
      </c>
      <c r="C1391">
        <v>140.86000000000001</v>
      </c>
      <c r="D1391" t="s">
        <v>16</v>
      </c>
      <c r="E1391" t="s">
        <v>227</v>
      </c>
      <c r="F1391">
        <f t="shared" si="42"/>
        <v>2005</v>
      </c>
      <c r="G1391">
        <f t="shared" si="43"/>
        <v>10</v>
      </c>
      <c r="H1391" t="str">
        <f>IF(ISNUMBER(FIND(",", E1391)), TRIM(MID(E1391, FIND(",", E1391) + 1, LEN(E1391))), E1391)</f>
        <v>Japan</v>
      </c>
    </row>
    <row r="1392" spans="1:8" x14ac:dyDescent="0.25">
      <c r="A1392" s="2">
        <v>38640</v>
      </c>
      <c r="B1392">
        <v>25.29</v>
      </c>
      <c r="C1392">
        <v>123.32</v>
      </c>
      <c r="D1392" t="s">
        <v>16</v>
      </c>
      <c r="E1392" t="s">
        <v>269</v>
      </c>
      <c r="F1392">
        <f t="shared" si="42"/>
        <v>2005</v>
      </c>
      <c r="G1392">
        <f t="shared" si="43"/>
        <v>10</v>
      </c>
      <c r="H1392" t="str">
        <f>IF(ISNUMBER(FIND(",", E1392)), TRIM(MID(E1392, FIND(",", E1392) + 1, LEN(E1392))), E1392)</f>
        <v>northeast of Taiwan</v>
      </c>
    </row>
    <row r="1393" spans="1:8" x14ac:dyDescent="0.25">
      <c r="A1393" s="2">
        <v>38640</v>
      </c>
      <c r="B1393">
        <v>46.83</v>
      </c>
      <c r="C1393">
        <v>154.13</v>
      </c>
      <c r="D1393" t="s">
        <v>16</v>
      </c>
      <c r="E1393" t="s">
        <v>317</v>
      </c>
      <c r="F1393">
        <f t="shared" si="42"/>
        <v>2005</v>
      </c>
      <c r="G1393">
        <f t="shared" si="43"/>
        <v>10</v>
      </c>
      <c r="H1393" t="str">
        <f>IF(ISNUMBER(FIND(",", E1393)), TRIM(MID(E1393, FIND(",", E1393) + 1, LEN(E1393))), E1393)</f>
        <v>east of the Kuril Islands</v>
      </c>
    </row>
    <row r="1394" spans="1:8" x14ac:dyDescent="0.25">
      <c r="A1394" s="2">
        <v>38633</v>
      </c>
      <c r="B1394">
        <v>34.67</v>
      </c>
      <c r="C1394">
        <v>73.040000000000006</v>
      </c>
      <c r="D1394" t="s">
        <v>16</v>
      </c>
      <c r="E1394" t="s">
        <v>382</v>
      </c>
      <c r="F1394">
        <f t="shared" si="42"/>
        <v>2005</v>
      </c>
      <c r="G1394">
        <f t="shared" si="43"/>
        <v>10</v>
      </c>
      <c r="H1394" t="str">
        <f>IF(ISNUMBER(FIND(",", E1394)), TRIM(MID(E1394, FIND(",", E1394) + 1, LEN(E1394))), E1394)</f>
        <v>Pakistan</v>
      </c>
    </row>
    <row r="1395" spans="1:8" x14ac:dyDescent="0.25">
      <c r="A1395" s="2">
        <v>38633</v>
      </c>
      <c r="B1395">
        <v>34.46</v>
      </c>
      <c r="C1395">
        <v>73.58</v>
      </c>
      <c r="D1395" t="s">
        <v>16</v>
      </c>
      <c r="E1395" t="s">
        <v>382</v>
      </c>
      <c r="F1395">
        <f t="shared" si="42"/>
        <v>2005</v>
      </c>
      <c r="G1395">
        <f t="shared" si="43"/>
        <v>10</v>
      </c>
      <c r="H1395" t="str">
        <f>IF(ISNUMBER(FIND(",", E1395)), TRIM(MID(E1395, FIND(",", E1395) + 1, LEN(E1395))), E1395)</f>
        <v>Pakistan</v>
      </c>
    </row>
    <row r="1396" spans="1:8" x14ac:dyDescent="0.25">
      <c r="A1396" s="2">
        <v>38630</v>
      </c>
      <c r="B1396">
        <v>-20.55</v>
      </c>
      <c r="C1396">
        <v>-174.2</v>
      </c>
      <c r="D1396" t="s">
        <v>16</v>
      </c>
      <c r="E1396" t="s">
        <v>239</v>
      </c>
      <c r="F1396">
        <f t="shared" si="42"/>
        <v>2005</v>
      </c>
      <c r="G1396">
        <f t="shared" si="43"/>
        <v>10</v>
      </c>
      <c r="H1396" t="str">
        <f>IF(ISNUMBER(FIND(",", E1396)), TRIM(MID(E1396, FIND(",", E1396) + 1, LEN(E1396))), E1396)</f>
        <v>Tonga</v>
      </c>
    </row>
    <row r="1397" spans="1:8" x14ac:dyDescent="0.25">
      <c r="A1397" s="2">
        <v>38624</v>
      </c>
      <c r="B1397">
        <v>-5.52</v>
      </c>
      <c r="C1397">
        <v>151.88999999999999</v>
      </c>
      <c r="D1397" t="s">
        <v>16</v>
      </c>
      <c r="E1397" t="s">
        <v>190</v>
      </c>
      <c r="F1397">
        <f t="shared" si="42"/>
        <v>2005</v>
      </c>
      <c r="G1397">
        <f t="shared" si="43"/>
        <v>9</v>
      </c>
      <c r="H1397" t="str">
        <f>IF(ISNUMBER(FIND(",", E1397)), TRIM(MID(E1397, FIND(",", E1397) + 1, LEN(E1397))), E1397)</f>
        <v>Papua New Guinea</v>
      </c>
    </row>
    <row r="1398" spans="1:8" x14ac:dyDescent="0.25">
      <c r="A1398" s="2">
        <v>38624</v>
      </c>
      <c r="B1398">
        <v>-5.39</v>
      </c>
      <c r="C1398">
        <v>151.88999999999999</v>
      </c>
      <c r="D1398" t="s">
        <v>16</v>
      </c>
      <c r="E1398" t="s">
        <v>190</v>
      </c>
      <c r="F1398">
        <f t="shared" si="42"/>
        <v>2005</v>
      </c>
      <c r="G1398">
        <f t="shared" si="43"/>
        <v>9</v>
      </c>
      <c r="H1398" t="str">
        <f>IF(ISNUMBER(FIND(",", E1398)), TRIM(MID(E1398, FIND(",", E1398) + 1, LEN(E1398))), E1398)</f>
        <v>Papua New Guinea</v>
      </c>
    </row>
    <row r="1399" spans="1:8" x14ac:dyDescent="0.25">
      <c r="A1399" s="2">
        <v>38621</v>
      </c>
      <c r="B1399">
        <v>-5.71</v>
      </c>
      <c r="C1399">
        <v>-76.42</v>
      </c>
      <c r="D1399" t="s">
        <v>16</v>
      </c>
      <c r="E1399" t="s">
        <v>277</v>
      </c>
      <c r="F1399">
        <f t="shared" si="42"/>
        <v>2005</v>
      </c>
      <c r="G1399">
        <f t="shared" si="43"/>
        <v>9</v>
      </c>
      <c r="H1399" t="str">
        <f>IF(ISNUMBER(FIND(",", E1399)), TRIM(MID(E1399, FIND(",", E1399) + 1, LEN(E1399))), E1399)</f>
        <v>northern Peru</v>
      </c>
    </row>
    <row r="1400" spans="1:8" x14ac:dyDescent="0.25">
      <c r="A1400" s="2">
        <v>38620</v>
      </c>
      <c r="B1400">
        <v>-17.489999999999998</v>
      </c>
      <c r="C1400">
        <v>167.86</v>
      </c>
      <c r="D1400" t="s">
        <v>16</v>
      </c>
      <c r="E1400" t="s">
        <v>181</v>
      </c>
      <c r="F1400">
        <f t="shared" si="42"/>
        <v>2005</v>
      </c>
      <c r="G1400">
        <f t="shared" si="43"/>
        <v>9</v>
      </c>
      <c r="H1400" t="str">
        <f>IF(ISNUMBER(FIND(",", E1400)), TRIM(MID(E1400, FIND(",", E1400) + 1, LEN(E1400))), E1400)</f>
        <v>Vanuatu</v>
      </c>
    </row>
    <row r="1401" spans="1:8" x14ac:dyDescent="0.25">
      <c r="A1401" s="2">
        <v>38616</v>
      </c>
      <c r="B1401">
        <v>43.9</v>
      </c>
      <c r="C1401">
        <v>146.16999999999999</v>
      </c>
      <c r="D1401" t="s">
        <v>16</v>
      </c>
      <c r="E1401" t="s">
        <v>191</v>
      </c>
      <c r="F1401">
        <f t="shared" si="42"/>
        <v>2005</v>
      </c>
      <c r="G1401">
        <f t="shared" si="43"/>
        <v>9</v>
      </c>
      <c r="H1401" t="str">
        <f>IF(ISNUMBER(FIND(",", E1401)), TRIM(MID(E1401, FIND(",", E1401) + 1, LEN(E1401))), E1401)</f>
        <v>Kuril Islands</v>
      </c>
    </row>
    <row r="1402" spans="1:8" x14ac:dyDescent="0.25">
      <c r="A1402" s="2">
        <v>38604</v>
      </c>
      <c r="B1402">
        <v>-4.54</v>
      </c>
      <c r="C1402">
        <v>153.49</v>
      </c>
      <c r="D1402" t="s">
        <v>16</v>
      </c>
      <c r="E1402" t="s">
        <v>183</v>
      </c>
      <c r="F1402">
        <f t="shared" si="42"/>
        <v>2005</v>
      </c>
      <c r="G1402">
        <f t="shared" si="43"/>
        <v>9</v>
      </c>
      <c r="H1402" t="str">
        <f>IF(ISNUMBER(FIND(",", E1402)), TRIM(MID(E1402, FIND(",", E1402) + 1, LEN(E1402))), E1402)</f>
        <v>Papua New Guinea</v>
      </c>
    </row>
    <row r="1403" spans="1:8" x14ac:dyDescent="0.25">
      <c r="A1403" s="2">
        <v>38600</v>
      </c>
      <c r="B1403">
        <v>-56.44</v>
      </c>
      <c r="C1403">
        <v>-142.24</v>
      </c>
      <c r="D1403" t="s">
        <v>16</v>
      </c>
      <c r="E1403" t="s">
        <v>179</v>
      </c>
      <c r="F1403">
        <f t="shared" si="42"/>
        <v>2005</v>
      </c>
      <c r="G1403">
        <f t="shared" si="43"/>
        <v>9</v>
      </c>
      <c r="H1403" t="str">
        <f>IF(ISNUMBER(FIND(",", E1403)), TRIM(MID(E1403, FIND(",", E1403) + 1, LEN(E1403))), E1403)</f>
        <v>Pacific-Antarctic Ridge</v>
      </c>
    </row>
    <row r="1404" spans="1:8" x14ac:dyDescent="0.25">
      <c r="A1404" s="2">
        <v>38599</v>
      </c>
      <c r="B1404">
        <v>2.99</v>
      </c>
      <c r="C1404">
        <v>123.09</v>
      </c>
      <c r="D1404" t="s">
        <v>16</v>
      </c>
      <c r="E1404" t="s">
        <v>203</v>
      </c>
      <c r="F1404">
        <f t="shared" si="42"/>
        <v>2005</v>
      </c>
      <c r="G1404">
        <f t="shared" si="43"/>
        <v>9</v>
      </c>
      <c r="H1404" t="str">
        <f>IF(ISNUMBER(FIND(",", E1404)), TRIM(MID(E1404, FIND(",", E1404) + 1, LEN(E1404))), E1404)</f>
        <v>Celebes Sea</v>
      </c>
    </row>
    <row r="1405" spans="1:8" x14ac:dyDescent="0.25">
      <c r="A1405" s="2">
        <v>38594</v>
      </c>
      <c r="B1405">
        <v>38.479999999999997</v>
      </c>
      <c r="C1405">
        <v>143.18</v>
      </c>
      <c r="D1405" t="s">
        <v>16</v>
      </c>
      <c r="E1405" t="s">
        <v>189</v>
      </c>
      <c r="F1405">
        <f t="shared" si="42"/>
        <v>2005</v>
      </c>
      <c r="G1405">
        <f t="shared" si="43"/>
        <v>8</v>
      </c>
      <c r="H1405" t="str">
        <f>IF(ISNUMBER(FIND(",", E1405)), TRIM(MID(E1405, FIND(",", E1405) + 1, LEN(E1405))), E1405)</f>
        <v>Japan</v>
      </c>
    </row>
    <row r="1406" spans="1:8" x14ac:dyDescent="0.25">
      <c r="A1406" s="2">
        <v>38591</v>
      </c>
      <c r="B1406">
        <v>6.72</v>
      </c>
      <c r="C1406">
        <v>-82.49</v>
      </c>
      <c r="D1406" t="s">
        <v>16</v>
      </c>
      <c r="E1406" t="s">
        <v>231</v>
      </c>
      <c r="F1406">
        <f t="shared" si="42"/>
        <v>2005</v>
      </c>
      <c r="G1406">
        <f t="shared" si="43"/>
        <v>8</v>
      </c>
      <c r="H1406" t="str">
        <f>IF(ISNUMBER(FIND(",", E1406)), TRIM(MID(E1406, FIND(",", E1406) + 1, LEN(E1406))), E1406)</f>
        <v>south of Panama</v>
      </c>
    </row>
    <row r="1407" spans="1:8" x14ac:dyDescent="0.25">
      <c r="A1407" s="2">
        <v>38590</v>
      </c>
      <c r="B1407">
        <v>14.37</v>
      </c>
      <c r="C1407">
        <v>52.35</v>
      </c>
      <c r="D1407" t="s">
        <v>16</v>
      </c>
      <c r="E1407" t="s">
        <v>434</v>
      </c>
      <c r="F1407">
        <f t="shared" si="42"/>
        <v>2005</v>
      </c>
      <c r="G1407">
        <f t="shared" si="43"/>
        <v>8</v>
      </c>
      <c r="H1407" t="str">
        <f>IF(ISNUMBER(FIND(",", E1407)), TRIM(MID(E1407, FIND(",", E1407) + 1, LEN(E1407))), E1407)</f>
        <v>Gulf of Aden</v>
      </c>
    </row>
    <row r="1408" spans="1:8" x14ac:dyDescent="0.25">
      <c r="A1408" s="2">
        <v>38588</v>
      </c>
      <c r="B1408">
        <v>38.564</v>
      </c>
      <c r="C1408">
        <v>142.98699999999999</v>
      </c>
      <c r="D1408" t="s">
        <v>5</v>
      </c>
      <c r="E1408" t="s">
        <v>227</v>
      </c>
      <c r="F1408">
        <f t="shared" si="42"/>
        <v>2005</v>
      </c>
      <c r="G1408">
        <f t="shared" si="43"/>
        <v>8</v>
      </c>
      <c r="H1408" t="str">
        <f>IF(ISNUMBER(FIND(",", E1408)), TRIM(MID(E1408, FIND(",", E1408) + 1, LEN(E1408))), E1408)</f>
        <v>Japan</v>
      </c>
    </row>
    <row r="1409" spans="1:8" x14ac:dyDescent="0.25">
      <c r="A1409" s="2">
        <v>38580</v>
      </c>
      <c r="B1409">
        <v>38.270000000000003</v>
      </c>
      <c r="C1409">
        <v>142.03</v>
      </c>
      <c r="D1409" t="s">
        <v>16</v>
      </c>
      <c r="E1409" t="s">
        <v>227</v>
      </c>
      <c r="F1409">
        <f t="shared" si="42"/>
        <v>2005</v>
      </c>
      <c r="G1409">
        <f t="shared" si="43"/>
        <v>8</v>
      </c>
      <c r="H1409" t="str">
        <f>IF(ISNUMBER(FIND(",", E1409)), TRIM(MID(E1409, FIND(",", E1409) + 1, LEN(E1409))), E1409)</f>
        <v>Japan</v>
      </c>
    </row>
    <row r="1410" spans="1:8" x14ac:dyDescent="0.25">
      <c r="A1410" s="2">
        <v>38577</v>
      </c>
      <c r="B1410">
        <v>20.13</v>
      </c>
      <c r="C1410">
        <v>145.84</v>
      </c>
      <c r="D1410" t="s">
        <v>16</v>
      </c>
      <c r="E1410" t="s">
        <v>335</v>
      </c>
      <c r="F1410">
        <f t="shared" ref="F1410:F1473" si="44">YEAR(A1410)</f>
        <v>2005</v>
      </c>
      <c r="G1410">
        <f t="shared" si="43"/>
        <v>8</v>
      </c>
      <c r="H1410" t="str">
        <f>IF(ISNUMBER(FIND(",", E1410)), TRIM(MID(E1410, FIND(",", E1410) + 1, LEN(E1410))), E1410)</f>
        <v>Northern Mariana Islands</v>
      </c>
    </row>
    <row r="1411" spans="1:8" x14ac:dyDescent="0.25">
      <c r="A1411" s="2">
        <v>38575</v>
      </c>
      <c r="B1411">
        <v>-22.72</v>
      </c>
      <c r="C1411">
        <v>169.73</v>
      </c>
      <c r="D1411" t="s">
        <v>16</v>
      </c>
      <c r="E1411" t="s">
        <v>254</v>
      </c>
      <c r="F1411">
        <f t="shared" si="44"/>
        <v>2005</v>
      </c>
      <c r="G1411">
        <f t="shared" ref="G1411:G1474" si="45">MONTH(A1411)</f>
        <v>8</v>
      </c>
      <c r="H1411" t="str">
        <f>IF(ISNUMBER(FIND(",", E1411)), TRIM(MID(E1411, FIND(",", E1411) + 1, LEN(E1411))), E1411)</f>
        <v>southeast of the Loyalty Islands</v>
      </c>
    </row>
    <row r="1412" spans="1:8" x14ac:dyDescent="0.25">
      <c r="A1412" s="2">
        <v>38573</v>
      </c>
      <c r="B1412">
        <v>-21.15</v>
      </c>
      <c r="C1412">
        <v>173.92</v>
      </c>
      <c r="D1412" t="s">
        <v>16</v>
      </c>
      <c r="E1412" t="s">
        <v>281</v>
      </c>
      <c r="F1412">
        <f t="shared" si="44"/>
        <v>2005</v>
      </c>
      <c r="G1412">
        <f t="shared" si="45"/>
        <v>8</v>
      </c>
      <c r="H1412" t="str">
        <f>IF(ISNUMBER(FIND(",", E1412)), TRIM(MID(E1412, FIND(",", E1412) + 1, LEN(E1412))), E1412)</f>
        <v>Vanuatu region</v>
      </c>
    </row>
    <row r="1413" spans="1:8" x14ac:dyDescent="0.25">
      <c r="A1413" s="2">
        <v>38573</v>
      </c>
      <c r="B1413">
        <v>-20.98</v>
      </c>
      <c r="C1413">
        <v>173.88</v>
      </c>
      <c r="D1413" t="s">
        <v>16</v>
      </c>
      <c r="E1413" t="s">
        <v>281</v>
      </c>
      <c r="F1413">
        <f t="shared" si="44"/>
        <v>2005</v>
      </c>
      <c r="G1413">
        <f t="shared" si="45"/>
        <v>8</v>
      </c>
      <c r="H1413" t="str">
        <f>IF(ISNUMBER(FIND(",", E1413)), TRIM(MID(E1413, FIND(",", E1413) + 1, LEN(E1413))), E1413)</f>
        <v>Vanuatu region</v>
      </c>
    </row>
    <row r="1414" spans="1:8" x14ac:dyDescent="0.25">
      <c r="A1414" s="2">
        <v>38571</v>
      </c>
      <c r="B1414">
        <v>-47.07</v>
      </c>
      <c r="C1414">
        <v>33.590000000000003</v>
      </c>
      <c r="D1414" t="s">
        <v>16</v>
      </c>
      <c r="E1414" t="s">
        <v>369</v>
      </c>
      <c r="F1414">
        <f t="shared" si="44"/>
        <v>2005</v>
      </c>
      <c r="G1414">
        <f t="shared" si="45"/>
        <v>8</v>
      </c>
      <c r="H1414" t="str">
        <f>IF(ISNUMBER(FIND(",", E1414)), TRIM(MID(E1414, FIND(",", E1414) + 1, LEN(E1414))), E1414)</f>
        <v>Prince Edward Islands region</v>
      </c>
    </row>
    <row r="1415" spans="1:8" x14ac:dyDescent="0.25">
      <c r="A1415" s="2">
        <v>38570</v>
      </c>
      <c r="B1415">
        <v>-19.61</v>
      </c>
      <c r="C1415">
        <v>-175.79</v>
      </c>
      <c r="D1415" t="s">
        <v>16</v>
      </c>
      <c r="E1415" t="s">
        <v>239</v>
      </c>
      <c r="F1415">
        <f t="shared" si="44"/>
        <v>2005</v>
      </c>
      <c r="G1415">
        <f t="shared" si="45"/>
        <v>8</v>
      </c>
      <c r="H1415" t="str">
        <f>IF(ISNUMBER(FIND(",", E1415)), TRIM(MID(E1415, FIND(",", E1415) + 1, LEN(E1415))), E1415)</f>
        <v>Tonga</v>
      </c>
    </row>
    <row r="1416" spans="1:8" x14ac:dyDescent="0.25">
      <c r="A1416" s="2">
        <v>38567</v>
      </c>
      <c r="B1416">
        <v>11.27</v>
      </c>
      <c r="C1416">
        <v>-85.53</v>
      </c>
      <c r="D1416" t="s">
        <v>16</v>
      </c>
      <c r="E1416" t="s">
        <v>270</v>
      </c>
      <c r="F1416">
        <f t="shared" si="44"/>
        <v>2005</v>
      </c>
      <c r="G1416">
        <f t="shared" si="45"/>
        <v>8</v>
      </c>
      <c r="H1416" t="str">
        <f>IF(ISNUMBER(FIND(",", E1416)), TRIM(MID(E1416, FIND(",", E1416) + 1, LEN(E1416))), E1416)</f>
        <v>Nicaragua</v>
      </c>
    </row>
    <row r="1417" spans="1:8" x14ac:dyDescent="0.25">
      <c r="A1417" s="2">
        <v>38563</v>
      </c>
      <c r="B1417">
        <v>-61.33</v>
      </c>
      <c r="C1417">
        <v>154.37</v>
      </c>
      <c r="D1417" t="s">
        <v>16</v>
      </c>
      <c r="E1417" t="s">
        <v>283</v>
      </c>
      <c r="F1417">
        <f t="shared" si="44"/>
        <v>2005</v>
      </c>
      <c r="G1417">
        <f t="shared" si="45"/>
        <v>7</v>
      </c>
      <c r="H1417" t="str">
        <f>IF(ISNUMBER(FIND(",", E1417)), TRIM(MID(E1417, FIND(",", E1417) + 1, LEN(E1417))), E1417)</f>
        <v>Balleny Islands region</v>
      </c>
    </row>
    <row r="1418" spans="1:8" x14ac:dyDescent="0.25">
      <c r="A1418" s="2">
        <v>38557</v>
      </c>
      <c r="B1418">
        <v>7.89</v>
      </c>
      <c r="C1418">
        <v>92.18</v>
      </c>
      <c r="D1418" t="s">
        <v>16</v>
      </c>
      <c r="E1418" t="s">
        <v>322</v>
      </c>
      <c r="F1418">
        <f t="shared" si="44"/>
        <v>2005</v>
      </c>
      <c r="G1418">
        <f t="shared" si="45"/>
        <v>7</v>
      </c>
      <c r="H1418" t="str">
        <f>IF(ISNUMBER(FIND(",", E1418)), TRIM(MID(E1418, FIND(",", E1418) + 1, LEN(E1418))), E1418)</f>
        <v>India region</v>
      </c>
    </row>
    <row r="1419" spans="1:8" x14ac:dyDescent="0.25">
      <c r="A1419" s="2">
        <v>38556</v>
      </c>
      <c r="B1419">
        <v>-30.27</v>
      </c>
      <c r="C1419">
        <v>-177.87</v>
      </c>
      <c r="D1419" t="s">
        <v>16</v>
      </c>
      <c r="E1419" t="s">
        <v>288</v>
      </c>
      <c r="F1419">
        <f t="shared" si="44"/>
        <v>2005</v>
      </c>
      <c r="G1419">
        <f t="shared" si="45"/>
        <v>7</v>
      </c>
      <c r="H1419" t="str">
        <f>IF(ISNUMBER(FIND(",", E1419)), TRIM(MID(E1419, FIND(",", E1419) + 1, LEN(E1419))), E1419)</f>
        <v>New Zealand</v>
      </c>
    </row>
    <row r="1420" spans="1:8" x14ac:dyDescent="0.25">
      <c r="A1420" s="2">
        <v>38543</v>
      </c>
      <c r="B1420">
        <v>-36.29</v>
      </c>
      <c r="C1420">
        <v>-97.28</v>
      </c>
      <c r="D1420" t="s">
        <v>16</v>
      </c>
      <c r="E1420" t="s">
        <v>71</v>
      </c>
      <c r="F1420">
        <f t="shared" si="44"/>
        <v>2005</v>
      </c>
      <c r="G1420">
        <f t="shared" si="45"/>
        <v>7</v>
      </c>
      <c r="H1420" t="str">
        <f>IF(ISNUMBER(FIND(",", E1420)), TRIM(MID(E1420, FIND(",", E1420) + 1, LEN(E1420))), E1420)</f>
        <v>West Chile Rise</v>
      </c>
    </row>
    <row r="1421" spans="1:8" x14ac:dyDescent="0.25">
      <c r="A1421" s="2">
        <v>38538</v>
      </c>
      <c r="B1421">
        <v>1.78</v>
      </c>
      <c r="C1421">
        <v>97.05</v>
      </c>
      <c r="D1421" t="s">
        <v>16</v>
      </c>
      <c r="E1421" t="s">
        <v>295</v>
      </c>
      <c r="F1421">
        <f t="shared" si="44"/>
        <v>2005</v>
      </c>
      <c r="G1421">
        <f t="shared" si="45"/>
        <v>7</v>
      </c>
      <c r="H1421" t="str">
        <f>IF(ISNUMBER(FIND(",", E1421)), TRIM(MID(E1421, FIND(",", E1421) + 1, LEN(E1421))), E1421)</f>
        <v>Indonesia</v>
      </c>
    </row>
    <row r="1422" spans="1:8" x14ac:dyDescent="0.25">
      <c r="A1422" s="2">
        <v>38537</v>
      </c>
      <c r="B1422">
        <v>-42.3</v>
      </c>
      <c r="C1422">
        <v>42.43</v>
      </c>
      <c r="D1422" t="s">
        <v>16</v>
      </c>
      <c r="E1422" t="s">
        <v>369</v>
      </c>
      <c r="F1422">
        <f t="shared" si="44"/>
        <v>2005</v>
      </c>
      <c r="G1422">
        <f t="shared" si="45"/>
        <v>7</v>
      </c>
      <c r="H1422" t="str">
        <f>IF(ISNUMBER(FIND(",", E1422)), TRIM(MID(E1422, FIND(",", E1422) + 1, LEN(E1422))), E1422)</f>
        <v>Prince Edward Islands region</v>
      </c>
    </row>
    <row r="1423" spans="1:8" x14ac:dyDescent="0.25">
      <c r="A1423" s="2">
        <v>38535</v>
      </c>
      <c r="B1423">
        <v>11.27</v>
      </c>
      <c r="C1423">
        <v>-86.24</v>
      </c>
      <c r="D1423" t="s">
        <v>16</v>
      </c>
      <c r="E1423" t="s">
        <v>448</v>
      </c>
      <c r="F1423">
        <f t="shared" si="44"/>
        <v>2005</v>
      </c>
      <c r="G1423">
        <f t="shared" si="45"/>
        <v>7</v>
      </c>
      <c r="H1423" t="str">
        <f>IF(ISNUMBER(FIND(",", E1423)), TRIM(MID(E1423, FIND(",", E1423) + 1, LEN(E1423))), E1423)</f>
        <v>near the coast of Nicaragua</v>
      </c>
    </row>
    <row r="1424" spans="1:8" x14ac:dyDescent="0.25">
      <c r="A1424" s="2">
        <v>38530</v>
      </c>
      <c r="B1424">
        <v>18.84</v>
      </c>
      <c r="C1424">
        <v>-107.32</v>
      </c>
      <c r="D1424" t="s">
        <v>16</v>
      </c>
      <c r="E1424" t="s">
        <v>315</v>
      </c>
      <c r="F1424">
        <f t="shared" si="44"/>
        <v>2005</v>
      </c>
      <c r="G1424">
        <f t="shared" si="45"/>
        <v>6</v>
      </c>
      <c r="H1424" t="str">
        <f>IF(ISNUMBER(FIND(",", E1424)), TRIM(MID(E1424, FIND(",", E1424) + 1, LEN(E1424))), E1424)</f>
        <v>Mexico</v>
      </c>
    </row>
    <row r="1425" spans="1:8" x14ac:dyDescent="0.25">
      <c r="A1425" s="2">
        <v>38520</v>
      </c>
      <c r="B1425">
        <v>40.67</v>
      </c>
      <c r="C1425">
        <v>-126.61</v>
      </c>
      <c r="D1425" t="s">
        <v>16</v>
      </c>
      <c r="E1425" t="s">
        <v>449</v>
      </c>
      <c r="F1425">
        <f t="shared" si="44"/>
        <v>2005</v>
      </c>
      <c r="G1425">
        <f t="shared" si="45"/>
        <v>6</v>
      </c>
      <c r="H1425" t="str">
        <f>IF(ISNUMBER(FIND(",", E1425)), TRIM(MID(E1425, FIND(",", E1425) + 1, LEN(E1425))), E1425)</f>
        <v>off the coast of Northern California</v>
      </c>
    </row>
    <row r="1426" spans="1:8" x14ac:dyDescent="0.25">
      <c r="A1426" s="2">
        <v>38518</v>
      </c>
      <c r="B1426">
        <v>-44.89</v>
      </c>
      <c r="C1426">
        <v>-80.55</v>
      </c>
      <c r="D1426" t="s">
        <v>16</v>
      </c>
      <c r="E1426" t="s">
        <v>194</v>
      </c>
      <c r="F1426">
        <f t="shared" si="44"/>
        <v>2005</v>
      </c>
      <c r="G1426">
        <f t="shared" si="45"/>
        <v>6</v>
      </c>
      <c r="H1426" t="str">
        <f>IF(ISNUMBER(FIND(",", E1426)), TRIM(MID(E1426, FIND(",", E1426) + 1, LEN(E1426))), E1426)</f>
        <v>Chile</v>
      </c>
    </row>
    <row r="1427" spans="1:8" x14ac:dyDescent="0.25">
      <c r="A1427" s="2">
        <v>38518</v>
      </c>
      <c r="B1427">
        <v>-4.58</v>
      </c>
      <c r="C1427">
        <v>153.22</v>
      </c>
      <c r="D1427" t="s">
        <v>16</v>
      </c>
      <c r="E1427" t="s">
        <v>183</v>
      </c>
      <c r="F1427">
        <f t="shared" si="44"/>
        <v>2005</v>
      </c>
      <c r="G1427">
        <f t="shared" si="45"/>
        <v>6</v>
      </c>
      <c r="H1427" t="str">
        <f>IF(ISNUMBER(FIND(",", E1427)), TRIM(MID(E1427, FIND(",", E1427) + 1, LEN(E1427))), E1427)</f>
        <v>Papua New Guinea</v>
      </c>
    </row>
    <row r="1428" spans="1:8" x14ac:dyDescent="0.25">
      <c r="A1428" s="2">
        <v>38518</v>
      </c>
      <c r="B1428">
        <v>41.2</v>
      </c>
      <c r="C1428">
        <v>-125.98</v>
      </c>
      <c r="D1428" t="s">
        <v>16</v>
      </c>
      <c r="E1428" t="s">
        <v>449</v>
      </c>
      <c r="F1428">
        <f t="shared" si="44"/>
        <v>2005</v>
      </c>
      <c r="G1428">
        <f t="shared" si="45"/>
        <v>6</v>
      </c>
      <c r="H1428" t="str">
        <f>IF(ISNUMBER(FIND(",", E1428)), TRIM(MID(E1428, FIND(",", E1428) + 1, LEN(E1428))), E1428)</f>
        <v>off the coast of Northern California</v>
      </c>
    </row>
    <row r="1429" spans="1:8" x14ac:dyDescent="0.25">
      <c r="A1429" s="2">
        <v>38517</v>
      </c>
      <c r="B1429">
        <v>51.21</v>
      </c>
      <c r="C1429">
        <v>179.38</v>
      </c>
      <c r="D1429" t="s">
        <v>16</v>
      </c>
      <c r="E1429" t="s">
        <v>366</v>
      </c>
      <c r="F1429">
        <f t="shared" si="44"/>
        <v>2005</v>
      </c>
      <c r="G1429">
        <f t="shared" si="45"/>
        <v>6</v>
      </c>
      <c r="H1429" t="str">
        <f>IF(ISNUMBER(FIND(",", E1429)), TRIM(MID(E1429, FIND(",", E1429) + 1, LEN(E1429))), E1429)</f>
        <v>Aleutian Islands, Alaska</v>
      </c>
    </row>
    <row r="1430" spans="1:8" x14ac:dyDescent="0.25">
      <c r="A1430" s="2">
        <v>38516</v>
      </c>
      <c r="B1430">
        <v>-20</v>
      </c>
      <c r="C1430">
        <v>-69.19</v>
      </c>
      <c r="D1430" t="s">
        <v>16</v>
      </c>
      <c r="E1430" t="s">
        <v>237</v>
      </c>
      <c r="F1430">
        <f t="shared" si="44"/>
        <v>2005</v>
      </c>
      <c r="G1430">
        <f t="shared" si="45"/>
        <v>6</v>
      </c>
      <c r="H1430" t="str">
        <f>IF(ISNUMBER(FIND(",", E1430)), TRIM(MID(E1430, FIND(",", E1430) + 1, LEN(E1430))), E1430)</f>
        <v>Chile</v>
      </c>
    </row>
    <row r="1431" spans="1:8" x14ac:dyDescent="0.25">
      <c r="A1431" s="2">
        <v>38515</v>
      </c>
      <c r="B1431">
        <v>-56.32</v>
      </c>
      <c r="C1431">
        <v>-27.1</v>
      </c>
      <c r="D1431" t="s">
        <v>16</v>
      </c>
      <c r="E1431" t="s">
        <v>260</v>
      </c>
      <c r="F1431">
        <f t="shared" si="44"/>
        <v>2005</v>
      </c>
      <c r="G1431">
        <f t="shared" si="45"/>
        <v>6</v>
      </c>
      <c r="H1431" t="str">
        <f>IF(ISNUMBER(FIND(",", E1431)), TRIM(MID(E1431, FIND(",", E1431) + 1, LEN(E1431))), E1431)</f>
        <v>South Sandwich Islands region</v>
      </c>
    </row>
    <row r="1432" spans="1:8" x14ac:dyDescent="0.25">
      <c r="A1432" s="2">
        <v>38511</v>
      </c>
      <c r="B1432">
        <v>2.16</v>
      </c>
      <c r="C1432">
        <v>96.69</v>
      </c>
      <c r="D1432" t="s">
        <v>16</v>
      </c>
      <c r="E1432" t="s">
        <v>222</v>
      </c>
      <c r="F1432">
        <f t="shared" si="44"/>
        <v>2005</v>
      </c>
      <c r="G1432">
        <f t="shared" si="45"/>
        <v>6</v>
      </c>
      <c r="H1432" t="str">
        <f>IF(ISNUMBER(FIND(",", E1432)), TRIM(MID(E1432, FIND(",", E1432) + 1, LEN(E1432))), E1432)</f>
        <v>Indonesia</v>
      </c>
    </row>
    <row r="1433" spans="1:8" x14ac:dyDescent="0.25">
      <c r="A1433" s="2">
        <v>38507</v>
      </c>
      <c r="B1433">
        <v>-6.34</v>
      </c>
      <c r="C1433">
        <v>146.83000000000001</v>
      </c>
      <c r="D1433" t="s">
        <v>16</v>
      </c>
      <c r="E1433" t="s">
        <v>243</v>
      </c>
      <c r="F1433">
        <f t="shared" si="44"/>
        <v>2005</v>
      </c>
      <c r="G1433">
        <f t="shared" si="45"/>
        <v>6</v>
      </c>
      <c r="H1433" t="str">
        <f>IF(ISNUMBER(FIND(",", E1433)), TRIM(MID(E1433, FIND(",", E1433) + 1, LEN(E1433))), E1433)</f>
        <v>Papua New Guinea</v>
      </c>
    </row>
    <row r="1434" spans="1:8" x14ac:dyDescent="0.25">
      <c r="A1434" s="2">
        <v>38505</v>
      </c>
      <c r="B1434">
        <v>-24.23</v>
      </c>
      <c r="C1434">
        <v>-67.010000000000005</v>
      </c>
      <c r="D1434" t="s">
        <v>16</v>
      </c>
      <c r="E1434" t="s">
        <v>337</v>
      </c>
      <c r="F1434">
        <f t="shared" si="44"/>
        <v>2005</v>
      </c>
      <c r="G1434">
        <f t="shared" si="45"/>
        <v>6</v>
      </c>
      <c r="H1434" t="str">
        <f>IF(ISNUMBER(FIND(",", E1434)), TRIM(MID(E1434, FIND(",", E1434) + 1, LEN(E1434))), E1434)</f>
        <v>Argentina</v>
      </c>
    </row>
    <row r="1435" spans="1:8" x14ac:dyDescent="0.25">
      <c r="A1435" s="2">
        <v>38493</v>
      </c>
      <c r="B1435">
        <v>-3.27</v>
      </c>
      <c r="C1435">
        <v>-80.959999999999994</v>
      </c>
      <c r="D1435" t="s">
        <v>16</v>
      </c>
      <c r="E1435" t="s">
        <v>414</v>
      </c>
      <c r="F1435">
        <f t="shared" si="44"/>
        <v>2005</v>
      </c>
      <c r="G1435">
        <f t="shared" si="45"/>
        <v>5</v>
      </c>
      <c r="H1435" t="str">
        <f>IF(ISNUMBER(FIND(",", E1435)), TRIM(MID(E1435, FIND(",", E1435) + 1, LEN(E1435))), E1435)</f>
        <v>Peru-Ecuador border region</v>
      </c>
    </row>
    <row r="1436" spans="1:8" x14ac:dyDescent="0.25">
      <c r="A1436" s="2">
        <v>38491</v>
      </c>
      <c r="B1436">
        <v>1.97</v>
      </c>
      <c r="C1436">
        <v>96.99</v>
      </c>
      <c r="D1436" t="s">
        <v>16</v>
      </c>
      <c r="E1436" t="s">
        <v>295</v>
      </c>
      <c r="F1436">
        <f t="shared" si="44"/>
        <v>2005</v>
      </c>
      <c r="G1436">
        <f t="shared" si="45"/>
        <v>5</v>
      </c>
      <c r="H1436" t="str">
        <f>IF(ISNUMBER(FIND(",", E1436)), TRIM(MID(E1436, FIND(",", E1436) + 1, LEN(E1436))), E1436)</f>
        <v>Indonesia</v>
      </c>
    </row>
    <row r="1437" spans="1:8" x14ac:dyDescent="0.25">
      <c r="A1437" s="2">
        <v>38490</v>
      </c>
      <c r="B1437">
        <v>5.4390000000000001</v>
      </c>
      <c r="C1437">
        <v>93.356999999999999</v>
      </c>
      <c r="D1437" t="s">
        <v>5</v>
      </c>
      <c r="E1437" t="s">
        <v>245</v>
      </c>
      <c r="F1437">
        <f t="shared" si="44"/>
        <v>2005</v>
      </c>
      <c r="G1437">
        <f t="shared" si="45"/>
        <v>5</v>
      </c>
      <c r="H1437" t="str">
        <f>IF(ISNUMBER(FIND(",", E1437)), TRIM(MID(E1437, FIND(",", E1437) + 1, LEN(E1437))), E1437)</f>
        <v>off the west coast of northern Sumatra</v>
      </c>
    </row>
    <row r="1438" spans="1:8" x14ac:dyDescent="0.25">
      <c r="A1438" s="2">
        <v>38490</v>
      </c>
      <c r="B1438">
        <v>5.58</v>
      </c>
      <c r="C1438">
        <v>93.31</v>
      </c>
      <c r="D1438" t="s">
        <v>16</v>
      </c>
      <c r="E1438" t="s">
        <v>245</v>
      </c>
      <c r="F1438">
        <f t="shared" si="44"/>
        <v>2005</v>
      </c>
      <c r="G1438">
        <f t="shared" si="45"/>
        <v>5</v>
      </c>
      <c r="H1438" t="str">
        <f>IF(ISNUMBER(FIND(",", E1438)), TRIM(MID(E1438, FIND(",", E1438) + 1, LEN(E1438))), E1438)</f>
        <v>off the west coast of northern Sumatra</v>
      </c>
    </row>
    <row r="1439" spans="1:8" x14ac:dyDescent="0.25">
      <c r="A1439" s="2">
        <v>38490</v>
      </c>
      <c r="B1439">
        <v>-15.34</v>
      </c>
      <c r="C1439">
        <v>-173.17</v>
      </c>
      <c r="D1439" t="s">
        <v>16</v>
      </c>
      <c r="E1439" t="s">
        <v>239</v>
      </c>
      <c r="F1439">
        <f t="shared" si="44"/>
        <v>2005</v>
      </c>
      <c r="G1439">
        <f t="shared" si="45"/>
        <v>5</v>
      </c>
      <c r="H1439" t="str">
        <f>IF(ISNUMBER(FIND(",", E1439)), TRIM(MID(E1439, FIND(",", E1439) + 1, LEN(E1439))), E1439)</f>
        <v>Tonga</v>
      </c>
    </row>
    <row r="1440" spans="1:8" x14ac:dyDescent="0.25">
      <c r="A1440" s="2">
        <v>38490</v>
      </c>
      <c r="B1440">
        <v>-56.39</v>
      </c>
      <c r="C1440">
        <v>-26.89</v>
      </c>
      <c r="D1440" t="s">
        <v>16</v>
      </c>
      <c r="E1440" t="s">
        <v>260</v>
      </c>
      <c r="F1440">
        <f t="shared" si="44"/>
        <v>2005</v>
      </c>
      <c r="G1440">
        <f t="shared" si="45"/>
        <v>5</v>
      </c>
      <c r="H1440" t="str">
        <f>IF(ISNUMBER(FIND(",", E1440)), TRIM(MID(E1440, FIND(",", E1440) + 1, LEN(E1440))), E1440)</f>
        <v>South Sandwich Islands region</v>
      </c>
    </row>
    <row r="1441" spans="1:8" x14ac:dyDescent="0.25">
      <c r="A1441" s="2">
        <v>38488</v>
      </c>
      <c r="B1441">
        <v>-32.86</v>
      </c>
      <c r="C1441">
        <v>-179.19</v>
      </c>
      <c r="D1441" t="s">
        <v>16</v>
      </c>
      <c r="E1441" t="s">
        <v>262</v>
      </c>
      <c r="F1441">
        <f t="shared" si="44"/>
        <v>2005</v>
      </c>
      <c r="G1441">
        <f t="shared" si="45"/>
        <v>5</v>
      </c>
      <c r="H1441" t="str">
        <f>IF(ISNUMBER(FIND(",", E1441)), TRIM(MID(E1441, FIND(",", E1441) + 1, LEN(E1441))), E1441)</f>
        <v>south of the Kermadec Islands</v>
      </c>
    </row>
    <row r="1442" spans="1:8" x14ac:dyDescent="0.25">
      <c r="A1442" s="2">
        <v>38486</v>
      </c>
      <c r="B1442">
        <v>0.51</v>
      </c>
      <c r="C1442">
        <v>98.36</v>
      </c>
      <c r="D1442" t="s">
        <v>16</v>
      </c>
      <c r="E1442" t="s">
        <v>295</v>
      </c>
      <c r="F1442">
        <f t="shared" si="44"/>
        <v>2005</v>
      </c>
      <c r="G1442">
        <f t="shared" si="45"/>
        <v>5</v>
      </c>
      <c r="H1442" t="str">
        <f>IF(ISNUMBER(FIND(",", E1442)), TRIM(MID(E1442, FIND(",", E1442) + 1, LEN(E1442))), E1442)</f>
        <v>Indonesia</v>
      </c>
    </row>
    <row r="1443" spans="1:8" x14ac:dyDescent="0.25">
      <c r="A1443" s="2">
        <v>38484</v>
      </c>
      <c r="B1443">
        <v>-57.32</v>
      </c>
      <c r="C1443">
        <v>-139.16</v>
      </c>
      <c r="D1443" t="s">
        <v>16</v>
      </c>
      <c r="E1443" t="s">
        <v>179</v>
      </c>
      <c r="F1443">
        <f t="shared" si="44"/>
        <v>2005</v>
      </c>
      <c r="G1443">
        <f t="shared" si="45"/>
        <v>5</v>
      </c>
      <c r="H1443" t="str">
        <f>IF(ISNUMBER(FIND(",", E1443)), TRIM(MID(E1443, FIND(",", E1443) + 1, LEN(E1443))), E1443)</f>
        <v>Pacific-Antarctic Ridge</v>
      </c>
    </row>
    <row r="1444" spans="1:8" x14ac:dyDescent="0.25">
      <c r="A1444" s="2">
        <v>38482</v>
      </c>
      <c r="B1444">
        <v>-6.22</v>
      </c>
      <c r="C1444">
        <v>103.11</v>
      </c>
      <c r="D1444" t="s">
        <v>16</v>
      </c>
      <c r="E1444" t="s">
        <v>450</v>
      </c>
      <c r="F1444">
        <f t="shared" si="44"/>
        <v>2005</v>
      </c>
      <c r="G1444">
        <f t="shared" si="45"/>
        <v>5</v>
      </c>
      <c r="H1444" t="str">
        <f>IF(ISNUMBER(FIND(",", E1444)), TRIM(MID(E1444, FIND(",", E1444) + 1, LEN(E1444))), E1444)</f>
        <v>Indonesia</v>
      </c>
    </row>
    <row r="1445" spans="1:8" x14ac:dyDescent="0.25">
      <c r="A1445" s="2">
        <v>38477</v>
      </c>
      <c r="B1445">
        <v>5.93</v>
      </c>
      <c r="C1445">
        <v>-82.73</v>
      </c>
      <c r="D1445" t="s">
        <v>16</v>
      </c>
      <c r="E1445" t="s">
        <v>231</v>
      </c>
      <c r="F1445">
        <f t="shared" si="44"/>
        <v>2005</v>
      </c>
      <c r="G1445">
        <f t="shared" si="45"/>
        <v>5</v>
      </c>
      <c r="H1445" t="str">
        <f>IF(ISNUMBER(FIND(",", E1445)), TRIM(MID(E1445, FIND(",", E1445) + 1, LEN(E1445))), E1445)</f>
        <v>south of Panama</v>
      </c>
    </row>
    <row r="1446" spans="1:8" x14ac:dyDescent="0.25">
      <c r="A1446" s="2">
        <v>38470</v>
      </c>
      <c r="B1446">
        <v>2.11</v>
      </c>
      <c r="C1446">
        <v>96.76</v>
      </c>
      <c r="D1446" t="s">
        <v>16</v>
      </c>
      <c r="E1446" t="s">
        <v>222</v>
      </c>
      <c r="F1446">
        <f t="shared" si="44"/>
        <v>2005</v>
      </c>
      <c r="G1446">
        <f t="shared" si="45"/>
        <v>4</v>
      </c>
      <c r="H1446" t="str">
        <f>IF(ISNUMBER(FIND(",", E1446)), TRIM(MID(E1446, FIND(",", E1446) + 1, LEN(E1446))), E1446)</f>
        <v>Indonesia</v>
      </c>
    </row>
    <row r="1447" spans="1:8" x14ac:dyDescent="0.25">
      <c r="A1447" s="2">
        <v>38458</v>
      </c>
      <c r="B1447">
        <v>1.84</v>
      </c>
      <c r="C1447">
        <v>97.62</v>
      </c>
      <c r="D1447" t="s">
        <v>16</v>
      </c>
      <c r="E1447" t="s">
        <v>295</v>
      </c>
      <c r="F1447">
        <f t="shared" si="44"/>
        <v>2005</v>
      </c>
      <c r="G1447">
        <f t="shared" si="45"/>
        <v>4</v>
      </c>
      <c r="H1447" t="str">
        <f>IF(ISNUMBER(FIND(",", E1447)), TRIM(MID(E1447, FIND(",", E1447) + 1, LEN(E1447))), E1447)</f>
        <v>Indonesia</v>
      </c>
    </row>
    <row r="1448" spans="1:8" x14ac:dyDescent="0.25">
      <c r="A1448" s="2">
        <v>38453</v>
      </c>
      <c r="B1448">
        <v>-22.01</v>
      </c>
      <c r="C1448">
        <v>170.63</v>
      </c>
      <c r="D1448" t="s">
        <v>16</v>
      </c>
      <c r="E1448" t="s">
        <v>254</v>
      </c>
      <c r="F1448">
        <f t="shared" si="44"/>
        <v>2005</v>
      </c>
      <c r="G1448">
        <f t="shared" si="45"/>
        <v>4</v>
      </c>
      <c r="H1448" t="str">
        <f>IF(ISNUMBER(FIND(",", E1448)), TRIM(MID(E1448, FIND(",", E1448) + 1, LEN(E1448))), E1448)</f>
        <v>southeast of the Loyalty Islands</v>
      </c>
    </row>
    <row r="1449" spans="1:8" x14ac:dyDescent="0.25">
      <c r="A1449" s="2">
        <v>38453</v>
      </c>
      <c r="B1449">
        <v>-7.35</v>
      </c>
      <c r="C1449">
        <v>-77.900000000000006</v>
      </c>
      <c r="D1449" t="s">
        <v>16</v>
      </c>
      <c r="E1449" t="s">
        <v>277</v>
      </c>
      <c r="F1449">
        <f t="shared" si="44"/>
        <v>2005</v>
      </c>
      <c r="G1449">
        <f t="shared" si="45"/>
        <v>4</v>
      </c>
      <c r="H1449" t="str">
        <f>IF(ISNUMBER(FIND(",", E1449)), TRIM(MID(E1449, FIND(",", E1449) + 1, LEN(E1449))), E1449)</f>
        <v>northern Peru</v>
      </c>
    </row>
    <row r="1450" spans="1:8" x14ac:dyDescent="0.25">
      <c r="A1450" s="2">
        <v>38453</v>
      </c>
      <c r="B1450">
        <v>-3.46</v>
      </c>
      <c r="C1450">
        <v>145.99</v>
      </c>
      <c r="D1450" t="s">
        <v>16</v>
      </c>
      <c r="E1450" t="s">
        <v>216</v>
      </c>
      <c r="F1450">
        <f t="shared" si="44"/>
        <v>2005</v>
      </c>
      <c r="G1450">
        <f t="shared" si="45"/>
        <v>4</v>
      </c>
      <c r="H1450" t="str">
        <f>IF(ISNUMBER(FIND(",", E1450)), TRIM(MID(E1450, FIND(",", E1450) + 1, LEN(E1450))), E1450)</f>
        <v>Papua New Guinea</v>
      </c>
    </row>
    <row r="1451" spans="1:8" x14ac:dyDescent="0.25">
      <c r="A1451" s="2">
        <v>38453</v>
      </c>
      <c r="B1451">
        <v>2.13</v>
      </c>
      <c r="C1451">
        <v>96.71</v>
      </c>
      <c r="D1451" t="s">
        <v>16</v>
      </c>
      <c r="E1451" t="s">
        <v>222</v>
      </c>
      <c r="F1451">
        <f t="shared" si="44"/>
        <v>2005</v>
      </c>
      <c r="G1451">
        <f t="shared" si="45"/>
        <v>4</v>
      </c>
      <c r="H1451" t="str">
        <f>IF(ISNUMBER(FIND(",", E1451)), TRIM(MID(E1451, FIND(",", E1451) + 1, LEN(E1451))), E1451)</f>
        <v>Indonesia</v>
      </c>
    </row>
    <row r="1452" spans="1:8" x14ac:dyDescent="0.25">
      <c r="A1452" s="2">
        <v>38452</v>
      </c>
      <c r="B1452">
        <v>-1.61</v>
      </c>
      <c r="C1452">
        <v>99.68</v>
      </c>
      <c r="D1452" t="s">
        <v>16</v>
      </c>
      <c r="E1452" t="s">
        <v>209</v>
      </c>
      <c r="F1452">
        <f t="shared" si="44"/>
        <v>2005</v>
      </c>
      <c r="G1452">
        <f t="shared" si="45"/>
        <v>4</v>
      </c>
      <c r="H1452" t="str">
        <f>IF(ISNUMBER(FIND(",", E1452)), TRIM(MID(E1452, FIND(",", E1452) + 1, LEN(E1452))), E1452)</f>
        <v>Indonesia</v>
      </c>
    </row>
    <row r="1453" spans="1:8" x14ac:dyDescent="0.25">
      <c r="A1453" s="2">
        <v>38452</v>
      </c>
      <c r="B1453">
        <v>-1.74</v>
      </c>
      <c r="C1453">
        <v>99.69</v>
      </c>
      <c r="D1453" t="s">
        <v>16</v>
      </c>
      <c r="E1453" t="s">
        <v>209</v>
      </c>
      <c r="F1453">
        <f t="shared" si="44"/>
        <v>2005</v>
      </c>
      <c r="G1453">
        <f t="shared" si="45"/>
        <v>4</v>
      </c>
      <c r="H1453" t="str">
        <f>IF(ISNUMBER(FIND(",", E1453)), TRIM(MID(E1453, FIND(",", E1453) + 1, LEN(E1453))), E1453)</f>
        <v>Indonesia</v>
      </c>
    </row>
    <row r="1454" spans="1:8" x14ac:dyDescent="0.25">
      <c r="A1454" s="2">
        <v>38452</v>
      </c>
      <c r="B1454">
        <v>-1.68</v>
      </c>
      <c r="C1454">
        <v>99.55</v>
      </c>
      <c r="D1454" t="s">
        <v>16</v>
      </c>
      <c r="E1454" t="s">
        <v>209</v>
      </c>
      <c r="F1454">
        <f t="shared" si="44"/>
        <v>2005</v>
      </c>
      <c r="G1454">
        <f t="shared" si="45"/>
        <v>4</v>
      </c>
      <c r="H1454" t="str">
        <f>IF(ISNUMBER(FIND(",", E1454)), TRIM(MID(E1454, FIND(",", E1454) + 1, LEN(E1454))), E1454)</f>
        <v>Indonesia</v>
      </c>
    </row>
    <row r="1455" spans="1:8" x14ac:dyDescent="0.25">
      <c r="A1455" s="2">
        <v>38450</v>
      </c>
      <c r="B1455">
        <v>-0.25</v>
      </c>
      <c r="C1455">
        <v>97.7</v>
      </c>
      <c r="D1455" t="s">
        <v>16</v>
      </c>
      <c r="E1455" t="s">
        <v>451</v>
      </c>
      <c r="F1455">
        <f t="shared" si="44"/>
        <v>2005</v>
      </c>
      <c r="G1455">
        <f t="shared" si="45"/>
        <v>4</v>
      </c>
      <c r="H1455" t="str">
        <f>IF(ISNUMBER(FIND(",", E1455)), TRIM(MID(E1455, FIND(",", E1455) + 1, LEN(E1455))), E1455)</f>
        <v>Indonesia</v>
      </c>
    </row>
    <row r="1456" spans="1:8" x14ac:dyDescent="0.25">
      <c r="A1456" s="2">
        <v>38449</v>
      </c>
      <c r="B1456">
        <v>30.44</v>
      </c>
      <c r="C1456">
        <v>83.61</v>
      </c>
      <c r="D1456" t="s">
        <v>16</v>
      </c>
      <c r="E1456" t="s">
        <v>388</v>
      </c>
      <c r="F1456">
        <f t="shared" si="44"/>
        <v>2005</v>
      </c>
      <c r="G1456">
        <f t="shared" si="45"/>
        <v>4</v>
      </c>
      <c r="H1456" t="str">
        <f>IF(ISNUMBER(FIND(",", E1456)), TRIM(MID(E1456, FIND(",", E1456) + 1, LEN(E1456))), E1456)</f>
        <v>western Xizang</v>
      </c>
    </row>
    <row r="1457" spans="1:8" x14ac:dyDescent="0.25">
      <c r="A1457" s="2">
        <v>38445</v>
      </c>
      <c r="B1457">
        <v>1.97</v>
      </c>
      <c r="C1457">
        <v>97.89</v>
      </c>
      <c r="D1457" t="s">
        <v>16</v>
      </c>
      <c r="E1457" t="s">
        <v>295</v>
      </c>
      <c r="F1457">
        <f t="shared" si="44"/>
        <v>2005</v>
      </c>
      <c r="G1457">
        <f t="shared" si="45"/>
        <v>4</v>
      </c>
      <c r="H1457" t="str">
        <f>IF(ISNUMBER(FIND(",", E1457)), TRIM(MID(E1457, FIND(",", E1457) + 1, LEN(E1457))), E1457)</f>
        <v>Indonesia</v>
      </c>
    </row>
    <row r="1458" spans="1:8" x14ac:dyDescent="0.25">
      <c r="A1458" s="2">
        <v>38445</v>
      </c>
      <c r="B1458">
        <v>0.37</v>
      </c>
      <c r="C1458">
        <v>98.3</v>
      </c>
      <c r="D1458" t="s">
        <v>16</v>
      </c>
      <c r="E1458" t="s">
        <v>295</v>
      </c>
      <c r="F1458">
        <f t="shared" si="44"/>
        <v>2005</v>
      </c>
      <c r="G1458">
        <f t="shared" si="45"/>
        <v>4</v>
      </c>
      <c r="H1458" t="str">
        <f>IF(ISNUMBER(FIND(",", E1458)), TRIM(MID(E1458, FIND(",", E1458) + 1, LEN(E1458))), E1458)</f>
        <v>Indonesia</v>
      </c>
    </row>
    <row r="1459" spans="1:8" x14ac:dyDescent="0.25">
      <c r="A1459" s="2">
        <v>38444</v>
      </c>
      <c r="B1459">
        <v>78.61</v>
      </c>
      <c r="C1459">
        <v>6.12</v>
      </c>
      <c r="D1459" t="s">
        <v>16</v>
      </c>
      <c r="E1459" t="s">
        <v>407</v>
      </c>
      <c r="F1459">
        <f t="shared" si="44"/>
        <v>2005</v>
      </c>
      <c r="G1459">
        <f t="shared" si="45"/>
        <v>4</v>
      </c>
      <c r="H1459" t="str">
        <f>IF(ISNUMBER(FIND(",", E1459)), TRIM(MID(E1459, FIND(",", E1459) + 1, LEN(E1459))), E1459)</f>
        <v>Svalbard region</v>
      </c>
    </row>
    <row r="1460" spans="1:8" x14ac:dyDescent="0.25">
      <c r="A1460" s="2">
        <v>38442</v>
      </c>
      <c r="B1460">
        <v>-18.440000000000001</v>
      </c>
      <c r="C1460">
        <v>176.09</v>
      </c>
      <c r="D1460" t="s">
        <v>16</v>
      </c>
      <c r="E1460" t="s">
        <v>53</v>
      </c>
      <c r="F1460">
        <f t="shared" si="44"/>
        <v>2005</v>
      </c>
      <c r="G1460">
        <f t="shared" si="45"/>
        <v>3</v>
      </c>
      <c r="H1460" t="str">
        <f>IF(ISNUMBER(FIND(",", E1460)), TRIM(MID(E1460, FIND(",", E1460) + 1, LEN(E1460))), E1460)</f>
        <v>Fiji region</v>
      </c>
    </row>
    <row r="1461" spans="1:8" x14ac:dyDescent="0.25">
      <c r="A1461" s="2">
        <v>38441</v>
      </c>
      <c r="B1461">
        <v>-22.45</v>
      </c>
      <c r="C1461">
        <v>-179.67</v>
      </c>
      <c r="D1461" t="s">
        <v>16</v>
      </c>
      <c r="E1461" t="s">
        <v>256</v>
      </c>
      <c r="F1461">
        <f t="shared" si="44"/>
        <v>2005</v>
      </c>
      <c r="G1461">
        <f t="shared" si="45"/>
        <v>3</v>
      </c>
      <c r="H1461" t="str">
        <f>IF(ISNUMBER(FIND(",", E1461)), TRIM(MID(E1461, FIND(",", E1461) + 1, LEN(E1461))), E1461)</f>
        <v>south of the Fiji Islands</v>
      </c>
    </row>
    <row r="1462" spans="1:8" x14ac:dyDescent="0.25">
      <c r="A1462" s="2">
        <v>38441</v>
      </c>
      <c r="B1462">
        <v>2.95</v>
      </c>
      <c r="C1462">
        <v>95.41</v>
      </c>
      <c r="D1462" t="s">
        <v>16</v>
      </c>
      <c r="E1462" t="s">
        <v>222</v>
      </c>
      <c r="F1462">
        <f t="shared" si="44"/>
        <v>2005</v>
      </c>
      <c r="G1462">
        <f t="shared" si="45"/>
        <v>3</v>
      </c>
      <c r="H1462" t="str">
        <f>IF(ISNUMBER(FIND(",", E1462)), TRIM(MID(E1462, FIND(",", E1462) + 1, LEN(E1462))), E1462)</f>
        <v>Indonesia</v>
      </c>
    </row>
    <row r="1463" spans="1:8" x14ac:dyDescent="0.25">
      <c r="A1463" s="2">
        <v>38439</v>
      </c>
      <c r="B1463">
        <v>0.92300000000000004</v>
      </c>
      <c r="C1463">
        <v>97.867000000000004</v>
      </c>
      <c r="D1463" t="s">
        <v>13</v>
      </c>
      <c r="E1463" t="s">
        <v>295</v>
      </c>
      <c r="F1463">
        <f t="shared" si="44"/>
        <v>2005</v>
      </c>
      <c r="G1463">
        <f t="shared" si="45"/>
        <v>3</v>
      </c>
      <c r="H1463" t="str">
        <f>IF(ISNUMBER(FIND(",", E1463)), TRIM(MID(E1463, FIND(",", E1463) + 1, LEN(E1463))), E1463)</f>
        <v>Indonesia</v>
      </c>
    </row>
    <row r="1464" spans="1:8" x14ac:dyDescent="0.25">
      <c r="A1464" s="2">
        <v>38439</v>
      </c>
      <c r="B1464">
        <v>2.0499999999999998</v>
      </c>
      <c r="C1464">
        <v>97.06</v>
      </c>
      <c r="D1464" t="s">
        <v>16</v>
      </c>
      <c r="E1464" t="s">
        <v>226</v>
      </c>
      <c r="F1464">
        <f t="shared" si="44"/>
        <v>2005</v>
      </c>
      <c r="G1464">
        <f t="shared" si="45"/>
        <v>3</v>
      </c>
      <c r="H1464" t="str">
        <f>IF(ISNUMBER(FIND(",", E1464)), TRIM(MID(E1464, FIND(",", E1464) + 1, LEN(E1464))), E1464)</f>
        <v>Indonesia</v>
      </c>
    </row>
    <row r="1465" spans="1:8" x14ac:dyDescent="0.25">
      <c r="A1465" s="2">
        <v>38437</v>
      </c>
      <c r="B1465">
        <v>-4.97</v>
      </c>
      <c r="C1465">
        <v>129.9</v>
      </c>
      <c r="D1465" t="s">
        <v>16</v>
      </c>
      <c r="E1465" t="s">
        <v>187</v>
      </c>
      <c r="F1465">
        <f t="shared" si="44"/>
        <v>2005</v>
      </c>
      <c r="G1465">
        <f t="shared" si="45"/>
        <v>3</v>
      </c>
      <c r="H1465" t="str">
        <f>IF(ISNUMBER(FIND(",", E1465)), TRIM(MID(E1465, FIND(",", E1465) + 1, LEN(E1465))), E1465)</f>
        <v>Banda Sea</v>
      </c>
    </row>
    <row r="1466" spans="1:8" x14ac:dyDescent="0.25">
      <c r="A1466" s="2">
        <v>38432</v>
      </c>
      <c r="B1466">
        <v>-24.69</v>
      </c>
      <c r="C1466">
        <v>-63.48</v>
      </c>
      <c r="D1466" t="s">
        <v>16</v>
      </c>
      <c r="E1466" t="s">
        <v>337</v>
      </c>
      <c r="F1466">
        <f t="shared" si="44"/>
        <v>2005</v>
      </c>
      <c r="G1466">
        <f t="shared" si="45"/>
        <v>3</v>
      </c>
      <c r="H1466" t="str">
        <f>IF(ISNUMBER(FIND(",", E1466)), TRIM(MID(E1466, FIND(",", E1466) + 1, LEN(E1466))), E1466)</f>
        <v>Argentina</v>
      </c>
    </row>
    <row r="1467" spans="1:8" x14ac:dyDescent="0.25">
      <c r="A1467" s="2">
        <v>38432</v>
      </c>
      <c r="B1467">
        <v>-24.93</v>
      </c>
      <c r="C1467">
        <v>-63.43</v>
      </c>
      <c r="D1467" t="s">
        <v>16</v>
      </c>
      <c r="E1467" t="s">
        <v>337</v>
      </c>
      <c r="F1467">
        <f t="shared" si="44"/>
        <v>2005</v>
      </c>
      <c r="G1467">
        <f t="shared" si="45"/>
        <v>3</v>
      </c>
      <c r="H1467" t="str">
        <f>IF(ISNUMBER(FIND(",", E1467)), TRIM(MID(E1467, FIND(",", E1467) + 1, LEN(E1467))), E1467)</f>
        <v>Argentina</v>
      </c>
    </row>
    <row r="1468" spans="1:8" x14ac:dyDescent="0.25">
      <c r="A1468" s="2">
        <v>38431</v>
      </c>
      <c r="B1468">
        <v>33.799999999999997</v>
      </c>
      <c r="C1468">
        <v>130.26</v>
      </c>
      <c r="D1468" t="s">
        <v>16</v>
      </c>
      <c r="E1468" t="s">
        <v>357</v>
      </c>
      <c r="F1468">
        <f t="shared" si="44"/>
        <v>2005</v>
      </c>
      <c r="G1468">
        <f t="shared" si="45"/>
        <v>3</v>
      </c>
      <c r="H1468" t="str">
        <f>IF(ISNUMBER(FIND(",", E1468)), TRIM(MID(E1468, FIND(",", E1468) + 1, LEN(E1468))), E1468)</f>
        <v>Japan</v>
      </c>
    </row>
    <row r="1469" spans="1:8" x14ac:dyDescent="0.25">
      <c r="A1469" s="2">
        <v>38430</v>
      </c>
      <c r="B1469">
        <v>-21.91</v>
      </c>
      <c r="C1469">
        <v>-179.45</v>
      </c>
      <c r="D1469" t="s">
        <v>16</v>
      </c>
      <c r="E1469" t="s">
        <v>53</v>
      </c>
      <c r="F1469">
        <f t="shared" si="44"/>
        <v>2005</v>
      </c>
      <c r="G1469">
        <f t="shared" si="45"/>
        <v>3</v>
      </c>
      <c r="H1469" t="str">
        <f>IF(ISNUMBER(FIND(",", E1469)), TRIM(MID(E1469, FIND(",", E1469) + 1, LEN(E1469))), E1469)</f>
        <v>Fiji region</v>
      </c>
    </row>
    <row r="1470" spans="1:8" x14ac:dyDescent="0.25">
      <c r="A1470" s="2">
        <v>38430</v>
      </c>
      <c r="B1470">
        <v>-20.49</v>
      </c>
      <c r="C1470">
        <v>-174.19</v>
      </c>
      <c r="D1470" t="s">
        <v>16</v>
      </c>
      <c r="E1470" t="s">
        <v>239</v>
      </c>
      <c r="F1470">
        <f t="shared" si="44"/>
        <v>2005</v>
      </c>
      <c r="G1470">
        <f t="shared" si="45"/>
        <v>3</v>
      </c>
      <c r="H1470" t="str">
        <f>IF(ISNUMBER(FIND(",", E1470)), TRIM(MID(E1470, FIND(",", E1470) + 1, LEN(E1470))), E1470)</f>
        <v>Tonga</v>
      </c>
    </row>
    <row r="1471" spans="1:8" x14ac:dyDescent="0.25">
      <c r="A1471" s="2">
        <v>38428</v>
      </c>
      <c r="B1471">
        <v>15.18</v>
      </c>
      <c r="C1471">
        <v>-91.36</v>
      </c>
      <c r="D1471" t="s">
        <v>16</v>
      </c>
      <c r="E1471" t="s">
        <v>371</v>
      </c>
      <c r="F1471">
        <f t="shared" si="44"/>
        <v>2005</v>
      </c>
      <c r="G1471">
        <f t="shared" si="45"/>
        <v>3</v>
      </c>
      <c r="H1471" t="str">
        <f>IF(ISNUMBER(FIND(",", E1471)), TRIM(MID(E1471, FIND(",", E1471) + 1, LEN(E1471))), E1471)</f>
        <v>Guatemala</v>
      </c>
    </row>
    <row r="1472" spans="1:8" x14ac:dyDescent="0.25">
      <c r="A1472" s="2">
        <v>38424</v>
      </c>
      <c r="B1472">
        <v>27.07</v>
      </c>
      <c r="C1472">
        <v>61.86</v>
      </c>
      <c r="D1472" t="s">
        <v>16</v>
      </c>
      <c r="E1472" t="s">
        <v>305</v>
      </c>
      <c r="F1472">
        <f t="shared" si="44"/>
        <v>2005</v>
      </c>
      <c r="G1472">
        <f t="shared" si="45"/>
        <v>3</v>
      </c>
      <c r="H1472" t="str">
        <f>IF(ISNUMBER(FIND(",", E1472)), TRIM(MID(E1472, FIND(",", E1472) + 1, LEN(E1472))), E1472)</f>
        <v>southeastern Iran</v>
      </c>
    </row>
    <row r="1473" spans="1:8" x14ac:dyDescent="0.25">
      <c r="A1473" s="2">
        <v>38417</v>
      </c>
      <c r="B1473">
        <v>84.91</v>
      </c>
      <c r="C1473">
        <v>99.6</v>
      </c>
      <c r="D1473" t="s">
        <v>16</v>
      </c>
      <c r="E1473" t="s">
        <v>452</v>
      </c>
      <c r="F1473">
        <f t="shared" si="44"/>
        <v>2005</v>
      </c>
      <c r="G1473">
        <f t="shared" si="45"/>
        <v>3</v>
      </c>
      <c r="H1473" t="str">
        <f>IF(ISNUMBER(FIND(",", E1473)), TRIM(MID(E1473, FIND(",", E1473) + 1, LEN(E1473))), E1473)</f>
        <v>north of Severnaya Zemlya</v>
      </c>
    </row>
    <row r="1474" spans="1:8" x14ac:dyDescent="0.25">
      <c r="A1474" s="2">
        <v>38417</v>
      </c>
      <c r="B1474">
        <v>-11.04</v>
      </c>
      <c r="C1474">
        <v>163.09</v>
      </c>
      <c r="D1474" t="s">
        <v>16</v>
      </c>
      <c r="E1474" t="s">
        <v>221</v>
      </c>
      <c r="F1474">
        <f t="shared" ref="F1474:F1537" si="46">YEAR(A1474)</f>
        <v>2005</v>
      </c>
      <c r="G1474">
        <f t="shared" si="45"/>
        <v>3</v>
      </c>
      <c r="H1474" t="str">
        <f>IF(ISNUMBER(FIND(",", E1474)), TRIM(MID(E1474, FIND(",", E1474) + 1, LEN(E1474))), E1474)</f>
        <v>Solomon Islands</v>
      </c>
    </row>
    <row r="1475" spans="1:8" x14ac:dyDescent="0.25">
      <c r="A1475" s="2">
        <v>38413</v>
      </c>
      <c r="B1475">
        <v>-6.59</v>
      </c>
      <c r="C1475">
        <v>129.85</v>
      </c>
      <c r="D1475" t="s">
        <v>16</v>
      </c>
      <c r="E1475" t="s">
        <v>187</v>
      </c>
      <c r="F1475">
        <f t="shared" si="46"/>
        <v>2005</v>
      </c>
      <c r="G1475">
        <f t="shared" ref="G1475:G1538" si="47">MONTH(A1475)</f>
        <v>3</v>
      </c>
      <c r="H1475" t="str">
        <f>IF(ISNUMBER(FIND(",", E1475)), TRIM(MID(E1475, FIND(",", E1475) + 1, LEN(E1475))), E1475)</f>
        <v>Banda Sea</v>
      </c>
    </row>
    <row r="1476" spans="1:8" x14ac:dyDescent="0.25">
      <c r="A1476" s="2">
        <v>38409</v>
      </c>
      <c r="B1476">
        <v>2.84</v>
      </c>
      <c r="C1476">
        <v>95.5</v>
      </c>
      <c r="D1476" t="s">
        <v>16</v>
      </c>
      <c r="E1476" t="s">
        <v>222</v>
      </c>
      <c r="F1476">
        <f t="shared" si="46"/>
        <v>2005</v>
      </c>
      <c r="G1476">
        <f t="shared" si="47"/>
        <v>2</v>
      </c>
      <c r="H1476" t="str">
        <f>IF(ISNUMBER(FIND(",", E1476)), TRIM(MID(E1476, FIND(",", E1476) + 1, LEN(E1476))), E1476)</f>
        <v>Indonesia</v>
      </c>
    </row>
    <row r="1477" spans="1:8" x14ac:dyDescent="0.25">
      <c r="A1477" s="2">
        <v>38406</v>
      </c>
      <c r="B1477">
        <v>-6.25</v>
      </c>
      <c r="C1477">
        <v>150.71</v>
      </c>
      <c r="D1477" t="s">
        <v>16</v>
      </c>
      <c r="E1477" t="s">
        <v>190</v>
      </c>
      <c r="F1477">
        <f t="shared" si="46"/>
        <v>2005</v>
      </c>
      <c r="G1477">
        <f t="shared" si="47"/>
        <v>2</v>
      </c>
      <c r="H1477" t="str">
        <f>IF(ISNUMBER(FIND(",", E1477)), TRIM(MID(E1477, FIND(",", E1477) + 1, LEN(E1477))), E1477)</f>
        <v>Papua New Guinea</v>
      </c>
    </row>
    <row r="1478" spans="1:8" x14ac:dyDescent="0.25">
      <c r="A1478" s="2">
        <v>38405</v>
      </c>
      <c r="B1478">
        <v>30.71</v>
      </c>
      <c r="C1478">
        <v>56.77</v>
      </c>
      <c r="D1478" t="s">
        <v>16</v>
      </c>
      <c r="E1478" t="s">
        <v>453</v>
      </c>
      <c r="F1478">
        <f t="shared" si="46"/>
        <v>2005</v>
      </c>
      <c r="G1478">
        <f t="shared" si="47"/>
        <v>2</v>
      </c>
      <c r="H1478" t="str">
        <f>IF(ISNUMBER(FIND(",", E1478)), TRIM(MID(E1478, FIND(",", E1478) + 1, LEN(E1478))), E1478)</f>
        <v>central Iran</v>
      </c>
    </row>
    <row r="1479" spans="1:8" x14ac:dyDescent="0.25">
      <c r="A1479" s="2">
        <v>38402</v>
      </c>
      <c r="B1479">
        <v>-5.61</v>
      </c>
      <c r="C1479">
        <v>122.1</v>
      </c>
      <c r="D1479" t="s">
        <v>16</v>
      </c>
      <c r="E1479" t="s">
        <v>182</v>
      </c>
      <c r="F1479">
        <f t="shared" si="46"/>
        <v>2005</v>
      </c>
      <c r="G1479">
        <f t="shared" si="47"/>
        <v>2</v>
      </c>
      <c r="H1479" t="str">
        <f>IF(ISNUMBER(FIND(",", E1479)), TRIM(MID(E1479, FIND(",", E1479) + 1, LEN(E1479))), E1479)</f>
        <v>Indonesia</v>
      </c>
    </row>
    <row r="1480" spans="1:8" x14ac:dyDescent="0.25">
      <c r="A1480" s="2">
        <v>38399</v>
      </c>
      <c r="B1480">
        <v>-36.24</v>
      </c>
      <c r="C1480">
        <v>-16.440000000000001</v>
      </c>
      <c r="D1480" t="s">
        <v>16</v>
      </c>
      <c r="E1480" t="s">
        <v>422</v>
      </c>
      <c r="F1480">
        <f t="shared" si="46"/>
        <v>2005</v>
      </c>
      <c r="G1480">
        <f t="shared" si="47"/>
        <v>2</v>
      </c>
      <c r="H1480" t="str">
        <f>IF(ISNUMBER(FIND(",", E1480)), TRIM(MID(E1480, FIND(",", E1480) + 1, LEN(E1480))), E1480)</f>
        <v>southern Mid-Atlantic Ridge</v>
      </c>
    </row>
    <row r="1481" spans="1:8" x14ac:dyDescent="0.25">
      <c r="A1481" s="2">
        <v>38398</v>
      </c>
      <c r="B1481">
        <v>4.74</v>
      </c>
      <c r="C1481">
        <v>126.48</v>
      </c>
      <c r="D1481" t="s">
        <v>16</v>
      </c>
      <c r="E1481" t="s">
        <v>372</v>
      </c>
      <c r="F1481">
        <f t="shared" si="46"/>
        <v>2005</v>
      </c>
      <c r="G1481">
        <f t="shared" si="47"/>
        <v>2</v>
      </c>
      <c r="H1481" t="str">
        <f>IF(ISNUMBER(FIND(",", E1481)), TRIM(MID(E1481, FIND(",", E1481) + 1, LEN(E1481))), E1481)</f>
        <v>Indonesia</v>
      </c>
    </row>
    <row r="1482" spans="1:8" x14ac:dyDescent="0.25">
      <c r="A1482" s="2">
        <v>38397</v>
      </c>
      <c r="B1482">
        <v>41.68</v>
      </c>
      <c r="C1482">
        <v>79.36</v>
      </c>
      <c r="D1482" t="s">
        <v>16</v>
      </c>
      <c r="E1482" t="s">
        <v>454</v>
      </c>
      <c r="F1482">
        <f t="shared" si="46"/>
        <v>2005</v>
      </c>
      <c r="G1482">
        <f t="shared" si="47"/>
        <v>2</v>
      </c>
      <c r="H1482" t="str">
        <f>IF(ISNUMBER(FIND(",", E1482)), TRIM(MID(E1482, FIND(",", E1482) + 1, LEN(E1482))), E1482)</f>
        <v>Kyrgyzstan-Xinjiang border region</v>
      </c>
    </row>
    <row r="1483" spans="1:8" x14ac:dyDescent="0.25">
      <c r="A1483" s="2">
        <v>38393</v>
      </c>
      <c r="B1483">
        <v>-23.16</v>
      </c>
      <c r="C1483">
        <v>169.25</v>
      </c>
      <c r="D1483" t="s">
        <v>16</v>
      </c>
      <c r="E1483" t="s">
        <v>254</v>
      </c>
      <c r="F1483">
        <f t="shared" si="46"/>
        <v>2005</v>
      </c>
      <c r="G1483">
        <f t="shared" si="47"/>
        <v>2</v>
      </c>
      <c r="H1483" t="str">
        <f>IF(ISNUMBER(FIND(",", E1483)), TRIM(MID(E1483, FIND(",", E1483) + 1, LEN(E1483))), E1483)</f>
        <v>southeast of the Loyalty Islands</v>
      </c>
    </row>
    <row r="1484" spans="1:8" x14ac:dyDescent="0.25">
      <c r="A1484" s="2">
        <v>38392</v>
      </c>
      <c r="B1484">
        <v>26.08</v>
      </c>
      <c r="C1484">
        <v>144.08000000000001</v>
      </c>
      <c r="D1484" t="s">
        <v>16</v>
      </c>
      <c r="E1484" t="s">
        <v>233</v>
      </c>
      <c r="F1484">
        <f t="shared" si="46"/>
        <v>2005</v>
      </c>
      <c r="G1484">
        <f t="shared" si="47"/>
        <v>2</v>
      </c>
      <c r="H1484" t="str">
        <f>IF(ISNUMBER(FIND(",", E1484)), TRIM(MID(E1484, FIND(",", E1484) + 1, LEN(E1484))), E1484)</f>
        <v>Japan region</v>
      </c>
    </row>
    <row r="1485" spans="1:8" x14ac:dyDescent="0.25">
      <c r="A1485" s="2">
        <v>38392</v>
      </c>
      <c r="B1485">
        <v>4.76</v>
      </c>
      <c r="C1485">
        <v>95.1</v>
      </c>
      <c r="D1485" t="s">
        <v>16</v>
      </c>
      <c r="E1485" t="s">
        <v>226</v>
      </c>
      <c r="F1485">
        <f t="shared" si="46"/>
        <v>2005</v>
      </c>
      <c r="G1485">
        <f t="shared" si="47"/>
        <v>2</v>
      </c>
      <c r="H1485" t="str">
        <f>IF(ISNUMBER(FIND(",", E1485)), TRIM(MID(E1485, FIND(",", E1485) + 1, LEN(E1485))), E1485)</f>
        <v>Indonesia</v>
      </c>
    </row>
    <row r="1486" spans="1:8" x14ac:dyDescent="0.25">
      <c r="A1486" s="2">
        <v>38391</v>
      </c>
      <c r="B1486">
        <v>-14.26</v>
      </c>
      <c r="C1486">
        <v>167.33</v>
      </c>
      <c r="D1486" t="s">
        <v>16</v>
      </c>
      <c r="E1486" t="s">
        <v>181</v>
      </c>
      <c r="F1486">
        <f t="shared" si="46"/>
        <v>2005</v>
      </c>
      <c r="G1486">
        <f t="shared" si="47"/>
        <v>2</v>
      </c>
      <c r="H1486" t="str">
        <f>IF(ISNUMBER(FIND(",", E1486)), TRIM(MID(E1486, FIND(",", E1486) + 1, LEN(E1486))), E1486)</f>
        <v>Vanuatu</v>
      </c>
    </row>
    <row r="1487" spans="1:8" x14ac:dyDescent="0.25">
      <c r="A1487" s="2">
        <v>38390</v>
      </c>
      <c r="B1487">
        <v>-4.5199999999999996</v>
      </c>
      <c r="C1487">
        <v>153.24</v>
      </c>
      <c r="D1487" t="s">
        <v>16</v>
      </c>
      <c r="E1487" t="s">
        <v>183</v>
      </c>
      <c r="F1487">
        <f t="shared" si="46"/>
        <v>2005</v>
      </c>
      <c r="G1487">
        <f t="shared" si="47"/>
        <v>2</v>
      </c>
      <c r="H1487" t="str">
        <f>IF(ISNUMBER(FIND(",", E1487)), TRIM(MID(E1487, FIND(",", E1487) + 1, LEN(E1487))), E1487)</f>
        <v>Papua New Guinea</v>
      </c>
    </row>
    <row r="1488" spans="1:8" x14ac:dyDescent="0.25">
      <c r="A1488" s="2">
        <v>38388</v>
      </c>
      <c r="B1488">
        <v>5.28</v>
      </c>
      <c r="C1488">
        <v>123.36</v>
      </c>
      <c r="D1488" t="s">
        <v>16</v>
      </c>
      <c r="E1488" t="s">
        <v>203</v>
      </c>
      <c r="F1488">
        <f t="shared" si="46"/>
        <v>2005</v>
      </c>
      <c r="G1488">
        <f t="shared" si="47"/>
        <v>2</v>
      </c>
      <c r="H1488" t="str">
        <f>IF(ISNUMBER(FIND(",", E1488)), TRIM(MID(E1488, FIND(",", E1488) + 1, LEN(E1488))), E1488)</f>
        <v>Celebes Sea</v>
      </c>
    </row>
    <row r="1489" spans="1:8" x14ac:dyDescent="0.25">
      <c r="A1489" s="2">
        <v>38388</v>
      </c>
      <c r="B1489">
        <v>2.2400000000000002</v>
      </c>
      <c r="C1489">
        <v>94.92</v>
      </c>
      <c r="D1489" t="s">
        <v>16</v>
      </c>
      <c r="E1489" t="s">
        <v>245</v>
      </c>
      <c r="F1489">
        <f t="shared" si="46"/>
        <v>2005</v>
      </c>
      <c r="G1489">
        <f t="shared" si="47"/>
        <v>2</v>
      </c>
      <c r="H1489" t="str">
        <f>IF(ISNUMBER(FIND(",", E1489)), TRIM(MID(E1489, FIND(",", E1489) + 1, LEN(E1489))), E1489)</f>
        <v>off the west coast of northern Sumatra</v>
      </c>
    </row>
    <row r="1490" spans="1:8" x14ac:dyDescent="0.25">
      <c r="A1490" s="2">
        <v>38388</v>
      </c>
      <c r="B1490">
        <v>16.03</v>
      </c>
      <c r="C1490">
        <v>146</v>
      </c>
      <c r="D1490" t="s">
        <v>16</v>
      </c>
      <c r="E1490" t="s">
        <v>455</v>
      </c>
      <c r="F1490">
        <f t="shared" si="46"/>
        <v>2005</v>
      </c>
      <c r="G1490">
        <f t="shared" si="47"/>
        <v>2</v>
      </c>
      <c r="H1490" t="str">
        <f>IF(ISNUMBER(FIND(",", E1490)), TRIM(MID(E1490, FIND(",", E1490) + 1, LEN(E1490))), E1490)</f>
        <v>Northern Mariana Islands</v>
      </c>
    </row>
    <row r="1491" spans="1:8" x14ac:dyDescent="0.25">
      <c r="A1491" s="2">
        <v>38385</v>
      </c>
      <c r="B1491">
        <v>14.06</v>
      </c>
      <c r="C1491">
        <v>144.78</v>
      </c>
      <c r="D1491" t="s">
        <v>16</v>
      </c>
      <c r="E1491" t="s">
        <v>456</v>
      </c>
      <c r="F1491">
        <f t="shared" si="46"/>
        <v>2005</v>
      </c>
      <c r="G1491">
        <f t="shared" si="47"/>
        <v>2</v>
      </c>
      <c r="H1491" t="str">
        <f>IF(ISNUMBER(FIND(",", E1491)), TRIM(MID(E1491, FIND(",", E1491) + 1, LEN(E1491))), E1491)</f>
        <v>Northern Mariana Islands</v>
      </c>
    </row>
    <row r="1492" spans="1:8" x14ac:dyDescent="0.25">
      <c r="A1492" s="2">
        <v>38380</v>
      </c>
      <c r="B1492">
        <v>-1.18</v>
      </c>
      <c r="C1492">
        <v>-81.33</v>
      </c>
      <c r="D1492" t="s">
        <v>16</v>
      </c>
      <c r="E1492" t="s">
        <v>267</v>
      </c>
      <c r="F1492">
        <f t="shared" si="46"/>
        <v>2005</v>
      </c>
      <c r="G1492">
        <f t="shared" si="47"/>
        <v>1</v>
      </c>
      <c r="H1492" t="str">
        <f>IF(ISNUMBER(FIND(",", E1492)), TRIM(MID(E1492, FIND(",", E1492) + 1, LEN(E1492))), E1492)</f>
        <v>off the coast of Ecuador</v>
      </c>
    </row>
    <row r="1493" spans="1:8" x14ac:dyDescent="0.25">
      <c r="A1493" s="2">
        <v>38376</v>
      </c>
      <c r="B1493">
        <v>-1.36</v>
      </c>
      <c r="C1493">
        <v>-80.849999999999994</v>
      </c>
      <c r="D1493" t="s">
        <v>16</v>
      </c>
      <c r="E1493" t="s">
        <v>457</v>
      </c>
      <c r="F1493">
        <f t="shared" si="46"/>
        <v>2005</v>
      </c>
      <c r="G1493">
        <f t="shared" si="47"/>
        <v>1</v>
      </c>
      <c r="H1493" t="str">
        <f>IF(ISNUMBER(FIND(",", E1493)), TRIM(MID(E1493, FIND(",", E1493) + 1, LEN(E1493))), E1493)</f>
        <v>near the coast of Ecuador</v>
      </c>
    </row>
    <row r="1494" spans="1:8" x14ac:dyDescent="0.25">
      <c r="A1494" s="2">
        <v>38376</v>
      </c>
      <c r="B1494">
        <v>7.33</v>
      </c>
      <c r="C1494">
        <v>92.47</v>
      </c>
      <c r="D1494" t="s">
        <v>16</v>
      </c>
      <c r="E1494" t="s">
        <v>322</v>
      </c>
      <c r="F1494">
        <f t="shared" si="46"/>
        <v>2005</v>
      </c>
      <c r="G1494">
        <f t="shared" si="47"/>
        <v>1</v>
      </c>
      <c r="H1494" t="str">
        <f>IF(ISNUMBER(FIND(",", E1494)), TRIM(MID(E1494, FIND(",", E1494) + 1, LEN(E1494))), E1494)</f>
        <v>India region</v>
      </c>
    </row>
    <row r="1495" spans="1:8" x14ac:dyDescent="0.25">
      <c r="A1495" s="2">
        <v>38375</v>
      </c>
      <c r="B1495">
        <v>-1.28</v>
      </c>
      <c r="C1495">
        <v>119.84</v>
      </c>
      <c r="D1495" t="s">
        <v>16</v>
      </c>
      <c r="E1495" t="s">
        <v>182</v>
      </c>
      <c r="F1495">
        <f t="shared" si="46"/>
        <v>2005</v>
      </c>
      <c r="G1495">
        <f t="shared" si="47"/>
        <v>1</v>
      </c>
      <c r="H1495" t="str">
        <f>IF(ISNUMBER(FIND(",", E1495)), TRIM(MID(E1495, FIND(",", E1495) + 1, LEN(E1495))), E1495)</f>
        <v>Indonesia</v>
      </c>
    </row>
    <row r="1496" spans="1:8" x14ac:dyDescent="0.25">
      <c r="A1496" s="2">
        <v>38374</v>
      </c>
      <c r="B1496">
        <v>-7.75</v>
      </c>
      <c r="C1496">
        <v>159.58000000000001</v>
      </c>
      <c r="D1496" t="s">
        <v>16</v>
      </c>
      <c r="E1496" t="s">
        <v>221</v>
      </c>
      <c r="F1496">
        <f t="shared" si="46"/>
        <v>2005</v>
      </c>
      <c r="G1496">
        <f t="shared" si="47"/>
        <v>1</v>
      </c>
      <c r="H1496" t="str">
        <f>IF(ISNUMBER(FIND(",", E1496)), TRIM(MID(E1496, FIND(",", E1496) + 1, LEN(E1496))), E1496)</f>
        <v>Solomon Islands</v>
      </c>
    </row>
    <row r="1497" spans="1:8" x14ac:dyDescent="0.25">
      <c r="A1497" s="2">
        <v>38373</v>
      </c>
      <c r="B1497">
        <v>-1.1299999999999999</v>
      </c>
      <c r="C1497">
        <v>-80.86</v>
      </c>
      <c r="D1497" t="s">
        <v>16</v>
      </c>
      <c r="E1497" t="s">
        <v>457</v>
      </c>
      <c r="F1497">
        <f t="shared" si="46"/>
        <v>2005</v>
      </c>
      <c r="G1497">
        <f t="shared" si="47"/>
        <v>1</v>
      </c>
      <c r="H1497" t="str">
        <f>IF(ISNUMBER(FIND(",", E1497)), TRIM(MID(E1497, FIND(",", E1497) + 1, LEN(E1497))), E1497)</f>
        <v>near the coast of Ecuador</v>
      </c>
    </row>
    <row r="1498" spans="1:8" x14ac:dyDescent="0.25">
      <c r="A1498" s="2">
        <v>38371</v>
      </c>
      <c r="B1498">
        <v>34.06</v>
      </c>
      <c r="C1498">
        <v>141.51</v>
      </c>
      <c r="D1498" t="s">
        <v>16</v>
      </c>
      <c r="E1498" t="s">
        <v>189</v>
      </c>
      <c r="F1498">
        <f t="shared" si="46"/>
        <v>2005</v>
      </c>
      <c r="G1498">
        <f t="shared" si="47"/>
        <v>1</v>
      </c>
      <c r="H1498" t="str">
        <f>IF(ISNUMBER(FIND(",", E1498)), TRIM(MID(E1498, FIND(",", E1498) + 1, LEN(E1498))), E1498)</f>
        <v>Japan</v>
      </c>
    </row>
    <row r="1499" spans="1:8" x14ac:dyDescent="0.25">
      <c r="A1499" s="2">
        <v>38370</v>
      </c>
      <c r="B1499">
        <v>42.94</v>
      </c>
      <c r="C1499">
        <v>144.88</v>
      </c>
      <c r="D1499" t="s">
        <v>16</v>
      </c>
      <c r="E1499" t="s">
        <v>265</v>
      </c>
      <c r="F1499">
        <f t="shared" si="46"/>
        <v>2005</v>
      </c>
      <c r="G1499">
        <f t="shared" si="47"/>
        <v>1</v>
      </c>
      <c r="H1499" t="str">
        <f>IF(ISNUMBER(FIND(",", E1499)), TRIM(MID(E1499, FIND(",", E1499) + 1, LEN(E1499))), E1499)</f>
        <v>Japan region</v>
      </c>
    </row>
    <row r="1500" spans="1:8" x14ac:dyDescent="0.25">
      <c r="A1500" s="2">
        <v>38369</v>
      </c>
      <c r="B1500">
        <v>10.97</v>
      </c>
      <c r="C1500">
        <v>140.82</v>
      </c>
      <c r="D1500" t="s">
        <v>16</v>
      </c>
      <c r="E1500" t="s">
        <v>458</v>
      </c>
      <c r="F1500">
        <f t="shared" si="46"/>
        <v>2005</v>
      </c>
      <c r="G1500">
        <f t="shared" si="47"/>
        <v>1</v>
      </c>
      <c r="H1500" t="str">
        <f>IF(ISNUMBER(FIND(",", E1500)), TRIM(MID(E1500, FIND(",", E1500) + 1, LEN(E1500))), E1500)</f>
        <v>Federated States of Micronesia</v>
      </c>
    </row>
    <row r="1501" spans="1:8" x14ac:dyDescent="0.25">
      <c r="A1501" s="2">
        <v>38368</v>
      </c>
      <c r="B1501">
        <v>10.95</v>
      </c>
      <c r="C1501">
        <v>140.96</v>
      </c>
      <c r="D1501" t="s">
        <v>16</v>
      </c>
      <c r="E1501" t="s">
        <v>458</v>
      </c>
      <c r="F1501">
        <f t="shared" si="46"/>
        <v>2005</v>
      </c>
      <c r="G1501">
        <f t="shared" si="47"/>
        <v>1</v>
      </c>
      <c r="H1501" t="str">
        <f>IF(ISNUMBER(FIND(",", E1501)), TRIM(MID(E1501, FIND(",", E1501) + 1, LEN(E1501))), E1501)</f>
        <v>Federated States of Micronesia</v>
      </c>
    </row>
    <row r="1502" spans="1:8" x14ac:dyDescent="0.25">
      <c r="A1502" s="2">
        <v>38368</v>
      </c>
      <c r="B1502">
        <v>-25.58</v>
      </c>
      <c r="C1502">
        <v>-176.18</v>
      </c>
      <c r="D1502" t="s">
        <v>16</v>
      </c>
      <c r="E1502" t="s">
        <v>256</v>
      </c>
      <c r="F1502">
        <f t="shared" si="46"/>
        <v>2005</v>
      </c>
      <c r="G1502">
        <f t="shared" si="47"/>
        <v>1</v>
      </c>
      <c r="H1502" t="str">
        <f>IF(ISNUMBER(FIND(",", E1502)), TRIM(MID(E1502, FIND(",", E1502) + 1, LEN(E1502))), E1502)</f>
        <v>south of the Fiji Islands</v>
      </c>
    </row>
    <row r="1503" spans="1:8" x14ac:dyDescent="0.25">
      <c r="A1503" s="2">
        <v>38366</v>
      </c>
      <c r="B1503">
        <v>-4.2300000000000004</v>
      </c>
      <c r="C1503">
        <v>152.72</v>
      </c>
      <c r="D1503" t="s">
        <v>16</v>
      </c>
      <c r="E1503" t="s">
        <v>190</v>
      </c>
      <c r="F1503">
        <f t="shared" si="46"/>
        <v>2005</v>
      </c>
      <c r="G1503">
        <f t="shared" si="47"/>
        <v>1</v>
      </c>
      <c r="H1503" t="str">
        <f>IF(ISNUMBER(FIND(",", E1503)), TRIM(MID(E1503, FIND(",", E1503) + 1, LEN(E1503))), E1503)</f>
        <v>Papua New Guinea</v>
      </c>
    </row>
    <row r="1504" spans="1:8" x14ac:dyDescent="0.25">
      <c r="A1504" s="2">
        <v>38364</v>
      </c>
      <c r="B1504">
        <v>-0.92</v>
      </c>
      <c r="C1504">
        <v>-21.12</v>
      </c>
      <c r="D1504" t="s">
        <v>16</v>
      </c>
      <c r="E1504" t="s">
        <v>291</v>
      </c>
      <c r="F1504">
        <f t="shared" si="46"/>
        <v>2005</v>
      </c>
      <c r="G1504">
        <f t="shared" si="47"/>
        <v>1</v>
      </c>
      <c r="H1504" t="str">
        <f>IF(ISNUMBER(FIND(",", E1504)), TRIM(MID(E1504, FIND(",", E1504) + 1, LEN(E1504))), E1504)</f>
        <v>central Mid-Atlantic Ridge</v>
      </c>
    </row>
    <row r="1505" spans="1:8" x14ac:dyDescent="0.25">
      <c r="A1505" s="2">
        <v>38361</v>
      </c>
      <c r="B1505">
        <v>4.87</v>
      </c>
      <c r="C1505">
        <v>95.03</v>
      </c>
      <c r="D1505" t="s">
        <v>16</v>
      </c>
      <c r="E1505" t="s">
        <v>226</v>
      </c>
      <c r="F1505">
        <f t="shared" si="46"/>
        <v>2005</v>
      </c>
      <c r="G1505">
        <f t="shared" si="47"/>
        <v>1</v>
      </c>
      <c r="H1505" t="str">
        <f>IF(ISNUMBER(FIND(",", E1505)), TRIM(MID(E1505, FIND(",", E1505) + 1, LEN(E1505))), E1505)</f>
        <v>Indonesia</v>
      </c>
    </row>
    <row r="1506" spans="1:8" x14ac:dyDescent="0.25">
      <c r="A1506" s="2">
        <v>38360</v>
      </c>
      <c r="B1506">
        <v>-55.298999999999999</v>
      </c>
      <c r="C1506">
        <v>-27.956</v>
      </c>
      <c r="D1506" t="s">
        <v>5</v>
      </c>
      <c r="E1506" t="s">
        <v>260</v>
      </c>
      <c r="F1506">
        <f t="shared" si="46"/>
        <v>2005</v>
      </c>
      <c r="G1506">
        <f t="shared" si="47"/>
        <v>1</v>
      </c>
      <c r="H1506" t="str">
        <f>IF(ISNUMBER(FIND(",", E1506)), TRIM(MID(E1506, FIND(",", E1506) + 1, LEN(E1506))), E1506)</f>
        <v>South Sandwich Islands region</v>
      </c>
    </row>
    <row r="1507" spans="1:8" x14ac:dyDescent="0.25">
      <c r="A1507" s="2">
        <v>38355</v>
      </c>
      <c r="B1507">
        <v>-50.65</v>
      </c>
      <c r="C1507">
        <v>161.84</v>
      </c>
      <c r="D1507" t="s">
        <v>16</v>
      </c>
      <c r="E1507" t="s">
        <v>415</v>
      </c>
      <c r="F1507">
        <f t="shared" si="46"/>
        <v>2005</v>
      </c>
      <c r="G1507">
        <f t="shared" si="47"/>
        <v>1</v>
      </c>
      <c r="H1507" t="str">
        <f>IF(ISNUMBER(FIND(",", E1507)), TRIM(MID(E1507, FIND(",", E1507) + 1, LEN(E1507))), E1507)</f>
        <v>north of Macquarie Island</v>
      </c>
    </row>
    <row r="1508" spans="1:8" x14ac:dyDescent="0.25">
      <c r="A1508" s="2">
        <v>38354</v>
      </c>
      <c r="B1508">
        <v>6.32</v>
      </c>
      <c r="C1508">
        <v>92.73</v>
      </c>
      <c r="D1508" t="s">
        <v>16</v>
      </c>
      <c r="E1508" t="s">
        <v>322</v>
      </c>
      <c r="F1508">
        <f t="shared" si="46"/>
        <v>2005</v>
      </c>
      <c r="G1508">
        <f t="shared" si="47"/>
        <v>1</v>
      </c>
      <c r="H1508" t="str">
        <f>IF(ISNUMBER(FIND(",", E1508)), TRIM(MID(E1508, FIND(",", E1508) + 1, LEN(E1508))), E1508)</f>
        <v>India region</v>
      </c>
    </row>
    <row r="1509" spans="1:8" x14ac:dyDescent="0.25">
      <c r="A1509" s="2">
        <v>38353</v>
      </c>
      <c r="B1509">
        <v>7.25</v>
      </c>
      <c r="C1509">
        <v>94.3</v>
      </c>
      <c r="D1509" t="s">
        <v>16</v>
      </c>
      <c r="E1509" t="s">
        <v>322</v>
      </c>
      <c r="F1509">
        <f t="shared" si="46"/>
        <v>2005</v>
      </c>
      <c r="G1509">
        <f t="shared" si="47"/>
        <v>1</v>
      </c>
      <c r="H1509" t="str">
        <f>IF(ISNUMBER(FIND(",", E1509)), TRIM(MID(E1509, FIND(",", E1509) + 1, LEN(E1509))), E1509)</f>
        <v>India region</v>
      </c>
    </row>
    <row r="1510" spans="1:8" x14ac:dyDescent="0.25">
      <c r="A1510" s="2">
        <v>38353</v>
      </c>
      <c r="B1510">
        <v>5.0199999999999996</v>
      </c>
      <c r="C1510">
        <v>92.26</v>
      </c>
      <c r="D1510" t="s">
        <v>16</v>
      </c>
      <c r="E1510" t="s">
        <v>245</v>
      </c>
      <c r="F1510">
        <f t="shared" si="46"/>
        <v>2005</v>
      </c>
      <c r="G1510">
        <f t="shared" si="47"/>
        <v>1</v>
      </c>
      <c r="H1510" t="str">
        <f>IF(ISNUMBER(FIND(",", E1510)), TRIM(MID(E1510, FIND(",", E1510) + 1, LEN(E1510))), E1510)</f>
        <v>off the west coast of northern Sumatra</v>
      </c>
    </row>
    <row r="1511" spans="1:8" x14ac:dyDescent="0.25">
      <c r="A1511" s="2">
        <v>38352</v>
      </c>
      <c r="B1511">
        <v>6.22</v>
      </c>
      <c r="C1511">
        <v>92.89</v>
      </c>
      <c r="D1511" t="s">
        <v>16</v>
      </c>
      <c r="E1511" t="s">
        <v>322</v>
      </c>
      <c r="F1511">
        <f t="shared" si="46"/>
        <v>2004</v>
      </c>
      <c r="G1511">
        <f t="shared" si="47"/>
        <v>12</v>
      </c>
      <c r="H1511" t="str">
        <f>IF(ISNUMBER(FIND(",", E1511)), TRIM(MID(E1511, FIND(",", E1511) + 1, LEN(E1511))), E1511)</f>
        <v>India region</v>
      </c>
    </row>
    <row r="1512" spans="1:8" x14ac:dyDescent="0.25">
      <c r="A1512" s="2">
        <v>38352</v>
      </c>
      <c r="B1512">
        <v>7.09</v>
      </c>
      <c r="C1512">
        <v>92.52</v>
      </c>
      <c r="D1512" t="s">
        <v>16</v>
      </c>
      <c r="E1512" t="s">
        <v>322</v>
      </c>
      <c r="F1512">
        <f t="shared" si="46"/>
        <v>2004</v>
      </c>
      <c r="G1512">
        <f t="shared" si="47"/>
        <v>12</v>
      </c>
      <c r="H1512" t="str">
        <f>IF(ISNUMBER(FIND(",", E1512)), TRIM(MID(E1512, FIND(",", E1512) + 1, LEN(E1512))), E1512)</f>
        <v>India region</v>
      </c>
    </row>
    <row r="1513" spans="1:8" x14ac:dyDescent="0.25">
      <c r="A1513" s="2">
        <v>38350</v>
      </c>
      <c r="B1513">
        <v>8.7910000000000004</v>
      </c>
      <c r="C1513">
        <v>93.197999999999993</v>
      </c>
      <c r="D1513" t="s">
        <v>5</v>
      </c>
      <c r="E1513" t="s">
        <v>322</v>
      </c>
      <c r="F1513">
        <f t="shared" si="46"/>
        <v>2004</v>
      </c>
      <c r="G1513">
        <f t="shared" si="47"/>
        <v>12</v>
      </c>
      <c r="H1513" t="str">
        <f>IF(ISNUMBER(FIND(",", E1513)), TRIM(MID(E1513, FIND(",", E1513) + 1, LEN(E1513))), E1513)</f>
        <v>India region</v>
      </c>
    </row>
    <row r="1514" spans="1:8" x14ac:dyDescent="0.25">
      <c r="A1514" s="2">
        <v>38350</v>
      </c>
      <c r="B1514">
        <v>9.06</v>
      </c>
      <c r="C1514">
        <v>93.75</v>
      </c>
      <c r="D1514" t="s">
        <v>16</v>
      </c>
      <c r="E1514" t="s">
        <v>322</v>
      </c>
      <c r="F1514">
        <f t="shared" si="46"/>
        <v>2004</v>
      </c>
      <c r="G1514">
        <f t="shared" si="47"/>
        <v>12</v>
      </c>
      <c r="H1514" t="str">
        <f>IF(ISNUMBER(FIND(",", E1514)), TRIM(MID(E1514, FIND(",", E1514) + 1, LEN(E1514))), E1514)</f>
        <v>India region</v>
      </c>
    </row>
    <row r="1515" spans="1:8" x14ac:dyDescent="0.25">
      <c r="A1515" s="2">
        <v>38348</v>
      </c>
      <c r="B1515">
        <v>5.29</v>
      </c>
      <c r="C1515">
        <v>94.59</v>
      </c>
      <c r="D1515" t="s">
        <v>16</v>
      </c>
      <c r="E1515" t="s">
        <v>226</v>
      </c>
      <c r="F1515">
        <f t="shared" si="46"/>
        <v>2004</v>
      </c>
      <c r="G1515">
        <f t="shared" si="47"/>
        <v>12</v>
      </c>
      <c r="H1515" t="str">
        <f>IF(ISNUMBER(FIND(",", E1515)), TRIM(MID(E1515, FIND(",", E1515) + 1, LEN(E1515))), E1515)</f>
        <v>Indonesia</v>
      </c>
    </row>
    <row r="1516" spans="1:8" x14ac:dyDescent="0.25">
      <c r="A1516" s="2">
        <v>38347</v>
      </c>
      <c r="B1516">
        <v>2.72</v>
      </c>
      <c r="C1516">
        <v>94.05</v>
      </c>
      <c r="D1516" t="s">
        <v>16</v>
      </c>
      <c r="E1516" t="s">
        <v>245</v>
      </c>
      <c r="F1516">
        <f t="shared" si="46"/>
        <v>2004</v>
      </c>
      <c r="G1516">
        <f t="shared" si="47"/>
        <v>12</v>
      </c>
      <c r="H1516" t="str">
        <f>IF(ISNUMBER(FIND(",", E1516)), TRIM(MID(E1516, FIND(",", E1516) + 1, LEN(E1516))), E1516)</f>
        <v>off the west coast of northern Sumatra</v>
      </c>
    </row>
    <row r="1517" spans="1:8" x14ac:dyDescent="0.25">
      <c r="A1517" s="2">
        <v>38347</v>
      </c>
      <c r="B1517">
        <v>3.65</v>
      </c>
      <c r="C1517">
        <v>94.07</v>
      </c>
      <c r="D1517" t="s">
        <v>16</v>
      </c>
      <c r="E1517" t="s">
        <v>245</v>
      </c>
      <c r="F1517">
        <f t="shared" si="46"/>
        <v>2004</v>
      </c>
      <c r="G1517">
        <f t="shared" si="47"/>
        <v>12</v>
      </c>
      <c r="H1517" t="str">
        <f>IF(ISNUMBER(FIND(",", E1517)), TRIM(MID(E1517, FIND(",", E1517) + 1, LEN(E1517))), E1517)</f>
        <v>off the west coast of northern Sumatra</v>
      </c>
    </row>
    <row r="1518" spans="1:8" x14ac:dyDescent="0.25">
      <c r="A1518" s="2">
        <v>38347</v>
      </c>
      <c r="B1518">
        <v>13.55</v>
      </c>
      <c r="C1518">
        <v>92.83</v>
      </c>
      <c r="D1518" t="s">
        <v>16</v>
      </c>
      <c r="E1518" t="s">
        <v>323</v>
      </c>
      <c r="F1518">
        <f t="shared" si="46"/>
        <v>2004</v>
      </c>
      <c r="G1518">
        <f t="shared" si="47"/>
        <v>12</v>
      </c>
      <c r="H1518" t="str">
        <f>IF(ISNUMBER(FIND(",", E1518)), TRIM(MID(E1518, FIND(",", E1518) + 1, LEN(E1518))), E1518)</f>
        <v>India region</v>
      </c>
    </row>
    <row r="1519" spans="1:8" x14ac:dyDescent="0.25">
      <c r="A1519" s="2">
        <v>38347</v>
      </c>
      <c r="B1519">
        <v>13.45</v>
      </c>
      <c r="C1519">
        <v>92.71</v>
      </c>
      <c r="D1519" t="s">
        <v>16</v>
      </c>
      <c r="E1519" t="s">
        <v>323</v>
      </c>
      <c r="F1519">
        <f t="shared" si="46"/>
        <v>2004</v>
      </c>
      <c r="G1519">
        <f t="shared" si="47"/>
        <v>12</v>
      </c>
      <c r="H1519" t="str">
        <f>IF(ISNUMBER(FIND(",", E1519)), TRIM(MID(E1519, FIND(",", E1519) + 1, LEN(E1519))), E1519)</f>
        <v>India region</v>
      </c>
    </row>
    <row r="1520" spans="1:8" x14ac:dyDescent="0.25">
      <c r="A1520" s="2">
        <v>38347</v>
      </c>
      <c r="B1520">
        <v>8.8800000000000008</v>
      </c>
      <c r="C1520">
        <v>93.75</v>
      </c>
      <c r="D1520" t="s">
        <v>16</v>
      </c>
      <c r="E1520" t="s">
        <v>322</v>
      </c>
      <c r="F1520">
        <f t="shared" si="46"/>
        <v>2004</v>
      </c>
      <c r="G1520">
        <f t="shared" si="47"/>
        <v>12</v>
      </c>
      <c r="H1520" t="str">
        <f>IF(ISNUMBER(FIND(",", E1520)), TRIM(MID(E1520, FIND(",", E1520) + 1, LEN(E1520))), E1520)</f>
        <v>India region</v>
      </c>
    </row>
    <row r="1521" spans="1:8" x14ac:dyDescent="0.25">
      <c r="A1521" s="2">
        <v>38347</v>
      </c>
      <c r="B1521">
        <v>8.85</v>
      </c>
      <c r="C1521">
        <v>92.3</v>
      </c>
      <c r="D1521" t="s">
        <v>16</v>
      </c>
      <c r="E1521" t="s">
        <v>322</v>
      </c>
      <c r="F1521">
        <f t="shared" si="46"/>
        <v>2004</v>
      </c>
      <c r="G1521">
        <f t="shared" si="47"/>
        <v>12</v>
      </c>
      <c r="H1521" t="str">
        <f>IF(ISNUMBER(FIND(",", E1521)), TRIM(MID(E1521, FIND(",", E1521) + 1, LEN(E1521))), E1521)</f>
        <v>India region</v>
      </c>
    </row>
    <row r="1522" spans="1:8" x14ac:dyDescent="0.25">
      <c r="A1522" s="2">
        <v>38347</v>
      </c>
      <c r="B1522">
        <v>6.88</v>
      </c>
      <c r="C1522">
        <v>92.89</v>
      </c>
      <c r="D1522" t="s">
        <v>16</v>
      </c>
      <c r="E1522" t="s">
        <v>322</v>
      </c>
      <c r="F1522">
        <f t="shared" si="46"/>
        <v>2004</v>
      </c>
      <c r="G1522">
        <f t="shared" si="47"/>
        <v>12</v>
      </c>
      <c r="H1522" t="str">
        <f>IF(ISNUMBER(FIND(",", E1522)), TRIM(MID(E1522, FIND(",", E1522) + 1, LEN(E1522))), E1522)</f>
        <v>India region</v>
      </c>
    </row>
    <row r="1523" spans="1:8" x14ac:dyDescent="0.25">
      <c r="A1523" s="2">
        <v>38347</v>
      </c>
      <c r="B1523">
        <v>6.8479999999999999</v>
      </c>
      <c r="C1523">
        <v>94.667000000000002</v>
      </c>
      <c r="D1523" t="s">
        <v>13</v>
      </c>
      <c r="E1523" t="s">
        <v>322</v>
      </c>
      <c r="F1523">
        <f t="shared" si="46"/>
        <v>2004</v>
      </c>
      <c r="G1523">
        <f t="shared" si="47"/>
        <v>12</v>
      </c>
      <c r="H1523" t="str">
        <f>IF(ISNUMBER(FIND(",", E1523)), TRIM(MID(E1523, FIND(",", E1523) + 1, LEN(E1523))), E1523)</f>
        <v>India region</v>
      </c>
    </row>
    <row r="1524" spans="1:8" x14ac:dyDescent="0.25">
      <c r="A1524" s="2">
        <v>38347</v>
      </c>
      <c r="B1524">
        <v>5.4989999999999997</v>
      </c>
      <c r="C1524">
        <v>94.212999999999994</v>
      </c>
      <c r="D1524" t="s">
        <v>13</v>
      </c>
      <c r="E1524" t="s">
        <v>226</v>
      </c>
      <c r="F1524">
        <f t="shared" si="46"/>
        <v>2004</v>
      </c>
      <c r="G1524">
        <f t="shared" si="47"/>
        <v>12</v>
      </c>
      <c r="H1524" t="str">
        <f>IF(ISNUMBER(FIND(",", E1524)), TRIM(MID(E1524, FIND(",", E1524) + 1, LEN(E1524))), E1524)</f>
        <v>Indonesia</v>
      </c>
    </row>
    <row r="1525" spans="1:8" x14ac:dyDescent="0.25">
      <c r="A1525" s="2">
        <v>38347</v>
      </c>
      <c r="B1525">
        <v>7.4210000000000003</v>
      </c>
      <c r="C1525">
        <v>93.984999999999999</v>
      </c>
      <c r="D1525" t="s">
        <v>13</v>
      </c>
      <c r="E1525" t="s">
        <v>322</v>
      </c>
      <c r="F1525">
        <f t="shared" si="46"/>
        <v>2004</v>
      </c>
      <c r="G1525">
        <f t="shared" si="47"/>
        <v>12</v>
      </c>
      <c r="H1525" t="str">
        <f>IF(ISNUMBER(FIND(",", E1525)), TRIM(MID(E1525, FIND(",", E1525) + 1, LEN(E1525))), E1525)</f>
        <v>India region</v>
      </c>
    </row>
    <row r="1526" spans="1:8" x14ac:dyDescent="0.25">
      <c r="A1526" s="2">
        <v>38347</v>
      </c>
      <c r="B1526">
        <v>6.34</v>
      </c>
      <c r="C1526">
        <v>93.361000000000004</v>
      </c>
      <c r="D1526" t="s">
        <v>13</v>
      </c>
      <c r="E1526" t="s">
        <v>322</v>
      </c>
      <c r="F1526">
        <f t="shared" si="46"/>
        <v>2004</v>
      </c>
      <c r="G1526">
        <f t="shared" si="47"/>
        <v>12</v>
      </c>
      <c r="H1526" t="str">
        <f>IF(ISNUMBER(FIND(",", E1526)), TRIM(MID(E1526, FIND(",", E1526) + 1, LEN(E1526))), E1526)</f>
        <v>India region</v>
      </c>
    </row>
    <row r="1527" spans="1:8" x14ac:dyDescent="0.25">
      <c r="A1527" s="2">
        <v>38347</v>
      </c>
      <c r="B1527">
        <v>3.2949999999999999</v>
      </c>
      <c r="C1527">
        <v>95.981999999999999</v>
      </c>
      <c r="D1527" t="s">
        <v>16</v>
      </c>
      <c r="E1527" t="s">
        <v>245</v>
      </c>
      <c r="F1527">
        <f t="shared" si="46"/>
        <v>2004</v>
      </c>
      <c r="G1527">
        <f t="shared" si="47"/>
        <v>12</v>
      </c>
      <c r="H1527" t="str">
        <f>IF(ISNUMBER(FIND(",", E1527)), TRIM(MID(E1527, FIND(",", E1527) + 1, LEN(E1527))), E1527)</f>
        <v>off the west coast of northern Sumatra</v>
      </c>
    </row>
    <row r="1528" spans="1:8" x14ac:dyDescent="0.25">
      <c r="A1528" s="2">
        <v>38344</v>
      </c>
      <c r="B1528">
        <v>-49.33</v>
      </c>
      <c r="C1528">
        <v>161.41999999999999</v>
      </c>
      <c r="D1528" t="s">
        <v>16</v>
      </c>
      <c r="E1528" t="s">
        <v>415</v>
      </c>
      <c r="F1528">
        <f t="shared" si="46"/>
        <v>2004</v>
      </c>
      <c r="G1528">
        <f t="shared" si="47"/>
        <v>12</v>
      </c>
      <c r="H1528" t="str">
        <f>IF(ISNUMBER(FIND(",", E1528)), TRIM(MID(E1528, FIND(",", E1528) + 1, LEN(E1528))), E1528)</f>
        <v>north of Macquarie Island</v>
      </c>
    </row>
    <row r="1529" spans="1:8" x14ac:dyDescent="0.25">
      <c r="A1529" s="2">
        <v>38343</v>
      </c>
      <c r="B1529">
        <v>-55.89</v>
      </c>
      <c r="C1529">
        <v>-124.9</v>
      </c>
      <c r="D1529" t="s">
        <v>16</v>
      </c>
      <c r="E1529" t="s">
        <v>268</v>
      </c>
      <c r="F1529">
        <f t="shared" si="46"/>
        <v>2004</v>
      </c>
      <c r="G1529">
        <f t="shared" si="47"/>
        <v>12</v>
      </c>
      <c r="H1529" t="str">
        <f>IF(ISNUMBER(FIND(",", E1529)), TRIM(MID(E1529, FIND(",", E1529) + 1, LEN(E1529))), E1529)</f>
        <v>southern East Pacific Rise</v>
      </c>
    </row>
    <row r="1530" spans="1:8" x14ac:dyDescent="0.25">
      <c r="A1530" s="2">
        <v>38339</v>
      </c>
      <c r="B1530">
        <v>48.83</v>
      </c>
      <c r="C1530">
        <v>156.28</v>
      </c>
      <c r="D1530" t="s">
        <v>16</v>
      </c>
      <c r="E1530" t="s">
        <v>317</v>
      </c>
      <c r="F1530">
        <f t="shared" si="46"/>
        <v>2004</v>
      </c>
      <c r="G1530">
        <f t="shared" si="47"/>
        <v>12</v>
      </c>
      <c r="H1530" t="str">
        <f>IF(ISNUMBER(FIND(",", E1530)), TRIM(MID(E1530, FIND(",", E1530) + 1, LEN(E1530))), E1530)</f>
        <v>east of the Kuril Islands</v>
      </c>
    </row>
    <row r="1531" spans="1:8" x14ac:dyDescent="0.25">
      <c r="A1531" s="2">
        <v>38335</v>
      </c>
      <c r="B1531">
        <v>18.93</v>
      </c>
      <c r="C1531">
        <v>-81.38</v>
      </c>
      <c r="D1531" t="s">
        <v>16</v>
      </c>
      <c r="E1531" t="s">
        <v>459</v>
      </c>
      <c r="F1531">
        <f t="shared" si="46"/>
        <v>2004</v>
      </c>
      <c r="G1531">
        <f t="shared" si="47"/>
        <v>12</v>
      </c>
      <c r="H1531" t="str">
        <f>IF(ISNUMBER(FIND(",", E1531)), TRIM(MID(E1531, FIND(",", E1531) + 1, LEN(E1531))), E1531)</f>
        <v>Cayman Islands region</v>
      </c>
    </row>
    <row r="1532" spans="1:8" x14ac:dyDescent="0.25">
      <c r="A1532" s="2">
        <v>38327</v>
      </c>
      <c r="B1532">
        <v>-18.54</v>
      </c>
      <c r="C1532">
        <v>-177.97</v>
      </c>
      <c r="D1532" t="s">
        <v>16</v>
      </c>
      <c r="E1532" t="s">
        <v>53</v>
      </c>
      <c r="F1532">
        <f t="shared" si="46"/>
        <v>2004</v>
      </c>
      <c r="G1532">
        <f t="shared" si="47"/>
        <v>12</v>
      </c>
      <c r="H1532" t="str">
        <f>IF(ISNUMBER(FIND(",", E1532)), TRIM(MID(E1532, FIND(",", E1532) + 1, LEN(E1532))), E1532)</f>
        <v>Fiji region</v>
      </c>
    </row>
    <row r="1533" spans="1:8" x14ac:dyDescent="0.25">
      <c r="A1533" s="2">
        <v>38327</v>
      </c>
      <c r="B1533">
        <v>42.89</v>
      </c>
      <c r="C1533">
        <v>145.22999999999999</v>
      </c>
      <c r="D1533" t="s">
        <v>16</v>
      </c>
      <c r="E1533" t="s">
        <v>265</v>
      </c>
      <c r="F1533">
        <f t="shared" si="46"/>
        <v>2004</v>
      </c>
      <c r="G1533">
        <f t="shared" si="47"/>
        <v>12</v>
      </c>
      <c r="H1533" t="str">
        <f>IF(ISNUMBER(FIND(",", E1533)), TRIM(MID(E1533, FIND(",", E1533) + 1, LEN(E1533))), E1533)</f>
        <v>Japan region</v>
      </c>
    </row>
    <row r="1534" spans="1:8" x14ac:dyDescent="0.25">
      <c r="A1534" s="2">
        <v>38319</v>
      </c>
      <c r="B1534">
        <v>43.02</v>
      </c>
      <c r="C1534">
        <v>145.15</v>
      </c>
      <c r="D1534" t="s">
        <v>16</v>
      </c>
      <c r="E1534" t="s">
        <v>265</v>
      </c>
      <c r="F1534">
        <f t="shared" si="46"/>
        <v>2004</v>
      </c>
      <c r="G1534">
        <f t="shared" si="47"/>
        <v>11</v>
      </c>
      <c r="H1534" t="str">
        <f>IF(ISNUMBER(FIND(",", E1534)), TRIM(MID(E1534, FIND(",", E1534) + 1, LEN(E1534))), E1534)</f>
        <v>Japan region</v>
      </c>
    </row>
    <row r="1535" spans="1:8" x14ac:dyDescent="0.25">
      <c r="A1535" s="2">
        <v>38319</v>
      </c>
      <c r="B1535">
        <v>-3.68</v>
      </c>
      <c r="C1535">
        <v>135.46</v>
      </c>
      <c r="D1535" t="s">
        <v>16</v>
      </c>
      <c r="E1535" t="s">
        <v>210</v>
      </c>
      <c r="F1535">
        <f t="shared" si="46"/>
        <v>2004</v>
      </c>
      <c r="G1535">
        <f t="shared" si="47"/>
        <v>11</v>
      </c>
      <c r="H1535" t="str">
        <f>IF(ISNUMBER(FIND(",", E1535)), TRIM(MID(E1535, FIND(",", E1535) + 1, LEN(E1535))), E1535)</f>
        <v>Indonesia</v>
      </c>
    </row>
    <row r="1536" spans="1:8" x14ac:dyDescent="0.25">
      <c r="A1536" s="2">
        <v>38319</v>
      </c>
      <c r="B1536">
        <v>-26.55</v>
      </c>
      <c r="C1536">
        <v>-113.91</v>
      </c>
      <c r="D1536" t="s">
        <v>16</v>
      </c>
      <c r="E1536" t="s">
        <v>59</v>
      </c>
      <c r="F1536">
        <f t="shared" si="46"/>
        <v>2004</v>
      </c>
      <c r="G1536">
        <f t="shared" si="47"/>
        <v>11</v>
      </c>
      <c r="H1536" t="str">
        <f>IF(ISNUMBER(FIND(",", E1536)), TRIM(MID(E1536, FIND(",", E1536) + 1, LEN(E1536))), E1536)</f>
        <v>Easter Island region</v>
      </c>
    </row>
    <row r="1537" spans="1:8" x14ac:dyDescent="0.25">
      <c r="A1537" s="2">
        <v>38317</v>
      </c>
      <c r="B1537">
        <v>-3.61</v>
      </c>
      <c r="C1537">
        <v>135.41999999999999</v>
      </c>
      <c r="D1537" t="s">
        <v>16</v>
      </c>
      <c r="E1537" t="s">
        <v>210</v>
      </c>
      <c r="F1537">
        <f t="shared" si="46"/>
        <v>2004</v>
      </c>
      <c r="G1537">
        <f t="shared" si="47"/>
        <v>11</v>
      </c>
      <c r="H1537" t="str">
        <f>IF(ISNUMBER(FIND(",", E1537)), TRIM(MID(E1537, FIND(",", E1537) + 1, LEN(E1537))), E1537)</f>
        <v>Indonesia</v>
      </c>
    </row>
    <row r="1538" spans="1:8" x14ac:dyDescent="0.25">
      <c r="A1538" s="2">
        <v>38313</v>
      </c>
      <c r="B1538">
        <v>-46.7</v>
      </c>
      <c r="C1538">
        <v>164.82</v>
      </c>
      <c r="D1538" t="s">
        <v>16</v>
      </c>
      <c r="E1538" t="s">
        <v>361</v>
      </c>
      <c r="F1538">
        <f t="shared" ref="F1538:F1601" si="48">YEAR(A1538)</f>
        <v>2004</v>
      </c>
      <c r="G1538">
        <f t="shared" si="47"/>
        <v>11</v>
      </c>
      <c r="H1538" t="str">
        <f>IF(ISNUMBER(FIND(",", E1538)), TRIM(MID(E1538, FIND(",", E1538) + 1, LEN(E1538))), E1538)</f>
        <v>off the west coast of the South Island of New Zealand</v>
      </c>
    </row>
    <row r="1539" spans="1:8" x14ac:dyDescent="0.25">
      <c r="A1539" s="2">
        <v>38312</v>
      </c>
      <c r="B1539">
        <v>15.67</v>
      </c>
      <c r="C1539">
        <v>-61.71</v>
      </c>
      <c r="D1539" t="s">
        <v>16</v>
      </c>
      <c r="E1539" t="s">
        <v>460</v>
      </c>
      <c r="F1539">
        <f t="shared" si="48"/>
        <v>2004</v>
      </c>
      <c r="G1539">
        <f t="shared" ref="G1539:G1602" si="49">MONTH(A1539)</f>
        <v>11</v>
      </c>
      <c r="H1539" t="str">
        <f>IF(ISNUMBER(FIND(",", E1539)), TRIM(MID(E1539, FIND(",", E1539) + 1, LEN(E1539))), E1539)</f>
        <v>Leeward Islands</v>
      </c>
    </row>
    <row r="1540" spans="1:8" x14ac:dyDescent="0.25">
      <c r="A1540" s="2">
        <v>38311</v>
      </c>
      <c r="B1540">
        <v>13.38</v>
      </c>
      <c r="C1540">
        <v>-90.14</v>
      </c>
      <c r="D1540" t="s">
        <v>16</v>
      </c>
      <c r="E1540" t="s">
        <v>461</v>
      </c>
      <c r="F1540">
        <f t="shared" si="48"/>
        <v>2004</v>
      </c>
      <c r="G1540">
        <f t="shared" si="49"/>
        <v>11</v>
      </c>
      <c r="H1540" t="str">
        <f>IF(ISNUMBER(FIND(",", E1540)), TRIM(MID(E1540, FIND(",", E1540) + 1, LEN(E1540))), E1540)</f>
        <v>offshore El Salvador</v>
      </c>
    </row>
    <row r="1541" spans="1:8" x14ac:dyDescent="0.25">
      <c r="A1541" s="2">
        <v>38311</v>
      </c>
      <c r="B1541">
        <v>9.58</v>
      </c>
      <c r="C1541">
        <v>-84.13</v>
      </c>
      <c r="D1541" t="s">
        <v>16</v>
      </c>
      <c r="E1541" t="s">
        <v>202</v>
      </c>
      <c r="F1541">
        <f t="shared" si="48"/>
        <v>2004</v>
      </c>
      <c r="G1541">
        <f t="shared" si="49"/>
        <v>11</v>
      </c>
      <c r="H1541" t="str">
        <f>IF(ISNUMBER(FIND(",", E1541)), TRIM(MID(E1541, FIND(",", E1541) + 1, LEN(E1541))), E1541)</f>
        <v>Costa Rica</v>
      </c>
    </row>
    <row r="1542" spans="1:8" x14ac:dyDescent="0.25">
      <c r="A1542" s="2">
        <v>38308</v>
      </c>
      <c r="B1542">
        <v>-20.07</v>
      </c>
      <c r="C1542">
        <v>-178.62</v>
      </c>
      <c r="D1542" t="s">
        <v>16</v>
      </c>
      <c r="E1542" t="s">
        <v>53</v>
      </c>
      <c r="F1542">
        <f t="shared" si="48"/>
        <v>2004</v>
      </c>
      <c r="G1542">
        <f t="shared" si="49"/>
        <v>11</v>
      </c>
      <c r="H1542" t="str">
        <f>IF(ISNUMBER(FIND(",", E1542)), TRIM(MID(E1542, FIND(",", E1542) + 1, LEN(E1542))), E1542)</f>
        <v>Fiji region</v>
      </c>
    </row>
    <row r="1543" spans="1:8" x14ac:dyDescent="0.25">
      <c r="A1543" s="2">
        <v>38307</v>
      </c>
      <c r="B1543">
        <v>-5.61</v>
      </c>
      <c r="C1543">
        <v>151.51</v>
      </c>
      <c r="D1543" t="s">
        <v>16</v>
      </c>
      <c r="E1543" t="s">
        <v>190</v>
      </c>
      <c r="F1543">
        <f t="shared" si="48"/>
        <v>2004</v>
      </c>
      <c r="G1543">
        <f t="shared" si="49"/>
        <v>11</v>
      </c>
      <c r="H1543" t="str">
        <f>IF(ISNUMBER(FIND(",", E1543)), TRIM(MID(E1543, FIND(",", E1543) + 1, LEN(E1543))), E1543)</f>
        <v>Papua New Guinea</v>
      </c>
    </row>
    <row r="1544" spans="1:8" x14ac:dyDescent="0.25">
      <c r="A1544" s="2">
        <v>38306</v>
      </c>
      <c r="B1544">
        <v>4.72</v>
      </c>
      <c r="C1544">
        <v>-77.47</v>
      </c>
      <c r="D1544" t="s">
        <v>16</v>
      </c>
      <c r="E1544" t="s">
        <v>417</v>
      </c>
      <c r="F1544">
        <f t="shared" si="48"/>
        <v>2004</v>
      </c>
      <c r="G1544">
        <f t="shared" si="49"/>
        <v>11</v>
      </c>
      <c r="H1544" t="str">
        <f>IF(ISNUMBER(FIND(",", E1544)), TRIM(MID(E1544, FIND(",", E1544) + 1, LEN(E1544))), E1544)</f>
        <v>near the west coast of Colombia</v>
      </c>
    </row>
    <row r="1545" spans="1:8" x14ac:dyDescent="0.25">
      <c r="A1545" s="2">
        <v>38303</v>
      </c>
      <c r="B1545">
        <v>-26.69</v>
      </c>
      <c r="C1545">
        <v>-63.29</v>
      </c>
      <c r="D1545" t="s">
        <v>16</v>
      </c>
      <c r="E1545" t="s">
        <v>232</v>
      </c>
      <c r="F1545">
        <f t="shared" si="48"/>
        <v>2004</v>
      </c>
      <c r="G1545">
        <f t="shared" si="49"/>
        <v>11</v>
      </c>
      <c r="H1545" t="str">
        <f>IF(ISNUMBER(FIND(",", E1545)), TRIM(MID(E1545, FIND(",", E1545) + 1, LEN(E1545))), E1545)</f>
        <v>Argentina</v>
      </c>
    </row>
    <row r="1546" spans="1:8" x14ac:dyDescent="0.25">
      <c r="A1546" s="2">
        <v>38302</v>
      </c>
      <c r="B1546">
        <v>-8.2550000000000008</v>
      </c>
      <c r="C1546">
        <v>124.93</v>
      </c>
      <c r="D1546" t="s">
        <v>14</v>
      </c>
      <c r="E1546" t="s">
        <v>462</v>
      </c>
      <c r="F1546">
        <f t="shared" si="48"/>
        <v>2004</v>
      </c>
      <c r="G1546">
        <f t="shared" si="49"/>
        <v>11</v>
      </c>
      <c r="H1546" t="str">
        <f>IF(ISNUMBER(FIND(",", E1546)), TRIM(MID(E1546, FIND(",", E1546) + 1, LEN(E1546))), E1546)</f>
        <v>Indonesia</v>
      </c>
    </row>
    <row r="1547" spans="1:8" x14ac:dyDescent="0.25">
      <c r="A1547" s="2">
        <v>38302</v>
      </c>
      <c r="B1547">
        <v>-8.18</v>
      </c>
      <c r="C1547">
        <v>124.71</v>
      </c>
      <c r="D1547" t="s">
        <v>16</v>
      </c>
      <c r="E1547" t="s">
        <v>462</v>
      </c>
      <c r="F1547">
        <f t="shared" si="48"/>
        <v>2004</v>
      </c>
      <c r="G1547">
        <f t="shared" si="49"/>
        <v>11</v>
      </c>
      <c r="H1547" t="str">
        <f>IF(ISNUMBER(FIND(",", E1547)), TRIM(MID(E1547, FIND(",", E1547) + 1, LEN(E1547))), E1547)</f>
        <v>Indonesia</v>
      </c>
    </row>
    <row r="1548" spans="1:8" x14ac:dyDescent="0.25">
      <c r="A1548" s="2">
        <v>38302</v>
      </c>
      <c r="B1548">
        <v>-11.17</v>
      </c>
      <c r="C1548">
        <v>162.26</v>
      </c>
      <c r="D1548" t="s">
        <v>16</v>
      </c>
      <c r="E1548" t="s">
        <v>221</v>
      </c>
      <c r="F1548">
        <f t="shared" si="48"/>
        <v>2004</v>
      </c>
      <c r="G1548">
        <f t="shared" si="49"/>
        <v>11</v>
      </c>
      <c r="H1548" t="str">
        <f>IF(ISNUMBER(FIND(",", E1548)), TRIM(MID(E1548, FIND(",", E1548) + 1, LEN(E1548))), E1548)</f>
        <v>Solomon Islands</v>
      </c>
    </row>
    <row r="1549" spans="1:8" x14ac:dyDescent="0.25">
      <c r="A1549" s="2">
        <v>38302</v>
      </c>
      <c r="B1549">
        <v>42.16</v>
      </c>
      <c r="C1549">
        <v>144.33000000000001</v>
      </c>
      <c r="D1549" t="s">
        <v>16</v>
      </c>
      <c r="E1549" t="s">
        <v>265</v>
      </c>
      <c r="F1549">
        <f t="shared" si="48"/>
        <v>2004</v>
      </c>
      <c r="G1549">
        <f t="shared" si="49"/>
        <v>11</v>
      </c>
      <c r="H1549" t="str">
        <f>IF(ISNUMBER(FIND(",", E1549)), TRIM(MID(E1549, FIND(",", E1549) + 1, LEN(E1549))), E1549)</f>
        <v>Japan region</v>
      </c>
    </row>
    <row r="1550" spans="1:8" x14ac:dyDescent="0.25">
      <c r="A1550" s="2">
        <v>38300</v>
      </c>
      <c r="B1550">
        <v>-11.14</v>
      </c>
      <c r="C1550">
        <v>163.79</v>
      </c>
      <c r="D1550" t="s">
        <v>16</v>
      </c>
      <c r="E1550" t="s">
        <v>221</v>
      </c>
      <c r="F1550">
        <f t="shared" si="48"/>
        <v>2004</v>
      </c>
      <c r="G1550">
        <f t="shared" si="49"/>
        <v>11</v>
      </c>
      <c r="H1550" t="str">
        <f>IF(ISNUMBER(FIND(",", E1550)), TRIM(MID(E1550, FIND(",", E1550) + 1, LEN(E1550))), E1550)</f>
        <v>Solomon Islands</v>
      </c>
    </row>
    <row r="1551" spans="1:8" x14ac:dyDescent="0.25">
      <c r="A1551" s="2">
        <v>38299</v>
      </c>
      <c r="B1551">
        <v>24.07</v>
      </c>
      <c r="C1551">
        <v>122.53</v>
      </c>
      <c r="D1551" t="s">
        <v>16</v>
      </c>
      <c r="E1551" t="s">
        <v>363</v>
      </c>
      <c r="F1551">
        <f t="shared" si="48"/>
        <v>2004</v>
      </c>
      <c r="G1551">
        <f t="shared" si="49"/>
        <v>11</v>
      </c>
      <c r="H1551" t="str">
        <f>IF(ISNUMBER(FIND(",", E1551)), TRIM(MID(E1551, FIND(",", E1551) + 1, LEN(E1551))), E1551)</f>
        <v>Taiwan region</v>
      </c>
    </row>
    <row r="1552" spans="1:8" x14ac:dyDescent="0.25">
      <c r="A1552" s="2">
        <v>38298</v>
      </c>
      <c r="B1552">
        <v>47.87</v>
      </c>
      <c r="C1552">
        <v>144.47999999999999</v>
      </c>
      <c r="D1552" t="s">
        <v>16</v>
      </c>
      <c r="E1552" t="s">
        <v>74</v>
      </c>
      <c r="F1552">
        <f t="shared" si="48"/>
        <v>2004</v>
      </c>
      <c r="G1552">
        <f t="shared" si="49"/>
        <v>11</v>
      </c>
      <c r="H1552" t="str">
        <f>IF(ISNUMBER(FIND(",", E1552)), TRIM(MID(E1552, FIND(",", E1552) + 1, LEN(E1552))), E1552)</f>
        <v>Sea of Okhotsk</v>
      </c>
    </row>
    <row r="1553" spans="1:8" x14ac:dyDescent="0.25">
      <c r="A1553" s="2">
        <v>38293</v>
      </c>
      <c r="B1553">
        <v>49.17</v>
      </c>
      <c r="C1553">
        <v>-128.94</v>
      </c>
      <c r="D1553" t="s">
        <v>16</v>
      </c>
      <c r="E1553" t="s">
        <v>199</v>
      </c>
      <c r="F1553">
        <f t="shared" si="48"/>
        <v>2004</v>
      </c>
      <c r="G1553">
        <f t="shared" si="49"/>
        <v>11</v>
      </c>
      <c r="H1553" t="str">
        <f>IF(ISNUMBER(FIND(",", E1553)), TRIM(MID(E1553, FIND(",", E1553) + 1, LEN(E1553))), E1553)</f>
        <v>Canada region</v>
      </c>
    </row>
    <row r="1554" spans="1:8" x14ac:dyDescent="0.25">
      <c r="A1554" s="2">
        <v>38286</v>
      </c>
      <c r="B1554">
        <v>-57.08</v>
      </c>
      <c r="C1554">
        <v>-24.75</v>
      </c>
      <c r="D1554" t="s">
        <v>16</v>
      </c>
      <c r="E1554" t="s">
        <v>260</v>
      </c>
      <c r="F1554">
        <f t="shared" si="48"/>
        <v>2004</v>
      </c>
      <c r="G1554">
        <f t="shared" si="49"/>
        <v>10</v>
      </c>
      <c r="H1554" t="str">
        <f>IF(ISNUMBER(FIND(",", E1554)), TRIM(MID(E1554, FIND(",", E1554) + 1, LEN(E1554))), E1554)</f>
        <v>South Sandwich Islands region</v>
      </c>
    </row>
    <row r="1555" spans="1:8" x14ac:dyDescent="0.25">
      <c r="A1555" s="2">
        <v>38286</v>
      </c>
      <c r="B1555">
        <v>-57.067</v>
      </c>
      <c r="C1555">
        <v>-24.829000000000001</v>
      </c>
      <c r="D1555" t="s">
        <v>5</v>
      </c>
      <c r="E1555" t="s">
        <v>260</v>
      </c>
      <c r="F1555">
        <f t="shared" si="48"/>
        <v>2004</v>
      </c>
      <c r="G1555">
        <f t="shared" si="49"/>
        <v>10</v>
      </c>
      <c r="H1555" t="str">
        <f>IF(ISNUMBER(FIND(",", E1555)), TRIM(MID(E1555, FIND(",", E1555) + 1, LEN(E1555))), E1555)</f>
        <v>South Sandwich Islands region</v>
      </c>
    </row>
    <row r="1556" spans="1:8" x14ac:dyDescent="0.25">
      <c r="A1556" s="2">
        <v>38283</v>
      </c>
      <c r="B1556">
        <v>37.340000000000003</v>
      </c>
      <c r="C1556">
        <v>138.88</v>
      </c>
      <c r="D1556" t="s">
        <v>16</v>
      </c>
      <c r="E1556" t="s">
        <v>298</v>
      </c>
      <c r="F1556">
        <f t="shared" si="48"/>
        <v>2004</v>
      </c>
      <c r="G1556">
        <f t="shared" si="49"/>
        <v>10</v>
      </c>
      <c r="H1556" t="str">
        <f>IF(ISNUMBER(FIND(",", E1556)), TRIM(MID(E1556, FIND(",", E1556) + 1, LEN(E1556))), E1556)</f>
        <v>Japan</v>
      </c>
    </row>
    <row r="1557" spans="1:8" x14ac:dyDescent="0.25">
      <c r="A1557" s="2">
        <v>38283</v>
      </c>
      <c r="B1557">
        <v>37.340000000000003</v>
      </c>
      <c r="C1557">
        <v>138.87</v>
      </c>
      <c r="D1557" t="s">
        <v>16</v>
      </c>
      <c r="E1557" t="s">
        <v>298</v>
      </c>
      <c r="F1557">
        <f t="shared" si="48"/>
        <v>2004</v>
      </c>
      <c r="G1557">
        <f t="shared" si="49"/>
        <v>10</v>
      </c>
      <c r="H1557" t="str">
        <f>IF(ISNUMBER(FIND(",", E1557)), TRIM(MID(E1557, FIND(",", E1557) + 1, LEN(E1557))), E1557)</f>
        <v>Japan</v>
      </c>
    </row>
    <row r="1558" spans="1:8" x14ac:dyDescent="0.25">
      <c r="A1558" s="2">
        <v>38283</v>
      </c>
      <c r="B1558">
        <v>37.26</v>
      </c>
      <c r="C1558">
        <v>138.79</v>
      </c>
      <c r="D1558" t="s">
        <v>16</v>
      </c>
      <c r="E1558" t="s">
        <v>298</v>
      </c>
      <c r="F1558">
        <f t="shared" si="48"/>
        <v>2004</v>
      </c>
      <c r="G1558">
        <f t="shared" si="49"/>
        <v>10</v>
      </c>
      <c r="H1558" t="str">
        <f>IF(ISNUMBER(FIND(",", E1558)), TRIM(MID(E1558, FIND(",", E1558) + 1, LEN(E1558))), E1558)</f>
        <v>Japan</v>
      </c>
    </row>
    <row r="1559" spans="1:8" x14ac:dyDescent="0.25">
      <c r="A1559" s="2">
        <v>38280</v>
      </c>
      <c r="B1559">
        <v>-14.04</v>
      </c>
      <c r="C1559">
        <v>166.66</v>
      </c>
      <c r="D1559" t="s">
        <v>16</v>
      </c>
      <c r="E1559" t="s">
        <v>181</v>
      </c>
      <c r="F1559">
        <f t="shared" si="48"/>
        <v>2004</v>
      </c>
      <c r="G1559">
        <f t="shared" si="49"/>
        <v>10</v>
      </c>
      <c r="H1559" t="str">
        <f>IF(ISNUMBER(FIND(",", E1559)), TRIM(MID(E1559, FIND(",", E1559) + 1, LEN(E1559))), E1559)</f>
        <v>Vanuatu</v>
      </c>
    </row>
    <row r="1560" spans="1:8" x14ac:dyDescent="0.25">
      <c r="A1560" s="2">
        <v>38275</v>
      </c>
      <c r="B1560">
        <v>24.56</v>
      </c>
      <c r="C1560">
        <v>122.74</v>
      </c>
      <c r="D1560" t="s">
        <v>16</v>
      </c>
      <c r="E1560" t="s">
        <v>363</v>
      </c>
      <c r="F1560">
        <f t="shared" si="48"/>
        <v>2004</v>
      </c>
      <c r="G1560">
        <f t="shared" si="49"/>
        <v>10</v>
      </c>
      <c r="H1560" t="str">
        <f>IF(ISNUMBER(FIND(",", E1560)), TRIM(MID(E1560, FIND(",", E1560) + 1, LEN(E1560))), E1560)</f>
        <v>Taiwan region</v>
      </c>
    </row>
    <row r="1561" spans="1:8" x14ac:dyDescent="0.25">
      <c r="A1561" s="2">
        <v>38269</v>
      </c>
      <c r="B1561">
        <v>11.4</v>
      </c>
      <c r="C1561">
        <v>-86.7</v>
      </c>
      <c r="D1561" t="s">
        <v>16</v>
      </c>
      <c r="E1561" t="s">
        <v>448</v>
      </c>
      <c r="F1561">
        <f t="shared" si="48"/>
        <v>2004</v>
      </c>
      <c r="G1561">
        <f t="shared" si="49"/>
        <v>10</v>
      </c>
      <c r="H1561" t="str">
        <f>IF(ISNUMBER(FIND(",", E1561)), TRIM(MID(E1561, FIND(",", E1561) + 1, LEN(E1561))), E1561)</f>
        <v>near the coast of Nicaragua</v>
      </c>
    </row>
    <row r="1562" spans="1:8" x14ac:dyDescent="0.25">
      <c r="A1562" s="2">
        <v>38268</v>
      </c>
      <c r="B1562">
        <v>13.89</v>
      </c>
      <c r="C1562">
        <v>120.54</v>
      </c>
      <c r="D1562" t="s">
        <v>16</v>
      </c>
      <c r="E1562" t="s">
        <v>333</v>
      </c>
      <c r="F1562">
        <f t="shared" si="48"/>
        <v>2004</v>
      </c>
      <c r="G1562">
        <f t="shared" si="49"/>
        <v>10</v>
      </c>
      <c r="H1562" t="str">
        <f>IF(ISNUMBER(FIND(",", E1562)), TRIM(MID(E1562, FIND(",", E1562) + 1, LEN(E1562))), E1562)</f>
        <v>Philippines</v>
      </c>
    </row>
    <row r="1563" spans="1:8" x14ac:dyDescent="0.25">
      <c r="A1563" s="2">
        <v>38268</v>
      </c>
      <c r="B1563">
        <v>-10.93</v>
      </c>
      <c r="C1563">
        <v>162.19999999999999</v>
      </c>
      <c r="D1563" t="s">
        <v>16</v>
      </c>
      <c r="E1563" t="s">
        <v>221</v>
      </c>
      <c r="F1563">
        <f t="shared" si="48"/>
        <v>2004</v>
      </c>
      <c r="G1563">
        <f t="shared" si="49"/>
        <v>10</v>
      </c>
      <c r="H1563" t="str">
        <f>IF(ISNUMBER(FIND(",", E1563)), TRIM(MID(E1563, FIND(",", E1563) + 1, LEN(E1563))), E1563)</f>
        <v>Solomon Islands</v>
      </c>
    </row>
    <row r="1564" spans="1:8" x14ac:dyDescent="0.25">
      <c r="A1564" s="2">
        <v>38266</v>
      </c>
      <c r="B1564">
        <v>-0.73</v>
      </c>
      <c r="C1564">
        <v>134.49</v>
      </c>
      <c r="D1564" t="s">
        <v>16</v>
      </c>
      <c r="E1564" t="s">
        <v>241</v>
      </c>
      <c r="F1564">
        <f t="shared" si="48"/>
        <v>2004</v>
      </c>
      <c r="G1564">
        <f t="shared" si="49"/>
        <v>10</v>
      </c>
      <c r="H1564" t="str">
        <f>IF(ISNUMBER(FIND(",", E1564)), TRIM(MID(E1564, FIND(",", E1564) + 1, LEN(E1564))), E1564)</f>
        <v>Indonesia</v>
      </c>
    </row>
    <row r="1565" spans="1:8" x14ac:dyDescent="0.25">
      <c r="A1565" s="2">
        <v>38264</v>
      </c>
      <c r="B1565">
        <v>14.6</v>
      </c>
      <c r="C1565">
        <v>147.09</v>
      </c>
      <c r="D1565" t="s">
        <v>16</v>
      </c>
      <c r="E1565" t="s">
        <v>72</v>
      </c>
      <c r="F1565">
        <f t="shared" si="48"/>
        <v>2004</v>
      </c>
      <c r="G1565">
        <f t="shared" si="49"/>
        <v>10</v>
      </c>
      <c r="H1565" t="str">
        <f>IF(ISNUMBER(FIND(",", E1565)), TRIM(MID(E1565, FIND(",", E1565) + 1, LEN(E1565))), E1565)</f>
        <v>Mariana Islands region</v>
      </c>
    </row>
    <row r="1566" spans="1:8" x14ac:dyDescent="0.25">
      <c r="A1566" s="2">
        <v>38258</v>
      </c>
      <c r="B1566">
        <v>35.818199999999997</v>
      </c>
      <c r="C1566">
        <v>-120.366</v>
      </c>
      <c r="D1566" t="s">
        <v>6</v>
      </c>
      <c r="E1566" t="s">
        <v>463</v>
      </c>
      <c r="F1566">
        <f t="shared" si="48"/>
        <v>2004</v>
      </c>
      <c r="G1566">
        <f t="shared" si="49"/>
        <v>9</v>
      </c>
      <c r="H1566" t="str">
        <f>IF(ISNUMBER(FIND(",", E1566)), TRIM(MID(E1566, FIND(",", E1566) + 1, LEN(E1566))), E1566)</f>
        <v>California</v>
      </c>
    </row>
    <row r="1567" spans="1:8" x14ac:dyDescent="0.25">
      <c r="A1567" s="2">
        <v>38258</v>
      </c>
      <c r="B1567">
        <v>35.75</v>
      </c>
      <c r="C1567">
        <v>-120.32</v>
      </c>
      <c r="E1567" t="s">
        <v>464</v>
      </c>
      <c r="F1567">
        <f t="shared" si="48"/>
        <v>2004</v>
      </c>
      <c r="G1567">
        <f t="shared" si="49"/>
        <v>9</v>
      </c>
      <c r="H1567" t="str">
        <f>IF(ISNUMBER(FIND(",", E1567)), TRIM(MID(E1567, FIND(",", E1567) + 1, LEN(E1567))), E1567)</f>
        <v>Central California</v>
      </c>
    </row>
    <row r="1568" spans="1:8" x14ac:dyDescent="0.25">
      <c r="A1568" s="2">
        <v>38258</v>
      </c>
      <c r="B1568">
        <v>-52.39</v>
      </c>
      <c r="C1568">
        <v>28.1</v>
      </c>
      <c r="D1568" t="s">
        <v>16</v>
      </c>
      <c r="E1568" t="s">
        <v>465</v>
      </c>
      <c r="F1568">
        <f t="shared" si="48"/>
        <v>2004</v>
      </c>
      <c r="G1568">
        <f t="shared" si="49"/>
        <v>9</v>
      </c>
      <c r="H1568" t="str">
        <f>IF(ISNUMBER(FIND(",", E1568)), TRIM(MID(E1568, FIND(",", E1568) + 1, LEN(E1568))), E1568)</f>
        <v>south of Africa</v>
      </c>
    </row>
    <row r="1569" spans="1:8" x14ac:dyDescent="0.25">
      <c r="A1569" s="2">
        <v>38249</v>
      </c>
      <c r="B1569">
        <v>52.23</v>
      </c>
      <c r="C1569">
        <v>174.07</v>
      </c>
      <c r="D1569" t="s">
        <v>16</v>
      </c>
      <c r="E1569" t="s">
        <v>184</v>
      </c>
      <c r="F1569">
        <f t="shared" si="48"/>
        <v>2004</v>
      </c>
      <c r="G1569">
        <f t="shared" si="49"/>
        <v>9</v>
      </c>
      <c r="H1569" t="str">
        <f>IF(ISNUMBER(FIND(",", E1569)), TRIM(MID(E1569, FIND(",", E1569) + 1, LEN(E1569))), E1569)</f>
        <v>Aleutian Islands, Alaska</v>
      </c>
    </row>
    <row r="1570" spans="1:8" x14ac:dyDescent="0.25">
      <c r="A1570" s="2">
        <v>38241</v>
      </c>
      <c r="B1570">
        <v>-58.01</v>
      </c>
      <c r="C1570">
        <v>-25.41</v>
      </c>
      <c r="D1570" t="s">
        <v>16</v>
      </c>
      <c r="E1570" t="s">
        <v>260</v>
      </c>
      <c r="F1570">
        <f t="shared" si="48"/>
        <v>2004</v>
      </c>
      <c r="G1570">
        <f t="shared" si="49"/>
        <v>9</v>
      </c>
      <c r="H1570" t="str">
        <f>IF(ISNUMBER(FIND(",", E1570)), TRIM(MID(E1570, FIND(",", E1570) + 1, LEN(E1570))), E1570)</f>
        <v>South Sandwich Islands region</v>
      </c>
    </row>
    <row r="1571" spans="1:8" x14ac:dyDescent="0.25">
      <c r="A1571" s="2">
        <v>38238</v>
      </c>
      <c r="B1571">
        <v>33.19</v>
      </c>
      <c r="C1571">
        <v>137.22999999999999</v>
      </c>
      <c r="D1571" t="s">
        <v>16</v>
      </c>
      <c r="E1571" t="s">
        <v>360</v>
      </c>
      <c r="F1571">
        <f t="shared" si="48"/>
        <v>2004</v>
      </c>
      <c r="G1571">
        <f t="shared" si="49"/>
        <v>9</v>
      </c>
      <c r="H1571" t="str">
        <f>IF(ISNUMBER(FIND(",", E1571)), TRIM(MID(E1571, FIND(",", E1571) + 1, LEN(E1571))), E1571)</f>
        <v>Japan</v>
      </c>
    </row>
    <row r="1572" spans="1:8" x14ac:dyDescent="0.25">
      <c r="A1572" s="2">
        <v>38237</v>
      </c>
      <c r="B1572">
        <v>-28.56</v>
      </c>
      <c r="C1572">
        <v>-65.84</v>
      </c>
      <c r="D1572" t="s">
        <v>16</v>
      </c>
      <c r="E1572" t="s">
        <v>466</v>
      </c>
      <c r="F1572">
        <f t="shared" si="48"/>
        <v>2004</v>
      </c>
      <c r="G1572">
        <f t="shared" si="49"/>
        <v>9</v>
      </c>
      <c r="H1572" t="str">
        <f>IF(ISNUMBER(FIND(",", E1572)), TRIM(MID(E1572, FIND(",", E1572) + 1, LEN(E1572))), E1572)</f>
        <v>Argentina</v>
      </c>
    </row>
    <row r="1573" spans="1:8" x14ac:dyDescent="0.25">
      <c r="A1573" s="2">
        <v>38236</v>
      </c>
      <c r="B1573">
        <v>33.22</v>
      </c>
      <c r="C1573">
        <v>137.29</v>
      </c>
      <c r="D1573" t="s">
        <v>16</v>
      </c>
      <c r="E1573" t="s">
        <v>360</v>
      </c>
      <c r="F1573">
        <f t="shared" si="48"/>
        <v>2004</v>
      </c>
      <c r="G1573">
        <f t="shared" si="49"/>
        <v>9</v>
      </c>
      <c r="H1573" t="str">
        <f>IF(ISNUMBER(FIND(",", E1573)), TRIM(MID(E1573, FIND(",", E1573) + 1, LEN(E1573))), E1573)</f>
        <v>Japan</v>
      </c>
    </row>
    <row r="1574" spans="1:8" x14ac:dyDescent="0.25">
      <c r="A1574" s="2">
        <v>38236</v>
      </c>
      <c r="B1574">
        <v>-55.32</v>
      </c>
      <c r="C1574">
        <v>-29.08</v>
      </c>
      <c r="D1574" t="s">
        <v>16</v>
      </c>
      <c r="E1574" t="s">
        <v>260</v>
      </c>
      <c r="F1574">
        <f t="shared" si="48"/>
        <v>2004</v>
      </c>
      <c r="G1574">
        <f t="shared" si="49"/>
        <v>9</v>
      </c>
      <c r="H1574" t="str">
        <f>IF(ISNUMBER(FIND(",", E1574)), TRIM(MID(E1574, FIND(",", E1574) + 1, LEN(E1574))), E1574)</f>
        <v>South Sandwich Islands region</v>
      </c>
    </row>
    <row r="1575" spans="1:8" x14ac:dyDescent="0.25">
      <c r="A1575" s="2">
        <v>38235</v>
      </c>
      <c r="B1575">
        <v>33.200000000000003</v>
      </c>
      <c r="C1575">
        <v>137.09</v>
      </c>
      <c r="D1575" t="s">
        <v>16</v>
      </c>
      <c r="E1575" t="s">
        <v>360</v>
      </c>
      <c r="F1575">
        <f t="shared" si="48"/>
        <v>2004</v>
      </c>
      <c r="G1575">
        <f t="shared" si="49"/>
        <v>9</v>
      </c>
      <c r="H1575" t="str">
        <f>IF(ISNUMBER(FIND(",", E1575)), TRIM(MID(E1575, FIND(",", E1575) + 1, LEN(E1575))), E1575)</f>
        <v>Japan</v>
      </c>
    </row>
    <row r="1576" spans="1:8" x14ac:dyDescent="0.25">
      <c r="A1576" s="2">
        <v>38235</v>
      </c>
      <c r="B1576">
        <v>33.08</v>
      </c>
      <c r="C1576">
        <v>136.69999999999999</v>
      </c>
      <c r="D1576" t="s">
        <v>16</v>
      </c>
      <c r="E1576" t="s">
        <v>467</v>
      </c>
      <c r="F1576">
        <f t="shared" si="48"/>
        <v>2004</v>
      </c>
      <c r="G1576">
        <f t="shared" si="49"/>
        <v>9</v>
      </c>
      <c r="H1576" t="str">
        <f>IF(ISNUMBER(FIND(",", E1576)), TRIM(MID(E1576, FIND(",", E1576) + 1, LEN(E1576))), E1576)</f>
        <v>Japan</v>
      </c>
    </row>
    <row r="1577" spans="1:8" x14ac:dyDescent="0.25">
      <c r="A1577" s="2">
        <v>38233</v>
      </c>
      <c r="B1577">
        <v>-15.23</v>
      </c>
      <c r="C1577">
        <v>-173.27</v>
      </c>
      <c r="D1577" t="s">
        <v>16</v>
      </c>
      <c r="E1577" t="s">
        <v>239</v>
      </c>
      <c r="F1577">
        <f t="shared" si="48"/>
        <v>2004</v>
      </c>
      <c r="G1577">
        <f t="shared" si="49"/>
        <v>9</v>
      </c>
      <c r="H1577" t="str">
        <f>IF(ISNUMBER(FIND(",", E1577)), TRIM(MID(E1577, FIND(",", E1577) + 1, LEN(E1577))), E1577)</f>
        <v>Tonga</v>
      </c>
    </row>
    <row r="1578" spans="1:8" x14ac:dyDescent="0.25">
      <c r="A1578" s="2">
        <v>38227</v>
      </c>
      <c r="B1578">
        <v>-34.92</v>
      </c>
      <c r="C1578">
        <v>-70.459999999999994</v>
      </c>
      <c r="D1578" t="s">
        <v>16</v>
      </c>
      <c r="E1578" t="s">
        <v>334</v>
      </c>
      <c r="F1578">
        <f t="shared" si="48"/>
        <v>2004</v>
      </c>
      <c r="G1578">
        <f t="shared" si="49"/>
        <v>8</v>
      </c>
      <c r="H1578" t="str">
        <f>IF(ISNUMBER(FIND(",", E1578)), TRIM(MID(E1578, FIND(",", E1578) + 1, LEN(E1578))), E1578)</f>
        <v>Chile</v>
      </c>
    </row>
    <row r="1579" spans="1:8" x14ac:dyDescent="0.25">
      <c r="A1579" s="2">
        <v>38209</v>
      </c>
      <c r="B1579">
        <v>36.4</v>
      </c>
      <c r="C1579">
        <v>70.739999999999995</v>
      </c>
      <c r="D1579" t="s">
        <v>16</v>
      </c>
      <c r="E1579" t="s">
        <v>314</v>
      </c>
      <c r="F1579">
        <f t="shared" si="48"/>
        <v>2004</v>
      </c>
      <c r="G1579">
        <f t="shared" si="49"/>
        <v>8</v>
      </c>
      <c r="H1579" t="str">
        <f>IF(ISNUMBER(FIND(",", E1579)), TRIM(MID(E1579, FIND(",", E1579) + 1, LEN(E1579))), E1579)</f>
        <v>Afghanistan</v>
      </c>
    </row>
    <row r="1580" spans="1:8" x14ac:dyDescent="0.25">
      <c r="A1580" s="2">
        <v>38200</v>
      </c>
      <c r="B1580">
        <v>-63.61</v>
      </c>
      <c r="C1580">
        <v>-166.63</v>
      </c>
      <c r="D1580" t="s">
        <v>16</v>
      </c>
      <c r="E1580" t="s">
        <v>179</v>
      </c>
      <c r="F1580">
        <f t="shared" si="48"/>
        <v>2004</v>
      </c>
      <c r="G1580">
        <f t="shared" si="49"/>
        <v>8</v>
      </c>
      <c r="H1580" t="str">
        <f>IF(ISNUMBER(FIND(",", E1580)), TRIM(MID(E1580, FIND(",", E1580) + 1, LEN(E1580))), E1580)</f>
        <v>Pacific-Antarctic Ridge</v>
      </c>
    </row>
    <row r="1581" spans="1:8" x14ac:dyDescent="0.25">
      <c r="A1581" s="2">
        <v>38196</v>
      </c>
      <c r="B1581">
        <v>-0.5</v>
      </c>
      <c r="C1581">
        <v>133.08000000000001</v>
      </c>
      <c r="D1581" t="s">
        <v>16</v>
      </c>
      <c r="E1581" t="s">
        <v>241</v>
      </c>
      <c r="F1581">
        <f t="shared" si="48"/>
        <v>2004</v>
      </c>
      <c r="G1581">
        <f t="shared" si="49"/>
        <v>7</v>
      </c>
      <c r="H1581" t="str">
        <f>IF(ISNUMBER(FIND(",", E1581)), TRIM(MID(E1581, FIND(",", E1581) + 1, LEN(E1581))), E1581)</f>
        <v>Indonesia</v>
      </c>
    </row>
    <row r="1582" spans="1:8" x14ac:dyDescent="0.25">
      <c r="A1582" s="2">
        <v>38193</v>
      </c>
      <c r="B1582">
        <v>-2.52</v>
      </c>
      <c r="C1582">
        <v>103.92</v>
      </c>
      <c r="D1582" t="s">
        <v>16</v>
      </c>
      <c r="E1582" t="s">
        <v>308</v>
      </c>
      <c r="F1582">
        <f t="shared" si="48"/>
        <v>2004</v>
      </c>
      <c r="G1582">
        <f t="shared" si="49"/>
        <v>7</v>
      </c>
      <c r="H1582" t="str">
        <f>IF(ISNUMBER(FIND(",", E1582)), TRIM(MID(E1582, FIND(",", E1582) + 1, LEN(E1582))), E1582)</f>
        <v>Indonesia</v>
      </c>
    </row>
    <row r="1583" spans="1:8" x14ac:dyDescent="0.25">
      <c r="A1583" s="2">
        <v>38190</v>
      </c>
      <c r="B1583">
        <v>26.51</v>
      </c>
      <c r="C1583">
        <v>128.88999999999999</v>
      </c>
      <c r="D1583" t="s">
        <v>16</v>
      </c>
      <c r="E1583" t="s">
        <v>340</v>
      </c>
      <c r="F1583">
        <f t="shared" si="48"/>
        <v>2004</v>
      </c>
      <c r="G1583">
        <f t="shared" si="49"/>
        <v>7</v>
      </c>
      <c r="H1583" t="str">
        <f>IF(ISNUMBER(FIND(",", E1583)), TRIM(MID(E1583, FIND(",", E1583) + 1, LEN(E1583))), E1583)</f>
        <v>Japan</v>
      </c>
    </row>
    <row r="1584" spans="1:8" x14ac:dyDescent="0.25">
      <c r="A1584" s="2">
        <v>38187</v>
      </c>
      <c r="B1584">
        <v>49.52</v>
      </c>
      <c r="C1584">
        <v>-127.09</v>
      </c>
      <c r="D1584" t="s">
        <v>16</v>
      </c>
      <c r="E1584" t="s">
        <v>199</v>
      </c>
      <c r="F1584">
        <f t="shared" si="48"/>
        <v>2004</v>
      </c>
      <c r="G1584">
        <f t="shared" si="49"/>
        <v>7</v>
      </c>
      <c r="H1584" t="str">
        <f>IF(ISNUMBER(FIND(",", E1584)), TRIM(MID(E1584, FIND(",", E1584) + 1, LEN(E1584))), E1584)</f>
        <v>Canada region</v>
      </c>
    </row>
    <row r="1585" spans="1:8" x14ac:dyDescent="0.25">
      <c r="A1585" s="2">
        <v>38184</v>
      </c>
      <c r="B1585">
        <v>-65.599999999999994</v>
      </c>
      <c r="C1585">
        <v>-179.51</v>
      </c>
      <c r="D1585" t="s">
        <v>16</v>
      </c>
      <c r="E1585" t="s">
        <v>179</v>
      </c>
      <c r="F1585">
        <f t="shared" si="48"/>
        <v>2004</v>
      </c>
      <c r="G1585">
        <f t="shared" si="49"/>
        <v>7</v>
      </c>
      <c r="H1585" t="str">
        <f>IF(ISNUMBER(FIND(",", E1585)), TRIM(MID(E1585, FIND(",", E1585) + 1, LEN(E1585))), E1585)</f>
        <v>Pacific-Antarctic Ridge</v>
      </c>
    </row>
    <row r="1586" spans="1:8" x14ac:dyDescent="0.25">
      <c r="A1586" s="2">
        <v>38183</v>
      </c>
      <c r="B1586">
        <v>-17.655999999999999</v>
      </c>
      <c r="C1586">
        <v>-178.76</v>
      </c>
      <c r="D1586" t="s">
        <v>7</v>
      </c>
      <c r="E1586" t="s">
        <v>53</v>
      </c>
      <c r="F1586">
        <f t="shared" si="48"/>
        <v>2004</v>
      </c>
      <c r="G1586">
        <f t="shared" si="49"/>
        <v>7</v>
      </c>
      <c r="H1586" t="str">
        <f>IF(ISNUMBER(FIND(",", E1586)), TRIM(MID(E1586, FIND(",", E1586) + 1, LEN(E1586))), E1586)</f>
        <v>Fiji region</v>
      </c>
    </row>
    <row r="1587" spans="1:8" x14ac:dyDescent="0.25">
      <c r="A1587" s="2">
        <v>38183</v>
      </c>
      <c r="B1587">
        <v>-17.829999999999998</v>
      </c>
      <c r="C1587">
        <v>-178.65</v>
      </c>
      <c r="D1587" t="s">
        <v>16</v>
      </c>
      <c r="E1587" t="s">
        <v>53</v>
      </c>
      <c r="F1587">
        <f t="shared" si="48"/>
        <v>2004</v>
      </c>
      <c r="G1587">
        <f t="shared" si="49"/>
        <v>7</v>
      </c>
      <c r="H1587" t="str">
        <f>IF(ISNUMBER(FIND(",", E1587)), TRIM(MID(E1587, FIND(",", E1587) + 1, LEN(E1587))), E1587)</f>
        <v>Fiji region</v>
      </c>
    </row>
    <row r="1588" spans="1:8" x14ac:dyDescent="0.25">
      <c r="A1588" s="2">
        <v>38179</v>
      </c>
      <c r="B1588">
        <v>-20.23</v>
      </c>
      <c r="C1588">
        <v>-126.91</v>
      </c>
      <c r="D1588" t="s">
        <v>16</v>
      </c>
      <c r="E1588" t="s">
        <v>468</v>
      </c>
      <c r="F1588">
        <f t="shared" si="48"/>
        <v>2004</v>
      </c>
      <c r="G1588">
        <f t="shared" si="49"/>
        <v>7</v>
      </c>
      <c r="H1588" t="str">
        <f>IF(ISNUMBER(FIND(",", E1588)), TRIM(MID(E1588, FIND(",", E1588) + 1, LEN(E1588))), E1588)</f>
        <v>South Pacific Ocean</v>
      </c>
    </row>
    <row r="1589" spans="1:8" x14ac:dyDescent="0.25">
      <c r="A1589" s="2">
        <v>38179</v>
      </c>
      <c r="B1589">
        <v>30.67</v>
      </c>
      <c r="C1589">
        <v>83.64</v>
      </c>
      <c r="D1589" t="s">
        <v>16</v>
      </c>
      <c r="E1589" t="s">
        <v>388</v>
      </c>
      <c r="F1589">
        <f t="shared" si="48"/>
        <v>2004</v>
      </c>
      <c r="G1589">
        <f t="shared" si="49"/>
        <v>7</v>
      </c>
      <c r="H1589" t="str">
        <f>IF(ISNUMBER(FIND(",", E1589)), TRIM(MID(E1589, FIND(",", E1589) + 1, LEN(E1589))), E1589)</f>
        <v>western Xizang</v>
      </c>
    </row>
    <row r="1590" spans="1:8" x14ac:dyDescent="0.25">
      <c r="A1590" s="2">
        <v>38176</v>
      </c>
      <c r="B1590">
        <v>47.19</v>
      </c>
      <c r="C1590">
        <v>151.33000000000001</v>
      </c>
      <c r="D1590" t="s">
        <v>16</v>
      </c>
      <c r="E1590" t="s">
        <v>191</v>
      </c>
      <c r="F1590">
        <f t="shared" si="48"/>
        <v>2004</v>
      </c>
      <c r="G1590">
        <f t="shared" si="49"/>
        <v>7</v>
      </c>
      <c r="H1590" t="str">
        <f>IF(ISNUMBER(FIND(",", E1590)), TRIM(MID(E1590, FIND(",", E1590) + 1, LEN(E1590))), E1590)</f>
        <v>Kuril Islands</v>
      </c>
    </row>
    <row r="1591" spans="1:8" x14ac:dyDescent="0.25">
      <c r="A1591" s="2">
        <v>38169</v>
      </c>
      <c r="B1591">
        <v>-49.59</v>
      </c>
      <c r="C1591">
        <v>163.76</v>
      </c>
      <c r="D1591" t="s">
        <v>16</v>
      </c>
      <c r="E1591" t="s">
        <v>404</v>
      </c>
      <c r="F1591">
        <f t="shared" si="48"/>
        <v>2004</v>
      </c>
      <c r="G1591">
        <f t="shared" si="49"/>
        <v>7</v>
      </c>
      <c r="H1591" t="str">
        <f>IF(ISNUMBER(FIND(",", E1591)), TRIM(MID(E1591, FIND(",", E1591) + 1, LEN(E1591))), E1591)</f>
        <v>New Zealand region</v>
      </c>
    </row>
    <row r="1592" spans="1:8" x14ac:dyDescent="0.25">
      <c r="A1592" s="2">
        <v>38168</v>
      </c>
      <c r="B1592">
        <v>0.68</v>
      </c>
      <c r="C1592">
        <v>124.69</v>
      </c>
      <c r="D1592" t="s">
        <v>16</v>
      </c>
      <c r="E1592" t="s">
        <v>263</v>
      </c>
      <c r="F1592">
        <f t="shared" si="48"/>
        <v>2004</v>
      </c>
      <c r="G1592">
        <f t="shared" si="49"/>
        <v>6</v>
      </c>
      <c r="H1592" t="str">
        <f>IF(ISNUMBER(FIND(",", E1592)), TRIM(MID(E1592, FIND(",", E1592) + 1, LEN(E1592))), E1592)</f>
        <v>Sulawesi, Indonesia</v>
      </c>
    </row>
    <row r="1593" spans="1:8" x14ac:dyDescent="0.25">
      <c r="A1593" s="2">
        <v>38167</v>
      </c>
      <c r="B1593">
        <v>10.68</v>
      </c>
      <c r="C1593">
        <v>-87.11</v>
      </c>
      <c r="D1593" t="s">
        <v>16</v>
      </c>
      <c r="E1593" t="s">
        <v>469</v>
      </c>
      <c r="F1593">
        <f t="shared" si="48"/>
        <v>2004</v>
      </c>
      <c r="G1593">
        <f t="shared" si="49"/>
        <v>6</v>
      </c>
      <c r="H1593" t="str">
        <f>IF(ISNUMBER(FIND(",", E1593)), TRIM(MID(E1593, FIND(",", E1593) + 1, LEN(E1593))), E1593)</f>
        <v>off the coast of Costa Rica</v>
      </c>
    </row>
    <row r="1594" spans="1:8" x14ac:dyDescent="0.25">
      <c r="A1594" s="2">
        <v>38166</v>
      </c>
      <c r="B1594">
        <v>54.8</v>
      </c>
      <c r="C1594">
        <v>-134.54</v>
      </c>
      <c r="D1594" t="s">
        <v>16</v>
      </c>
      <c r="E1594" t="s">
        <v>409</v>
      </c>
      <c r="F1594">
        <f t="shared" si="48"/>
        <v>2004</v>
      </c>
      <c r="G1594">
        <f t="shared" si="49"/>
        <v>6</v>
      </c>
      <c r="H1594" t="str">
        <f>IF(ISNUMBER(FIND(",", E1594)), TRIM(MID(E1594, FIND(",", E1594) + 1, LEN(E1594))), E1594)</f>
        <v>Canada</v>
      </c>
    </row>
    <row r="1595" spans="1:8" x14ac:dyDescent="0.25">
      <c r="A1595" s="2">
        <v>38163</v>
      </c>
      <c r="B1595">
        <v>-6.79</v>
      </c>
      <c r="C1595">
        <v>130.38</v>
      </c>
      <c r="D1595" t="s">
        <v>16</v>
      </c>
      <c r="E1595" t="s">
        <v>187</v>
      </c>
      <c r="F1595">
        <f t="shared" si="48"/>
        <v>2004</v>
      </c>
      <c r="G1595">
        <f t="shared" si="49"/>
        <v>6</v>
      </c>
      <c r="H1595" t="str">
        <f>IF(ISNUMBER(FIND(",", E1595)), TRIM(MID(E1595, FIND(",", E1595) + 1, LEN(E1595))), E1595)</f>
        <v>Banda Sea</v>
      </c>
    </row>
    <row r="1596" spans="1:8" x14ac:dyDescent="0.25">
      <c r="A1596" s="2">
        <v>38148</v>
      </c>
      <c r="B1596">
        <v>55.71</v>
      </c>
      <c r="C1596">
        <v>159.99</v>
      </c>
      <c r="D1596" t="s">
        <v>16</v>
      </c>
      <c r="E1596" t="s">
        <v>424</v>
      </c>
      <c r="F1596">
        <f t="shared" si="48"/>
        <v>2004</v>
      </c>
      <c r="G1596">
        <f t="shared" si="49"/>
        <v>6</v>
      </c>
      <c r="H1596" t="str">
        <f>IF(ISNUMBER(FIND(",", E1596)), TRIM(MID(E1596, FIND(",", E1596) + 1, LEN(E1596))), E1596)</f>
        <v>Russia</v>
      </c>
    </row>
    <row r="1597" spans="1:8" x14ac:dyDescent="0.25">
      <c r="A1597" s="2">
        <v>38147</v>
      </c>
      <c r="B1597">
        <v>-51.65</v>
      </c>
      <c r="C1597">
        <v>139.63</v>
      </c>
      <c r="D1597" t="s">
        <v>16</v>
      </c>
      <c r="E1597" t="s">
        <v>235</v>
      </c>
      <c r="F1597">
        <f t="shared" si="48"/>
        <v>2004</v>
      </c>
      <c r="G1597">
        <f t="shared" si="49"/>
        <v>6</v>
      </c>
      <c r="H1597" t="str">
        <f>IF(ISNUMBER(FIND(",", E1597)), TRIM(MID(E1597, FIND(",", E1597) + 1, LEN(E1597))), E1597)</f>
        <v>western Indian-Antarctic Ridge</v>
      </c>
    </row>
    <row r="1598" spans="1:8" x14ac:dyDescent="0.25">
      <c r="A1598" s="2">
        <v>38140</v>
      </c>
      <c r="B1598">
        <v>-32.840000000000003</v>
      </c>
      <c r="C1598">
        <v>-179.19</v>
      </c>
      <c r="D1598" t="s">
        <v>16</v>
      </c>
      <c r="E1598" t="s">
        <v>262</v>
      </c>
      <c r="F1598">
        <f t="shared" si="48"/>
        <v>2004</v>
      </c>
      <c r="G1598">
        <f t="shared" si="49"/>
        <v>6</v>
      </c>
      <c r="H1598" t="str">
        <f>IF(ISNUMBER(FIND(",", E1598)), TRIM(MID(E1598, FIND(",", E1598) + 1, LEN(E1598))), E1598)</f>
        <v>south of the Kermadec Islands</v>
      </c>
    </row>
    <row r="1599" spans="1:8" x14ac:dyDescent="0.25">
      <c r="A1599" s="2">
        <v>38136</v>
      </c>
      <c r="B1599">
        <v>34.24</v>
      </c>
      <c r="C1599">
        <v>141.43</v>
      </c>
      <c r="D1599" t="s">
        <v>16</v>
      </c>
      <c r="E1599" t="s">
        <v>189</v>
      </c>
      <c r="F1599">
        <f t="shared" si="48"/>
        <v>2004</v>
      </c>
      <c r="G1599">
        <f t="shared" si="49"/>
        <v>5</v>
      </c>
      <c r="H1599" t="str">
        <f>IF(ISNUMBER(FIND(",", E1599)), TRIM(MID(E1599, FIND(",", E1599) + 1, LEN(E1599))), E1599)</f>
        <v>Japan</v>
      </c>
    </row>
    <row r="1600" spans="1:8" x14ac:dyDescent="0.25">
      <c r="A1600" s="2">
        <v>38135</v>
      </c>
      <c r="B1600">
        <v>36.24</v>
      </c>
      <c r="C1600">
        <v>51.57</v>
      </c>
      <c r="D1600" t="s">
        <v>16</v>
      </c>
      <c r="E1600" t="s">
        <v>470</v>
      </c>
      <c r="F1600">
        <f t="shared" si="48"/>
        <v>2004</v>
      </c>
      <c r="G1600">
        <f t="shared" si="49"/>
        <v>5</v>
      </c>
      <c r="H1600" t="str">
        <f>IF(ISNUMBER(FIND(",", E1600)), TRIM(MID(E1600, FIND(",", E1600) + 1, LEN(E1600))), E1600)</f>
        <v>northern Iran</v>
      </c>
    </row>
    <row r="1601" spans="1:8" x14ac:dyDescent="0.25">
      <c r="A1601" s="2">
        <v>38126</v>
      </c>
      <c r="B1601">
        <v>22.68</v>
      </c>
      <c r="C1601">
        <v>121.44</v>
      </c>
      <c r="D1601" t="s">
        <v>16</v>
      </c>
      <c r="E1601" t="s">
        <v>363</v>
      </c>
      <c r="F1601">
        <f t="shared" si="48"/>
        <v>2004</v>
      </c>
      <c r="G1601">
        <f t="shared" si="49"/>
        <v>5</v>
      </c>
      <c r="H1601" t="str">
        <f>IF(ISNUMBER(FIND(",", E1601)), TRIM(MID(E1601, FIND(",", E1601) + 1, LEN(E1601))), E1601)</f>
        <v>Taiwan region</v>
      </c>
    </row>
    <row r="1602" spans="1:8" x14ac:dyDescent="0.25">
      <c r="A1602" s="2">
        <v>38120</v>
      </c>
      <c r="B1602">
        <v>-3.6</v>
      </c>
      <c r="C1602">
        <v>150.78</v>
      </c>
      <c r="D1602" t="s">
        <v>16</v>
      </c>
      <c r="E1602" t="s">
        <v>183</v>
      </c>
      <c r="F1602">
        <f t="shared" ref="F1602:F1665" si="50">YEAR(A1602)</f>
        <v>2004</v>
      </c>
      <c r="G1602">
        <f t="shared" si="49"/>
        <v>5</v>
      </c>
      <c r="H1602" t="str">
        <f>IF(ISNUMBER(FIND(",", E1602)), TRIM(MID(E1602, FIND(",", E1602) + 1, LEN(E1602))), E1602)</f>
        <v>Papua New Guinea</v>
      </c>
    </row>
    <row r="1603" spans="1:8" x14ac:dyDescent="0.25">
      <c r="A1603" s="2">
        <v>38118</v>
      </c>
      <c r="B1603">
        <v>0.4</v>
      </c>
      <c r="C1603">
        <v>97.77</v>
      </c>
      <c r="D1603" t="s">
        <v>16</v>
      </c>
      <c r="E1603" t="s">
        <v>295</v>
      </c>
      <c r="F1603">
        <f t="shared" si="50"/>
        <v>2004</v>
      </c>
      <c r="G1603">
        <f t="shared" ref="G1603:G1666" si="51">MONTH(A1603)</f>
        <v>5</v>
      </c>
      <c r="H1603" t="str">
        <f>IF(ISNUMBER(FIND(",", E1603)), TRIM(MID(E1603, FIND(",", E1603) + 1, LEN(E1603))), E1603)</f>
        <v>Indonesia</v>
      </c>
    </row>
    <row r="1604" spans="1:8" x14ac:dyDescent="0.25">
      <c r="A1604" s="2">
        <v>38114</v>
      </c>
      <c r="B1604">
        <v>-21.92</v>
      </c>
      <c r="C1604">
        <v>170.29</v>
      </c>
      <c r="D1604" t="s">
        <v>16</v>
      </c>
      <c r="E1604" t="s">
        <v>254</v>
      </c>
      <c r="F1604">
        <f t="shared" si="50"/>
        <v>2004</v>
      </c>
      <c r="G1604">
        <f t="shared" si="51"/>
        <v>5</v>
      </c>
      <c r="H1604" t="str">
        <f>IF(ISNUMBER(FIND(",", E1604)), TRIM(MID(E1604, FIND(",", E1604) + 1, LEN(E1604))), E1604)</f>
        <v>southeast of the Loyalty Islands</v>
      </c>
    </row>
    <row r="1605" spans="1:8" x14ac:dyDescent="0.25">
      <c r="A1605" s="2">
        <v>38110</v>
      </c>
      <c r="B1605">
        <v>-37.74</v>
      </c>
      <c r="C1605">
        <v>-73.33</v>
      </c>
      <c r="D1605" t="s">
        <v>16</v>
      </c>
      <c r="E1605" t="s">
        <v>302</v>
      </c>
      <c r="F1605">
        <f t="shared" si="50"/>
        <v>2004</v>
      </c>
      <c r="G1605">
        <f t="shared" si="51"/>
        <v>5</v>
      </c>
      <c r="H1605" t="str">
        <f>IF(ISNUMBER(FIND(",", E1605)), TRIM(MID(E1605, FIND(",", E1605) + 1, LEN(E1605))), E1605)</f>
        <v>Chile</v>
      </c>
    </row>
    <row r="1606" spans="1:8" x14ac:dyDescent="0.25">
      <c r="A1606" s="2">
        <v>38106</v>
      </c>
      <c r="B1606">
        <v>10.72</v>
      </c>
      <c r="C1606">
        <v>-86.03</v>
      </c>
      <c r="D1606" t="s">
        <v>16</v>
      </c>
      <c r="E1606" t="s">
        <v>469</v>
      </c>
      <c r="F1606">
        <f t="shared" si="50"/>
        <v>2004</v>
      </c>
      <c r="G1606">
        <f t="shared" si="51"/>
        <v>4</v>
      </c>
      <c r="H1606" t="str">
        <f>IF(ISNUMBER(FIND(",", E1606)), TRIM(MID(E1606, FIND(",", E1606) + 1, LEN(E1606))), E1606)</f>
        <v>off the coast of Costa Rica</v>
      </c>
    </row>
    <row r="1607" spans="1:8" x14ac:dyDescent="0.25">
      <c r="A1607" s="2">
        <v>38104</v>
      </c>
      <c r="B1607">
        <v>-17.77</v>
      </c>
      <c r="C1607">
        <v>167.87</v>
      </c>
      <c r="D1607" t="s">
        <v>16</v>
      </c>
      <c r="E1607" t="s">
        <v>181</v>
      </c>
      <c r="F1607">
        <f t="shared" si="50"/>
        <v>2004</v>
      </c>
      <c r="G1607">
        <f t="shared" si="51"/>
        <v>4</v>
      </c>
      <c r="H1607" t="str">
        <f>IF(ISNUMBER(FIND(",", E1607)), TRIM(MID(E1607, FIND(",", E1607) + 1, LEN(E1607))), E1607)</f>
        <v>Vanuatu</v>
      </c>
    </row>
    <row r="1608" spans="1:8" x14ac:dyDescent="0.25">
      <c r="A1608" s="2">
        <v>38101</v>
      </c>
      <c r="B1608">
        <v>-21.899000000000001</v>
      </c>
      <c r="C1608">
        <v>-174.822</v>
      </c>
      <c r="D1608" t="s">
        <v>5</v>
      </c>
      <c r="E1608" t="s">
        <v>239</v>
      </c>
      <c r="F1608">
        <f t="shared" si="50"/>
        <v>2004</v>
      </c>
      <c r="G1608">
        <f t="shared" si="51"/>
        <v>4</v>
      </c>
      <c r="H1608" t="str">
        <f>IF(ISNUMBER(FIND(",", E1608)), TRIM(MID(E1608, FIND(",", E1608) + 1, LEN(E1608))), E1608)</f>
        <v>Tonga</v>
      </c>
    </row>
    <row r="1609" spans="1:8" x14ac:dyDescent="0.25">
      <c r="A1609" s="2">
        <v>38100</v>
      </c>
      <c r="B1609">
        <v>-9.5399999999999991</v>
      </c>
      <c r="C1609">
        <v>122.68</v>
      </c>
      <c r="D1609" t="s">
        <v>16</v>
      </c>
      <c r="E1609" t="s">
        <v>471</v>
      </c>
      <c r="F1609">
        <f t="shared" si="50"/>
        <v>2004</v>
      </c>
      <c r="G1609">
        <f t="shared" si="51"/>
        <v>4</v>
      </c>
      <c r="H1609" t="str">
        <f>IF(ISNUMBER(FIND(",", E1609)), TRIM(MID(E1609, FIND(",", E1609) + 1, LEN(E1609))), E1609)</f>
        <v>Savu Sea</v>
      </c>
    </row>
    <row r="1610" spans="1:8" x14ac:dyDescent="0.25">
      <c r="A1610" s="2">
        <v>38099</v>
      </c>
      <c r="B1610">
        <v>-3.31</v>
      </c>
      <c r="C1610">
        <v>146.91999999999999</v>
      </c>
      <c r="D1610" t="s">
        <v>16</v>
      </c>
      <c r="E1610" t="s">
        <v>380</v>
      </c>
      <c r="F1610">
        <f t="shared" si="50"/>
        <v>2004</v>
      </c>
      <c r="G1610">
        <f t="shared" si="51"/>
        <v>4</v>
      </c>
      <c r="H1610" t="str">
        <f>IF(ISNUMBER(FIND(",", E1610)), TRIM(MID(E1610, FIND(",", E1610) + 1, LEN(E1610))), E1610)</f>
        <v>Bismarck Sea</v>
      </c>
    </row>
    <row r="1611" spans="1:8" x14ac:dyDescent="0.25">
      <c r="A1611" s="2">
        <v>38093</v>
      </c>
      <c r="B1611">
        <v>-5.22</v>
      </c>
      <c r="C1611">
        <v>102.63</v>
      </c>
      <c r="D1611" t="s">
        <v>16</v>
      </c>
      <c r="E1611" t="s">
        <v>308</v>
      </c>
      <c r="F1611">
        <f t="shared" si="50"/>
        <v>2004</v>
      </c>
      <c r="G1611">
        <f t="shared" si="51"/>
        <v>4</v>
      </c>
      <c r="H1611" t="str">
        <f>IF(ISNUMBER(FIND(",", E1611)), TRIM(MID(E1611, FIND(",", E1611) + 1, LEN(E1611))), E1611)</f>
        <v>Indonesia</v>
      </c>
    </row>
    <row r="1612" spans="1:8" x14ac:dyDescent="0.25">
      <c r="A1612" s="2">
        <v>38092</v>
      </c>
      <c r="B1612">
        <v>-19.39</v>
      </c>
      <c r="C1612">
        <v>169.7</v>
      </c>
      <c r="D1612" t="s">
        <v>16</v>
      </c>
      <c r="E1612" t="s">
        <v>181</v>
      </c>
      <c r="F1612">
        <f t="shared" si="50"/>
        <v>2004</v>
      </c>
      <c r="G1612">
        <f t="shared" si="51"/>
        <v>4</v>
      </c>
      <c r="H1612" t="str">
        <f>IF(ISNUMBER(FIND(",", E1612)), TRIM(MID(E1612, FIND(",", E1612) + 1, LEN(E1612))), E1612)</f>
        <v>Vanuatu</v>
      </c>
    </row>
    <row r="1613" spans="1:8" x14ac:dyDescent="0.25">
      <c r="A1613" s="2">
        <v>38091</v>
      </c>
      <c r="B1613">
        <v>55.29</v>
      </c>
      <c r="C1613">
        <v>162.6</v>
      </c>
      <c r="D1613" t="s">
        <v>16</v>
      </c>
      <c r="E1613" t="s">
        <v>225</v>
      </c>
      <c r="F1613">
        <f t="shared" si="50"/>
        <v>2004</v>
      </c>
      <c r="G1613">
        <f t="shared" si="51"/>
        <v>4</v>
      </c>
      <c r="H1613" t="str">
        <f>IF(ISNUMBER(FIND(",", E1613)), TRIM(MID(E1613, FIND(",", E1613) + 1, LEN(E1613))), E1613)</f>
        <v>Russia</v>
      </c>
    </row>
    <row r="1614" spans="1:8" x14ac:dyDescent="0.25">
      <c r="A1614" s="2">
        <v>38088</v>
      </c>
      <c r="B1614">
        <v>42.88</v>
      </c>
      <c r="C1614">
        <v>144.91</v>
      </c>
      <c r="D1614" t="s">
        <v>16</v>
      </c>
      <c r="E1614" t="s">
        <v>265</v>
      </c>
      <c r="F1614">
        <f t="shared" si="50"/>
        <v>2004</v>
      </c>
      <c r="G1614">
        <f t="shared" si="51"/>
        <v>4</v>
      </c>
      <c r="H1614" t="str">
        <f>IF(ISNUMBER(FIND(",", E1614)), TRIM(MID(E1614, FIND(",", E1614) + 1, LEN(E1614))), E1614)</f>
        <v>Japan region</v>
      </c>
    </row>
    <row r="1615" spans="1:8" x14ac:dyDescent="0.25">
      <c r="A1615" s="2">
        <v>38088</v>
      </c>
      <c r="B1615">
        <v>-3.77</v>
      </c>
      <c r="C1615">
        <v>140.18</v>
      </c>
      <c r="D1615" t="s">
        <v>16</v>
      </c>
      <c r="E1615" t="s">
        <v>210</v>
      </c>
      <c r="F1615">
        <f t="shared" si="50"/>
        <v>2004</v>
      </c>
      <c r="G1615">
        <f t="shared" si="51"/>
        <v>4</v>
      </c>
      <c r="H1615" t="str">
        <f>IF(ISNUMBER(FIND(",", E1615)), TRIM(MID(E1615, FIND(",", E1615) + 1, LEN(E1615))), E1615)</f>
        <v>Indonesia</v>
      </c>
    </row>
    <row r="1616" spans="1:8" x14ac:dyDescent="0.25">
      <c r="A1616" s="2">
        <v>38086</v>
      </c>
      <c r="B1616">
        <v>-13.15</v>
      </c>
      <c r="C1616">
        <v>167.26</v>
      </c>
      <c r="D1616" t="s">
        <v>16</v>
      </c>
      <c r="E1616" t="s">
        <v>181</v>
      </c>
      <c r="F1616">
        <f t="shared" si="50"/>
        <v>2004</v>
      </c>
      <c r="G1616">
        <f t="shared" si="51"/>
        <v>4</v>
      </c>
      <c r="H1616" t="str">
        <f>IF(ISNUMBER(FIND(",", E1616)), TRIM(MID(E1616, FIND(",", E1616) + 1, LEN(E1616))), E1616)</f>
        <v>Vanuatu</v>
      </c>
    </row>
    <row r="1617" spans="1:8" x14ac:dyDescent="0.25">
      <c r="A1617" s="2">
        <v>38085</v>
      </c>
      <c r="B1617">
        <v>-36.29</v>
      </c>
      <c r="C1617">
        <v>-98.06</v>
      </c>
      <c r="D1617" t="s">
        <v>16</v>
      </c>
      <c r="E1617" t="s">
        <v>364</v>
      </c>
      <c r="F1617">
        <f t="shared" si="50"/>
        <v>2004</v>
      </c>
      <c r="G1617">
        <f t="shared" si="51"/>
        <v>4</v>
      </c>
      <c r="H1617" t="str">
        <f>IF(ISNUMBER(FIND(",", E1617)), TRIM(MID(E1617, FIND(",", E1617) + 1, LEN(E1617))), E1617)</f>
        <v>southeast of Easter Island</v>
      </c>
    </row>
    <row r="1618" spans="1:8" x14ac:dyDescent="0.25">
      <c r="A1618" s="2">
        <v>38082</v>
      </c>
      <c r="B1618">
        <v>36.5</v>
      </c>
      <c r="C1618">
        <v>71.02</v>
      </c>
      <c r="D1618" t="s">
        <v>16</v>
      </c>
      <c r="E1618" t="s">
        <v>314</v>
      </c>
      <c r="F1618">
        <f t="shared" si="50"/>
        <v>2004</v>
      </c>
      <c r="G1618">
        <f t="shared" si="51"/>
        <v>4</v>
      </c>
      <c r="H1618" t="str">
        <f>IF(ISNUMBER(FIND(",", E1618)), TRIM(MID(E1618, FIND(",", E1618) + 1, LEN(E1618))), E1618)</f>
        <v>Afghanistan</v>
      </c>
    </row>
    <row r="1619" spans="1:8" x14ac:dyDescent="0.25">
      <c r="A1619" s="2">
        <v>38073</v>
      </c>
      <c r="B1619">
        <v>33.93</v>
      </c>
      <c r="C1619">
        <v>89.17</v>
      </c>
      <c r="D1619" t="s">
        <v>16</v>
      </c>
      <c r="E1619" t="s">
        <v>388</v>
      </c>
      <c r="F1619">
        <f t="shared" si="50"/>
        <v>2004</v>
      </c>
      <c r="G1619">
        <f t="shared" si="51"/>
        <v>3</v>
      </c>
      <c r="H1619" t="str">
        <f>IF(ISNUMBER(FIND(",", E1619)), TRIM(MID(E1619, FIND(",", E1619) + 1, LEN(E1619))), E1619)</f>
        <v>western Xizang</v>
      </c>
    </row>
    <row r="1620" spans="1:8" x14ac:dyDescent="0.25">
      <c r="A1620" s="2">
        <v>38064</v>
      </c>
      <c r="B1620">
        <v>-23.84</v>
      </c>
      <c r="C1620">
        <v>-175.88</v>
      </c>
      <c r="D1620" t="s">
        <v>16</v>
      </c>
      <c r="E1620" t="s">
        <v>304</v>
      </c>
      <c r="F1620">
        <f t="shared" si="50"/>
        <v>2004</v>
      </c>
      <c r="G1620">
        <f t="shared" si="51"/>
        <v>3</v>
      </c>
      <c r="H1620" t="str">
        <f>IF(ISNUMBER(FIND(",", E1620)), TRIM(MID(E1620, FIND(",", E1620) + 1, LEN(E1620))), E1620)</f>
        <v>Tonga region</v>
      </c>
    </row>
    <row r="1621" spans="1:8" x14ac:dyDescent="0.25">
      <c r="A1621" s="2">
        <v>38063</v>
      </c>
      <c r="B1621">
        <v>34.58</v>
      </c>
      <c r="C1621">
        <v>23.41</v>
      </c>
      <c r="D1621" t="s">
        <v>16</v>
      </c>
      <c r="E1621" t="s">
        <v>296</v>
      </c>
      <c r="F1621">
        <f t="shared" si="50"/>
        <v>2004</v>
      </c>
      <c r="G1621">
        <f t="shared" si="51"/>
        <v>3</v>
      </c>
      <c r="H1621" t="str">
        <f>IF(ISNUMBER(FIND(",", E1621)), TRIM(MID(E1621, FIND(",", E1621) + 1, LEN(E1621))), E1621)</f>
        <v>Greece</v>
      </c>
    </row>
    <row r="1622" spans="1:8" x14ac:dyDescent="0.25">
      <c r="A1622" s="2">
        <v>38063</v>
      </c>
      <c r="B1622">
        <v>-21.13</v>
      </c>
      <c r="C1622">
        <v>-65.64</v>
      </c>
      <c r="D1622" t="s">
        <v>16</v>
      </c>
      <c r="E1622" t="s">
        <v>472</v>
      </c>
      <c r="F1622">
        <f t="shared" si="50"/>
        <v>2004</v>
      </c>
      <c r="G1622">
        <f t="shared" si="51"/>
        <v>3</v>
      </c>
      <c r="H1622" t="str">
        <f>IF(ISNUMBER(FIND(",", E1622)), TRIM(MID(E1622, FIND(",", E1622) + 1, LEN(E1622))), E1622)</f>
        <v>Bolivia</v>
      </c>
    </row>
    <row r="1623" spans="1:8" x14ac:dyDescent="0.25">
      <c r="A1623" s="2">
        <v>38055</v>
      </c>
      <c r="B1623">
        <v>-32.29</v>
      </c>
      <c r="C1623">
        <v>-178.11</v>
      </c>
      <c r="D1623" t="s">
        <v>16</v>
      </c>
      <c r="E1623" t="s">
        <v>262</v>
      </c>
      <c r="F1623">
        <f t="shared" si="50"/>
        <v>2004</v>
      </c>
      <c r="G1623">
        <f t="shared" si="51"/>
        <v>3</v>
      </c>
      <c r="H1623" t="str">
        <f>IF(ISNUMBER(FIND(",", E1623)), TRIM(MID(E1623, FIND(",", E1623) + 1, LEN(E1623))), E1623)</f>
        <v>south of the Kermadec Islands</v>
      </c>
    </row>
    <row r="1624" spans="1:8" x14ac:dyDescent="0.25">
      <c r="A1624" s="2">
        <v>38054</v>
      </c>
      <c r="B1624">
        <v>10.59</v>
      </c>
      <c r="C1624">
        <v>-43.89</v>
      </c>
      <c r="D1624" t="s">
        <v>16</v>
      </c>
      <c r="E1624" t="s">
        <v>325</v>
      </c>
      <c r="F1624">
        <f t="shared" si="50"/>
        <v>2004</v>
      </c>
      <c r="G1624">
        <f t="shared" si="51"/>
        <v>3</v>
      </c>
      <c r="H1624" t="str">
        <f>IF(ISNUMBER(FIND(",", E1624)), TRIM(MID(E1624, FIND(",", E1624) + 1, LEN(E1624))), E1624)</f>
        <v>northern Mid-Atlantic Ridge</v>
      </c>
    </row>
    <row r="1625" spans="1:8" x14ac:dyDescent="0.25">
      <c r="A1625" s="2">
        <v>38053</v>
      </c>
      <c r="B1625">
        <v>-32.381</v>
      </c>
      <c r="C1625">
        <v>-178.191</v>
      </c>
      <c r="D1625" t="s">
        <v>5</v>
      </c>
      <c r="E1625" t="s">
        <v>262</v>
      </c>
      <c r="F1625">
        <f t="shared" si="50"/>
        <v>2004</v>
      </c>
      <c r="G1625">
        <f t="shared" si="51"/>
        <v>3</v>
      </c>
      <c r="H1625" t="str">
        <f>IF(ISNUMBER(FIND(",", E1625)), TRIM(MID(E1625, FIND(",", E1625) + 1, LEN(E1625))), E1625)</f>
        <v>south of the Kermadec Islands</v>
      </c>
    </row>
    <row r="1626" spans="1:8" x14ac:dyDescent="0.25">
      <c r="A1626" s="2">
        <v>38048</v>
      </c>
      <c r="B1626">
        <v>11.65</v>
      </c>
      <c r="C1626">
        <v>-86.9</v>
      </c>
      <c r="D1626" t="s">
        <v>16</v>
      </c>
      <c r="E1626" t="s">
        <v>448</v>
      </c>
      <c r="F1626">
        <f t="shared" si="50"/>
        <v>2004</v>
      </c>
      <c r="G1626">
        <f t="shared" si="51"/>
        <v>3</v>
      </c>
      <c r="H1626" t="str">
        <f>IF(ISNUMBER(FIND(",", E1626)), TRIM(MID(E1626, FIND(",", E1626) + 1, LEN(E1626))), E1626)</f>
        <v>near the coast of Nicaragua</v>
      </c>
    </row>
    <row r="1627" spans="1:8" x14ac:dyDescent="0.25">
      <c r="A1627" s="2">
        <v>38043</v>
      </c>
      <c r="B1627">
        <v>-18.059999999999999</v>
      </c>
      <c r="C1627">
        <v>66.34</v>
      </c>
      <c r="D1627" t="s">
        <v>16</v>
      </c>
      <c r="E1627" t="s">
        <v>220</v>
      </c>
      <c r="F1627">
        <f t="shared" si="50"/>
        <v>2004</v>
      </c>
      <c r="G1627">
        <f t="shared" si="51"/>
        <v>2</v>
      </c>
      <c r="H1627" t="str">
        <f>IF(ISNUMBER(FIND(",", E1627)), TRIM(MID(E1627, FIND(",", E1627) + 1, LEN(E1627))), E1627)</f>
        <v>Mauritius - Reunion region</v>
      </c>
    </row>
    <row r="1628" spans="1:8" x14ac:dyDescent="0.25">
      <c r="A1628" s="2">
        <v>38041</v>
      </c>
      <c r="B1628">
        <v>35.200000000000003</v>
      </c>
      <c r="C1628">
        <v>-3.98</v>
      </c>
      <c r="D1628" t="s">
        <v>16</v>
      </c>
      <c r="E1628" t="s">
        <v>332</v>
      </c>
      <c r="F1628">
        <f t="shared" si="50"/>
        <v>2004</v>
      </c>
      <c r="G1628">
        <f t="shared" si="51"/>
        <v>2</v>
      </c>
      <c r="H1628" t="str">
        <f>IF(ISNUMBER(FIND(",", E1628)), TRIM(MID(E1628, FIND(",", E1628) + 1, LEN(E1628))), E1628)</f>
        <v>Strait of Gibraltar</v>
      </c>
    </row>
    <row r="1629" spans="1:8" x14ac:dyDescent="0.25">
      <c r="A1629" s="2">
        <v>38040</v>
      </c>
      <c r="B1629">
        <v>-14.84</v>
      </c>
      <c r="C1629">
        <v>-175.46</v>
      </c>
      <c r="D1629" t="s">
        <v>16</v>
      </c>
      <c r="E1629" t="s">
        <v>352</v>
      </c>
      <c r="F1629">
        <f t="shared" si="50"/>
        <v>2004</v>
      </c>
      <c r="G1629">
        <f t="shared" si="51"/>
        <v>2</v>
      </c>
      <c r="H1629" t="str">
        <f>IF(ISNUMBER(FIND(",", E1629)), TRIM(MID(E1629, FIND(",", E1629) + 1, LEN(E1629))), E1629)</f>
        <v>Samoa Islands region</v>
      </c>
    </row>
    <row r="1630" spans="1:8" x14ac:dyDescent="0.25">
      <c r="A1630" s="2">
        <v>38039</v>
      </c>
      <c r="B1630">
        <v>-1.61</v>
      </c>
      <c r="C1630">
        <v>100.39</v>
      </c>
      <c r="D1630" t="s">
        <v>16</v>
      </c>
      <c r="E1630" t="s">
        <v>308</v>
      </c>
      <c r="F1630">
        <f t="shared" si="50"/>
        <v>2004</v>
      </c>
      <c r="G1630">
        <f t="shared" si="51"/>
        <v>2</v>
      </c>
      <c r="H1630" t="str">
        <f>IF(ISNUMBER(FIND(",", E1630)), TRIM(MID(E1630, FIND(",", E1630) + 1, LEN(E1630))), E1630)</f>
        <v>Indonesia</v>
      </c>
    </row>
    <row r="1631" spans="1:8" x14ac:dyDescent="0.25">
      <c r="A1631" s="2">
        <v>38038</v>
      </c>
      <c r="B1631">
        <v>-58.34</v>
      </c>
      <c r="C1631">
        <v>-15.01</v>
      </c>
      <c r="D1631" t="s">
        <v>16</v>
      </c>
      <c r="E1631" t="s">
        <v>242</v>
      </c>
      <c r="F1631">
        <f t="shared" si="50"/>
        <v>2004</v>
      </c>
      <c r="G1631">
        <f t="shared" si="51"/>
        <v>2</v>
      </c>
      <c r="H1631" t="str">
        <f>IF(ISNUMBER(FIND(",", E1631)), TRIM(MID(E1631, FIND(",", E1631) + 1, LEN(E1631))), E1631)</f>
        <v>east of the South Sandwich Islands</v>
      </c>
    </row>
    <row r="1632" spans="1:8" x14ac:dyDescent="0.25">
      <c r="A1632" s="2">
        <v>38037</v>
      </c>
      <c r="B1632">
        <v>-11.62</v>
      </c>
      <c r="C1632">
        <v>166.46</v>
      </c>
      <c r="D1632" t="s">
        <v>16</v>
      </c>
      <c r="E1632" t="s">
        <v>211</v>
      </c>
      <c r="F1632">
        <f t="shared" si="50"/>
        <v>2004</v>
      </c>
      <c r="G1632">
        <f t="shared" si="51"/>
        <v>2</v>
      </c>
      <c r="H1632" t="str">
        <f>IF(ISNUMBER(FIND(",", E1632)), TRIM(MID(E1632, FIND(",", E1632) + 1, LEN(E1632))), E1632)</f>
        <v>Santa Cruz Islands</v>
      </c>
    </row>
    <row r="1633" spans="1:8" x14ac:dyDescent="0.25">
      <c r="A1633" s="2">
        <v>38025</v>
      </c>
      <c r="B1633">
        <v>-3.73</v>
      </c>
      <c r="C1633">
        <v>135.36000000000001</v>
      </c>
      <c r="D1633" t="s">
        <v>16</v>
      </c>
      <c r="E1633" t="s">
        <v>210</v>
      </c>
      <c r="F1633">
        <f t="shared" si="50"/>
        <v>2004</v>
      </c>
      <c r="G1633">
        <f t="shared" si="51"/>
        <v>2</v>
      </c>
      <c r="H1633" t="str">
        <f>IF(ISNUMBER(FIND(",", E1633)), TRIM(MID(E1633, FIND(",", E1633) + 1, LEN(E1633))), E1633)</f>
        <v>Indonesia</v>
      </c>
    </row>
    <row r="1634" spans="1:8" x14ac:dyDescent="0.25">
      <c r="A1634" s="2">
        <v>38024</v>
      </c>
      <c r="B1634">
        <v>-4.05</v>
      </c>
      <c r="C1634">
        <v>135.05000000000001</v>
      </c>
      <c r="D1634" t="s">
        <v>16</v>
      </c>
      <c r="E1634" t="s">
        <v>204</v>
      </c>
      <c r="F1634">
        <f t="shared" si="50"/>
        <v>2004</v>
      </c>
      <c r="G1634">
        <f t="shared" si="51"/>
        <v>2</v>
      </c>
      <c r="H1634" t="str">
        <f>IF(ISNUMBER(FIND(",", E1634)), TRIM(MID(E1634, FIND(",", E1634) + 1, LEN(E1634))), E1634)</f>
        <v>Indonesia</v>
      </c>
    </row>
    <row r="1635" spans="1:8" x14ac:dyDescent="0.25">
      <c r="A1635" s="2">
        <v>38022</v>
      </c>
      <c r="B1635">
        <v>-3.62</v>
      </c>
      <c r="C1635">
        <v>135.57</v>
      </c>
      <c r="D1635" t="s">
        <v>16</v>
      </c>
      <c r="E1635" t="s">
        <v>210</v>
      </c>
      <c r="F1635">
        <f t="shared" si="50"/>
        <v>2004</v>
      </c>
      <c r="G1635">
        <f t="shared" si="51"/>
        <v>2</v>
      </c>
      <c r="H1635" t="str">
        <f>IF(ISNUMBER(FIND(",", E1635)), TRIM(MID(E1635, FIND(",", E1635) + 1, LEN(E1635))), E1635)</f>
        <v>Indonesia</v>
      </c>
    </row>
    <row r="1636" spans="1:8" x14ac:dyDescent="0.25">
      <c r="A1636" s="2">
        <v>38021</v>
      </c>
      <c r="B1636">
        <v>8.35</v>
      </c>
      <c r="C1636">
        <v>-82.89</v>
      </c>
      <c r="D1636" t="s">
        <v>16</v>
      </c>
      <c r="E1636" t="s">
        <v>379</v>
      </c>
      <c r="F1636">
        <f t="shared" si="50"/>
        <v>2004</v>
      </c>
      <c r="G1636">
        <f t="shared" si="51"/>
        <v>2</v>
      </c>
      <c r="H1636" t="str">
        <f>IF(ISNUMBER(FIND(",", E1636)), TRIM(MID(E1636, FIND(",", E1636) + 1, LEN(E1636))), E1636)</f>
        <v>Panama-Costa Rica border region</v>
      </c>
    </row>
    <row r="1637" spans="1:8" x14ac:dyDescent="0.25">
      <c r="A1637" s="2">
        <v>38015</v>
      </c>
      <c r="B1637">
        <v>-50.21</v>
      </c>
      <c r="C1637">
        <v>-114.68</v>
      </c>
      <c r="D1637" t="s">
        <v>16</v>
      </c>
      <c r="E1637" t="s">
        <v>268</v>
      </c>
      <c r="F1637">
        <f t="shared" si="50"/>
        <v>2004</v>
      </c>
      <c r="G1637">
        <f t="shared" si="51"/>
        <v>1</v>
      </c>
      <c r="H1637" t="str">
        <f>IF(ISNUMBER(FIND(",", E1637)), TRIM(MID(E1637, FIND(",", E1637) + 1, LEN(E1637))), E1637)</f>
        <v>southern East Pacific Rise</v>
      </c>
    </row>
    <row r="1638" spans="1:8" x14ac:dyDescent="0.25">
      <c r="A1638" s="2">
        <v>38014</v>
      </c>
      <c r="B1638">
        <v>-3.17</v>
      </c>
      <c r="C1638">
        <v>127.28</v>
      </c>
      <c r="D1638" t="s">
        <v>16</v>
      </c>
      <c r="E1638" t="s">
        <v>433</v>
      </c>
      <c r="F1638">
        <f t="shared" si="50"/>
        <v>2004</v>
      </c>
      <c r="G1638">
        <f t="shared" si="51"/>
        <v>1</v>
      </c>
      <c r="H1638" t="str">
        <f>IF(ISNUMBER(FIND(",", E1638)), TRIM(MID(E1638, FIND(",", E1638) + 1, LEN(E1638))), E1638)</f>
        <v>Indonesia</v>
      </c>
    </row>
    <row r="1639" spans="1:8" x14ac:dyDescent="0.25">
      <c r="A1639" s="2">
        <v>38011</v>
      </c>
      <c r="B1639">
        <v>-16.87</v>
      </c>
      <c r="C1639">
        <v>-174.09</v>
      </c>
      <c r="D1639" t="s">
        <v>16</v>
      </c>
      <c r="E1639" t="s">
        <v>239</v>
      </c>
      <c r="F1639">
        <f t="shared" si="50"/>
        <v>2004</v>
      </c>
      <c r="G1639">
        <f t="shared" si="51"/>
        <v>1</v>
      </c>
      <c r="H1639" t="str">
        <f>IF(ISNUMBER(FIND(",", E1639)), TRIM(MID(E1639, FIND(",", E1639) + 1, LEN(E1639))), E1639)</f>
        <v>Tonga</v>
      </c>
    </row>
    <row r="1640" spans="1:8" x14ac:dyDescent="0.25">
      <c r="A1640" s="2">
        <v>38002</v>
      </c>
      <c r="B1640">
        <v>7.63</v>
      </c>
      <c r="C1640">
        <v>-37.67</v>
      </c>
      <c r="D1640" t="s">
        <v>16</v>
      </c>
      <c r="E1640" t="s">
        <v>291</v>
      </c>
      <c r="F1640">
        <f t="shared" si="50"/>
        <v>2004</v>
      </c>
      <c r="G1640">
        <f t="shared" si="51"/>
        <v>1</v>
      </c>
      <c r="H1640" t="str">
        <f>IF(ISNUMBER(FIND(",", E1640)), TRIM(MID(E1640, FIND(",", E1640) + 1, LEN(E1640))), E1640)</f>
        <v>central Mid-Atlantic Ridge</v>
      </c>
    </row>
    <row r="1641" spans="1:8" x14ac:dyDescent="0.25">
      <c r="A1641" s="2">
        <v>38001</v>
      </c>
      <c r="B1641">
        <v>-3.52</v>
      </c>
      <c r="C1641">
        <v>151.11000000000001</v>
      </c>
      <c r="D1641" t="s">
        <v>16</v>
      </c>
      <c r="E1641" t="s">
        <v>183</v>
      </c>
      <c r="F1641">
        <f t="shared" si="50"/>
        <v>2004</v>
      </c>
      <c r="G1641">
        <f t="shared" si="51"/>
        <v>1</v>
      </c>
      <c r="H1641" t="str">
        <f>IF(ISNUMBER(FIND(",", E1641)), TRIM(MID(E1641, FIND(",", E1641) + 1, LEN(E1641))), E1641)</f>
        <v>Papua New Guinea</v>
      </c>
    </row>
    <row r="1642" spans="1:8" x14ac:dyDescent="0.25">
      <c r="A1642" s="2">
        <v>37997</v>
      </c>
      <c r="B1642">
        <v>-20.18</v>
      </c>
      <c r="C1642">
        <v>-179.07</v>
      </c>
      <c r="D1642" t="s">
        <v>16</v>
      </c>
      <c r="E1642" t="s">
        <v>53</v>
      </c>
      <c r="F1642">
        <f t="shared" si="50"/>
        <v>2004</v>
      </c>
      <c r="G1642">
        <f t="shared" si="51"/>
        <v>1</v>
      </c>
      <c r="H1642" t="str">
        <f>IF(ISNUMBER(FIND(",", E1642)), TRIM(MID(E1642, FIND(",", E1642) + 1, LEN(E1642))), E1642)</f>
        <v>Fiji region</v>
      </c>
    </row>
    <row r="1643" spans="1:8" x14ac:dyDescent="0.25">
      <c r="A1643" s="2">
        <v>37997</v>
      </c>
      <c r="B1643">
        <v>-36.68</v>
      </c>
      <c r="C1643">
        <v>53.37</v>
      </c>
      <c r="D1643" t="s">
        <v>16</v>
      </c>
      <c r="E1643" t="s">
        <v>473</v>
      </c>
      <c r="F1643">
        <f t="shared" si="50"/>
        <v>2004</v>
      </c>
      <c r="G1643">
        <f t="shared" si="51"/>
        <v>1</v>
      </c>
      <c r="H1643" t="str">
        <f>IF(ISNUMBER(FIND(",", E1643)), TRIM(MID(E1643, FIND(",", E1643) + 1, LEN(E1643))), E1643)</f>
        <v>South Indian Ocean</v>
      </c>
    </row>
    <row r="1644" spans="1:8" x14ac:dyDescent="0.25">
      <c r="A1644" s="2">
        <v>37995</v>
      </c>
      <c r="B1644">
        <v>-6.03</v>
      </c>
      <c r="C1644">
        <v>149.4</v>
      </c>
      <c r="D1644" t="s">
        <v>16</v>
      </c>
      <c r="E1644" t="s">
        <v>190</v>
      </c>
      <c r="F1644">
        <f t="shared" si="50"/>
        <v>2004</v>
      </c>
      <c r="G1644">
        <f t="shared" si="51"/>
        <v>1</v>
      </c>
      <c r="H1644" t="str">
        <f>IF(ISNUMBER(FIND(",", E1644)), TRIM(MID(E1644, FIND(",", E1644) + 1, LEN(E1644))), E1644)</f>
        <v>Papua New Guinea</v>
      </c>
    </row>
    <row r="1645" spans="1:8" x14ac:dyDescent="0.25">
      <c r="A1645" s="2">
        <v>37989</v>
      </c>
      <c r="B1645">
        <v>-22.437999999999999</v>
      </c>
      <c r="C1645">
        <v>169.91900000000001</v>
      </c>
      <c r="D1645" t="s">
        <v>13</v>
      </c>
      <c r="E1645" t="s">
        <v>254</v>
      </c>
      <c r="F1645">
        <f t="shared" si="50"/>
        <v>2004</v>
      </c>
      <c r="G1645">
        <f t="shared" si="51"/>
        <v>1</v>
      </c>
      <c r="H1645" t="str">
        <f>IF(ISNUMBER(FIND(",", E1645)), TRIM(MID(E1645, FIND(",", E1645) + 1, LEN(E1645))), E1645)</f>
        <v>southeast of the Loyalty Islands</v>
      </c>
    </row>
    <row r="1646" spans="1:8" x14ac:dyDescent="0.25">
      <c r="A1646" s="2">
        <v>37989</v>
      </c>
      <c r="B1646">
        <v>-22.27</v>
      </c>
      <c r="C1646">
        <v>169.75</v>
      </c>
      <c r="D1646" t="s">
        <v>16</v>
      </c>
      <c r="E1646" t="s">
        <v>254</v>
      </c>
      <c r="F1646">
        <f t="shared" si="50"/>
        <v>2004</v>
      </c>
      <c r="G1646">
        <f t="shared" si="51"/>
        <v>1</v>
      </c>
      <c r="H1646" t="str">
        <f>IF(ISNUMBER(FIND(",", E1646)), TRIM(MID(E1646, FIND(",", E1646) + 1, LEN(E1646))), E1646)</f>
        <v>southeast of the Loyalty Islands</v>
      </c>
    </row>
    <row r="1647" spans="1:8" x14ac:dyDescent="0.25">
      <c r="A1647" s="2">
        <v>37989</v>
      </c>
      <c r="B1647">
        <v>-22.34</v>
      </c>
      <c r="C1647">
        <v>169.66</v>
      </c>
      <c r="D1647" t="s">
        <v>16</v>
      </c>
      <c r="E1647" t="s">
        <v>254</v>
      </c>
      <c r="F1647">
        <f t="shared" si="50"/>
        <v>2004</v>
      </c>
      <c r="G1647">
        <f t="shared" si="51"/>
        <v>1</v>
      </c>
      <c r="H1647" t="str">
        <f>IF(ISNUMBER(FIND(",", E1647)), TRIM(MID(E1647, FIND(",", E1647) + 1, LEN(E1647))), E1647)</f>
        <v>southeast of the Loyalty Islands</v>
      </c>
    </row>
    <row r="1648" spans="1:8" x14ac:dyDescent="0.25">
      <c r="A1648" s="2">
        <v>37989</v>
      </c>
      <c r="B1648">
        <v>-22.163</v>
      </c>
      <c r="C1648">
        <v>169.55</v>
      </c>
      <c r="D1648" t="s">
        <v>7</v>
      </c>
      <c r="E1648" t="s">
        <v>254</v>
      </c>
      <c r="F1648">
        <f t="shared" si="50"/>
        <v>2004</v>
      </c>
      <c r="G1648">
        <f t="shared" si="51"/>
        <v>1</v>
      </c>
      <c r="H1648" t="str">
        <f>IF(ISNUMBER(FIND(",", E1648)), TRIM(MID(E1648, FIND(",", E1648) + 1, LEN(E1648))), E1648)</f>
        <v>southeast of the Loyalty Islands</v>
      </c>
    </row>
    <row r="1649" spans="1:8" x14ac:dyDescent="0.25">
      <c r="A1649" s="2">
        <v>37989</v>
      </c>
      <c r="B1649">
        <v>-22.38</v>
      </c>
      <c r="C1649">
        <v>169.74</v>
      </c>
      <c r="D1649" t="s">
        <v>16</v>
      </c>
      <c r="E1649" t="s">
        <v>254</v>
      </c>
      <c r="F1649">
        <f t="shared" si="50"/>
        <v>2004</v>
      </c>
      <c r="G1649">
        <f t="shared" si="51"/>
        <v>1</v>
      </c>
      <c r="H1649" t="str">
        <f>IF(ISNUMBER(FIND(",", E1649)), TRIM(MID(E1649, FIND(",", E1649) + 1, LEN(E1649))), E1649)</f>
        <v>southeast of the Loyalty Islands</v>
      </c>
    </row>
    <row r="1650" spans="1:8" x14ac:dyDescent="0.25">
      <c r="A1650" s="2">
        <v>37987</v>
      </c>
      <c r="B1650">
        <v>17.47</v>
      </c>
      <c r="C1650">
        <v>-101.35</v>
      </c>
      <c r="D1650" t="s">
        <v>16</v>
      </c>
      <c r="E1650" t="s">
        <v>474</v>
      </c>
      <c r="F1650">
        <f t="shared" si="50"/>
        <v>2004</v>
      </c>
      <c r="G1650">
        <f t="shared" si="51"/>
        <v>1</v>
      </c>
      <c r="H1650" t="str">
        <f>IF(ISNUMBER(FIND(",", E1650)), TRIM(MID(E1650, FIND(",", E1650) + 1, LEN(E1650))), E1650)</f>
        <v>Mexico</v>
      </c>
    </row>
    <row r="1651" spans="1:8" x14ac:dyDescent="0.25">
      <c r="A1651" s="2">
        <v>37984</v>
      </c>
      <c r="B1651">
        <v>42.46</v>
      </c>
      <c r="C1651">
        <v>144.6</v>
      </c>
      <c r="D1651" t="s">
        <v>16</v>
      </c>
      <c r="E1651" t="s">
        <v>265</v>
      </c>
      <c r="F1651">
        <f t="shared" si="50"/>
        <v>2003</v>
      </c>
      <c r="G1651">
        <f t="shared" si="51"/>
        <v>12</v>
      </c>
      <c r="H1651" t="str">
        <f>IF(ISNUMBER(FIND(",", E1651)), TRIM(MID(E1651, FIND(",", E1651) + 1, LEN(E1651))), E1651)</f>
        <v>Japan region</v>
      </c>
    </row>
    <row r="1652" spans="1:8" x14ac:dyDescent="0.25">
      <c r="A1652" s="2">
        <v>37982</v>
      </c>
      <c r="B1652">
        <v>-21.73</v>
      </c>
      <c r="C1652">
        <v>169.73</v>
      </c>
      <c r="D1652" t="s">
        <v>16</v>
      </c>
      <c r="E1652" t="s">
        <v>254</v>
      </c>
      <c r="F1652">
        <f t="shared" si="50"/>
        <v>2003</v>
      </c>
      <c r="G1652">
        <f t="shared" si="51"/>
        <v>12</v>
      </c>
      <c r="H1652" t="str">
        <f>IF(ISNUMBER(FIND(",", E1652)), TRIM(MID(E1652, FIND(",", E1652) + 1, LEN(E1652))), E1652)</f>
        <v>southeast of the Loyalty Islands</v>
      </c>
    </row>
    <row r="1653" spans="1:8" x14ac:dyDescent="0.25">
      <c r="A1653" s="2">
        <v>37982</v>
      </c>
      <c r="B1653">
        <v>-21.64</v>
      </c>
      <c r="C1653">
        <v>169.93</v>
      </c>
      <c r="D1653" t="s">
        <v>16</v>
      </c>
      <c r="E1653" t="s">
        <v>254</v>
      </c>
      <c r="F1653">
        <f t="shared" si="50"/>
        <v>2003</v>
      </c>
      <c r="G1653">
        <f t="shared" si="51"/>
        <v>12</v>
      </c>
      <c r="H1653" t="str">
        <f>IF(ISNUMBER(FIND(",", E1653)), TRIM(MID(E1653, FIND(",", E1653) + 1, LEN(E1653))), E1653)</f>
        <v>southeast of the Loyalty Islands</v>
      </c>
    </row>
    <row r="1654" spans="1:8" x14ac:dyDescent="0.25">
      <c r="A1654" s="2">
        <v>37982</v>
      </c>
      <c r="B1654">
        <v>-21.97</v>
      </c>
      <c r="C1654">
        <v>169.86</v>
      </c>
      <c r="D1654" t="s">
        <v>16</v>
      </c>
      <c r="E1654" t="s">
        <v>254</v>
      </c>
      <c r="F1654">
        <f t="shared" si="50"/>
        <v>2003</v>
      </c>
      <c r="G1654">
        <f t="shared" si="51"/>
        <v>12</v>
      </c>
      <c r="H1654" t="str">
        <f>IF(ISNUMBER(FIND(",", E1654)), TRIM(MID(E1654, FIND(",", E1654) + 1, LEN(E1654))), E1654)</f>
        <v>southeast of the Loyalty Islands</v>
      </c>
    </row>
    <row r="1655" spans="1:8" x14ac:dyDescent="0.25">
      <c r="A1655" s="2">
        <v>37982</v>
      </c>
      <c r="B1655">
        <v>-22.09</v>
      </c>
      <c r="C1655">
        <v>169.49</v>
      </c>
      <c r="D1655" t="s">
        <v>16</v>
      </c>
      <c r="E1655" t="s">
        <v>254</v>
      </c>
      <c r="F1655">
        <f t="shared" si="50"/>
        <v>2003</v>
      </c>
      <c r="G1655">
        <f t="shared" si="51"/>
        <v>12</v>
      </c>
      <c r="H1655" t="str">
        <f>IF(ISNUMBER(FIND(",", E1655)), TRIM(MID(E1655, FIND(",", E1655) + 1, LEN(E1655))), E1655)</f>
        <v>southeast of the Loyalty Islands</v>
      </c>
    </row>
    <row r="1656" spans="1:8" x14ac:dyDescent="0.25">
      <c r="A1656" s="2">
        <v>37981</v>
      </c>
      <c r="B1656">
        <v>-22.19</v>
      </c>
      <c r="C1656">
        <v>169.42</v>
      </c>
      <c r="D1656" t="s">
        <v>16</v>
      </c>
      <c r="E1656" t="s">
        <v>254</v>
      </c>
      <c r="F1656">
        <f t="shared" si="50"/>
        <v>2003</v>
      </c>
      <c r="G1656">
        <f t="shared" si="51"/>
        <v>12</v>
      </c>
      <c r="H1656" t="str">
        <f>IF(ISNUMBER(FIND(",", E1656)), TRIM(MID(E1656, FIND(",", E1656) + 1, LEN(E1656))), E1656)</f>
        <v>southeast of the Loyalty Islands</v>
      </c>
    </row>
    <row r="1657" spans="1:8" x14ac:dyDescent="0.25">
      <c r="A1657" s="2">
        <v>37981</v>
      </c>
      <c r="B1657">
        <v>28.95</v>
      </c>
      <c r="C1657">
        <v>58.26</v>
      </c>
      <c r="D1657" t="s">
        <v>16</v>
      </c>
      <c r="E1657" t="s">
        <v>305</v>
      </c>
      <c r="F1657">
        <f t="shared" si="50"/>
        <v>2003</v>
      </c>
      <c r="G1657">
        <f t="shared" si="51"/>
        <v>12</v>
      </c>
      <c r="H1657" t="str">
        <f>IF(ISNUMBER(FIND(",", E1657)), TRIM(MID(E1657, FIND(",", E1657) + 1, LEN(E1657))), E1657)</f>
        <v>southeastern Iran</v>
      </c>
    </row>
    <row r="1658" spans="1:8" x14ac:dyDescent="0.25">
      <c r="A1658" s="2">
        <v>37980</v>
      </c>
      <c r="B1658">
        <v>-22.16</v>
      </c>
      <c r="C1658">
        <v>169.62</v>
      </c>
      <c r="D1658" t="s">
        <v>16</v>
      </c>
      <c r="E1658" t="s">
        <v>254</v>
      </c>
      <c r="F1658">
        <f t="shared" si="50"/>
        <v>2003</v>
      </c>
      <c r="G1658">
        <f t="shared" si="51"/>
        <v>12</v>
      </c>
      <c r="H1658" t="str">
        <f>IF(ISNUMBER(FIND(",", E1658)), TRIM(MID(E1658, FIND(",", E1658) + 1, LEN(E1658))), E1658)</f>
        <v>southeast of the Loyalty Islands</v>
      </c>
    </row>
    <row r="1659" spans="1:8" x14ac:dyDescent="0.25">
      <c r="A1659" s="2">
        <v>37980</v>
      </c>
      <c r="B1659">
        <v>8.36</v>
      </c>
      <c r="C1659">
        <v>-82.84</v>
      </c>
      <c r="D1659" t="s">
        <v>16</v>
      </c>
      <c r="E1659" t="s">
        <v>379</v>
      </c>
      <c r="F1659">
        <f t="shared" si="50"/>
        <v>2003</v>
      </c>
      <c r="G1659">
        <f t="shared" si="51"/>
        <v>12</v>
      </c>
      <c r="H1659" t="str">
        <f>IF(ISNUMBER(FIND(",", E1659)), TRIM(MID(E1659, FIND(",", E1659) + 1, LEN(E1659))), E1659)</f>
        <v>Panama-Costa Rica border region</v>
      </c>
    </row>
    <row r="1660" spans="1:8" x14ac:dyDescent="0.25">
      <c r="A1660" s="2">
        <v>37977</v>
      </c>
      <c r="B1660">
        <v>35.619999999999997</v>
      </c>
      <c r="C1660">
        <v>-121.07</v>
      </c>
      <c r="D1660" t="s">
        <v>16</v>
      </c>
      <c r="E1660" t="s">
        <v>464</v>
      </c>
      <c r="F1660">
        <f t="shared" si="50"/>
        <v>2003</v>
      </c>
      <c r="G1660">
        <f t="shared" si="51"/>
        <v>12</v>
      </c>
      <c r="H1660" t="str">
        <f>IF(ISNUMBER(FIND(",", E1660)), TRIM(MID(E1660, FIND(",", E1660) + 1, LEN(E1660))), E1660)</f>
        <v>Central California</v>
      </c>
    </row>
    <row r="1661" spans="1:8" x14ac:dyDescent="0.25">
      <c r="A1661" s="2">
        <v>37976</v>
      </c>
      <c r="B1661">
        <v>-0.8</v>
      </c>
      <c r="C1661">
        <v>-20.65</v>
      </c>
      <c r="D1661" t="s">
        <v>16</v>
      </c>
      <c r="E1661" t="s">
        <v>291</v>
      </c>
      <c r="F1661">
        <f t="shared" si="50"/>
        <v>2003</v>
      </c>
      <c r="G1661">
        <f t="shared" si="51"/>
        <v>12</v>
      </c>
      <c r="H1661" t="str">
        <f>IF(ISNUMBER(FIND(",", E1661)), TRIM(MID(E1661, FIND(",", E1661) + 1, LEN(E1661))), E1661)</f>
        <v>central Mid-Atlantic Ridge</v>
      </c>
    </row>
    <row r="1662" spans="1:8" x14ac:dyDescent="0.25">
      <c r="A1662" s="2">
        <v>37965</v>
      </c>
      <c r="B1662">
        <v>23.09</v>
      </c>
      <c r="C1662">
        <v>121.37</v>
      </c>
      <c r="D1662" t="s">
        <v>16</v>
      </c>
      <c r="E1662" t="s">
        <v>336</v>
      </c>
      <c r="F1662">
        <f t="shared" si="50"/>
        <v>2003</v>
      </c>
      <c r="G1662">
        <f t="shared" si="51"/>
        <v>12</v>
      </c>
      <c r="H1662" t="str">
        <f>IF(ISNUMBER(FIND(",", E1662)), TRIM(MID(E1662, FIND(",", E1662) + 1, LEN(E1662))), E1662)</f>
        <v>Taiwan</v>
      </c>
    </row>
    <row r="1663" spans="1:8" x14ac:dyDescent="0.25">
      <c r="A1663" s="2">
        <v>37964</v>
      </c>
      <c r="B1663">
        <v>51.33</v>
      </c>
      <c r="C1663">
        <v>-179.31</v>
      </c>
      <c r="D1663" t="s">
        <v>16</v>
      </c>
      <c r="E1663" t="s">
        <v>207</v>
      </c>
      <c r="F1663">
        <f t="shared" si="50"/>
        <v>2003</v>
      </c>
      <c r="G1663">
        <f t="shared" si="51"/>
        <v>12</v>
      </c>
      <c r="H1663" t="str">
        <f>IF(ISNUMBER(FIND(",", E1663)), TRIM(MID(E1663, FIND(",", E1663) + 1, LEN(E1663))), E1663)</f>
        <v>Aleutian Islands, Alaska</v>
      </c>
    </row>
    <row r="1664" spans="1:8" x14ac:dyDescent="0.25">
      <c r="A1664" s="2">
        <v>37960</v>
      </c>
      <c r="B1664">
        <v>55.57</v>
      </c>
      <c r="C1664">
        <v>165.73</v>
      </c>
      <c r="D1664" t="s">
        <v>16</v>
      </c>
      <c r="E1664" t="s">
        <v>443</v>
      </c>
      <c r="F1664">
        <f t="shared" si="50"/>
        <v>2003</v>
      </c>
      <c r="G1664">
        <f t="shared" si="51"/>
        <v>12</v>
      </c>
      <c r="H1664" t="str">
        <f>IF(ISNUMBER(FIND(",", E1664)), TRIM(MID(E1664, FIND(",", E1664) + 1, LEN(E1664))), E1664)</f>
        <v>Russia region</v>
      </c>
    </row>
    <row r="1665" spans="1:8" x14ac:dyDescent="0.25">
      <c r="A1665" s="2">
        <v>37956</v>
      </c>
      <c r="B1665">
        <v>42.88</v>
      </c>
      <c r="C1665">
        <v>80.540000000000006</v>
      </c>
      <c r="D1665" t="s">
        <v>16</v>
      </c>
      <c r="E1665" t="s">
        <v>475</v>
      </c>
      <c r="F1665">
        <f t="shared" si="50"/>
        <v>2003</v>
      </c>
      <c r="G1665">
        <f t="shared" si="51"/>
        <v>12</v>
      </c>
      <c r="H1665" t="str">
        <f>IF(ISNUMBER(FIND(",", E1665)), TRIM(MID(E1665, FIND(",", E1665) + 1, LEN(E1665))), E1665)</f>
        <v>Kazakhstan-Xinjiang border region</v>
      </c>
    </row>
    <row r="1666" spans="1:8" x14ac:dyDescent="0.25">
      <c r="A1666" s="2">
        <v>37950</v>
      </c>
      <c r="B1666">
        <v>-5.64</v>
      </c>
      <c r="C1666">
        <v>151.01</v>
      </c>
      <c r="D1666" t="s">
        <v>16</v>
      </c>
      <c r="E1666" t="s">
        <v>190</v>
      </c>
      <c r="F1666">
        <f t="shared" ref="F1666:F1729" si="52">YEAR(A1666)</f>
        <v>2003</v>
      </c>
      <c r="G1666">
        <f t="shared" si="51"/>
        <v>11</v>
      </c>
      <c r="H1666" t="str">
        <f>IF(ISNUMBER(FIND(",", E1666)), TRIM(MID(E1666, FIND(",", E1666) + 1, LEN(E1666))), E1666)</f>
        <v>Papua New Guinea</v>
      </c>
    </row>
    <row r="1667" spans="1:8" x14ac:dyDescent="0.25">
      <c r="A1667" s="2">
        <v>37943</v>
      </c>
      <c r="B1667">
        <v>12.11</v>
      </c>
      <c r="C1667">
        <v>125.41</v>
      </c>
      <c r="D1667" t="s">
        <v>16</v>
      </c>
      <c r="E1667" t="s">
        <v>394</v>
      </c>
      <c r="F1667">
        <f t="shared" si="52"/>
        <v>2003</v>
      </c>
      <c r="G1667">
        <f t="shared" ref="G1667:G1730" si="53">MONTH(A1667)</f>
        <v>11</v>
      </c>
      <c r="H1667" t="str">
        <f>IF(ISNUMBER(FIND(",", E1667)), TRIM(MID(E1667, FIND(",", E1667) + 1, LEN(E1667))), E1667)</f>
        <v>Philippines</v>
      </c>
    </row>
    <row r="1668" spans="1:8" x14ac:dyDescent="0.25">
      <c r="A1668" s="2">
        <v>37942</v>
      </c>
      <c r="B1668">
        <v>51.12</v>
      </c>
      <c r="C1668">
        <v>178.65</v>
      </c>
      <c r="D1668" t="s">
        <v>16</v>
      </c>
      <c r="E1668" t="s">
        <v>366</v>
      </c>
      <c r="F1668">
        <f t="shared" si="52"/>
        <v>2003</v>
      </c>
      <c r="G1668">
        <f t="shared" si="53"/>
        <v>11</v>
      </c>
      <c r="H1668" t="str">
        <f>IF(ISNUMBER(FIND(",", E1668)), TRIM(MID(E1668, FIND(",", E1668) + 1, LEN(E1668))), E1668)</f>
        <v>Aleutian Islands, Alaska</v>
      </c>
    </row>
    <row r="1669" spans="1:8" x14ac:dyDescent="0.25">
      <c r="A1669" s="2">
        <v>37939</v>
      </c>
      <c r="B1669">
        <v>-16.690000000000001</v>
      </c>
      <c r="C1669">
        <v>172.44</v>
      </c>
      <c r="D1669" t="s">
        <v>16</v>
      </c>
      <c r="E1669" t="s">
        <v>281</v>
      </c>
      <c r="F1669">
        <f t="shared" si="52"/>
        <v>2003</v>
      </c>
      <c r="G1669">
        <f t="shared" si="53"/>
        <v>11</v>
      </c>
      <c r="H1669" t="str">
        <f>IF(ISNUMBER(FIND(",", E1669)), TRIM(MID(E1669, FIND(",", E1669) + 1, LEN(E1669))), E1669)</f>
        <v>Vanuatu region</v>
      </c>
    </row>
    <row r="1670" spans="1:8" x14ac:dyDescent="0.25">
      <c r="A1670" s="2">
        <v>37937</v>
      </c>
      <c r="B1670">
        <v>33.24</v>
      </c>
      <c r="C1670">
        <v>136.97999999999999</v>
      </c>
      <c r="D1670" t="s">
        <v>16</v>
      </c>
      <c r="E1670" t="s">
        <v>467</v>
      </c>
      <c r="F1670">
        <f t="shared" si="52"/>
        <v>2003</v>
      </c>
      <c r="G1670">
        <f t="shared" si="53"/>
        <v>11</v>
      </c>
      <c r="H1670" t="str">
        <f>IF(ISNUMBER(FIND(",", E1670)), TRIM(MID(E1670, FIND(",", E1670) + 1, LEN(E1670))), E1670)</f>
        <v>Japan</v>
      </c>
    </row>
    <row r="1671" spans="1:8" x14ac:dyDescent="0.25">
      <c r="A1671" s="2">
        <v>37937</v>
      </c>
      <c r="B1671">
        <v>1.51</v>
      </c>
      <c r="C1671">
        <v>126.41</v>
      </c>
      <c r="D1671" t="s">
        <v>16</v>
      </c>
      <c r="E1671" t="s">
        <v>186</v>
      </c>
      <c r="F1671">
        <f t="shared" si="52"/>
        <v>2003</v>
      </c>
      <c r="G1671">
        <f t="shared" si="53"/>
        <v>11</v>
      </c>
      <c r="H1671" t="str">
        <f>IF(ISNUMBER(FIND(",", E1671)), TRIM(MID(E1671, FIND(",", E1671) + 1, LEN(E1671))), E1671)</f>
        <v>Molucca Sea</v>
      </c>
    </row>
    <row r="1672" spans="1:8" x14ac:dyDescent="0.25">
      <c r="A1672" s="2">
        <v>37936</v>
      </c>
      <c r="B1672">
        <v>-30.64</v>
      </c>
      <c r="C1672">
        <v>-179.05</v>
      </c>
      <c r="D1672" t="s">
        <v>16</v>
      </c>
      <c r="E1672" t="s">
        <v>240</v>
      </c>
      <c r="F1672">
        <f t="shared" si="52"/>
        <v>2003</v>
      </c>
      <c r="G1672">
        <f t="shared" si="53"/>
        <v>11</v>
      </c>
      <c r="H1672" t="str">
        <f>IF(ISNUMBER(FIND(",", E1672)), TRIM(MID(E1672, FIND(",", E1672) + 1, LEN(E1672))), E1672)</f>
        <v>Kermadec Islands region</v>
      </c>
    </row>
    <row r="1673" spans="1:8" x14ac:dyDescent="0.25">
      <c r="A1673" s="2">
        <v>37936</v>
      </c>
      <c r="B1673">
        <v>-30.53</v>
      </c>
      <c r="C1673">
        <v>-178.87</v>
      </c>
      <c r="D1673" t="s">
        <v>16</v>
      </c>
      <c r="E1673" t="s">
        <v>288</v>
      </c>
      <c r="F1673">
        <f t="shared" si="52"/>
        <v>2003</v>
      </c>
      <c r="G1673">
        <f t="shared" si="53"/>
        <v>11</v>
      </c>
      <c r="H1673" t="str">
        <f>IF(ISNUMBER(FIND(",", E1673)), TRIM(MID(E1673, FIND(",", E1673) + 1, LEN(E1673))), E1673)</f>
        <v>New Zealand</v>
      </c>
    </row>
    <row r="1674" spans="1:8" x14ac:dyDescent="0.25">
      <c r="A1674" s="2">
        <v>37934</v>
      </c>
      <c r="B1674">
        <v>-0.61</v>
      </c>
      <c r="C1674">
        <v>-19.71</v>
      </c>
      <c r="D1674" t="s">
        <v>16</v>
      </c>
      <c r="E1674" t="s">
        <v>291</v>
      </c>
      <c r="F1674">
        <f t="shared" si="52"/>
        <v>2003</v>
      </c>
      <c r="G1674">
        <f t="shared" si="53"/>
        <v>11</v>
      </c>
      <c r="H1674" t="str">
        <f>IF(ISNUMBER(FIND(",", E1674)), TRIM(MID(E1674, FIND(",", E1674) + 1, LEN(E1674))), E1674)</f>
        <v>central Mid-Atlantic Ridge</v>
      </c>
    </row>
    <row r="1675" spans="1:8" x14ac:dyDescent="0.25">
      <c r="A1675" s="2">
        <v>37931</v>
      </c>
      <c r="B1675">
        <v>-19.21</v>
      </c>
      <c r="C1675">
        <v>169.02</v>
      </c>
      <c r="D1675" t="s">
        <v>16</v>
      </c>
      <c r="E1675" t="s">
        <v>181</v>
      </c>
      <c r="F1675">
        <f t="shared" si="52"/>
        <v>2003</v>
      </c>
      <c r="G1675">
        <f t="shared" si="53"/>
        <v>11</v>
      </c>
      <c r="H1675" t="str">
        <f>IF(ISNUMBER(FIND(",", E1675)), TRIM(MID(E1675, FIND(",", E1675) + 1, LEN(E1675))), E1675)</f>
        <v>Vanuatu</v>
      </c>
    </row>
    <row r="1676" spans="1:8" x14ac:dyDescent="0.25">
      <c r="A1676" s="2">
        <v>37927</v>
      </c>
      <c r="B1676">
        <v>-45.14</v>
      </c>
      <c r="C1676">
        <v>166.66</v>
      </c>
      <c r="D1676" t="s">
        <v>16</v>
      </c>
      <c r="E1676" t="s">
        <v>361</v>
      </c>
      <c r="F1676">
        <f t="shared" si="52"/>
        <v>2003</v>
      </c>
      <c r="G1676">
        <f t="shared" si="53"/>
        <v>11</v>
      </c>
      <c r="H1676" t="str">
        <f>IF(ISNUMBER(FIND(",", E1676)), TRIM(MID(E1676, FIND(",", E1676) + 1, LEN(E1676))), E1676)</f>
        <v>off the west coast of the South Island of New Zealand</v>
      </c>
    </row>
    <row r="1677" spans="1:8" x14ac:dyDescent="0.25">
      <c r="A1677" s="2">
        <v>37925</v>
      </c>
      <c r="B1677">
        <v>37.869999999999997</v>
      </c>
      <c r="C1677">
        <v>142.59</v>
      </c>
      <c r="D1677" t="s">
        <v>16</v>
      </c>
      <c r="E1677" t="s">
        <v>189</v>
      </c>
      <c r="F1677">
        <f t="shared" si="52"/>
        <v>2003</v>
      </c>
      <c r="G1677">
        <f t="shared" si="53"/>
        <v>10</v>
      </c>
      <c r="H1677" t="str">
        <f>IF(ISNUMBER(FIND(",", E1677)), TRIM(MID(E1677, FIND(",", E1677) + 1, LEN(E1677))), E1677)</f>
        <v>Japan</v>
      </c>
    </row>
    <row r="1678" spans="1:8" x14ac:dyDescent="0.25">
      <c r="A1678" s="2">
        <v>37922</v>
      </c>
      <c r="B1678">
        <v>-5.38</v>
      </c>
      <c r="C1678">
        <v>151.57</v>
      </c>
      <c r="D1678" t="s">
        <v>16</v>
      </c>
      <c r="E1678" t="s">
        <v>190</v>
      </c>
      <c r="F1678">
        <f t="shared" si="52"/>
        <v>2003</v>
      </c>
      <c r="G1678">
        <f t="shared" si="53"/>
        <v>10</v>
      </c>
      <c r="H1678" t="str">
        <f>IF(ISNUMBER(FIND(",", E1678)), TRIM(MID(E1678, FIND(",", E1678) + 1, LEN(E1678))), E1678)</f>
        <v>Papua New Guinea</v>
      </c>
    </row>
    <row r="1679" spans="1:8" x14ac:dyDescent="0.25">
      <c r="A1679" s="2">
        <v>37916</v>
      </c>
      <c r="B1679">
        <v>-6.08</v>
      </c>
      <c r="C1679">
        <v>147.78</v>
      </c>
      <c r="D1679" t="s">
        <v>16</v>
      </c>
      <c r="E1679" t="s">
        <v>243</v>
      </c>
      <c r="F1679">
        <f t="shared" si="52"/>
        <v>2003</v>
      </c>
      <c r="G1679">
        <f t="shared" si="53"/>
        <v>10</v>
      </c>
      <c r="H1679" t="str">
        <f>IF(ISNUMBER(FIND(",", E1679)), TRIM(MID(E1679, FIND(",", E1679) + 1, LEN(E1679))), E1679)</f>
        <v>Papua New Guinea</v>
      </c>
    </row>
    <row r="1680" spans="1:8" x14ac:dyDescent="0.25">
      <c r="A1680" s="2">
        <v>37912</v>
      </c>
      <c r="B1680">
        <v>0.46</v>
      </c>
      <c r="C1680">
        <v>126.03</v>
      </c>
      <c r="D1680" t="s">
        <v>16</v>
      </c>
      <c r="E1680" t="s">
        <v>186</v>
      </c>
      <c r="F1680">
        <f t="shared" si="52"/>
        <v>2003</v>
      </c>
      <c r="G1680">
        <f t="shared" si="53"/>
        <v>10</v>
      </c>
      <c r="H1680" t="str">
        <f>IF(ISNUMBER(FIND(",", E1680)), TRIM(MID(E1680, FIND(",", E1680) + 1, LEN(E1680))), E1680)</f>
        <v>Molucca Sea</v>
      </c>
    </row>
    <row r="1681" spans="1:8" x14ac:dyDescent="0.25">
      <c r="A1681" s="2">
        <v>37911</v>
      </c>
      <c r="B1681">
        <v>-5.47</v>
      </c>
      <c r="C1681">
        <v>154.22</v>
      </c>
      <c r="D1681" t="s">
        <v>16</v>
      </c>
      <c r="E1681" t="s">
        <v>290</v>
      </c>
      <c r="F1681">
        <f t="shared" si="52"/>
        <v>2003</v>
      </c>
      <c r="G1681">
        <f t="shared" si="53"/>
        <v>10</v>
      </c>
      <c r="H1681" t="str">
        <f>IF(ISNUMBER(FIND(",", E1681)), TRIM(MID(E1681, FIND(",", E1681) + 1, LEN(E1681))), E1681)</f>
        <v>Papua New Guinea</v>
      </c>
    </row>
    <row r="1682" spans="1:8" x14ac:dyDescent="0.25">
      <c r="A1682" s="2">
        <v>37903</v>
      </c>
      <c r="B1682">
        <v>13.76</v>
      </c>
      <c r="C1682">
        <v>120</v>
      </c>
      <c r="D1682" t="s">
        <v>16</v>
      </c>
      <c r="E1682" t="s">
        <v>476</v>
      </c>
      <c r="F1682">
        <f t="shared" si="52"/>
        <v>2003</v>
      </c>
      <c r="G1682">
        <f t="shared" si="53"/>
        <v>10</v>
      </c>
      <c r="H1682" t="str">
        <f>IF(ISNUMBER(FIND(",", E1682)), TRIM(MID(E1682, FIND(",", E1682) + 1, LEN(E1682))), E1682)</f>
        <v>North Pacific Ocean</v>
      </c>
    </row>
    <row r="1683" spans="1:8" x14ac:dyDescent="0.25">
      <c r="A1683" s="2">
        <v>37902</v>
      </c>
      <c r="B1683">
        <v>42.65</v>
      </c>
      <c r="C1683">
        <v>144.53</v>
      </c>
      <c r="D1683" t="s">
        <v>16</v>
      </c>
      <c r="E1683" t="s">
        <v>265</v>
      </c>
      <c r="F1683">
        <f t="shared" si="52"/>
        <v>2003</v>
      </c>
      <c r="G1683">
        <f t="shared" si="53"/>
        <v>10</v>
      </c>
      <c r="H1683" t="str">
        <f>IF(ISNUMBER(FIND(",", E1683)), TRIM(MID(E1683, FIND(",", E1683) + 1, LEN(E1683))), E1683)</f>
        <v>Japan region</v>
      </c>
    </row>
    <row r="1684" spans="1:8" x14ac:dyDescent="0.25">
      <c r="A1684" s="2">
        <v>37901</v>
      </c>
      <c r="B1684">
        <v>-16.52</v>
      </c>
      <c r="C1684">
        <v>-170.15</v>
      </c>
      <c r="D1684" t="s">
        <v>16</v>
      </c>
      <c r="E1684" t="s">
        <v>352</v>
      </c>
      <c r="F1684">
        <f t="shared" si="52"/>
        <v>2003</v>
      </c>
      <c r="G1684">
        <f t="shared" si="53"/>
        <v>10</v>
      </c>
      <c r="H1684" t="str">
        <f>IF(ISNUMBER(FIND(",", E1684)), TRIM(MID(E1684, FIND(",", E1684) + 1, LEN(E1684))), E1684)</f>
        <v>Samoa Islands region</v>
      </c>
    </row>
    <row r="1685" spans="1:8" x14ac:dyDescent="0.25">
      <c r="A1685" s="2">
        <v>37895</v>
      </c>
      <c r="B1685">
        <v>50.18</v>
      </c>
      <c r="C1685">
        <v>87.74</v>
      </c>
      <c r="D1685" t="s">
        <v>16</v>
      </c>
      <c r="E1685" t="s">
        <v>255</v>
      </c>
      <c r="F1685">
        <f t="shared" si="52"/>
        <v>2003</v>
      </c>
      <c r="G1685">
        <f t="shared" si="53"/>
        <v>10</v>
      </c>
      <c r="H1685" t="str">
        <f>IF(ISNUMBER(FIND(",", E1685)), TRIM(MID(E1685, FIND(",", E1685) + 1, LEN(E1685))), E1685)</f>
        <v>Russia</v>
      </c>
    </row>
    <row r="1686" spans="1:8" x14ac:dyDescent="0.25">
      <c r="A1686" s="2">
        <v>37894</v>
      </c>
      <c r="B1686">
        <v>-30.5</v>
      </c>
      <c r="C1686">
        <v>-177.24</v>
      </c>
      <c r="D1686" t="s">
        <v>16</v>
      </c>
      <c r="E1686" t="s">
        <v>288</v>
      </c>
      <c r="F1686">
        <f t="shared" si="52"/>
        <v>2003</v>
      </c>
      <c r="G1686">
        <f t="shared" si="53"/>
        <v>9</v>
      </c>
      <c r="H1686" t="str">
        <f>IF(ISNUMBER(FIND(",", E1686)), TRIM(MID(E1686, FIND(",", E1686) + 1, LEN(E1686))), E1686)</f>
        <v>New Zealand</v>
      </c>
    </row>
    <row r="1687" spans="1:8" x14ac:dyDescent="0.25">
      <c r="A1687" s="2">
        <v>37893</v>
      </c>
      <c r="B1687">
        <v>42.47</v>
      </c>
      <c r="C1687">
        <v>144.35</v>
      </c>
      <c r="D1687" t="s">
        <v>16</v>
      </c>
      <c r="E1687" t="s">
        <v>265</v>
      </c>
      <c r="F1687">
        <f t="shared" si="52"/>
        <v>2003</v>
      </c>
      <c r="G1687">
        <f t="shared" si="53"/>
        <v>9</v>
      </c>
      <c r="H1687" t="str">
        <f>IF(ISNUMBER(FIND(",", E1687)), TRIM(MID(E1687, FIND(",", E1687) + 1, LEN(E1687))), E1687)</f>
        <v>Japan region</v>
      </c>
    </row>
    <row r="1688" spans="1:8" x14ac:dyDescent="0.25">
      <c r="A1688" s="2">
        <v>37891</v>
      </c>
      <c r="B1688">
        <v>50.09</v>
      </c>
      <c r="C1688">
        <v>87.79</v>
      </c>
      <c r="D1688" t="s">
        <v>16</v>
      </c>
      <c r="E1688" t="s">
        <v>255</v>
      </c>
      <c r="F1688">
        <f t="shared" si="52"/>
        <v>2003</v>
      </c>
      <c r="G1688">
        <f t="shared" si="53"/>
        <v>9</v>
      </c>
      <c r="H1688" t="str">
        <f>IF(ISNUMBER(FIND(",", E1688)), TRIM(MID(E1688, FIND(",", E1688) + 1, LEN(E1688))), E1688)</f>
        <v>Russia</v>
      </c>
    </row>
    <row r="1689" spans="1:8" x14ac:dyDescent="0.25">
      <c r="A1689" s="2">
        <v>37891</v>
      </c>
      <c r="B1689">
        <v>50.03</v>
      </c>
      <c r="C1689">
        <v>87.81</v>
      </c>
      <c r="D1689" t="s">
        <v>16</v>
      </c>
      <c r="E1689" t="s">
        <v>255</v>
      </c>
      <c r="F1689">
        <f t="shared" si="52"/>
        <v>2003</v>
      </c>
      <c r="G1689">
        <f t="shared" si="53"/>
        <v>9</v>
      </c>
      <c r="H1689" t="str">
        <f>IF(ISNUMBER(FIND(",", E1689)), TRIM(MID(E1689, FIND(",", E1689) + 1, LEN(E1689))), E1689)</f>
        <v>Russia</v>
      </c>
    </row>
    <row r="1690" spans="1:8" x14ac:dyDescent="0.25">
      <c r="A1690" s="2">
        <v>37890</v>
      </c>
      <c r="B1690">
        <v>42.05</v>
      </c>
      <c r="C1690">
        <v>144.52000000000001</v>
      </c>
      <c r="D1690" t="s">
        <v>16</v>
      </c>
      <c r="E1690" t="s">
        <v>265</v>
      </c>
      <c r="F1690">
        <f t="shared" si="52"/>
        <v>2003</v>
      </c>
      <c r="G1690">
        <f t="shared" si="53"/>
        <v>9</v>
      </c>
      <c r="H1690" t="str">
        <f>IF(ISNUMBER(FIND(",", E1690)), TRIM(MID(E1690, FIND(",", E1690) + 1, LEN(E1690))), E1690)</f>
        <v>Japan region</v>
      </c>
    </row>
    <row r="1691" spans="1:8" x14ac:dyDescent="0.25">
      <c r="A1691" s="2">
        <v>37889</v>
      </c>
      <c r="B1691">
        <v>41.8</v>
      </c>
      <c r="C1691">
        <v>143.55000000000001</v>
      </c>
      <c r="D1691" t="s">
        <v>16</v>
      </c>
      <c r="E1691" t="s">
        <v>265</v>
      </c>
      <c r="F1691">
        <f t="shared" si="52"/>
        <v>2003</v>
      </c>
      <c r="G1691">
        <f t="shared" si="53"/>
        <v>9</v>
      </c>
      <c r="H1691" t="str">
        <f>IF(ISNUMBER(FIND(",", E1691)), TRIM(MID(E1691, FIND(",", E1691) + 1, LEN(E1691))), E1691)</f>
        <v>Japan region</v>
      </c>
    </row>
    <row r="1692" spans="1:8" x14ac:dyDescent="0.25">
      <c r="A1692" s="2">
        <v>37889</v>
      </c>
      <c r="B1692">
        <v>41.86</v>
      </c>
      <c r="C1692">
        <v>143.87</v>
      </c>
      <c r="D1692" t="s">
        <v>16</v>
      </c>
      <c r="E1692" t="s">
        <v>265</v>
      </c>
      <c r="F1692">
        <f t="shared" si="52"/>
        <v>2003</v>
      </c>
      <c r="G1692">
        <f t="shared" si="53"/>
        <v>9</v>
      </c>
      <c r="H1692" t="str">
        <f>IF(ISNUMBER(FIND(",", E1692)), TRIM(MID(E1692, FIND(",", E1692) + 1, LEN(E1692))), E1692)</f>
        <v>Japan region</v>
      </c>
    </row>
    <row r="1693" spans="1:8" x14ac:dyDescent="0.25">
      <c r="A1693" s="2">
        <v>37886</v>
      </c>
      <c r="B1693">
        <v>19.760000000000002</v>
      </c>
      <c r="C1693">
        <v>-70.69</v>
      </c>
      <c r="D1693" t="s">
        <v>16</v>
      </c>
      <c r="E1693" t="s">
        <v>477</v>
      </c>
      <c r="F1693">
        <f t="shared" si="52"/>
        <v>2003</v>
      </c>
      <c r="G1693">
        <f t="shared" si="53"/>
        <v>9</v>
      </c>
      <c r="H1693" t="str">
        <f>IF(ISNUMBER(FIND(",", E1693)), TRIM(MID(E1693, FIND(",", E1693) + 1, LEN(E1693))), E1693)</f>
        <v>Dominican Republic</v>
      </c>
    </row>
    <row r="1694" spans="1:8" x14ac:dyDescent="0.25">
      <c r="A1694" s="2">
        <v>37885</v>
      </c>
      <c r="B1694">
        <v>-1.1000000000000001</v>
      </c>
      <c r="C1694">
        <v>-14.06</v>
      </c>
      <c r="D1694" t="s">
        <v>16</v>
      </c>
      <c r="E1694" t="s">
        <v>378</v>
      </c>
      <c r="F1694">
        <f t="shared" si="52"/>
        <v>2003</v>
      </c>
      <c r="G1694">
        <f t="shared" si="53"/>
        <v>9</v>
      </c>
      <c r="H1694" t="str">
        <f>IF(ISNUMBER(FIND(",", E1694)), TRIM(MID(E1694, FIND(",", E1694) + 1, LEN(E1694))), E1694)</f>
        <v>north of Ascension Island</v>
      </c>
    </row>
    <row r="1695" spans="1:8" x14ac:dyDescent="0.25">
      <c r="A1695" s="2">
        <v>37885</v>
      </c>
      <c r="B1695">
        <v>19.88</v>
      </c>
      <c r="C1695">
        <v>95.63</v>
      </c>
      <c r="D1695" t="s">
        <v>16</v>
      </c>
      <c r="E1695" t="s">
        <v>197</v>
      </c>
      <c r="F1695">
        <f t="shared" si="52"/>
        <v>2003</v>
      </c>
      <c r="G1695">
        <f t="shared" si="53"/>
        <v>9</v>
      </c>
      <c r="H1695" t="str">
        <f>IF(ISNUMBER(FIND(",", E1695)), TRIM(MID(E1695, FIND(",", E1695) + 1, LEN(E1695))), E1695)</f>
        <v>Myanmar</v>
      </c>
    </row>
    <row r="1696" spans="1:8" x14ac:dyDescent="0.25">
      <c r="A1696" s="2">
        <v>37876</v>
      </c>
      <c r="B1696">
        <v>-5.3</v>
      </c>
      <c r="C1696">
        <v>151.57</v>
      </c>
      <c r="D1696" t="s">
        <v>16</v>
      </c>
      <c r="E1696" t="s">
        <v>190</v>
      </c>
      <c r="F1696">
        <f t="shared" si="52"/>
        <v>2003</v>
      </c>
      <c r="G1696">
        <f t="shared" si="53"/>
        <v>9</v>
      </c>
      <c r="H1696" t="str">
        <f>IF(ISNUMBER(FIND(",", E1696)), TRIM(MID(E1696, FIND(",", E1696) + 1, LEN(E1696))), E1696)</f>
        <v>Papua New Guinea</v>
      </c>
    </row>
    <row r="1697" spans="1:8" x14ac:dyDescent="0.25">
      <c r="A1697" s="2">
        <v>37875</v>
      </c>
      <c r="B1697">
        <v>-8.2799999999999994</v>
      </c>
      <c r="C1697">
        <v>156.19999999999999</v>
      </c>
      <c r="D1697" t="s">
        <v>16</v>
      </c>
      <c r="E1697" t="s">
        <v>221</v>
      </c>
      <c r="F1697">
        <f t="shared" si="52"/>
        <v>2003</v>
      </c>
      <c r="G1697">
        <f t="shared" si="53"/>
        <v>9</v>
      </c>
      <c r="H1697" t="str">
        <f>IF(ISNUMBER(FIND(",", E1697)), TRIM(MID(E1697, FIND(",", E1697) + 1, LEN(E1697))), E1697)</f>
        <v>Solomon Islands</v>
      </c>
    </row>
    <row r="1698" spans="1:8" x14ac:dyDescent="0.25">
      <c r="A1698" s="2">
        <v>37871</v>
      </c>
      <c r="B1698">
        <v>-22.37</v>
      </c>
      <c r="C1698">
        <v>172.18</v>
      </c>
      <c r="D1698" t="s">
        <v>16</v>
      </c>
      <c r="E1698" t="s">
        <v>254</v>
      </c>
      <c r="F1698">
        <f t="shared" si="52"/>
        <v>2003</v>
      </c>
      <c r="G1698">
        <f t="shared" si="53"/>
        <v>9</v>
      </c>
      <c r="H1698" t="str">
        <f>IF(ISNUMBER(FIND(",", E1698)), TRIM(MID(E1698, FIND(",", E1698) + 1, LEN(E1698))), E1698)</f>
        <v>southeast of the Loyalty Islands</v>
      </c>
    </row>
    <row r="1699" spans="1:8" x14ac:dyDescent="0.25">
      <c r="A1699" s="2">
        <v>37870</v>
      </c>
      <c r="B1699">
        <v>-4.63</v>
      </c>
      <c r="C1699">
        <v>-106.05</v>
      </c>
      <c r="D1699" t="s">
        <v>16</v>
      </c>
      <c r="E1699" t="s">
        <v>381</v>
      </c>
      <c r="F1699">
        <f t="shared" si="52"/>
        <v>2003</v>
      </c>
      <c r="G1699">
        <f t="shared" si="53"/>
        <v>9</v>
      </c>
      <c r="H1699" t="str">
        <f>IF(ISNUMBER(FIND(",", E1699)), TRIM(MID(E1699, FIND(",", E1699) + 1, LEN(E1699))), E1699)</f>
        <v>central East Pacific Rise</v>
      </c>
    </row>
    <row r="1700" spans="1:8" x14ac:dyDescent="0.25">
      <c r="A1700" s="2">
        <v>37866</v>
      </c>
      <c r="B1700">
        <v>-15.3</v>
      </c>
      <c r="C1700">
        <v>-173.1</v>
      </c>
      <c r="D1700" t="s">
        <v>16</v>
      </c>
      <c r="E1700" t="s">
        <v>239</v>
      </c>
      <c r="F1700">
        <f t="shared" si="52"/>
        <v>2003</v>
      </c>
      <c r="G1700">
        <f t="shared" si="53"/>
        <v>9</v>
      </c>
      <c r="H1700" t="str">
        <f>IF(ISNUMBER(FIND(",", E1700)), TRIM(MID(E1700, FIND(",", E1700) + 1, LEN(E1700))), E1700)</f>
        <v>Tonga</v>
      </c>
    </row>
    <row r="1701" spans="1:8" x14ac:dyDescent="0.25">
      <c r="A1701" s="2">
        <v>37864</v>
      </c>
      <c r="B1701">
        <v>43.35</v>
      </c>
      <c r="C1701">
        <v>132.28</v>
      </c>
      <c r="D1701" t="s">
        <v>16</v>
      </c>
      <c r="E1701" t="s">
        <v>344</v>
      </c>
      <c r="F1701">
        <f t="shared" si="52"/>
        <v>2003</v>
      </c>
      <c r="G1701">
        <f t="shared" si="53"/>
        <v>8</v>
      </c>
      <c r="H1701" t="str">
        <f>IF(ISNUMBER(FIND(",", E1701)), TRIM(MID(E1701, FIND(",", E1701) + 1, LEN(E1701))), E1701)</f>
        <v>Russia</v>
      </c>
    </row>
    <row r="1702" spans="1:8" x14ac:dyDescent="0.25">
      <c r="A1702" s="2">
        <v>37863</v>
      </c>
      <c r="B1702">
        <v>-14.77</v>
      </c>
      <c r="C1702">
        <v>167.34</v>
      </c>
      <c r="D1702" t="s">
        <v>16</v>
      </c>
      <c r="E1702" t="s">
        <v>181</v>
      </c>
      <c r="F1702">
        <f t="shared" si="52"/>
        <v>2003</v>
      </c>
      <c r="G1702">
        <f t="shared" si="53"/>
        <v>8</v>
      </c>
      <c r="H1702" t="str">
        <f>IF(ISNUMBER(FIND(",", E1702)), TRIM(MID(E1702, FIND(",", E1702) + 1, LEN(E1702))), E1702)</f>
        <v>Vanuatu</v>
      </c>
    </row>
    <row r="1703" spans="1:8" x14ac:dyDescent="0.25">
      <c r="A1703" s="2">
        <v>37861</v>
      </c>
      <c r="B1703">
        <v>-49.72</v>
      </c>
      <c r="C1703">
        <v>-115.04</v>
      </c>
      <c r="D1703" t="s">
        <v>16</v>
      </c>
      <c r="E1703" t="s">
        <v>268</v>
      </c>
      <c r="F1703">
        <f t="shared" si="52"/>
        <v>2003</v>
      </c>
      <c r="G1703">
        <f t="shared" si="53"/>
        <v>8</v>
      </c>
      <c r="H1703" t="str">
        <f>IF(ISNUMBER(FIND(",", E1703)), TRIM(MID(E1703, FIND(",", E1703) + 1, LEN(E1703))), E1703)</f>
        <v>southern East Pacific Rise</v>
      </c>
    </row>
    <row r="1704" spans="1:8" x14ac:dyDescent="0.25">
      <c r="A1704" s="2">
        <v>37854</v>
      </c>
      <c r="B1704">
        <v>-45.2</v>
      </c>
      <c r="C1704">
        <v>167.14</v>
      </c>
      <c r="D1704" t="s">
        <v>16</v>
      </c>
      <c r="E1704" t="s">
        <v>300</v>
      </c>
      <c r="F1704">
        <f t="shared" si="52"/>
        <v>2003</v>
      </c>
      <c r="G1704">
        <f t="shared" si="53"/>
        <v>8</v>
      </c>
      <c r="H1704" t="str">
        <f>IF(ISNUMBER(FIND(",", E1704)), TRIM(MID(E1704, FIND(",", E1704) + 1, LEN(E1704))), E1704)</f>
        <v>South Island of New Zealand</v>
      </c>
    </row>
    <row r="1705" spans="1:8" x14ac:dyDescent="0.25">
      <c r="A1705" s="2">
        <v>37847</v>
      </c>
      <c r="B1705">
        <v>38.94</v>
      </c>
      <c r="C1705">
        <v>20.62</v>
      </c>
      <c r="D1705" t="s">
        <v>16</v>
      </c>
      <c r="E1705" t="s">
        <v>478</v>
      </c>
      <c r="F1705">
        <f t="shared" si="52"/>
        <v>2003</v>
      </c>
      <c r="G1705">
        <f t="shared" si="53"/>
        <v>8</v>
      </c>
      <c r="H1705" t="str">
        <f>IF(ISNUMBER(FIND(",", E1705)), TRIM(MID(E1705, FIND(",", E1705) + 1, LEN(E1705))), E1705)</f>
        <v>Greece</v>
      </c>
    </row>
    <row r="1706" spans="1:8" x14ac:dyDescent="0.25">
      <c r="A1706" s="2">
        <v>37844</v>
      </c>
      <c r="B1706">
        <v>12.12</v>
      </c>
      <c r="C1706">
        <v>93.48</v>
      </c>
      <c r="D1706" t="s">
        <v>16</v>
      </c>
      <c r="E1706" t="s">
        <v>323</v>
      </c>
      <c r="F1706">
        <f t="shared" si="52"/>
        <v>2003</v>
      </c>
      <c r="G1706">
        <f t="shared" si="53"/>
        <v>8</v>
      </c>
      <c r="H1706" t="str">
        <f>IF(ISNUMBER(FIND(",", E1706)), TRIM(MID(E1706, FIND(",", E1706) + 1, LEN(E1706))), E1706)</f>
        <v>India region</v>
      </c>
    </row>
    <row r="1707" spans="1:8" x14ac:dyDescent="0.25">
      <c r="A1707" s="2">
        <v>37844</v>
      </c>
      <c r="B1707">
        <v>1.18</v>
      </c>
      <c r="C1707">
        <v>128.19999999999999</v>
      </c>
      <c r="D1707" t="s">
        <v>16</v>
      </c>
      <c r="E1707" t="s">
        <v>311</v>
      </c>
      <c r="F1707">
        <f t="shared" si="52"/>
        <v>2003</v>
      </c>
      <c r="G1707">
        <f t="shared" si="53"/>
        <v>8</v>
      </c>
      <c r="H1707" t="str">
        <f>IF(ISNUMBER(FIND(",", E1707)), TRIM(MID(E1707, FIND(",", E1707) + 1, LEN(E1707))), E1707)</f>
        <v>Indonesia</v>
      </c>
    </row>
    <row r="1708" spans="1:8" x14ac:dyDescent="0.25">
      <c r="A1708" s="2">
        <v>37837</v>
      </c>
      <c r="B1708">
        <v>-60.57</v>
      </c>
      <c r="C1708">
        <v>-43.5</v>
      </c>
      <c r="D1708" t="s">
        <v>16</v>
      </c>
      <c r="E1708" t="s">
        <v>56</v>
      </c>
      <c r="F1708">
        <f t="shared" si="52"/>
        <v>2003</v>
      </c>
      <c r="G1708">
        <f t="shared" si="53"/>
        <v>8</v>
      </c>
      <c r="H1708" t="str">
        <f>IF(ISNUMBER(FIND(",", E1708)), TRIM(MID(E1708, FIND(",", E1708) + 1, LEN(E1708))), E1708)</f>
        <v>Scotia Sea</v>
      </c>
    </row>
    <row r="1709" spans="1:8" x14ac:dyDescent="0.25">
      <c r="A1709" s="2">
        <v>37829</v>
      </c>
      <c r="B1709">
        <v>-20.05</v>
      </c>
      <c r="C1709">
        <v>-65.069999999999993</v>
      </c>
      <c r="D1709" t="s">
        <v>16</v>
      </c>
      <c r="E1709" t="s">
        <v>384</v>
      </c>
      <c r="F1709">
        <f t="shared" si="52"/>
        <v>2003</v>
      </c>
      <c r="G1709">
        <f t="shared" si="53"/>
        <v>7</v>
      </c>
      <c r="H1709" t="str">
        <f>IF(ISNUMBER(FIND(",", E1709)), TRIM(MID(E1709, FIND(",", E1709) + 1, LEN(E1709))), E1709)</f>
        <v>Bolivia</v>
      </c>
    </row>
    <row r="1710" spans="1:8" x14ac:dyDescent="0.25">
      <c r="A1710" s="2">
        <v>37829</v>
      </c>
      <c r="B1710">
        <v>46.77</v>
      </c>
      <c r="C1710">
        <v>139.54</v>
      </c>
      <c r="D1710" t="s">
        <v>16</v>
      </c>
      <c r="E1710" t="s">
        <v>419</v>
      </c>
      <c r="F1710">
        <f t="shared" si="52"/>
        <v>2003</v>
      </c>
      <c r="G1710">
        <f t="shared" si="53"/>
        <v>7</v>
      </c>
      <c r="H1710" t="str">
        <f>IF(ISNUMBER(FIND(",", E1710)), TRIM(MID(E1710, FIND(",", E1710) + 1, LEN(E1710))), E1710)</f>
        <v>Russia</v>
      </c>
    </row>
    <row r="1711" spans="1:8" x14ac:dyDescent="0.25">
      <c r="A1711" s="2">
        <v>37829</v>
      </c>
      <c r="B1711">
        <v>-21.11</v>
      </c>
      <c r="C1711">
        <v>-176.44</v>
      </c>
      <c r="D1711" t="s">
        <v>16</v>
      </c>
      <c r="E1711" t="s">
        <v>53</v>
      </c>
      <c r="F1711">
        <f t="shared" si="52"/>
        <v>2003</v>
      </c>
      <c r="G1711">
        <f t="shared" si="53"/>
        <v>7</v>
      </c>
      <c r="H1711" t="str">
        <f>IF(ISNUMBER(FIND(",", E1711)), TRIM(MID(E1711, FIND(",", E1711) + 1, LEN(E1711))), E1711)</f>
        <v>Fiji region</v>
      </c>
    </row>
    <row r="1712" spans="1:8" x14ac:dyDescent="0.25">
      <c r="A1712" s="2">
        <v>37827</v>
      </c>
      <c r="B1712">
        <v>38.479999999999997</v>
      </c>
      <c r="C1712">
        <v>141.03</v>
      </c>
      <c r="D1712" t="s">
        <v>16</v>
      </c>
      <c r="E1712" t="s">
        <v>227</v>
      </c>
      <c r="F1712">
        <f t="shared" si="52"/>
        <v>2003</v>
      </c>
      <c r="G1712">
        <f t="shared" si="53"/>
        <v>7</v>
      </c>
      <c r="H1712" t="str">
        <f>IF(ISNUMBER(FIND(",", E1712)), TRIM(MID(E1712, FIND(",", E1712) + 1, LEN(E1712))), E1712)</f>
        <v>Japan</v>
      </c>
    </row>
    <row r="1713" spans="1:8" x14ac:dyDescent="0.25">
      <c r="A1713" s="2">
        <v>37827</v>
      </c>
      <c r="B1713">
        <v>-1.53</v>
      </c>
      <c r="C1713">
        <v>149.74</v>
      </c>
      <c r="D1713" t="s">
        <v>16</v>
      </c>
      <c r="E1713" t="s">
        <v>183</v>
      </c>
      <c r="F1713">
        <f t="shared" si="52"/>
        <v>2003</v>
      </c>
      <c r="G1713">
        <f t="shared" si="53"/>
        <v>7</v>
      </c>
      <c r="H1713" t="str">
        <f>IF(ISNUMBER(FIND(",", E1713)), TRIM(MID(E1713, FIND(",", E1713) + 1, LEN(E1713))), E1713)</f>
        <v>Papua New Guinea</v>
      </c>
    </row>
    <row r="1714" spans="1:8" x14ac:dyDescent="0.25">
      <c r="A1714" s="2">
        <v>37823</v>
      </c>
      <c r="B1714">
        <v>-5.53</v>
      </c>
      <c r="C1714">
        <v>148.84</v>
      </c>
      <c r="D1714" t="s">
        <v>16</v>
      </c>
      <c r="E1714" t="s">
        <v>190</v>
      </c>
      <c r="F1714">
        <f t="shared" si="52"/>
        <v>2003</v>
      </c>
      <c r="G1714">
        <f t="shared" si="53"/>
        <v>7</v>
      </c>
      <c r="H1714" t="str">
        <f>IF(ISNUMBER(FIND(",", E1714)), TRIM(MID(E1714, FIND(",", E1714) + 1, LEN(E1714))), E1714)</f>
        <v>Papua New Guinea</v>
      </c>
    </row>
    <row r="1715" spans="1:8" x14ac:dyDescent="0.25">
      <c r="A1715" s="2">
        <v>37819</v>
      </c>
      <c r="B1715">
        <v>18.71</v>
      </c>
      <c r="C1715">
        <v>-106.97</v>
      </c>
      <c r="D1715" t="s">
        <v>16</v>
      </c>
      <c r="E1715" t="s">
        <v>315</v>
      </c>
      <c r="F1715">
        <f t="shared" si="52"/>
        <v>2003</v>
      </c>
      <c r="G1715">
        <f t="shared" si="53"/>
        <v>7</v>
      </c>
      <c r="H1715" t="str">
        <f>IF(ISNUMBER(FIND(",", E1715)), TRIM(MID(E1715, FIND(",", E1715) + 1, LEN(E1715))), E1715)</f>
        <v>Mexico</v>
      </c>
    </row>
    <row r="1716" spans="1:8" x14ac:dyDescent="0.25">
      <c r="A1716" s="2">
        <v>37817</v>
      </c>
      <c r="B1716">
        <v>-2.66</v>
      </c>
      <c r="C1716">
        <v>68.33</v>
      </c>
      <c r="D1716" t="s">
        <v>16</v>
      </c>
      <c r="E1716" t="s">
        <v>432</v>
      </c>
      <c r="F1716">
        <f t="shared" si="52"/>
        <v>2003</v>
      </c>
      <c r="G1716">
        <f t="shared" si="53"/>
        <v>7</v>
      </c>
      <c r="H1716" t="str">
        <f>IF(ISNUMBER(FIND(",", E1716)), TRIM(MID(E1716, FIND(",", E1716) + 1, LEN(E1716))), E1716)</f>
        <v>Carlsberg Ridge</v>
      </c>
    </row>
    <row r="1717" spans="1:8" x14ac:dyDescent="0.25">
      <c r="A1717" s="2">
        <v>37817</v>
      </c>
      <c r="B1717">
        <v>-3.9</v>
      </c>
      <c r="C1717">
        <v>152.28</v>
      </c>
      <c r="D1717" t="s">
        <v>16</v>
      </c>
      <c r="E1717" t="s">
        <v>183</v>
      </c>
      <c r="F1717">
        <f t="shared" si="52"/>
        <v>2003</v>
      </c>
      <c r="G1717">
        <f t="shared" si="53"/>
        <v>7</v>
      </c>
      <c r="H1717" t="str">
        <f>IF(ISNUMBER(FIND(",", E1717)), TRIM(MID(E1717, FIND(",", E1717) + 1, LEN(E1717))), E1717)</f>
        <v>Papua New Guinea</v>
      </c>
    </row>
    <row r="1718" spans="1:8" x14ac:dyDescent="0.25">
      <c r="A1718" s="2">
        <v>37814</v>
      </c>
      <c r="B1718">
        <v>54.78</v>
      </c>
      <c r="C1718">
        <v>-134.37</v>
      </c>
      <c r="D1718" t="s">
        <v>16</v>
      </c>
      <c r="E1718" t="s">
        <v>409</v>
      </c>
      <c r="F1718">
        <f t="shared" si="52"/>
        <v>2003</v>
      </c>
      <c r="G1718">
        <f t="shared" si="53"/>
        <v>7</v>
      </c>
      <c r="H1718" t="str">
        <f>IF(ISNUMBER(FIND(",", E1718)), TRIM(MID(E1718, FIND(",", E1718) + 1, LEN(E1718))), E1718)</f>
        <v>Canada</v>
      </c>
    </row>
    <row r="1719" spans="1:8" x14ac:dyDescent="0.25">
      <c r="A1719" s="2">
        <v>37806</v>
      </c>
      <c r="B1719">
        <v>-5.5</v>
      </c>
      <c r="C1719">
        <v>151.82</v>
      </c>
      <c r="D1719" t="s">
        <v>16</v>
      </c>
      <c r="E1719" t="s">
        <v>190</v>
      </c>
      <c r="F1719">
        <f t="shared" si="52"/>
        <v>2003</v>
      </c>
      <c r="G1719">
        <f t="shared" si="53"/>
        <v>7</v>
      </c>
      <c r="H1719" t="str">
        <f>IF(ISNUMBER(FIND(",", E1719)), TRIM(MID(E1719, FIND(",", E1719) + 1, LEN(E1719))), E1719)</f>
        <v>Papua New Guinea</v>
      </c>
    </row>
    <row r="1720" spans="1:8" x14ac:dyDescent="0.25">
      <c r="A1720" s="2">
        <v>37803</v>
      </c>
      <c r="B1720">
        <v>4.53</v>
      </c>
      <c r="C1720">
        <v>122.53</v>
      </c>
      <c r="D1720" t="s">
        <v>16</v>
      </c>
      <c r="E1720" t="s">
        <v>203</v>
      </c>
      <c r="F1720">
        <f t="shared" si="52"/>
        <v>2003</v>
      </c>
      <c r="G1720">
        <f t="shared" si="53"/>
        <v>7</v>
      </c>
      <c r="H1720" t="str">
        <f>IF(ISNUMBER(FIND(",", E1720)), TRIM(MID(E1720, FIND(",", E1720) + 1, LEN(E1720))), E1720)</f>
        <v>Celebes Sea</v>
      </c>
    </row>
    <row r="1721" spans="1:8" x14ac:dyDescent="0.25">
      <c r="A1721" s="2">
        <v>37800</v>
      </c>
      <c r="B1721">
        <v>-3.36</v>
      </c>
      <c r="C1721">
        <v>146.29</v>
      </c>
      <c r="D1721" t="s">
        <v>16</v>
      </c>
      <c r="E1721" t="s">
        <v>380</v>
      </c>
      <c r="F1721">
        <f t="shared" si="52"/>
        <v>2003</v>
      </c>
      <c r="G1721">
        <f t="shared" si="53"/>
        <v>6</v>
      </c>
      <c r="H1721" t="str">
        <f>IF(ISNUMBER(FIND(",", E1721)), TRIM(MID(E1721, FIND(",", E1721) + 1, LEN(E1721))), E1721)</f>
        <v>Bismarck Sea</v>
      </c>
    </row>
    <row r="1722" spans="1:8" x14ac:dyDescent="0.25">
      <c r="A1722" s="2">
        <v>37795</v>
      </c>
      <c r="B1722">
        <v>51.46</v>
      </c>
      <c r="C1722">
        <v>176.73</v>
      </c>
      <c r="D1722" t="s">
        <v>16</v>
      </c>
      <c r="E1722" t="s">
        <v>366</v>
      </c>
      <c r="F1722">
        <f t="shared" si="52"/>
        <v>2003</v>
      </c>
      <c r="G1722">
        <f t="shared" si="53"/>
        <v>6</v>
      </c>
      <c r="H1722" t="str">
        <f>IF(ISNUMBER(FIND(",", E1722)), TRIM(MID(E1722, FIND(",", E1722) + 1, LEN(E1722))), E1722)</f>
        <v>Aleutian Islands, Alaska</v>
      </c>
    </row>
    <row r="1723" spans="1:8" x14ac:dyDescent="0.25">
      <c r="A1723" s="2">
        <v>37792</v>
      </c>
      <c r="B1723">
        <v>-30.65</v>
      </c>
      <c r="C1723">
        <v>-71.53</v>
      </c>
      <c r="D1723" t="s">
        <v>16</v>
      </c>
      <c r="E1723" t="s">
        <v>193</v>
      </c>
      <c r="F1723">
        <f t="shared" si="52"/>
        <v>2003</v>
      </c>
      <c r="G1723">
        <f t="shared" si="53"/>
        <v>6</v>
      </c>
      <c r="H1723" t="str">
        <f>IF(ISNUMBER(FIND(",", E1723)), TRIM(MID(E1723, FIND(",", E1723) + 1, LEN(E1723))), E1723)</f>
        <v>Chile</v>
      </c>
    </row>
    <row r="1724" spans="1:8" x14ac:dyDescent="0.25">
      <c r="A1724" s="2">
        <v>37792</v>
      </c>
      <c r="B1724">
        <v>-7.64</v>
      </c>
      <c r="C1724">
        <v>-71.67</v>
      </c>
      <c r="D1724" t="s">
        <v>16</v>
      </c>
      <c r="E1724" t="s">
        <v>479</v>
      </c>
      <c r="F1724">
        <f t="shared" si="52"/>
        <v>2003</v>
      </c>
      <c r="G1724">
        <f t="shared" si="53"/>
        <v>6</v>
      </c>
      <c r="H1724" t="str">
        <f>IF(ISNUMBER(FIND(",", E1724)), TRIM(MID(E1724, FIND(",", E1724) + 1, LEN(E1724))), E1724)</f>
        <v>Brazil</v>
      </c>
    </row>
    <row r="1725" spans="1:8" x14ac:dyDescent="0.25">
      <c r="A1725" s="2">
        <v>37788</v>
      </c>
      <c r="B1725">
        <v>55.46</v>
      </c>
      <c r="C1725">
        <v>159.93</v>
      </c>
      <c r="D1725" t="s">
        <v>16</v>
      </c>
      <c r="E1725" t="s">
        <v>424</v>
      </c>
      <c r="F1725">
        <f t="shared" si="52"/>
        <v>2003</v>
      </c>
      <c r="G1725">
        <f t="shared" si="53"/>
        <v>6</v>
      </c>
      <c r="H1725" t="str">
        <f>IF(ISNUMBER(FIND(",", E1725)), TRIM(MID(E1725, FIND(",", E1725) + 1, LEN(E1725))), E1725)</f>
        <v>Russia</v>
      </c>
    </row>
    <row r="1726" spans="1:8" x14ac:dyDescent="0.25">
      <c r="A1726" s="2">
        <v>37787</v>
      </c>
      <c r="B1726">
        <v>51.56</v>
      </c>
      <c r="C1726">
        <v>176.85</v>
      </c>
      <c r="D1726" t="s">
        <v>16</v>
      </c>
      <c r="E1726" t="s">
        <v>366</v>
      </c>
      <c r="F1726">
        <f t="shared" si="52"/>
        <v>2003</v>
      </c>
      <c r="G1726">
        <f t="shared" si="53"/>
        <v>6</v>
      </c>
      <c r="H1726" t="str">
        <f>IF(ISNUMBER(FIND(",", E1726)), TRIM(MID(E1726, FIND(",", E1726) + 1, LEN(E1726))), E1726)</f>
        <v>Aleutian Islands, Alaska</v>
      </c>
    </row>
    <row r="1727" spans="1:8" x14ac:dyDescent="0.25">
      <c r="A1727" s="2">
        <v>37784</v>
      </c>
      <c r="B1727">
        <v>-5.98</v>
      </c>
      <c r="C1727">
        <v>154.86000000000001</v>
      </c>
      <c r="D1727" t="s">
        <v>16</v>
      </c>
      <c r="E1727" t="s">
        <v>290</v>
      </c>
      <c r="F1727">
        <f t="shared" si="52"/>
        <v>2003</v>
      </c>
      <c r="G1727">
        <f t="shared" si="53"/>
        <v>6</v>
      </c>
      <c r="H1727" t="str">
        <f>IF(ISNUMBER(FIND(",", E1727)), TRIM(MID(E1727, FIND(",", E1727) + 1, LEN(E1727))), E1727)</f>
        <v>Papua New Guinea</v>
      </c>
    </row>
    <row r="1728" spans="1:8" x14ac:dyDescent="0.25">
      <c r="A1728" s="2">
        <v>37779</v>
      </c>
      <c r="B1728">
        <v>-5.13</v>
      </c>
      <c r="C1728">
        <v>152.54</v>
      </c>
      <c r="D1728" t="s">
        <v>16</v>
      </c>
      <c r="E1728" t="s">
        <v>190</v>
      </c>
      <c r="F1728">
        <f t="shared" si="52"/>
        <v>2003</v>
      </c>
      <c r="G1728">
        <f t="shared" si="53"/>
        <v>6</v>
      </c>
      <c r="H1728" t="str">
        <f>IF(ISNUMBER(FIND(",", E1728)), TRIM(MID(E1728, FIND(",", E1728) + 1, LEN(E1728))), E1728)</f>
        <v>Papua New Guinea</v>
      </c>
    </row>
    <row r="1729" spans="1:8" x14ac:dyDescent="0.25">
      <c r="A1729" s="2">
        <v>37769</v>
      </c>
      <c r="B1729">
        <v>-17.84</v>
      </c>
      <c r="C1729">
        <v>65.89</v>
      </c>
      <c r="D1729" t="s">
        <v>16</v>
      </c>
      <c r="E1729" t="s">
        <v>220</v>
      </c>
      <c r="F1729">
        <f t="shared" si="52"/>
        <v>2003</v>
      </c>
      <c r="G1729">
        <f t="shared" si="53"/>
        <v>5</v>
      </c>
      <c r="H1729" t="str">
        <f>IF(ISNUMBER(FIND(",", E1729)), TRIM(MID(E1729, FIND(",", E1729) + 1, LEN(E1729))), E1729)</f>
        <v>Mauritius - Reunion region</v>
      </c>
    </row>
    <row r="1730" spans="1:8" x14ac:dyDescent="0.25">
      <c r="A1730" s="2">
        <v>37767</v>
      </c>
      <c r="B1730">
        <v>6.75</v>
      </c>
      <c r="C1730">
        <v>123.74</v>
      </c>
      <c r="D1730" t="s">
        <v>16</v>
      </c>
      <c r="E1730" t="s">
        <v>319</v>
      </c>
      <c r="F1730">
        <f t="shared" ref="F1730:F1793" si="54">YEAR(A1730)</f>
        <v>2003</v>
      </c>
      <c r="G1730">
        <f t="shared" si="53"/>
        <v>5</v>
      </c>
      <c r="H1730" t="str">
        <f>IF(ISNUMBER(FIND(",", E1730)), TRIM(MID(E1730, FIND(",", E1730) + 1, LEN(E1730))), E1730)</f>
        <v>Mindanao, Philippines</v>
      </c>
    </row>
    <row r="1731" spans="1:8" x14ac:dyDescent="0.25">
      <c r="A1731" s="2">
        <v>37767</v>
      </c>
      <c r="B1731">
        <v>2.34</v>
      </c>
      <c r="C1731">
        <v>128.87</v>
      </c>
      <c r="D1731" t="s">
        <v>16</v>
      </c>
      <c r="E1731" t="s">
        <v>311</v>
      </c>
      <c r="F1731">
        <f t="shared" si="54"/>
        <v>2003</v>
      </c>
      <c r="G1731">
        <f t="shared" ref="G1731:G1794" si="55">MONTH(A1731)</f>
        <v>5</v>
      </c>
      <c r="H1731" t="str">
        <f>IF(ISNUMBER(FIND(",", E1731)), TRIM(MID(E1731, FIND(",", E1731) + 1, LEN(E1731))), E1731)</f>
        <v>Indonesia</v>
      </c>
    </row>
    <row r="1732" spans="1:8" x14ac:dyDescent="0.25">
      <c r="A1732" s="2">
        <v>37767</v>
      </c>
      <c r="B1732">
        <v>38.86</v>
      </c>
      <c r="C1732">
        <v>141.5</v>
      </c>
      <c r="D1732" t="s">
        <v>16</v>
      </c>
      <c r="E1732" t="s">
        <v>227</v>
      </c>
      <c r="F1732">
        <f t="shared" si="54"/>
        <v>2003</v>
      </c>
      <c r="G1732">
        <f t="shared" si="55"/>
        <v>5</v>
      </c>
      <c r="H1732" t="str">
        <f>IF(ISNUMBER(FIND(",", E1732)), TRIM(MID(E1732, FIND(",", E1732) + 1, LEN(E1732))), E1732)</f>
        <v>Japan</v>
      </c>
    </row>
    <row r="1733" spans="1:8" x14ac:dyDescent="0.25">
      <c r="A1733" s="2">
        <v>37762</v>
      </c>
      <c r="B1733">
        <v>36.880000000000003</v>
      </c>
      <c r="C1733">
        <v>3.69</v>
      </c>
      <c r="D1733" t="s">
        <v>16</v>
      </c>
      <c r="E1733" t="s">
        <v>480</v>
      </c>
      <c r="F1733">
        <f t="shared" si="54"/>
        <v>2003</v>
      </c>
      <c r="G1733">
        <f t="shared" si="55"/>
        <v>5</v>
      </c>
      <c r="H1733" t="str">
        <f>IF(ISNUMBER(FIND(",", E1733)), TRIM(MID(E1733, FIND(",", E1733) + 1, LEN(E1733))), E1733)</f>
        <v>northern Algeria</v>
      </c>
    </row>
    <row r="1734" spans="1:8" x14ac:dyDescent="0.25">
      <c r="A1734" s="2">
        <v>37760</v>
      </c>
      <c r="B1734">
        <v>17.54</v>
      </c>
      <c r="C1734">
        <v>-105.56</v>
      </c>
      <c r="D1734" t="s">
        <v>16</v>
      </c>
      <c r="E1734" t="s">
        <v>389</v>
      </c>
      <c r="F1734">
        <f t="shared" si="54"/>
        <v>2003</v>
      </c>
      <c r="G1734">
        <f t="shared" si="55"/>
        <v>5</v>
      </c>
      <c r="H1734" t="str">
        <f>IF(ISNUMBER(FIND(",", E1734)), TRIM(MID(E1734, FIND(",", E1734) + 1, LEN(E1734))), E1734)</f>
        <v>Mexico</v>
      </c>
    </row>
    <row r="1735" spans="1:8" x14ac:dyDescent="0.25">
      <c r="A1735" s="2">
        <v>37755</v>
      </c>
      <c r="B1735">
        <v>-8.06</v>
      </c>
      <c r="C1735">
        <v>107.17</v>
      </c>
      <c r="D1735" t="s">
        <v>16</v>
      </c>
      <c r="E1735" t="s">
        <v>358</v>
      </c>
      <c r="F1735">
        <f t="shared" si="54"/>
        <v>2003</v>
      </c>
      <c r="G1735">
        <f t="shared" si="55"/>
        <v>5</v>
      </c>
      <c r="H1735" t="str">
        <f>IF(ISNUMBER(FIND(",", E1735)), TRIM(MID(E1735, FIND(",", E1735) + 1, LEN(E1735))), E1735)</f>
        <v>Indonesia</v>
      </c>
    </row>
    <row r="1736" spans="1:8" x14ac:dyDescent="0.25">
      <c r="A1736" s="2">
        <v>37755</v>
      </c>
      <c r="B1736">
        <v>18.309999999999999</v>
      </c>
      <c r="C1736">
        <v>-58.6</v>
      </c>
      <c r="D1736" t="s">
        <v>16</v>
      </c>
      <c r="E1736" t="s">
        <v>481</v>
      </c>
      <c r="F1736">
        <f t="shared" si="54"/>
        <v>2003</v>
      </c>
      <c r="G1736">
        <f t="shared" si="55"/>
        <v>5</v>
      </c>
      <c r="H1736" t="str">
        <f>IF(ISNUMBER(FIND(",", E1736)), TRIM(MID(E1736, FIND(",", E1736) + 1, LEN(E1736))), E1736)</f>
        <v>North Atlantic Ocean</v>
      </c>
    </row>
    <row r="1737" spans="1:8" x14ac:dyDescent="0.25">
      <c r="A1737" s="2">
        <v>37754</v>
      </c>
      <c r="B1737">
        <v>-17.28</v>
      </c>
      <c r="C1737">
        <v>167.81</v>
      </c>
      <c r="D1737" t="s">
        <v>16</v>
      </c>
      <c r="E1737" t="s">
        <v>181</v>
      </c>
      <c r="F1737">
        <f t="shared" si="54"/>
        <v>2003</v>
      </c>
      <c r="G1737">
        <f t="shared" si="55"/>
        <v>5</v>
      </c>
      <c r="H1737" t="str">
        <f>IF(ISNUMBER(FIND(",", E1737)), TRIM(MID(E1737, FIND(",", E1737) + 1, LEN(E1737))), E1737)</f>
        <v>Vanuatu</v>
      </c>
    </row>
    <row r="1738" spans="1:8" x14ac:dyDescent="0.25">
      <c r="A1738" s="2">
        <v>37752</v>
      </c>
      <c r="B1738">
        <v>-1.02</v>
      </c>
      <c r="C1738">
        <v>126.92</v>
      </c>
      <c r="D1738" t="s">
        <v>16</v>
      </c>
      <c r="E1738" t="s">
        <v>429</v>
      </c>
      <c r="F1738">
        <f t="shared" si="54"/>
        <v>2003</v>
      </c>
      <c r="G1738">
        <f t="shared" si="55"/>
        <v>5</v>
      </c>
      <c r="H1738" t="str">
        <f>IF(ISNUMBER(FIND(",", E1738)), TRIM(MID(E1738, FIND(",", E1738) + 1, LEN(E1738))), E1738)</f>
        <v>Indonesia</v>
      </c>
    </row>
    <row r="1739" spans="1:8" x14ac:dyDescent="0.25">
      <c r="A1739" s="2">
        <v>37750</v>
      </c>
      <c r="B1739">
        <v>-48.09</v>
      </c>
      <c r="C1739">
        <v>32.18</v>
      </c>
      <c r="D1739" t="s">
        <v>16</v>
      </c>
      <c r="E1739" t="s">
        <v>369</v>
      </c>
      <c r="F1739">
        <f t="shared" si="54"/>
        <v>2003</v>
      </c>
      <c r="G1739">
        <f t="shared" si="55"/>
        <v>5</v>
      </c>
      <c r="H1739" t="str">
        <f>IF(ISNUMBER(FIND(",", E1739)), TRIM(MID(E1739, FIND(",", E1739) + 1, LEN(E1739))), E1739)</f>
        <v>Prince Edward Islands region</v>
      </c>
    </row>
    <row r="1740" spans="1:8" x14ac:dyDescent="0.25">
      <c r="A1740" s="2">
        <v>37746</v>
      </c>
      <c r="B1740">
        <v>3.67</v>
      </c>
      <c r="C1740">
        <v>127.99</v>
      </c>
      <c r="D1740" t="s">
        <v>16</v>
      </c>
      <c r="E1740" t="s">
        <v>372</v>
      </c>
      <c r="F1740">
        <f t="shared" si="54"/>
        <v>2003</v>
      </c>
      <c r="G1740">
        <f t="shared" si="55"/>
        <v>5</v>
      </c>
      <c r="H1740" t="str">
        <f>IF(ISNUMBER(FIND(",", E1740)), TRIM(MID(E1740, FIND(",", E1740) + 1, LEN(E1740))), E1740)</f>
        <v>Indonesia</v>
      </c>
    </row>
    <row r="1741" spans="1:8" x14ac:dyDescent="0.25">
      <c r="A1741" s="2">
        <v>37746</v>
      </c>
      <c r="B1741">
        <v>0.19</v>
      </c>
      <c r="C1741">
        <v>127.33</v>
      </c>
      <c r="D1741" t="s">
        <v>16</v>
      </c>
      <c r="E1741" t="s">
        <v>311</v>
      </c>
      <c r="F1741">
        <f t="shared" si="54"/>
        <v>2003</v>
      </c>
      <c r="G1741">
        <f t="shared" si="55"/>
        <v>5</v>
      </c>
      <c r="H1741" t="str">
        <f>IF(ISNUMBER(FIND(",", E1741)), TRIM(MID(E1741, FIND(",", E1741) + 1, LEN(E1741))), E1741)</f>
        <v>Indonesia</v>
      </c>
    </row>
    <row r="1742" spans="1:8" x14ac:dyDescent="0.25">
      <c r="A1742" s="2">
        <v>37745</v>
      </c>
      <c r="B1742">
        <v>-30.66</v>
      </c>
      <c r="C1742">
        <v>-178.11</v>
      </c>
      <c r="D1742" t="s">
        <v>16</v>
      </c>
      <c r="E1742" t="s">
        <v>288</v>
      </c>
      <c r="F1742">
        <f t="shared" si="54"/>
        <v>2003</v>
      </c>
      <c r="G1742">
        <f t="shared" si="55"/>
        <v>5</v>
      </c>
      <c r="H1742" t="str">
        <f>IF(ISNUMBER(FIND(",", E1742)), TRIM(MID(E1742, FIND(",", E1742) + 1, LEN(E1742))), E1742)</f>
        <v>New Zealand</v>
      </c>
    </row>
    <row r="1743" spans="1:8" x14ac:dyDescent="0.25">
      <c r="A1743" s="2">
        <v>37745</v>
      </c>
      <c r="B1743">
        <v>-30.65</v>
      </c>
      <c r="C1743">
        <v>-178.11</v>
      </c>
      <c r="D1743" t="s">
        <v>16</v>
      </c>
      <c r="E1743" t="s">
        <v>288</v>
      </c>
      <c r="F1743">
        <f t="shared" si="54"/>
        <v>2003</v>
      </c>
      <c r="G1743">
        <f t="shared" si="55"/>
        <v>5</v>
      </c>
      <c r="H1743" t="str">
        <f>IF(ISNUMBER(FIND(",", E1743)), TRIM(MID(E1743, FIND(",", E1743) + 1, LEN(E1743))), E1743)</f>
        <v>New Zealand</v>
      </c>
    </row>
    <row r="1744" spans="1:8" x14ac:dyDescent="0.25">
      <c r="A1744" s="2">
        <v>37744</v>
      </c>
      <c r="B1744">
        <v>-15.24</v>
      </c>
      <c r="C1744">
        <v>-173.56</v>
      </c>
      <c r="D1744" t="s">
        <v>16</v>
      </c>
      <c r="E1744" t="s">
        <v>239</v>
      </c>
      <c r="F1744">
        <f t="shared" si="54"/>
        <v>2003</v>
      </c>
      <c r="G1744">
        <f t="shared" si="55"/>
        <v>5</v>
      </c>
      <c r="H1744" t="str">
        <f>IF(ISNUMBER(FIND(",", E1744)), TRIM(MID(E1744, FIND(",", E1744) + 1, LEN(E1744))), E1744)</f>
        <v>Tonga</v>
      </c>
    </row>
    <row r="1745" spans="1:8" x14ac:dyDescent="0.25">
      <c r="A1745" s="2">
        <v>37742</v>
      </c>
      <c r="B1745">
        <v>38.97</v>
      </c>
      <c r="C1745">
        <v>40.450000000000003</v>
      </c>
      <c r="D1745" t="s">
        <v>16</v>
      </c>
      <c r="E1745" t="s">
        <v>272</v>
      </c>
      <c r="F1745">
        <f t="shared" si="54"/>
        <v>2003</v>
      </c>
      <c r="G1745">
        <f t="shared" si="55"/>
        <v>5</v>
      </c>
      <c r="H1745" t="str">
        <f>IF(ISNUMBER(FIND(",", E1745)), TRIM(MID(E1745, FIND(",", E1745) + 1, LEN(E1745))), E1745)</f>
        <v>eastern Turkey</v>
      </c>
    </row>
    <row r="1746" spans="1:8" x14ac:dyDescent="0.25">
      <c r="A1746" s="2">
        <v>37738</v>
      </c>
      <c r="B1746">
        <v>-20.86</v>
      </c>
      <c r="C1746">
        <v>169.87</v>
      </c>
      <c r="D1746" t="s">
        <v>16</v>
      </c>
      <c r="E1746" t="s">
        <v>181</v>
      </c>
      <c r="F1746">
        <f t="shared" si="54"/>
        <v>2003</v>
      </c>
      <c r="G1746">
        <f t="shared" si="55"/>
        <v>4</v>
      </c>
      <c r="H1746" t="str">
        <f>IF(ISNUMBER(FIND(",", E1746)), TRIM(MID(E1746, FIND(",", E1746) + 1, LEN(E1746))), E1746)</f>
        <v>Vanuatu</v>
      </c>
    </row>
    <row r="1747" spans="1:8" x14ac:dyDescent="0.25">
      <c r="A1747" s="2">
        <v>37735</v>
      </c>
      <c r="B1747">
        <v>48.77</v>
      </c>
      <c r="C1747">
        <v>154.91999999999999</v>
      </c>
      <c r="D1747" t="s">
        <v>16</v>
      </c>
      <c r="E1747" t="s">
        <v>191</v>
      </c>
      <c r="F1747">
        <f t="shared" si="54"/>
        <v>2003</v>
      </c>
      <c r="G1747">
        <f t="shared" si="55"/>
        <v>4</v>
      </c>
      <c r="H1747" t="str">
        <f>IF(ISNUMBER(FIND(",", E1747)), TRIM(MID(E1747, FIND(",", E1747) + 1, LEN(E1747))), E1747)</f>
        <v>Kuril Islands</v>
      </c>
    </row>
    <row r="1748" spans="1:8" x14ac:dyDescent="0.25">
      <c r="A1748" s="2">
        <v>37728</v>
      </c>
      <c r="B1748">
        <v>-54.67</v>
      </c>
      <c r="C1748">
        <v>1.48</v>
      </c>
      <c r="D1748" t="s">
        <v>16</v>
      </c>
      <c r="E1748" t="s">
        <v>368</v>
      </c>
      <c r="F1748">
        <f t="shared" si="54"/>
        <v>2003</v>
      </c>
      <c r="G1748">
        <f t="shared" si="55"/>
        <v>4</v>
      </c>
      <c r="H1748" t="str">
        <f>IF(ISNUMBER(FIND(",", E1748)), TRIM(MID(E1748, FIND(",", E1748) + 1, LEN(E1748))), E1748)</f>
        <v>Bouvet Island region</v>
      </c>
    </row>
    <row r="1749" spans="1:8" x14ac:dyDescent="0.25">
      <c r="A1749" s="2">
        <v>37728</v>
      </c>
      <c r="B1749">
        <v>37.54</v>
      </c>
      <c r="C1749">
        <v>96.54</v>
      </c>
      <c r="D1749" t="s">
        <v>16</v>
      </c>
      <c r="E1749" t="s">
        <v>359</v>
      </c>
      <c r="F1749">
        <f t="shared" si="54"/>
        <v>2003</v>
      </c>
      <c r="G1749">
        <f t="shared" si="55"/>
        <v>4</v>
      </c>
      <c r="H1749" t="str">
        <f>IF(ISNUMBER(FIND(",", E1749)), TRIM(MID(E1749, FIND(",", E1749) + 1, LEN(E1749))), E1749)</f>
        <v>China</v>
      </c>
    </row>
    <row r="1750" spans="1:8" x14ac:dyDescent="0.25">
      <c r="A1750" s="2">
        <v>37722</v>
      </c>
      <c r="B1750">
        <v>6.99</v>
      </c>
      <c r="C1750">
        <v>-82.35</v>
      </c>
      <c r="D1750" t="s">
        <v>16</v>
      </c>
      <c r="E1750" t="s">
        <v>231</v>
      </c>
      <c r="F1750">
        <f t="shared" si="54"/>
        <v>2003</v>
      </c>
      <c r="G1750">
        <f t="shared" si="55"/>
        <v>4</v>
      </c>
      <c r="H1750" t="str">
        <f>IF(ISNUMBER(FIND(",", E1750)), TRIM(MID(E1750, FIND(",", E1750) + 1, LEN(E1750))), E1750)</f>
        <v>south of Panama</v>
      </c>
    </row>
    <row r="1751" spans="1:8" x14ac:dyDescent="0.25">
      <c r="A1751" s="2">
        <v>37713</v>
      </c>
      <c r="B1751">
        <v>35.21</v>
      </c>
      <c r="C1751">
        <v>-35.700000000000003</v>
      </c>
      <c r="D1751" t="s">
        <v>16</v>
      </c>
      <c r="E1751" t="s">
        <v>325</v>
      </c>
      <c r="F1751">
        <f t="shared" si="54"/>
        <v>2003</v>
      </c>
      <c r="G1751">
        <f t="shared" si="55"/>
        <v>4</v>
      </c>
      <c r="H1751" t="str">
        <f>IF(ISNUMBER(FIND(",", E1751)), TRIM(MID(E1751, FIND(",", E1751) + 1, LEN(E1751))), E1751)</f>
        <v>northern Mid-Atlantic Ridge</v>
      </c>
    </row>
    <row r="1752" spans="1:8" x14ac:dyDescent="0.25">
      <c r="A1752" s="2">
        <v>37711</v>
      </c>
      <c r="B1752">
        <v>-6.19</v>
      </c>
      <c r="C1752">
        <v>151.5</v>
      </c>
      <c r="D1752" t="s">
        <v>16</v>
      </c>
      <c r="E1752" t="s">
        <v>190</v>
      </c>
      <c r="F1752">
        <f t="shared" si="54"/>
        <v>2003</v>
      </c>
      <c r="G1752">
        <f t="shared" si="55"/>
        <v>3</v>
      </c>
      <c r="H1752" t="str">
        <f>IF(ISNUMBER(FIND(",", E1752)), TRIM(MID(E1752, FIND(",", E1752) + 1, LEN(E1752))), E1752)</f>
        <v>Papua New Guinea</v>
      </c>
    </row>
    <row r="1753" spans="1:8" x14ac:dyDescent="0.25">
      <c r="A1753" s="2">
        <v>37710</v>
      </c>
      <c r="B1753">
        <v>-3.25</v>
      </c>
      <c r="C1753">
        <v>127.47</v>
      </c>
      <c r="D1753" t="s">
        <v>16</v>
      </c>
      <c r="E1753" t="s">
        <v>433</v>
      </c>
      <c r="F1753">
        <f t="shared" si="54"/>
        <v>2003</v>
      </c>
      <c r="G1753">
        <f t="shared" si="55"/>
        <v>3</v>
      </c>
      <c r="H1753" t="str">
        <f>IF(ISNUMBER(FIND(",", E1753)), TRIM(MID(E1753, FIND(",", E1753) + 1, LEN(E1753))), E1753)</f>
        <v>Indonesia</v>
      </c>
    </row>
    <row r="1754" spans="1:8" x14ac:dyDescent="0.25">
      <c r="A1754" s="2">
        <v>37708</v>
      </c>
      <c r="B1754">
        <v>-15.32</v>
      </c>
      <c r="C1754">
        <v>-173.42</v>
      </c>
      <c r="D1754" t="s">
        <v>16</v>
      </c>
      <c r="E1754" t="s">
        <v>239</v>
      </c>
      <c r="F1754">
        <f t="shared" si="54"/>
        <v>2003</v>
      </c>
      <c r="G1754">
        <f t="shared" si="55"/>
        <v>3</v>
      </c>
      <c r="H1754" t="str">
        <f>IF(ISNUMBER(FIND(",", E1754)), TRIM(MID(E1754, FIND(",", E1754) + 1, LEN(E1754))), E1754)</f>
        <v>Tonga</v>
      </c>
    </row>
    <row r="1755" spans="1:8" x14ac:dyDescent="0.25">
      <c r="A1755" s="2">
        <v>37705</v>
      </c>
      <c r="B1755">
        <v>-8.34</v>
      </c>
      <c r="C1755">
        <v>120.6</v>
      </c>
      <c r="D1755" t="s">
        <v>16</v>
      </c>
      <c r="E1755" t="s">
        <v>399</v>
      </c>
      <c r="F1755">
        <f t="shared" si="54"/>
        <v>2003</v>
      </c>
      <c r="G1755">
        <f t="shared" si="55"/>
        <v>3</v>
      </c>
      <c r="H1755" t="str">
        <f>IF(ISNUMBER(FIND(",", E1755)), TRIM(MID(E1755, FIND(",", E1755) + 1, LEN(E1755))), E1755)</f>
        <v>Indonesia</v>
      </c>
    </row>
    <row r="1756" spans="1:8" x14ac:dyDescent="0.25">
      <c r="A1756" s="2">
        <v>37699</v>
      </c>
      <c r="B1756">
        <v>-9.39</v>
      </c>
      <c r="C1756">
        <v>156.63</v>
      </c>
      <c r="D1756" t="s">
        <v>16</v>
      </c>
      <c r="E1756" t="s">
        <v>221</v>
      </c>
      <c r="F1756">
        <f t="shared" si="54"/>
        <v>2003</v>
      </c>
      <c r="G1756">
        <f t="shared" si="55"/>
        <v>3</v>
      </c>
      <c r="H1756" t="str">
        <f>IF(ISNUMBER(FIND(",", E1756)), TRIM(MID(E1756, FIND(",", E1756) + 1, LEN(E1756))), E1756)</f>
        <v>Solomon Islands</v>
      </c>
    </row>
    <row r="1757" spans="1:8" x14ac:dyDescent="0.25">
      <c r="A1757" s="2">
        <v>37697</v>
      </c>
      <c r="B1757">
        <v>51.31</v>
      </c>
      <c r="C1757">
        <v>177.93</v>
      </c>
      <c r="D1757" t="s">
        <v>16</v>
      </c>
      <c r="E1757" t="s">
        <v>366</v>
      </c>
      <c r="F1757">
        <f t="shared" si="54"/>
        <v>2003</v>
      </c>
      <c r="G1757">
        <f t="shared" si="55"/>
        <v>3</v>
      </c>
      <c r="H1757" t="str">
        <f>IF(ISNUMBER(FIND(",", E1757)), TRIM(MID(E1757, FIND(",", E1757) + 1, LEN(E1757))), E1757)</f>
        <v>Aleutian Islands, Alaska</v>
      </c>
    </row>
    <row r="1758" spans="1:8" x14ac:dyDescent="0.25">
      <c r="A1758" s="2">
        <v>37697</v>
      </c>
      <c r="B1758">
        <v>51.28</v>
      </c>
      <c r="C1758">
        <v>177.93</v>
      </c>
      <c r="D1758" t="s">
        <v>16</v>
      </c>
      <c r="E1758" t="s">
        <v>366</v>
      </c>
      <c r="F1758">
        <f t="shared" si="54"/>
        <v>2003</v>
      </c>
      <c r="G1758">
        <f t="shared" si="55"/>
        <v>3</v>
      </c>
      <c r="H1758" t="str">
        <f>IF(ISNUMBER(FIND(",", E1758)), TRIM(MID(E1758, FIND(",", E1758) + 1, LEN(E1758))), E1758)</f>
        <v>Aleutian Islands, Alaska</v>
      </c>
    </row>
    <row r="1759" spans="1:8" x14ac:dyDescent="0.25">
      <c r="A1759" s="2">
        <v>37695</v>
      </c>
      <c r="B1759">
        <v>52.22</v>
      </c>
      <c r="C1759">
        <v>160.27000000000001</v>
      </c>
      <c r="D1759" t="s">
        <v>16</v>
      </c>
      <c r="E1759" t="s">
        <v>318</v>
      </c>
      <c r="F1759">
        <f t="shared" si="54"/>
        <v>2003</v>
      </c>
      <c r="G1759">
        <f t="shared" si="55"/>
        <v>3</v>
      </c>
      <c r="H1759" t="str">
        <f>IF(ISNUMBER(FIND(",", E1759)), TRIM(MID(E1759, FIND(",", E1759) + 1, LEN(E1759))), E1759)</f>
        <v>Russia</v>
      </c>
    </row>
    <row r="1760" spans="1:8" x14ac:dyDescent="0.25">
      <c r="A1760" s="2">
        <v>37694</v>
      </c>
      <c r="B1760">
        <v>-17.45</v>
      </c>
      <c r="C1760">
        <v>-175.07</v>
      </c>
      <c r="D1760" t="s">
        <v>16</v>
      </c>
      <c r="E1760" t="s">
        <v>239</v>
      </c>
      <c r="F1760">
        <f t="shared" si="54"/>
        <v>2003</v>
      </c>
      <c r="G1760">
        <f t="shared" si="55"/>
        <v>3</v>
      </c>
      <c r="H1760" t="str">
        <f>IF(ISNUMBER(FIND(",", E1760)), TRIM(MID(E1760, FIND(",", E1760) + 1, LEN(E1760))), E1760)</f>
        <v>Tonga</v>
      </c>
    </row>
    <row r="1761" spans="1:8" x14ac:dyDescent="0.25">
      <c r="A1761" s="2">
        <v>37694</v>
      </c>
      <c r="B1761">
        <v>-0.41</v>
      </c>
      <c r="C1761">
        <v>132.91</v>
      </c>
      <c r="D1761" t="s">
        <v>16</v>
      </c>
      <c r="E1761" t="s">
        <v>241</v>
      </c>
      <c r="F1761">
        <f t="shared" si="54"/>
        <v>2003</v>
      </c>
      <c r="G1761">
        <f t="shared" si="55"/>
        <v>3</v>
      </c>
      <c r="H1761" t="str">
        <f>IF(ISNUMBER(FIND(",", E1761)), TRIM(MID(E1761, FIND(",", E1761) + 1, LEN(E1761))), E1761)</f>
        <v>Indonesia</v>
      </c>
    </row>
    <row r="1762" spans="1:8" x14ac:dyDescent="0.25">
      <c r="A1762" s="2">
        <v>37692</v>
      </c>
      <c r="B1762">
        <v>26.65</v>
      </c>
      <c r="C1762">
        <v>-110.56</v>
      </c>
      <c r="D1762" t="s">
        <v>16</v>
      </c>
      <c r="E1762" t="s">
        <v>282</v>
      </c>
      <c r="F1762">
        <f t="shared" si="54"/>
        <v>2003</v>
      </c>
      <c r="G1762">
        <f t="shared" si="55"/>
        <v>3</v>
      </c>
      <c r="H1762" t="str">
        <f>IF(ISNUMBER(FIND(",", E1762)), TRIM(MID(E1762, FIND(",", E1762) + 1, LEN(E1762))), E1762)</f>
        <v>Gulf of California</v>
      </c>
    </row>
    <row r="1763" spans="1:8" x14ac:dyDescent="0.25">
      <c r="A1763" s="2">
        <v>37691</v>
      </c>
      <c r="B1763">
        <v>-4.6900000000000004</v>
      </c>
      <c r="C1763">
        <v>153.25</v>
      </c>
      <c r="D1763" t="s">
        <v>16</v>
      </c>
      <c r="E1763" t="s">
        <v>183</v>
      </c>
      <c r="F1763">
        <f t="shared" si="54"/>
        <v>2003</v>
      </c>
      <c r="G1763">
        <f t="shared" si="55"/>
        <v>3</v>
      </c>
      <c r="H1763" t="str">
        <f>IF(ISNUMBER(FIND(",", E1763)), TRIM(MID(E1763, FIND(",", E1763) + 1, LEN(E1763))), E1763)</f>
        <v>Papua New Guinea</v>
      </c>
    </row>
    <row r="1764" spans="1:8" x14ac:dyDescent="0.25">
      <c r="A1764" s="2">
        <v>37690</v>
      </c>
      <c r="B1764">
        <v>1.67</v>
      </c>
      <c r="C1764">
        <v>127.25</v>
      </c>
      <c r="D1764" t="s">
        <v>16</v>
      </c>
      <c r="E1764" t="s">
        <v>311</v>
      </c>
      <c r="F1764">
        <f t="shared" si="54"/>
        <v>2003</v>
      </c>
      <c r="G1764">
        <f t="shared" si="55"/>
        <v>3</v>
      </c>
      <c r="H1764" t="str">
        <f>IF(ISNUMBER(FIND(",", E1764)), TRIM(MID(E1764, FIND(",", E1764) + 1, LEN(E1764))), E1764)</f>
        <v>Indonesia</v>
      </c>
    </row>
    <row r="1765" spans="1:8" x14ac:dyDescent="0.25">
      <c r="A1765" s="2">
        <v>37682</v>
      </c>
      <c r="B1765">
        <v>-36.9</v>
      </c>
      <c r="C1765">
        <v>-20.7</v>
      </c>
      <c r="D1765" t="s">
        <v>16</v>
      </c>
      <c r="E1765" t="s">
        <v>422</v>
      </c>
      <c r="F1765">
        <f t="shared" si="54"/>
        <v>2003</v>
      </c>
      <c r="G1765">
        <f t="shared" si="55"/>
        <v>3</v>
      </c>
      <c r="H1765" t="str">
        <f>IF(ISNUMBER(FIND(",", E1765)), TRIM(MID(E1765, FIND(",", E1765) + 1, LEN(E1765))), E1765)</f>
        <v>southern Mid-Atlantic Ridge</v>
      </c>
    </row>
    <row r="1766" spans="1:8" x14ac:dyDescent="0.25">
      <c r="A1766" s="2">
        <v>37676</v>
      </c>
      <c r="B1766">
        <v>39.51</v>
      </c>
      <c r="C1766">
        <v>77.2</v>
      </c>
      <c r="D1766" t="s">
        <v>16</v>
      </c>
      <c r="E1766" t="s">
        <v>482</v>
      </c>
      <c r="F1766">
        <f t="shared" si="54"/>
        <v>2003</v>
      </c>
      <c r="G1766">
        <f t="shared" si="55"/>
        <v>2</v>
      </c>
      <c r="H1766" t="str">
        <f>IF(ISNUMBER(FIND(",", E1766)), TRIM(MID(E1766, FIND(",", E1766) + 1, LEN(E1766))), E1766)</f>
        <v>China</v>
      </c>
    </row>
    <row r="1767" spans="1:8" x14ac:dyDescent="0.25">
      <c r="A1767" s="2">
        <v>37671</v>
      </c>
      <c r="B1767">
        <v>53.6</v>
      </c>
      <c r="C1767">
        <v>-164.73</v>
      </c>
      <c r="D1767" t="s">
        <v>16</v>
      </c>
      <c r="E1767" t="s">
        <v>447</v>
      </c>
      <c r="F1767">
        <f t="shared" si="54"/>
        <v>2003</v>
      </c>
      <c r="G1767">
        <f t="shared" si="55"/>
        <v>2</v>
      </c>
      <c r="H1767" t="str">
        <f>IF(ISNUMBER(FIND(",", E1767)), TRIM(MID(E1767, FIND(",", E1767) + 1, LEN(E1767))), E1767)</f>
        <v>Alaska</v>
      </c>
    </row>
    <row r="1768" spans="1:8" x14ac:dyDescent="0.25">
      <c r="A1768" s="2">
        <v>37667</v>
      </c>
      <c r="B1768">
        <v>12.2</v>
      </c>
      <c r="C1768">
        <v>124.01</v>
      </c>
      <c r="D1768" t="s">
        <v>16</v>
      </c>
      <c r="E1768" t="s">
        <v>394</v>
      </c>
      <c r="F1768">
        <f t="shared" si="54"/>
        <v>2003</v>
      </c>
      <c r="G1768">
        <f t="shared" si="55"/>
        <v>2</v>
      </c>
      <c r="H1768" t="str">
        <f>IF(ISNUMBER(FIND(",", E1768)), TRIM(MID(E1768, FIND(",", E1768) + 1, LEN(E1768))), E1768)</f>
        <v>Philippines</v>
      </c>
    </row>
    <row r="1769" spans="1:8" x14ac:dyDescent="0.25">
      <c r="A1769" s="2">
        <v>37664</v>
      </c>
      <c r="B1769">
        <v>-3.65</v>
      </c>
      <c r="C1769">
        <v>144.33000000000001</v>
      </c>
      <c r="D1769" t="s">
        <v>16</v>
      </c>
      <c r="E1769" t="s">
        <v>216</v>
      </c>
      <c r="F1769">
        <f t="shared" si="54"/>
        <v>2003</v>
      </c>
      <c r="G1769">
        <f t="shared" si="55"/>
        <v>2</v>
      </c>
      <c r="H1769" t="str">
        <f>IF(ISNUMBER(FIND(",", E1769)), TRIM(MID(E1769, FIND(",", E1769) + 1, LEN(E1769))), E1769)</f>
        <v>Papua New Guinea</v>
      </c>
    </row>
    <row r="1770" spans="1:8" x14ac:dyDescent="0.25">
      <c r="A1770" s="2">
        <v>37662</v>
      </c>
      <c r="B1770">
        <v>-6.01</v>
      </c>
      <c r="C1770">
        <v>149.87</v>
      </c>
      <c r="D1770" t="s">
        <v>16</v>
      </c>
      <c r="E1770" t="s">
        <v>190</v>
      </c>
      <c r="F1770">
        <f t="shared" si="54"/>
        <v>2003</v>
      </c>
      <c r="G1770">
        <f t="shared" si="55"/>
        <v>2</v>
      </c>
      <c r="H1770" t="str">
        <f>IF(ISNUMBER(FIND(",", E1770)), TRIM(MID(E1770, FIND(",", E1770) + 1, LEN(E1770))), E1770)</f>
        <v>Papua New Guinea</v>
      </c>
    </row>
    <row r="1771" spans="1:8" x14ac:dyDescent="0.25">
      <c r="A1771" s="2">
        <v>37648</v>
      </c>
      <c r="B1771">
        <v>-45.92</v>
      </c>
      <c r="C1771">
        <v>35.1</v>
      </c>
      <c r="D1771" t="s">
        <v>16</v>
      </c>
      <c r="E1771" t="s">
        <v>369</v>
      </c>
      <c r="F1771">
        <f t="shared" si="54"/>
        <v>2003</v>
      </c>
      <c r="G1771">
        <f t="shared" si="55"/>
        <v>1</v>
      </c>
      <c r="H1771" t="str">
        <f>IF(ISNUMBER(FIND(",", E1771)), TRIM(MID(E1771, FIND(",", E1771) + 1, LEN(E1771))), E1771)</f>
        <v>Prince Edward Islands region</v>
      </c>
    </row>
    <row r="1772" spans="1:8" x14ac:dyDescent="0.25">
      <c r="A1772" s="2">
        <v>37648</v>
      </c>
      <c r="B1772">
        <v>39.5</v>
      </c>
      <c r="C1772">
        <v>39.85</v>
      </c>
      <c r="D1772" t="s">
        <v>16</v>
      </c>
      <c r="E1772" t="s">
        <v>272</v>
      </c>
      <c r="F1772">
        <f t="shared" si="54"/>
        <v>2003</v>
      </c>
      <c r="G1772">
        <f t="shared" si="55"/>
        <v>1</v>
      </c>
      <c r="H1772" t="str">
        <f>IF(ISNUMBER(FIND(",", E1772)), TRIM(MID(E1772, FIND(",", E1772) + 1, LEN(E1772))), E1772)</f>
        <v>eastern Turkey</v>
      </c>
    </row>
    <row r="1773" spans="1:8" x14ac:dyDescent="0.25">
      <c r="A1773" s="2">
        <v>37643</v>
      </c>
      <c r="B1773">
        <v>18.899999999999999</v>
      </c>
      <c r="C1773">
        <v>-104.06</v>
      </c>
      <c r="D1773" t="s">
        <v>16</v>
      </c>
      <c r="E1773" t="s">
        <v>483</v>
      </c>
      <c r="F1773">
        <f t="shared" si="54"/>
        <v>2003</v>
      </c>
      <c r="G1773">
        <f t="shared" si="55"/>
        <v>1</v>
      </c>
      <c r="H1773" t="str">
        <f>IF(ISNUMBER(FIND(",", E1773)), TRIM(MID(E1773, FIND(",", E1773) + 1, LEN(E1773))), E1773)</f>
        <v>Mexico</v>
      </c>
    </row>
    <row r="1774" spans="1:8" x14ac:dyDescent="0.25">
      <c r="A1774" s="2">
        <v>37642</v>
      </c>
      <c r="B1774">
        <v>13.62</v>
      </c>
      <c r="C1774">
        <v>-90.85</v>
      </c>
      <c r="D1774" t="s">
        <v>16</v>
      </c>
      <c r="E1774" t="s">
        <v>196</v>
      </c>
      <c r="F1774">
        <f t="shared" si="54"/>
        <v>2003</v>
      </c>
      <c r="G1774">
        <f t="shared" si="55"/>
        <v>1</v>
      </c>
      <c r="H1774" t="str">
        <f>IF(ISNUMBER(FIND(",", E1774)), TRIM(MID(E1774, FIND(",", E1774) + 1, LEN(E1774))), E1774)</f>
        <v>offshore Guatemala</v>
      </c>
    </row>
    <row r="1775" spans="1:8" x14ac:dyDescent="0.25">
      <c r="A1775" s="2">
        <v>37641</v>
      </c>
      <c r="B1775">
        <v>-10.49</v>
      </c>
      <c r="C1775">
        <v>160.88</v>
      </c>
      <c r="D1775" t="s">
        <v>16</v>
      </c>
      <c r="E1775" t="s">
        <v>221</v>
      </c>
      <c r="F1775">
        <f t="shared" si="54"/>
        <v>2003</v>
      </c>
      <c r="G1775">
        <f t="shared" si="55"/>
        <v>1</v>
      </c>
      <c r="H1775" t="str">
        <f>IF(ISNUMBER(FIND(",", E1775)), TRIM(MID(E1775, FIND(",", E1775) + 1, LEN(E1775))), E1775)</f>
        <v>Solomon Islands</v>
      </c>
    </row>
    <row r="1776" spans="1:8" x14ac:dyDescent="0.25">
      <c r="A1776" s="2">
        <v>37637</v>
      </c>
      <c r="B1776">
        <v>44.16</v>
      </c>
      <c r="C1776">
        <v>-129.13999999999999</v>
      </c>
      <c r="D1776" t="s">
        <v>16</v>
      </c>
      <c r="E1776" t="s">
        <v>249</v>
      </c>
      <c r="F1776">
        <f t="shared" si="54"/>
        <v>2003</v>
      </c>
      <c r="G1776">
        <f t="shared" si="55"/>
        <v>1</v>
      </c>
      <c r="H1776" t="str">
        <f>IF(ISNUMBER(FIND(",", E1776)), TRIM(MID(E1776, FIND(",", E1776) + 1, LEN(E1776))), E1776)</f>
        <v>off the coast of Oregon</v>
      </c>
    </row>
    <row r="1777" spans="1:8" x14ac:dyDescent="0.25">
      <c r="A1777" s="2">
        <v>37631</v>
      </c>
      <c r="B1777">
        <v>-5.24</v>
      </c>
      <c r="C1777">
        <v>153.77000000000001</v>
      </c>
      <c r="D1777" t="s">
        <v>16</v>
      </c>
      <c r="E1777" t="s">
        <v>183</v>
      </c>
      <c r="F1777">
        <f t="shared" si="54"/>
        <v>2003</v>
      </c>
      <c r="G1777">
        <f t="shared" si="55"/>
        <v>1</v>
      </c>
      <c r="H1777" t="str">
        <f>IF(ISNUMBER(FIND(",", E1777)), TRIM(MID(E1777, FIND(",", E1777) + 1, LEN(E1777))), E1777)</f>
        <v>Papua New Guinea</v>
      </c>
    </row>
    <row r="1778" spans="1:8" x14ac:dyDescent="0.25">
      <c r="A1778" s="2">
        <v>37625</v>
      </c>
      <c r="B1778">
        <v>-20.67</v>
      </c>
      <c r="C1778">
        <v>-177.5</v>
      </c>
      <c r="D1778" t="s">
        <v>16</v>
      </c>
      <c r="E1778" t="s">
        <v>53</v>
      </c>
      <c r="F1778">
        <f t="shared" si="54"/>
        <v>2003</v>
      </c>
      <c r="G1778">
        <f t="shared" si="55"/>
        <v>1</v>
      </c>
      <c r="H1778" t="str">
        <f>IF(ISNUMBER(FIND(",", E1778)), TRIM(MID(E1778, FIND(",", E1778) + 1, LEN(E1778))), E1778)</f>
        <v>Fiji region</v>
      </c>
    </row>
    <row r="1779" spans="1:8" x14ac:dyDescent="0.25">
      <c r="A1779" s="2">
        <v>37620</v>
      </c>
      <c r="B1779">
        <v>7.38</v>
      </c>
      <c r="C1779">
        <v>123.26</v>
      </c>
      <c r="D1779" t="s">
        <v>16</v>
      </c>
      <c r="E1779" t="s">
        <v>200</v>
      </c>
      <c r="F1779">
        <f t="shared" si="54"/>
        <v>2002</v>
      </c>
      <c r="G1779">
        <f t="shared" si="55"/>
        <v>12</v>
      </c>
      <c r="H1779" t="str">
        <f>IF(ISNUMBER(FIND(",", E1779)), TRIM(MID(E1779, FIND(",", E1779) + 1, LEN(E1779))), E1779)</f>
        <v>Philippines</v>
      </c>
    </row>
    <row r="1780" spans="1:8" x14ac:dyDescent="0.25">
      <c r="A1780" s="2">
        <v>37610</v>
      </c>
      <c r="B1780">
        <v>-3.02</v>
      </c>
      <c r="C1780">
        <v>148.03</v>
      </c>
      <c r="D1780" t="s">
        <v>16</v>
      </c>
      <c r="E1780" t="s">
        <v>380</v>
      </c>
      <c r="F1780">
        <f t="shared" si="54"/>
        <v>2002</v>
      </c>
      <c r="G1780">
        <f t="shared" si="55"/>
        <v>12</v>
      </c>
      <c r="H1780" t="str">
        <f>IF(ISNUMBER(FIND(",", E1780)), TRIM(MID(E1780, FIND(",", E1780) + 1, LEN(E1780))), E1780)</f>
        <v>Bismarck Sea</v>
      </c>
    </row>
    <row r="1781" spans="1:8" x14ac:dyDescent="0.25">
      <c r="A1781" s="2">
        <v>37608</v>
      </c>
      <c r="B1781">
        <v>-57.11</v>
      </c>
      <c r="C1781">
        <v>-24.81</v>
      </c>
      <c r="D1781" t="s">
        <v>16</v>
      </c>
      <c r="E1781" t="s">
        <v>260</v>
      </c>
      <c r="F1781">
        <f t="shared" si="54"/>
        <v>2002</v>
      </c>
      <c r="G1781">
        <f t="shared" si="55"/>
        <v>12</v>
      </c>
      <c r="H1781" t="str">
        <f>IF(ISNUMBER(FIND(",", E1781)), TRIM(MID(E1781, FIND(",", E1781) + 1, LEN(E1781))), E1781)</f>
        <v>South Sandwich Islands region</v>
      </c>
    </row>
    <row r="1782" spans="1:8" x14ac:dyDescent="0.25">
      <c r="A1782" s="2">
        <v>37607</v>
      </c>
      <c r="B1782">
        <v>-56.96</v>
      </c>
      <c r="C1782">
        <v>-24.76</v>
      </c>
      <c r="D1782" t="s">
        <v>16</v>
      </c>
      <c r="E1782" t="s">
        <v>260</v>
      </c>
      <c r="F1782">
        <f t="shared" si="54"/>
        <v>2002</v>
      </c>
      <c r="G1782">
        <f t="shared" si="55"/>
        <v>12</v>
      </c>
      <c r="H1782" t="str">
        <f>IF(ISNUMBER(FIND(",", E1782)), TRIM(MID(E1782, FIND(",", E1782) + 1, LEN(E1782))), E1782)</f>
        <v>South Sandwich Islands region</v>
      </c>
    </row>
    <row r="1783" spans="1:8" x14ac:dyDescent="0.25">
      <c r="A1783" s="2">
        <v>37602</v>
      </c>
      <c r="B1783">
        <v>-4.78</v>
      </c>
      <c r="C1783">
        <v>153.36000000000001</v>
      </c>
      <c r="D1783" t="s">
        <v>16</v>
      </c>
      <c r="E1783" t="s">
        <v>183</v>
      </c>
      <c r="F1783">
        <f t="shared" si="54"/>
        <v>2002</v>
      </c>
      <c r="G1783">
        <f t="shared" si="55"/>
        <v>12</v>
      </c>
      <c r="H1783" t="str">
        <f>IF(ISNUMBER(FIND(",", E1783)), TRIM(MID(E1783, FIND(",", E1783) + 1, LEN(E1783))), E1783)</f>
        <v>Papua New Guinea</v>
      </c>
    </row>
    <row r="1784" spans="1:8" x14ac:dyDescent="0.25">
      <c r="A1784" s="2">
        <v>37601</v>
      </c>
      <c r="B1784">
        <v>-3.8</v>
      </c>
      <c r="C1784">
        <v>135.02000000000001</v>
      </c>
      <c r="D1784" t="s">
        <v>16</v>
      </c>
      <c r="E1784" t="s">
        <v>210</v>
      </c>
      <c r="F1784">
        <f t="shared" si="54"/>
        <v>2002</v>
      </c>
      <c r="G1784">
        <f t="shared" si="55"/>
        <v>12</v>
      </c>
      <c r="H1784" t="str">
        <f>IF(ISNUMBER(FIND(",", E1784)), TRIM(MID(E1784, FIND(",", E1784) + 1, LEN(E1784))), E1784)</f>
        <v>Indonesia</v>
      </c>
    </row>
    <row r="1785" spans="1:8" x14ac:dyDescent="0.25">
      <c r="A1785" s="2">
        <v>37600</v>
      </c>
      <c r="B1785">
        <v>-24.22</v>
      </c>
      <c r="C1785">
        <v>179.35</v>
      </c>
      <c r="D1785" t="s">
        <v>16</v>
      </c>
      <c r="E1785" t="s">
        <v>256</v>
      </c>
      <c r="F1785">
        <f t="shared" si="54"/>
        <v>2002</v>
      </c>
      <c r="G1785">
        <f t="shared" si="55"/>
        <v>12</v>
      </c>
      <c r="H1785" t="str">
        <f>IF(ISNUMBER(FIND(",", E1785)), TRIM(MID(E1785, FIND(",", E1785) + 1, LEN(E1785))), E1785)</f>
        <v>south of the Fiji Islands</v>
      </c>
    </row>
    <row r="1786" spans="1:8" x14ac:dyDescent="0.25">
      <c r="A1786" s="2">
        <v>37586</v>
      </c>
      <c r="B1786">
        <v>51.6</v>
      </c>
      <c r="C1786">
        <v>-173.64</v>
      </c>
      <c r="D1786" t="s">
        <v>16</v>
      </c>
      <c r="E1786" t="s">
        <v>207</v>
      </c>
      <c r="F1786">
        <f t="shared" si="54"/>
        <v>2002</v>
      </c>
      <c r="G1786">
        <f t="shared" si="55"/>
        <v>11</v>
      </c>
      <c r="H1786" t="str">
        <f>IF(ISNUMBER(FIND(",", E1786)), TRIM(MID(E1786, FIND(",", E1786) + 1, LEN(E1786))), E1786)</f>
        <v>Aleutian Islands, Alaska</v>
      </c>
    </row>
    <row r="1787" spans="1:8" x14ac:dyDescent="0.25">
      <c r="A1787" s="2">
        <v>37580</v>
      </c>
      <c r="B1787">
        <v>35.33</v>
      </c>
      <c r="C1787">
        <v>74.55</v>
      </c>
      <c r="D1787" t="s">
        <v>16</v>
      </c>
      <c r="E1787" t="s">
        <v>484</v>
      </c>
      <c r="F1787">
        <f t="shared" si="54"/>
        <v>2002</v>
      </c>
      <c r="G1787">
        <f t="shared" si="55"/>
        <v>11</v>
      </c>
      <c r="H1787" t="str">
        <f>IF(ISNUMBER(FIND(",", E1787)), TRIM(MID(E1787, FIND(",", E1787) + 1, LEN(E1787))), E1787)</f>
        <v>northwestern Kashmir</v>
      </c>
    </row>
    <row r="1788" spans="1:8" x14ac:dyDescent="0.25">
      <c r="A1788" s="2">
        <v>37577</v>
      </c>
      <c r="B1788">
        <v>47.823999999999998</v>
      </c>
      <c r="C1788">
        <v>146.209</v>
      </c>
      <c r="D1788" t="s">
        <v>7</v>
      </c>
      <c r="E1788" t="s">
        <v>485</v>
      </c>
      <c r="F1788">
        <f t="shared" si="54"/>
        <v>2002</v>
      </c>
      <c r="G1788">
        <f t="shared" si="55"/>
        <v>11</v>
      </c>
      <c r="H1788" t="str">
        <f>IF(ISNUMBER(FIND(",", E1788)), TRIM(MID(E1788, FIND(",", E1788) + 1, LEN(E1788))), E1788)</f>
        <v>northwest of the Kuril Islands</v>
      </c>
    </row>
    <row r="1789" spans="1:8" x14ac:dyDescent="0.25">
      <c r="A1789" s="2">
        <v>37577</v>
      </c>
      <c r="B1789">
        <v>47.95</v>
      </c>
      <c r="C1789">
        <v>146.38999999999999</v>
      </c>
      <c r="D1789" t="s">
        <v>16</v>
      </c>
      <c r="E1789" t="s">
        <v>485</v>
      </c>
      <c r="F1789">
        <f t="shared" si="54"/>
        <v>2002</v>
      </c>
      <c r="G1789">
        <f t="shared" si="55"/>
        <v>11</v>
      </c>
      <c r="H1789" t="str">
        <f>IF(ISNUMBER(FIND(",", E1789)), TRIM(MID(E1789, FIND(",", E1789) + 1, LEN(E1789))), E1789)</f>
        <v>northwest of the Kuril Islands</v>
      </c>
    </row>
    <row r="1790" spans="1:8" x14ac:dyDescent="0.25">
      <c r="A1790" s="2">
        <v>37575</v>
      </c>
      <c r="B1790">
        <v>-55.8</v>
      </c>
      <c r="C1790">
        <v>-36.19</v>
      </c>
      <c r="D1790" t="s">
        <v>16</v>
      </c>
      <c r="E1790" t="s">
        <v>486</v>
      </c>
      <c r="F1790">
        <f t="shared" si="54"/>
        <v>2002</v>
      </c>
      <c r="G1790">
        <f t="shared" si="55"/>
        <v>11</v>
      </c>
      <c r="H1790" t="str">
        <f>IF(ISNUMBER(FIND(",", E1790)), TRIM(MID(E1790, FIND(",", E1790) + 1, LEN(E1790))), E1790)</f>
        <v>South Georgia Island region</v>
      </c>
    </row>
    <row r="1791" spans="1:8" x14ac:dyDescent="0.25">
      <c r="A1791" s="2">
        <v>37572</v>
      </c>
      <c r="B1791">
        <v>-56.51</v>
      </c>
      <c r="C1791">
        <v>-27.45</v>
      </c>
      <c r="D1791" t="s">
        <v>16</v>
      </c>
      <c r="E1791" t="s">
        <v>260</v>
      </c>
      <c r="F1791">
        <f t="shared" si="54"/>
        <v>2002</v>
      </c>
      <c r="G1791">
        <f t="shared" si="55"/>
        <v>11</v>
      </c>
      <c r="H1791" t="str">
        <f>IF(ISNUMBER(FIND(",", E1791)), TRIM(MID(E1791, FIND(",", E1791) + 1, LEN(E1791))), E1791)</f>
        <v>South Sandwich Islands region</v>
      </c>
    </row>
    <row r="1792" spans="1:8" x14ac:dyDescent="0.25">
      <c r="A1792" s="2">
        <v>37569</v>
      </c>
      <c r="B1792">
        <v>13.67</v>
      </c>
      <c r="C1792">
        <v>-91.27</v>
      </c>
      <c r="D1792" t="s">
        <v>16</v>
      </c>
      <c r="E1792" t="s">
        <v>196</v>
      </c>
      <c r="F1792">
        <f t="shared" si="54"/>
        <v>2002</v>
      </c>
      <c r="G1792">
        <f t="shared" si="55"/>
        <v>11</v>
      </c>
      <c r="H1792" t="str">
        <f>IF(ISNUMBER(FIND(",", E1792)), TRIM(MID(E1792, FIND(",", E1792) + 1, LEN(E1792))), E1792)</f>
        <v>offshore Guatemala</v>
      </c>
    </row>
    <row r="1793" spans="1:8" x14ac:dyDescent="0.25">
      <c r="A1793" s="2">
        <v>37567</v>
      </c>
      <c r="B1793">
        <v>51.15</v>
      </c>
      <c r="C1793">
        <v>179.35</v>
      </c>
      <c r="D1793" t="s">
        <v>16</v>
      </c>
      <c r="E1793" t="s">
        <v>366</v>
      </c>
      <c r="F1793">
        <f t="shared" si="54"/>
        <v>2002</v>
      </c>
      <c r="G1793">
        <f t="shared" si="55"/>
        <v>11</v>
      </c>
      <c r="H1793" t="str">
        <f>IF(ISNUMBER(FIND(",", E1793)), TRIM(MID(E1793, FIND(",", E1793) + 1, LEN(E1793))), E1793)</f>
        <v>Aleutian Islands, Alaska</v>
      </c>
    </row>
    <row r="1794" spans="1:8" x14ac:dyDescent="0.25">
      <c r="A1794" s="2">
        <v>37563</v>
      </c>
      <c r="B1794">
        <v>63.54</v>
      </c>
      <c r="C1794">
        <v>-147.72999999999999</v>
      </c>
      <c r="D1794" t="s">
        <v>16</v>
      </c>
      <c r="E1794" t="s">
        <v>487</v>
      </c>
      <c r="F1794">
        <f t="shared" ref="F1794:F1857" si="56">YEAR(A1794)</f>
        <v>2002</v>
      </c>
      <c r="G1794">
        <f t="shared" si="55"/>
        <v>11</v>
      </c>
      <c r="H1794" t="str">
        <f>IF(ISNUMBER(FIND(",", E1794)), TRIM(MID(E1794, FIND(",", E1794) + 1, LEN(E1794))), E1794)</f>
        <v>Central Alaska</v>
      </c>
    </row>
    <row r="1795" spans="1:8" x14ac:dyDescent="0.25">
      <c r="A1795" s="2">
        <v>37563</v>
      </c>
      <c r="B1795">
        <v>38.950000000000003</v>
      </c>
      <c r="C1795">
        <v>141.94</v>
      </c>
      <c r="D1795" t="s">
        <v>16</v>
      </c>
      <c r="E1795" t="s">
        <v>227</v>
      </c>
      <c r="F1795">
        <f t="shared" si="56"/>
        <v>2002</v>
      </c>
      <c r="G1795">
        <f t="shared" ref="G1795:G1858" si="57">MONTH(A1795)</f>
        <v>11</v>
      </c>
      <c r="H1795" t="str">
        <f>IF(ISNUMBER(FIND(",", E1795)), TRIM(MID(E1795, FIND(",", E1795) + 1, LEN(E1795))), E1795)</f>
        <v>Japan</v>
      </c>
    </row>
    <row r="1796" spans="1:8" x14ac:dyDescent="0.25">
      <c r="A1796" s="2">
        <v>37562</v>
      </c>
      <c r="B1796">
        <v>2.94</v>
      </c>
      <c r="C1796">
        <v>96.38</v>
      </c>
      <c r="D1796" t="s">
        <v>16</v>
      </c>
      <c r="E1796" t="s">
        <v>222</v>
      </c>
      <c r="F1796">
        <f t="shared" si="56"/>
        <v>2002</v>
      </c>
      <c r="G1796">
        <f t="shared" si="57"/>
        <v>11</v>
      </c>
      <c r="H1796" t="str">
        <f>IF(ISNUMBER(FIND(",", E1796)), TRIM(MID(E1796, FIND(",", E1796) + 1, LEN(E1796))), E1796)</f>
        <v>Indonesia</v>
      </c>
    </row>
    <row r="1797" spans="1:8" x14ac:dyDescent="0.25">
      <c r="A1797" s="2">
        <v>37562</v>
      </c>
      <c r="B1797">
        <v>2.82</v>
      </c>
      <c r="C1797">
        <v>96.09</v>
      </c>
      <c r="D1797" t="s">
        <v>16</v>
      </c>
      <c r="E1797" t="s">
        <v>222</v>
      </c>
      <c r="F1797">
        <f t="shared" si="56"/>
        <v>2002</v>
      </c>
      <c r="G1797">
        <f t="shared" si="57"/>
        <v>11</v>
      </c>
      <c r="H1797" t="str">
        <f>IF(ISNUMBER(FIND(",", E1797)), TRIM(MID(E1797, FIND(",", E1797) + 1, LEN(E1797))), E1797)</f>
        <v>Indonesia</v>
      </c>
    </row>
    <row r="1798" spans="1:8" x14ac:dyDescent="0.25">
      <c r="A1798" s="2">
        <v>37560</v>
      </c>
      <c r="B1798">
        <v>-3.46</v>
      </c>
      <c r="C1798">
        <v>148.75</v>
      </c>
      <c r="D1798" t="s">
        <v>16</v>
      </c>
      <c r="E1798" t="s">
        <v>380</v>
      </c>
      <c r="F1798">
        <f t="shared" si="56"/>
        <v>2002</v>
      </c>
      <c r="G1798">
        <f t="shared" si="57"/>
        <v>10</v>
      </c>
      <c r="H1798" t="str">
        <f>IF(ISNUMBER(FIND(",", E1798)), TRIM(MID(E1798, FIND(",", E1798) + 1, LEN(E1798))), E1798)</f>
        <v>Bismarck Sea</v>
      </c>
    </row>
    <row r="1799" spans="1:8" x14ac:dyDescent="0.25">
      <c r="A1799" s="2">
        <v>37553</v>
      </c>
      <c r="B1799">
        <v>-1.96</v>
      </c>
      <c r="C1799">
        <v>29.01</v>
      </c>
      <c r="D1799" t="s">
        <v>16</v>
      </c>
      <c r="E1799" t="s">
        <v>488</v>
      </c>
      <c r="F1799">
        <f t="shared" si="56"/>
        <v>2002</v>
      </c>
      <c r="G1799">
        <f t="shared" si="57"/>
        <v>10</v>
      </c>
      <c r="H1799" t="str">
        <f>IF(ISNUMBER(FIND(",", E1799)), TRIM(MID(E1799, FIND(",", E1799) + 1, LEN(E1799))), E1799)</f>
        <v>Congo-Rwanda-Uganda</v>
      </c>
    </row>
    <row r="1800" spans="1:8" x14ac:dyDescent="0.25">
      <c r="A1800" s="2">
        <v>37552</v>
      </c>
      <c r="B1800">
        <v>63.53</v>
      </c>
      <c r="C1800">
        <v>-148.15</v>
      </c>
      <c r="D1800" t="s">
        <v>16</v>
      </c>
      <c r="E1800" t="s">
        <v>487</v>
      </c>
      <c r="F1800">
        <f t="shared" si="56"/>
        <v>2002</v>
      </c>
      <c r="G1800">
        <f t="shared" si="57"/>
        <v>10</v>
      </c>
      <c r="H1800" t="str">
        <f>IF(ISNUMBER(FIND(",", E1800)), TRIM(MID(E1800, FIND(",", E1800) + 1, LEN(E1800))), E1800)</f>
        <v>Central Alaska</v>
      </c>
    </row>
    <row r="1801" spans="1:8" x14ac:dyDescent="0.25">
      <c r="A1801" s="2">
        <v>37551</v>
      </c>
      <c r="B1801">
        <v>-20.64</v>
      </c>
      <c r="C1801">
        <v>-178.31</v>
      </c>
      <c r="D1801" t="s">
        <v>16</v>
      </c>
      <c r="E1801" t="s">
        <v>53</v>
      </c>
      <c r="F1801">
        <f t="shared" si="56"/>
        <v>2002</v>
      </c>
      <c r="G1801">
        <f t="shared" si="57"/>
        <v>10</v>
      </c>
      <c r="H1801" t="str">
        <f>IF(ISNUMBER(FIND(",", E1801)), TRIM(MID(E1801, FIND(",", E1801) + 1, LEN(E1801))), E1801)</f>
        <v>Fiji region</v>
      </c>
    </row>
    <row r="1802" spans="1:8" x14ac:dyDescent="0.25">
      <c r="A1802" s="2">
        <v>37548</v>
      </c>
      <c r="B1802">
        <v>44.26</v>
      </c>
      <c r="C1802">
        <v>149.87</v>
      </c>
      <c r="D1802" t="s">
        <v>16</v>
      </c>
      <c r="E1802" t="s">
        <v>191</v>
      </c>
      <c r="F1802">
        <f t="shared" si="56"/>
        <v>2002</v>
      </c>
      <c r="G1802">
        <f t="shared" si="57"/>
        <v>10</v>
      </c>
      <c r="H1802" t="str">
        <f>IF(ISNUMBER(FIND(",", E1802)), TRIM(MID(E1802, FIND(",", E1802) + 1, LEN(E1802))), E1802)</f>
        <v>Kuril Islands</v>
      </c>
    </row>
    <row r="1803" spans="1:8" x14ac:dyDescent="0.25">
      <c r="A1803" s="2">
        <v>37548</v>
      </c>
      <c r="B1803">
        <v>-3.67</v>
      </c>
      <c r="C1803">
        <v>140.30000000000001</v>
      </c>
      <c r="D1803" t="s">
        <v>16</v>
      </c>
      <c r="E1803" t="s">
        <v>210</v>
      </c>
      <c r="F1803">
        <f t="shared" si="56"/>
        <v>2002</v>
      </c>
      <c r="G1803">
        <f t="shared" si="57"/>
        <v>10</v>
      </c>
      <c r="H1803" t="str">
        <f>IF(ISNUMBER(FIND(",", E1803)), TRIM(MID(E1803, FIND(",", E1803) + 1, LEN(E1803))), E1803)</f>
        <v>Indonesia</v>
      </c>
    </row>
    <row r="1804" spans="1:8" x14ac:dyDescent="0.25">
      <c r="A1804" s="2">
        <v>37547</v>
      </c>
      <c r="B1804">
        <v>-57.03</v>
      </c>
      <c r="C1804">
        <v>-142.91</v>
      </c>
      <c r="D1804" t="s">
        <v>16</v>
      </c>
      <c r="E1804" t="s">
        <v>179</v>
      </c>
      <c r="F1804">
        <f t="shared" si="56"/>
        <v>2002</v>
      </c>
      <c r="G1804">
        <f t="shared" si="57"/>
        <v>10</v>
      </c>
      <c r="H1804" t="str">
        <f>IF(ISNUMBER(FIND(",", E1804)), TRIM(MID(E1804, FIND(",", E1804) + 1, LEN(E1804))), E1804)</f>
        <v>Pacific-Antarctic Ridge</v>
      </c>
    </row>
    <row r="1805" spans="1:8" x14ac:dyDescent="0.25">
      <c r="A1805" s="2">
        <v>37546</v>
      </c>
      <c r="B1805">
        <v>-3.6</v>
      </c>
      <c r="C1805">
        <v>140.19999999999999</v>
      </c>
      <c r="D1805" t="s">
        <v>16</v>
      </c>
      <c r="E1805" t="s">
        <v>210</v>
      </c>
      <c r="F1805">
        <f t="shared" si="56"/>
        <v>2002</v>
      </c>
      <c r="G1805">
        <f t="shared" si="57"/>
        <v>10</v>
      </c>
      <c r="H1805" t="str">
        <f>IF(ISNUMBER(FIND(",", E1805)), TRIM(MID(E1805, FIND(",", E1805) + 1, LEN(E1805))), E1805)</f>
        <v>Indonesia</v>
      </c>
    </row>
    <row r="1806" spans="1:8" x14ac:dyDescent="0.25">
      <c r="A1806" s="2">
        <v>37546</v>
      </c>
      <c r="B1806">
        <v>-19.79</v>
      </c>
      <c r="C1806">
        <v>-178.31</v>
      </c>
      <c r="D1806" t="s">
        <v>16</v>
      </c>
      <c r="E1806" t="s">
        <v>53</v>
      </c>
      <c r="F1806">
        <f t="shared" si="56"/>
        <v>2002</v>
      </c>
      <c r="G1806">
        <f t="shared" si="57"/>
        <v>10</v>
      </c>
      <c r="H1806" t="str">
        <f>IF(ISNUMBER(FIND(",", E1806)), TRIM(MID(E1806, FIND(",", E1806) + 1, LEN(E1806))), E1806)</f>
        <v>Fiji region</v>
      </c>
    </row>
    <row r="1807" spans="1:8" x14ac:dyDescent="0.25">
      <c r="A1807" s="2">
        <v>37545</v>
      </c>
      <c r="B1807">
        <v>51.91</v>
      </c>
      <c r="C1807">
        <v>157.22</v>
      </c>
      <c r="D1807" t="s">
        <v>16</v>
      </c>
      <c r="E1807" t="s">
        <v>225</v>
      </c>
      <c r="F1807">
        <f t="shared" si="56"/>
        <v>2002</v>
      </c>
      <c r="G1807">
        <f t="shared" si="57"/>
        <v>10</v>
      </c>
      <c r="H1807" t="str">
        <f>IF(ISNUMBER(FIND(",", E1807)), TRIM(MID(E1807, FIND(",", E1807) + 1, LEN(E1807))), E1807)</f>
        <v>Russia</v>
      </c>
    </row>
    <row r="1808" spans="1:8" x14ac:dyDescent="0.25">
      <c r="A1808" s="2">
        <v>37543</v>
      </c>
      <c r="B1808">
        <v>41.23</v>
      </c>
      <c r="C1808">
        <v>142.19999999999999</v>
      </c>
      <c r="D1808" t="s">
        <v>16</v>
      </c>
      <c r="E1808" t="s">
        <v>265</v>
      </c>
      <c r="F1808">
        <f t="shared" si="56"/>
        <v>2002</v>
      </c>
      <c r="G1808">
        <f t="shared" si="57"/>
        <v>10</v>
      </c>
      <c r="H1808" t="str">
        <f>IF(ISNUMBER(FIND(",", E1808)), TRIM(MID(E1808, FIND(",", E1808) + 1, LEN(E1808))), E1808)</f>
        <v>Japan region</v>
      </c>
    </row>
    <row r="1809" spans="1:8" x14ac:dyDescent="0.25">
      <c r="A1809" s="2">
        <v>37542</v>
      </c>
      <c r="B1809">
        <v>-14.57</v>
      </c>
      <c r="C1809">
        <v>-175.28</v>
      </c>
      <c r="D1809" t="s">
        <v>16</v>
      </c>
      <c r="E1809" t="s">
        <v>352</v>
      </c>
      <c r="F1809">
        <f t="shared" si="56"/>
        <v>2002</v>
      </c>
      <c r="G1809">
        <f t="shared" si="57"/>
        <v>10</v>
      </c>
      <c r="H1809" t="str">
        <f>IF(ISNUMBER(FIND(",", E1809)), TRIM(MID(E1809, FIND(",", E1809) + 1, LEN(E1809))), E1809)</f>
        <v>Samoa Islands region</v>
      </c>
    </row>
    <row r="1810" spans="1:8" x14ac:dyDescent="0.25">
      <c r="A1810" s="2">
        <v>37541</v>
      </c>
      <c r="B1810">
        <v>15.07</v>
      </c>
      <c r="C1810">
        <v>118.42</v>
      </c>
      <c r="D1810" t="s">
        <v>16</v>
      </c>
      <c r="E1810" t="s">
        <v>213</v>
      </c>
      <c r="F1810">
        <f t="shared" si="56"/>
        <v>2002</v>
      </c>
      <c r="G1810">
        <f t="shared" si="57"/>
        <v>10</v>
      </c>
      <c r="H1810" t="str">
        <f>IF(ISNUMBER(FIND(",", E1810)), TRIM(MID(E1810, FIND(",", E1810) + 1, LEN(E1810))), E1810)</f>
        <v>Philippine Islands region</v>
      </c>
    </row>
    <row r="1811" spans="1:8" x14ac:dyDescent="0.25">
      <c r="A1811" s="2">
        <v>37541</v>
      </c>
      <c r="B1811">
        <v>-8.36</v>
      </c>
      <c r="C1811">
        <v>-71.63</v>
      </c>
      <c r="D1811" t="s">
        <v>16</v>
      </c>
      <c r="E1811" t="s">
        <v>326</v>
      </c>
      <c r="F1811">
        <f t="shared" si="56"/>
        <v>2002</v>
      </c>
      <c r="G1811">
        <f t="shared" si="57"/>
        <v>10</v>
      </c>
      <c r="H1811" t="str">
        <f>IF(ISNUMBER(FIND(",", E1811)), TRIM(MID(E1811, FIND(",", E1811) + 1, LEN(E1811))), E1811)</f>
        <v>Brazil</v>
      </c>
    </row>
    <row r="1812" spans="1:8" x14ac:dyDescent="0.25">
      <c r="A1812" s="2">
        <v>37539</v>
      </c>
      <c r="B1812">
        <v>-1.401</v>
      </c>
      <c r="C1812">
        <v>133.934</v>
      </c>
      <c r="D1812" t="s">
        <v>13</v>
      </c>
      <c r="E1812" t="s">
        <v>210</v>
      </c>
      <c r="F1812">
        <f t="shared" si="56"/>
        <v>2002</v>
      </c>
      <c r="G1812">
        <f t="shared" si="57"/>
        <v>10</v>
      </c>
      <c r="H1812" t="str">
        <f>IF(ISNUMBER(FIND(",", E1812)), TRIM(MID(E1812, FIND(",", E1812) + 1, LEN(E1812))), E1812)</f>
        <v>Indonesia</v>
      </c>
    </row>
    <row r="1813" spans="1:8" x14ac:dyDescent="0.25">
      <c r="A1813" s="2">
        <v>37539</v>
      </c>
      <c r="B1813">
        <v>-1.5109999999999999</v>
      </c>
      <c r="C1813">
        <v>133.97300000000001</v>
      </c>
      <c r="D1813" t="s">
        <v>14</v>
      </c>
      <c r="E1813" t="s">
        <v>210</v>
      </c>
      <c r="F1813">
        <f t="shared" si="56"/>
        <v>2002</v>
      </c>
      <c r="G1813">
        <f t="shared" si="57"/>
        <v>10</v>
      </c>
      <c r="H1813" t="str">
        <f>IF(ISNUMBER(FIND(",", E1813)), TRIM(MID(E1813, FIND(",", E1813) + 1, LEN(E1813))), E1813)</f>
        <v>Indonesia</v>
      </c>
    </row>
    <row r="1814" spans="1:8" x14ac:dyDescent="0.25">
      <c r="A1814" s="2">
        <v>37539</v>
      </c>
      <c r="B1814">
        <v>-1.7</v>
      </c>
      <c r="C1814">
        <v>134.22999999999999</v>
      </c>
      <c r="D1814" t="s">
        <v>16</v>
      </c>
      <c r="E1814" t="s">
        <v>241</v>
      </c>
      <c r="F1814">
        <f t="shared" si="56"/>
        <v>2002</v>
      </c>
      <c r="G1814">
        <f t="shared" si="57"/>
        <v>10</v>
      </c>
      <c r="H1814" t="str">
        <f>IF(ISNUMBER(FIND(",", E1814)), TRIM(MID(E1814, FIND(",", E1814) + 1, LEN(E1814))), E1814)</f>
        <v>Indonesia</v>
      </c>
    </row>
    <row r="1815" spans="1:8" x14ac:dyDescent="0.25">
      <c r="A1815" s="2">
        <v>37535</v>
      </c>
      <c r="B1815">
        <v>-8.31</v>
      </c>
      <c r="C1815">
        <v>118.19</v>
      </c>
      <c r="D1815" t="s">
        <v>16</v>
      </c>
      <c r="E1815" t="s">
        <v>349</v>
      </c>
      <c r="F1815">
        <f t="shared" si="56"/>
        <v>2002</v>
      </c>
      <c r="G1815">
        <f t="shared" si="57"/>
        <v>10</v>
      </c>
      <c r="H1815" t="str">
        <f>IF(ISNUMBER(FIND(",", E1815)), TRIM(MID(E1815, FIND(",", E1815) + 1, LEN(E1815))), E1815)</f>
        <v>Indonesia</v>
      </c>
    </row>
    <row r="1816" spans="1:8" x14ac:dyDescent="0.25">
      <c r="A1816" s="2">
        <v>37533</v>
      </c>
      <c r="B1816">
        <v>-20.96</v>
      </c>
      <c r="C1816">
        <v>-178.86</v>
      </c>
      <c r="D1816" t="s">
        <v>16</v>
      </c>
      <c r="E1816" t="s">
        <v>53</v>
      </c>
      <c r="F1816">
        <f t="shared" si="56"/>
        <v>2002</v>
      </c>
      <c r="G1816">
        <f t="shared" si="57"/>
        <v>10</v>
      </c>
      <c r="H1816" t="str">
        <f>IF(ISNUMBER(FIND(",", E1816)), TRIM(MID(E1816, FIND(",", E1816) + 1, LEN(E1816))), E1816)</f>
        <v>Fiji region</v>
      </c>
    </row>
    <row r="1817" spans="1:8" x14ac:dyDescent="0.25">
      <c r="A1817" s="2">
        <v>37532</v>
      </c>
      <c r="B1817">
        <v>-7.53</v>
      </c>
      <c r="C1817">
        <v>115.62</v>
      </c>
      <c r="D1817" t="s">
        <v>16</v>
      </c>
      <c r="E1817" t="s">
        <v>299</v>
      </c>
      <c r="F1817">
        <f t="shared" si="56"/>
        <v>2002</v>
      </c>
      <c r="G1817">
        <f t="shared" si="57"/>
        <v>10</v>
      </c>
      <c r="H1817" t="str">
        <f>IF(ISNUMBER(FIND(",", E1817)), TRIM(MID(E1817, FIND(",", E1817) + 1, LEN(E1817))), E1817)</f>
        <v>Bali Sea</v>
      </c>
    </row>
    <row r="1818" spans="1:8" x14ac:dyDescent="0.25">
      <c r="A1818" s="2">
        <v>37532</v>
      </c>
      <c r="B1818">
        <v>23.28</v>
      </c>
      <c r="C1818">
        <v>-108.57</v>
      </c>
      <c r="D1818" t="s">
        <v>16</v>
      </c>
      <c r="E1818" t="s">
        <v>282</v>
      </c>
      <c r="F1818">
        <f t="shared" si="56"/>
        <v>2002</v>
      </c>
      <c r="G1818">
        <f t="shared" si="57"/>
        <v>10</v>
      </c>
      <c r="H1818" t="str">
        <f>IF(ISNUMBER(FIND(",", E1818)), TRIM(MID(E1818, FIND(",", E1818) + 1, LEN(E1818))), E1818)</f>
        <v>Gulf of California</v>
      </c>
    </row>
    <row r="1819" spans="1:8" x14ac:dyDescent="0.25">
      <c r="A1819" s="2">
        <v>37523</v>
      </c>
      <c r="B1819">
        <v>-10.67</v>
      </c>
      <c r="C1819">
        <v>161.36000000000001</v>
      </c>
      <c r="D1819" t="s">
        <v>16</v>
      </c>
      <c r="E1819" t="s">
        <v>221</v>
      </c>
      <c r="F1819">
        <f t="shared" si="56"/>
        <v>2002</v>
      </c>
      <c r="G1819">
        <f t="shared" si="57"/>
        <v>9</v>
      </c>
      <c r="H1819" t="str">
        <f>IF(ISNUMBER(FIND(",", E1819)), TRIM(MID(E1819, FIND(",", E1819) + 1, LEN(E1819))), E1819)</f>
        <v>Solomon Islands</v>
      </c>
    </row>
    <row r="1820" spans="1:8" x14ac:dyDescent="0.25">
      <c r="A1820" s="2">
        <v>37523</v>
      </c>
      <c r="B1820">
        <v>-10.65</v>
      </c>
      <c r="C1820">
        <v>161.28</v>
      </c>
      <c r="D1820" t="s">
        <v>16</v>
      </c>
      <c r="E1820" t="s">
        <v>221</v>
      </c>
      <c r="F1820">
        <f t="shared" si="56"/>
        <v>2002</v>
      </c>
      <c r="G1820">
        <f t="shared" si="57"/>
        <v>9</v>
      </c>
      <c r="H1820" t="str">
        <f>IF(ISNUMBER(FIND(",", E1820)), TRIM(MID(E1820, FIND(",", E1820) + 1, LEN(E1820))), E1820)</f>
        <v>Solomon Islands</v>
      </c>
    </row>
    <row r="1821" spans="1:8" x14ac:dyDescent="0.25">
      <c r="A1821" s="2">
        <v>37523</v>
      </c>
      <c r="B1821">
        <v>-10.54</v>
      </c>
      <c r="C1821">
        <v>161.38999999999999</v>
      </c>
      <c r="D1821" t="s">
        <v>16</v>
      </c>
      <c r="E1821" t="s">
        <v>221</v>
      </c>
      <c r="F1821">
        <f t="shared" si="56"/>
        <v>2002</v>
      </c>
      <c r="G1821">
        <f t="shared" si="57"/>
        <v>9</v>
      </c>
      <c r="H1821" t="str">
        <f>IF(ISNUMBER(FIND(",", E1821)), TRIM(MID(E1821, FIND(",", E1821) + 1, LEN(E1821))), E1821)</f>
        <v>Solomon Islands</v>
      </c>
    </row>
    <row r="1822" spans="1:8" x14ac:dyDescent="0.25">
      <c r="A1822" s="2">
        <v>37523</v>
      </c>
      <c r="B1822">
        <v>-31.51</v>
      </c>
      <c r="C1822">
        <v>-69.16</v>
      </c>
      <c r="D1822" t="s">
        <v>16</v>
      </c>
      <c r="E1822" t="s">
        <v>339</v>
      </c>
      <c r="F1822">
        <f t="shared" si="56"/>
        <v>2002</v>
      </c>
      <c r="G1822">
        <f t="shared" si="57"/>
        <v>9</v>
      </c>
      <c r="H1822" t="str">
        <f>IF(ISNUMBER(FIND(",", E1822)), TRIM(MID(E1822, FIND(",", E1822) + 1, LEN(E1822))), E1822)</f>
        <v>Argentina</v>
      </c>
    </row>
    <row r="1823" spans="1:8" x14ac:dyDescent="0.25">
      <c r="A1823" s="2">
        <v>37519</v>
      </c>
      <c r="B1823">
        <v>-1.67</v>
      </c>
      <c r="C1823">
        <v>134.19999999999999</v>
      </c>
      <c r="D1823" t="s">
        <v>16</v>
      </c>
      <c r="E1823" t="s">
        <v>241</v>
      </c>
      <c r="F1823">
        <f t="shared" si="56"/>
        <v>2002</v>
      </c>
      <c r="G1823">
        <f t="shared" si="57"/>
        <v>9</v>
      </c>
      <c r="H1823" t="str">
        <f>IF(ISNUMBER(FIND(",", E1823)), TRIM(MID(E1823, FIND(",", E1823) + 1, LEN(E1823))), E1823)</f>
        <v>Indonesia</v>
      </c>
    </row>
    <row r="1824" spans="1:8" x14ac:dyDescent="0.25">
      <c r="A1824" s="2">
        <v>37519</v>
      </c>
      <c r="B1824">
        <v>-1.74</v>
      </c>
      <c r="C1824">
        <v>134.16999999999999</v>
      </c>
      <c r="D1824" t="s">
        <v>16</v>
      </c>
      <c r="E1824" t="s">
        <v>241</v>
      </c>
      <c r="F1824">
        <f t="shared" si="56"/>
        <v>2002</v>
      </c>
      <c r="G1824">
        <f t="shared" si="57"/>
        <v>9</v>
      </c>
      <c r="H1824" t="str">
        <f>IF(ISNUMBER(FIND(",", E1824)), TRIM(MID(E1824, FIND(",", E1824) + 1, LEN(E1824))), E1824)</f>
        <v>Indonesia</v>
      </c>
    </row>
    <row r="1825" spans="1:8" x14ac:dyDescent="0.25">
      <c r="A1825" s="2">
        <v>37516</v>
      </c>
      <c r="B1825">
        <v>-3.28</v>
      </c>
      <c r="C1825">
        <v>142.78</v>
      </c>
      <c r="D1825" t="s">
        <v>16</v>
      </c>
      <c r="E1825" t="s">
        <v>216</v>
      </c>
      <c r="F1825">
        <f t="shared" si="56"/>
        <v>2002</v>
      </c>
      <c r="G1825">
        <f t="shared" si="57"/>
        <v>9</v>
      </c>
      <c r="H1825" t="str">
        <f>IF(ISNUMBER(FIND(",", E1825)), TRIM(MID(E1825, FIND(",", E1825) + 1, LEN(E1825))), E1825)</f>
        <v>Papua New Guinea</v>
      </c>
    </row>
    <row r="1826" spans="1:8" x14ac:dyDescent="0.25">
      <c r="A1826" s="2">
        <v>37515</v>
      </c>
      <c r="B1826">
        <v>-3.26</v>
      </c>
      <c r="C1826">
        <v>142.74</v>
      </c>
      <c r="D1826" t="s">
        <v>16</v>
      </c>
      <c r="E1826" t="s">
        <v>216</v>
      </c>
      <c r="F1826">
        <f t="shared" si="56"/>
        <v>2002</v>
      </c>
      <c r="G1826">
        <f t="shared" si="57"/>
        <v>9</v>
      </c>
      <c r="H1826" t="str">
        <f>IF(ISNUMBER(FIND(",", E1826)), TRIM(MID(E1826, FIND(",", E1826) + 1, LEN(E1826))), E1826)</f>
        <v>Papua New Guinea</v>
      </c>
    </row>
    <row r="1827" spans="1:8" x14ac:dyDescent="0.25">
      <c r="A1827" s="2">
        <v>37514</v>
      </c>
      <c r="B1827">
        <v>44.68</v>
      </c>
      <c r="C1827">
        <v>130.05000000000001</v>
      </c>
      <c r="D1827" t="s">
        <v>16</v>
      </c>
      <c r="E1827" t="s">
        <v>489</v>
      </c>
      <c r="F1827">
        <f t="shared" si="56"/>
        <v>2002</v>
      </c>
      <c r="G1827">
        <f t="shared" si="57"/>
        <v>9</v>
      </c>
      <c r="H1827" t="str">
        <f>IF(ISNUMBER(FIND(",", E1827)), TRIM(MID(E1827, FIND(",", E1827) + 1, LEN(E1827))), E1827)</f>
        <v>China</v>
      </c>
    </row>
    <row r="1828" spans="1:8" x14ac:dyDescent="0.25">
      <c r="A1828" s="2">
        <v>37512</v>
      </c>
      <c r="B1828">
        <v>13.02</v>
      </c>
      <c r="C1828">
        <v>93.09</v>
      </c>
      <c r="D1828" t="s">
        <v>16</v>
      </c>
      <c r="E1828" t="s">
        <v>323</v>
      </c>
      <c r="F1828">
        <f t="shared" si="56"/>
        <v>2002</v>
      </c>
      <c r="G1828">
        <f t="shared" si="57"/>
        <v>9</v>
      </c>
      <c r="H1828" t="str">
        <f>IF(ISNUMBER(FIND(",", E1828)), TRIM(MID(E1828, FIND(",", E1828) + 1, LEN(E1828))), E1828)</f>
        <v>India region</v>
      </c>
    </row>
    <row r="1829" spans="1:8" x14ac:dyDescent="0.25">
      <c r="A1829" s="2">
        <v>37507</v>
      </c>
      <c r="B1829">
        <v>-3.26</v>
      </c>
      <c r="C1829">
        <v>142.94</v>
      </c>
      <c r="D1829" t="s">
        <v>16</v>
      </c>
      <c r="E1829" t="s">
        <v>216</v>
      </c>
      <c r="F1829">
        <f t="shared" si="56"/>
        <v>2002</v>
      </c>
      <c r="G1829">
        <f t="shared" si="57"/>
        <v>9</v>
      </c>
      <c r="H1829" t="str">
        <f>IF(ISNUMBER(FIND(",", E1829)), TRIM(MID(E1829, FIND(",", E1829) + 1, LEN(E1829))), E1829)</f>
        <v>Papua New Guinea</v>
      </c>
    </row>
    <row r="1830" spans="1:8" x14ac:dyDescent="0.25">
      <c r="A1830" s="2">
        <v>37500</v>
      </c>
      <c r="B1830">
        <v>14.3</v>
      </c>
      <c r="C1830">
        <v>51.91</v>
      </c>
      <c r="D1830" t="s">
        <v>16</v>
      </c>
      <c r="E1830" t="s">
        <v>434</v>
      </c>
      <c r="F1830">
        <f t="shared" si="56"/>
        <v>2002</v>
      </c>
      <c r="G1830">
        <f t="shared" si="57"/>
        <v>9</v>
      </c>
      <c r="H1830" t="str">
        <f>IF(ISNUMBER(FIND(",", E1830)), TRIM(MID(E1830, FIND(",", E1830) + 1, LEN(E1830))), E1830)</f>
        <v>Gulf of Aden</v>
      </c>
    </row>
    <row r="1831" spans="1:8" x14ac:dyDescent="0.25">
      <c r="A1831" s="2">
        <v>37492</v>
      </c>
      <c r="B1831">
        <v>43.16</v>
      </c>
      <c r="C1831">
        <v>146.08000000000001</v>
      </c>
      <c r="D1831" t="s">
        <v>16</v>
      </c>
      <c r="E1831" t="s">
        <v>191</v>
      </c>
      <c r="F1831">
        <f t="shared" si="56"/>
        <v>2002</v>
      </c>
      <c r="G1831">
        <f t="shared" si="57"/>
        <v>8</v>
      </c>
      <c r="H1831" t="str">
        <f>IF(ISNUMBER(FIND(",", E1831)), TRIM(MID(E1831, FIND(",", E1831) + 1, LEN(E1831))), E1831)</f>
        <v>Kuril Islands</v>
      </c>
    </row>
    <row r="1832" spans="1:8" x14ac:dyDescent="0.25">
      <c r="A1832" s="2">
        <v>37488</v>
      </c>
      <c r="B1832">
        <v>30.99</v>
      </c>
      <c r="C1832">
        <v>142</v>
      </c>
      <c r="D1832" t="s">
        <v>16</v>
      </c>
      <c r="E1832" t="s">
        <v>88</v>
      </c>
      <c r="F1832">
        <f t="shared" si="56"/>
        <v>2002</v>
      </c>
      <c r="G1832">
        <f t="shared" si="57"/>
        <v>8</v>
      </c>
      <c r="H1832" t="str">
        <f>IF(ISNUMBER(FIND(",", E1832)), TRIM(MID(E1832, FIND(",", E1832) + 1, LEN(E1832))), E1832)</f>
        <v>Japan region</v>
      </c>
    </row>
    <row r="1833" spans="1:8" x14ac:dyDescent="0.25">
      <c r="A1833" s="2">
        <v>37487</v>
      </c>
      <c r="B1833">
        <v>-23.899000000000001</v>
      </c>
      <c r="C1833">
        <v>178.375</v>
      </c>
      <c r="D1833" t="s">
        <v>13</v>
      </c>
      <c r="E1833" t="s">
        <v>256</v>
      </c>
      <c r="F1833">
        <f t="shared" si="56"/>
        <v>2002</v>
      </c>
      <c r="G1833">
        <f t="shared" si="57"/>
        <v>8</v>
      </c>
      <c r="H1833" t="str">
        <f>IF(ISNUMBER(FIND(",", E1833)), TRIM(MID(E1833, FIND(",", E1833) + 1, LEN(E1833))), E1833)</f>
        <v>south of the Fiji Islands</v>
      </c>
    </row>
    <row r="1834" spans="1:8" x14ac:dyDescent="0.25">
      <c r="A1834" s="2">
        <v>37487</v>
      </c>
      <c r="B1834">
        <v>-23.92</v>
      </c>
      <c r="C1834">
        <v>178.53</v>
      </c>
      <c r="D1834" t="s">
        <v>16</v>
      </c>
      <c r="E1834" t="s">
        <v>256</v>
      </c>
      <c r="F1834">
        <f t="shared" si="56"/>
        <v>2002</v>
      </c>
      <c r="G1834">
        <f t="shared" si="57"/>
        <v>8</v>
      </c>
      <c r="H1834" t="str">
        <f>IF(ISNUMBER(FIND(",", E1834)), TRIM(MID(E1834, FIND(",", E1834) + 1, LEN(E1834))), E1834)</f>
        <v>south of the Fiji Islands</v>
      </c>
    </row>
    <row r="1835" spans="1:8" x14ac:dyDescent="0.25">
      <c r="A1835" s="2">
        <v>37487</v>
      </c>
      <c r="B1835">
        <v>-21.72</v>
      </c>
      <c r="C1835">
        <v>-179.36</v>
      </c>
      <c r="D1835" t="s">
        <v>16</v>
      </c>
      <c r="E1835" t="s">
        <v>53</v>
      </c>
      <c r="F1835">
        <f t="shared" si="56"/>
        <v>2002</v>
      </c>
      <c r="G1835">
        <f t="shared" si="57"/>
        <v>8</v>
      </c>
      <c r="H1835" t="str">
        <f>IF(ISNUMBER(FIND(",", E1835)), TRIM(MID(E1835, FIND(",", E1835) + 1, LEN(E1835))), E1835)</f>
        <v>Fiji region</v>
      </c>
    </row>
    <row r="1836" spans="1:8" x14ac:dyDescent="0.25">
      <c r="A1836" s="2">
        <v>37483</v>
      </c>
      <c r="B1836">
        <v>-1.26</v>
      </c>
      <c r="C1836">
        <v>121.29</v>
      </c>
      <c r="D1836" t="s">
        <v>16</v>
      </c>
      <c r="E1836" t="s">
        <v>182</v>
      </c>
      <c r="F1836">
        <f t="shared" si="56"/>
        <v>2002</v>
      </c>
      <c r="G1836">
        <f t="shared" si="57"/>
        <v>8</v>
      </c>
      <c r="H1836" t="str">
        <f>IF(ISNUMBER(FIND(",", E1836)), TRIM(MID(E1836, FIND(",", E1836) + 1, LEN(E1836))), E1836)</f>
        <v>Indonesia</v>
      </c>
    </row>
    <row r="1837" spans="1:8" x14ac:dyDescent="0.25">
      <c r="A1837" s="2">
        <v>37482</v>
      </c>
      <c r="B1837">
        <v>14.08</v>
      </c>
      <c r="C1837">
        <v>146.32</v>
      </c>
      <c r="D1837" t="s">
        <v>16</v>
      </c>
      <c r="E1837" t="s">
        <v>456</v>
      </c>
      <c r="F1837">
        <f t="shared" si="56"/>
        <v>2002</v>
      </c>
      <c r="G1837">
        <f t="shared" si="57"/>
        <v>8</v>
      </c>
      <c r="H1837" t="str">
        <f>IF(ISNUMBER(FIND(",", E1837)), TRIM(MID(E1837, FIND(",", E1837) + 1, LEN(E1837))), E1837)</f>
        <v>Northern Mariana Islands</v>
      </c>
    </row>
    <row r="1838" spans="1:8" x14ac:dyDescent="0.25">
      <c r="A1838" s="2">
        <v>37482</v>
      </c>
      <c r="B1838">
        <v>7.78</v>
      </c>
      <c r="C1838">
        <v>136.99</v>
      </c>
      <c r="D1838" t="s">
        <v>16</v>
      </c>
      <c r="E1838" t="s">
        <v>490</v>
      </c>
      <c r="F1838">
        <f t="shared" si="56"/>
        <v>2002</v>
      </c>
      <c r="G1838">
        <f t="shared" si="57"/>
        <v>8</v>
      </c>
      <c r="H1838" t="str">
        <f>IF(ISNUMBER(FIND(",", E1838)), TRIM(MID(E1838, FIND(",", E1838) + 1, LEN(E1838))), E1838)</f>
        <v>Palau region</v>
      </c>
    </row>
    <row r="1839" spans="1:8" x14ac:dyDescent="0.25">
      <c r="A1839" s="2">
        <v>37477</v>
      </c>
      <c r="B1839">
        <v>-16.38</v>
      </c>
      <c r="C1839">
        <v>-176.06</v>
      </c>
      <c r="D1839" t="s">
        <v>16</v>
      </c>
      <c r="E1839" t="s">
        <v>53</v>
      </c>
      <c r="F1839">
        <f t="shared" si="56"/>
        <v>2002</v>
      </c>
      <c r="G1839">
        <f t="shared" si="57"/>
        <v>8</v>
      </c>
      <c r="H1839" t="str">
        <f>IF(ISNUMBER(FIND(",", E1839)), TRIM(MID(E1839, FIND(",", E1839) + 1, LEN(E1839))), E1839)</f>
        <v>Fiji region</v>
      </c>
    </row>
    <row r="1840" spans="1:8" x14ac:dyDescent="0.25">
      <c r="A1840" s="2">
        <v>37470</v>
      </c>
      <c r="B1840">
        <v>29.22</v>
      </c>
      <c r="C1840">
        <v>139.09</v>
      </c>
      <c r="D1840" t="s">
        <v>16</v>
      </c>
      <c r="E1840" t="s">
        <v>88</v>
      </c>
      <c r="F1840">
        <f t="shared" si="56"/>
        <v>2002</v>
      </c>
      <c r="G1840">
        <f t="shared" si="57"/>
        <v>8</v>
      </c>
      <c r="H1840" t="str">
        <f>IF(ISNUMBER(FIND(",", E1840)), TRIM(MID(E1840, FIND(",", E1840) + 1, LEN(E1840))), E1840)</f>
        <v>Japan region</v>
      </c>
    </row>
    <row r="1841" spans="1:8" x14ac:dyDescent="0.25">
      <c r="A1841" s="2">
        <v>37468</v>
      </c>
      <c r="B1841">
        <v>7.93</v>
      </c>
      <c r="C1841">
        <v>-82.78</v>
      </c>
      <c r="D1841" t="s">
        <v>16</v>
      </c>
      <c r="E1841" t="s">
        <v>231</v>
      </c>
      <c r="F1841">
        <f t="shared" si="56"/>
        <v>2002</v>
      </c>
      <c r="G1841">
        <f t="shared" si="57"/>
        <v>7</v>
      </c>
      <c r="H1841" t="str">
        <f>IF(ISNUMBER(FIND(",", E1841)), TRIM(MID(E1841, FIND(",", E1841) + 1, LEN(E1841))), E1841)</f>
        <v>south of Panama</v>
      </c>
    </row>
    <row r="1842" spans="1:8" x14ac:dyDescent="0.25">
      <c r="A1842" s="2">
        <v>37467</v>
      </c>
      <c r="B1842">
        <v>-57.88</v>
      </c>
      <c r="C1842">
        <v>-23.34</v>
      </c>
      <c r="D1842" t="s">
        <v>16</v>
      </c>
      <c r="E1842" t="s">
        <v>260</v>
      </c>
      <c r="F1842">
        <f t="shared" si="56"/>
        <v>2002</v>
      </c>
      <c r="G1842">
        <f t="shared" si="57"/>
        <v>7</v>
      </c>
      <c r="H1842" t="str">
        <f>IF(ISNUMBER(FIND(",", E1842)), TRIM(MID(E1842, FIND(",", E1842) + 1, LEN(E1842))), E1842)</f>
        <v>South Sandwich Islands region</v>
      </c>
    </row>
    <row r="1843" spans="1:8" x14ac:dyDescent="0.25">
      <c r="A1843" s="2">
        <v>37456</v>
      </c>
      <c r="B1843">
        <v>-56.63</v>
      </c>
      <c r="C1843">
        <v>-140.69999999999999</v>
      </c>
      <c r="D1843" t="s">
        <v>16</v>
      </c>
      <c r="E1843" t="s">
        <v>179</v>
      </c>
      <c r="F1843">
        <f t="shared" si="56"/>
        <v>2002</v>
      </c>
      <c r="G1843">
        <f t="shared" si="57"/>
        <v>7</v>
      </c>
      <c r="H1843" t="str">
        <f>IF(ISNUMBER(FIND(",", E1843)), TRIM(MID(E1843, FIND(",", E1843) + 1, LEN(E1843))), E1843)</f>
        <v>Pacific-Antarctic Ridge</v>
      </c>
    </row>
    <row r="1844" spans="1:8" x14ac:dyDescent="0.25">
      <c r="A1844" s="2">
        <v>37440</v>
      </c>
      <c r="B1844">
        <v>-5.0599999999999996</v>
      </c>
      <c r="C1844">
        <v>147.52000000000001</v>
      </c>
      <c r="D1844" t="s">
        <v>16</v>
      </c>
      <c r="E1844" t="s">
        <v>243</v>
      </c>
      <c r="F1844">
        <f t="shared" si="56"/>
        <v>2002</v>
      </c>
      <c r="G1844">
        <f t="shared" si="57"/>
        <v>7</v>
      </c>
      <c r="H1844" t="str">
        <f>IF(ISNUMBER(FIND(",", E1844)), TRIM(MID(E1844, FIND(",", E1844) + 1, LEN(E1844))), E1844)</f>
        <v>Papua New Guinea</v>
      </c>
    </row>
    <row r="1845" spans="1:8" x14ac:dyDescent="0.25">
      <c r="A1845" s="2">
        <v>37437</v>
      </c>
      <c r="B1845">
        <v>-22.21</v>
      </c>
      <c r="C1845">
        <v>179.32</v>
      </c>
      <c r="D1845" t="s">
        <v>16</v>
      </c>
      <c r="E1845" t="s">
        <v>256</v>
      </c>
      <c r="F1845">
        <f t="shared" si="56"/>
        <v>2002</v>
      </c>
      <c r="G1845">
        <f t="shared" si="57"/>
        <v>6</v>
      </c>
      <c r="H1845" t="str">
        <f>IF(ISNUMBER(FIND(",", E1845)), TRIM(MID(E1845, FIND(",", E1845) + 1, LEN(E1845))), E1845)</f>
        <v>south of the Fiji Islands</v>
      </c>
    </row>
    <row r="1846" spans="1:8" x14ac:dyDescent="0.25">
      <c r="A1846" s="2">
        <v>37436</v>
      </c>
      <c r="B1846">
        <v>-12.44</v>
      </c>
      <c r="C1846">
        <v>166.66</v>
      </c>
      <c r="D1846" t="s">
        <v>16</v>
      </c>
      <c r="E1846" t="s">
        <v>211</v>
      </c>
      <c r="F1846">
        <f t="shared" si="56"/>
        <v>2002</v>
      </c>
      <c r="G1846">
        <f t="shared" si="57"/>
        <v>6</v>
      </c>
      <c r="H1846" t="str">
        <f>IF(ISNUMBER(FIND(",", E1846)), TRIM(MID(E1846, FIND(",", E1846) + 1, LEN(E1846))), E1846)</f>
        <v>Santa Cruz Islands</v>
      </c>
    </row>
    <row r="1847" spans="1:8" x14ac:dyDescent="0.25">
      <c r="A1847" s="2">
        <v>37435</v>
      </c>
      <c r="B1847">
        <v>43.76</v>
      </c>
      <c r="C1847">
        <v>130.68</v>
      </c>
      <c r="D1847" t="s">
        <v>16</v>
      </c>
      <c r="E1847" t="s">
        <v>491</v>
      </c>
      <c r="F1847">
        <f t="shared" si="56"/>
        <v>2002</v>
      </c>
      <c r="G1847">
        <f t="shared" si="57"/>
        <v>6</v>
      </c>
      <c r="H1847" t="str">
        <f>IF(ISNUMBER(FIND(",", E1847)), TRIM(MID(E1847, FIND(",", E1847) + 1, LEN(E1847))), E1847)</f>
        <v>China</v>
      </c>
    </row>
    <row r="1848" spans="1:8" x14ac:dyDescent="0.25">
      <c r="A1848" s="2">
        <v>37434</v>
      </c>
      <c r="B1848">
        <v>-13.28</v>
      </c>
      <c r="C1848">
        <v>167.1</v>
      </c>
      <c r="D1848" t="s">
        <v>16</v>
      </c>
      <c r="E1848" t="s">
        <v>181</v>
      </c>
      <c r="F1848">
        <f t="shared" si="56"/>
        <v>2002</v>
      </c>
      <c r="G1848">
        <f t="shared" si="57"/>
        <v>6</v>
      </c>
      <c r="H1848" t="str">
        <f>IF(ISNUMBER(FIND(",", E1848)), TRIM(MID(E1848, FIND(",", E1848) + 1, LEN(E1848))), E1848)</f>
        <v>Vanuatu</v>
      </c>
    </row>
    <row r="1849" spans="1:8" x14ac:dyDescent="0.25">
      <c r="A1849" s="2">
        <v>37434</v>
      </c>
      <c r="B1849">
        <v>-6.97</v>
      </c>
      <c r="C1849">
        <v>103.96</v>
      </c>
      <c r="D1849" t="s">
        <v>16</v>
      </c>
      <c r="E1849" t="s">
        <v>450</v>
      </c>
      <c r="F1849">
        <f t="shared" si="56"/>
        <v>2002</v>
      </c>
      <c r="G1849">
        <f t="shared" si="57"/>
        <v>6</v>
      </c>
      <c r="H1849" t="str">
        <f>IF(ISNUMBER(FIND(",", E1849)), TRIM(MID(E1849, FIND(",", E1849) + 1, LEN(E1849))), E1849)</f>
        <v>Indonesia</v>
      </c>
    </row>
    <row r="1850" spans="1:8" x14ac:dyDescent="0.25">
      <c r="A1850" s="2">
        <v>37429</v>
      </c>
      <c r="B1850">
        <v>35.590000000000003</v>
      </c>
      <c r="C1850">
        <v>49.02</v>
      </c>
      <c r="D1850" t="s">
        <v>16</v>
      </c>
      <c r="E1850" t="s">
        <v>444</v>
      </c>
      <c r="F1850">
        <f t="shared" si="56"/>
        <v>2002</v>
      </c>
      <c r="G1850">
        <f t="shared" si="57"/>
        <v>6</v>
      </c>
      <c r="H1850" t="str">
        <f>IF(ISNUMBER(FIND(",", E1850)), TRIM(MID(E1850, FIND(",", E1850) + 1, LEN(E1850))), E1850)</f>
        <v>western Iran</v>
      </c>
    </row>
    <row r="1851" spans="1:8" x14ac:dyDescent="0.25">
      <c r="A1851" s="2">
        <v>37428</v>
      </c>
      <c r="B1851">
        <v>-4.4950000000000001</v>
      </c>
      <c r="C1851">
        <v>146.768</v>
      </c>
      <c r="D1851" t="s">
        <v>5</v>
      </c>
      <c r="E1851" t="s">
        <v>243</v>
      </c>
      <c r="F1851">
        <f t="shared" si="56"/>
        <v>2002</v>
      </c>
      <c r="G1851">
        <f t="shared" si="57"/>
        <v>6</v>
      </c>
      <c r="H1851" t="str">
        <f>IF(ISNUMBER(FIND(",", E1851)), TRIM(MID(E1851, FIND(",", E1851) + 1, LEN(E1851))), E1851)</f>
        <v>Papua New Guinea</v>
      </c>
    </row>
    <row r="1852" spans="1:8" x14ac:dyDescent="0.25">
      <c r="A1852" s="2">
        <v>37425</v>
      </c>
      <c r="B1852">
        <v>-30.83</v>
      </c>
      <c r="C1852">
        <v>-71.06</v>
      </c>
      <c r="D1852" t="s">
        <v>16</v>
      </c>
      <c r="E1852" t="s">
        <v>193</v>
      </c>
      <c r="F1852">
        <f t="shared" si="56"/>
        <v>2002</v>
      </c>
      <c r="G1852">
        <f t="shared" si="57"/>
        <v>6</v>
      </c>
      <c r="H1852" t="str">
        <f>IF(ISNUMBER(FIND(",", E1852)), TRIM(MID(E1852, FIND(",", E1852) + 1, LEN(E1852))), E1852)</f>
        <v>Chile</v>
      </c>
    </row>
    <row r="1853" spans="1:8" x14ac:dyDescent="0.25">
      <c r="A1853" s="2">
        <v>37424</v>
      </c>
      <c r="B1853">
        <v>-12.61</v>
      </c>
      <c r="C1853">
        <v>166.52</v>
      </c>
      <c r="D1853" t="s">
        <v>16</v>
      </c>
      <c r="E1853" t="s">
        <v>211</v>
      </c>
      <c r="F1853">
        <f t="shared" si="56"/>
        <v>2002</v>
      </c>
      <c r="G1853">
        <f t="shared" si="57"/>
        <v>6</v>
      </c>
      <c r="H1853" t="str">
        <f>IF(ISNUMBER(FIND(",", E1853)), TRIM(MID(E1853, FIND(",", E1853) + 1, LEN(E1853))), E1853)</f>
        <v>Santa Cruz Islands</v>
      </c>
    </row>
    <row r="1854" spans="1:8" x14ac:dyDescent="0.25">
      <c r="A1854" s="2">
        <v>37424</v>
      </c>
      <c r="B1854">
        <v>-4.5999999999999996</v>
      </c>
      <c r="C1854">
        <v>-105.43</v>
      </c>
      <c r="D1854" t="s">
        <v>16</v>
      </c>
      <c r="E1854" t="s">
        <v>381</v>
      </c>
      <c r="F1854">
        <f t="shared" si="56"/>
        <v>2002</v>
      </c>
      <c r="G1854">
        <f t="shared" si="57"/>
        <v>6</v>
      </c>
      <c r="H1854" t="str">
        <f>IF(ISNUMBER(FIND(",", E1854)), TRIM(MID(E1854, FIND(",", E1854) + 1, LEN(E1854))), E1854)</f>
        <v>central East Pacific Rise</v>
      </c>
    </row>
    <row r="1855" spans="1:8" x14ac:dyDescent="0.25">
      <c r="A1855" s="2">
        <v>37423</v>
      </c>
      <c r="B1855">
        <v>8.77</v>
      </c>
      <c r="C1855">
        <v>-83.92</v>
      </c>
      <c r="D1855" t="s">
        <v>16</v>
      </c>
      <c r="E1855" t="s">
        <v>202</v>
      </c>
      <c r="F1855">
        <f t="shared" si="56"/>
        <v>2002</v>
      </c>
      <c r="G1855">
        <f t="shared" si="57"/>
        <v>6</v>
      </c>
      <c r="H1855" t="str">
        <f>IF(ISNUMBER(FIND(",", E1855)), TRIM(MID(E1855, FIND(",", E1855) + 1, LEN(E1855))), E1855)</f>
        <v>Costa Rica</v>
      </c>
    </row>
    <row r="1856" spans="1:8" x14ac:dyDescent="0.25">
      <c r="A1856" s="2">
        <v>37420</v>
      </c>
      <c r="B1856">
        <v>-47.77</v>
      </c>
      <c r="C1856">
        <v>99.63</v>
      </c>
      <c r="D1856" t="s">
        <v>16</v>
      </c>
      <c r="E1856" t="s">
        <v>310</v>
      </c>
      <c r="F1856">
        <f t="shared" si="56"/>
        <v>2002</v>
      </c>
      <c r="G1856">
        <f t="shared" si="57"/>
        <v>6</v>
      </c>
      <c r="H1856" t="str">
        <f>IF(ISNUMBER(FIND(",", E1856)), TRIM(MID(E1856, FIND(",", E1856) + 1, LEN(E1856))), E1856)</f>
        <v>southeast Indian Ridge</v>
      </c>
    </row>
    <row r="1857" spans="1:8" x14ac:dyDescent="0.25">
      <c r="A1857" s="2">
        <v>37417</v>
      </c>
      <c r="B1857">
        <v>11.01</v>
      </c>
      <c r="C1857">
        <v>140.83000000000001</v>
      </c>
      <c r="D1857" t="s">
        <v>16</v>
      </c>
      <c r="E1857" t="s">
        <v>458</v>
      </c>
      <c r="F1857">
        <f t="shared" si="56"/>
        <v>2002</v>
      </c>
      <c r="G1857">
        <f t="shared" si="57"/>
        <v>6</v>
      </c>
      <c r="H1857" t="str">
        <f>IF(ISNUMBER(FIND(",", E1857)), TRIM(MID(E1857, FIND(",", E1857) + 1, LEN(E1857))), E1857)</f>
        <v>Federated States of Micronesia</v>
      </c>
    </row>
    <row r="1858" spans="1:8" x14ac:dyDescent="0.25">
      <c r="A1858" s="2">
        <v>37413</v>
      </c>
      <c r="B1858">
        <v>-0.88</v>
      </c>
      <c r="C1858">
        <v>148.52000000000001</v>
      </c>
      <c r="D1858" t="s">
        <v>16</v>
      </c>
      <c r="E1858" t="s">
        <v>383</v>
      </c>
      <c r="F1858">
        <f t="shared" ref="F1858:F1921" si="58">YEAR(A1858)</f>
        <v>2002</v>
      </c>
      <c r="G1858">
        <f t="shared" si="57"/>
        <v>6</v>
      </c>
      <c r="H1858" t="str">
        <f>IF(ISNUMBER(FIND(",", E1858)), TRIM(MID(E1858, FIND(",", E1858) + 1, LEN(E1858))), E1858)</f>
        <v>Papua New Guinea</v>
      </c>
    </row>
    <row r="1859" spans="1:8" x14ac:dyDescent="0.25">
      <c r="A1859" s="2">
        <v>37404</v>
      </c>
      <c r="B1859">
        <v>24.07</v>
      </c>
      <c r="C1859">
        <v>122.27</v>
      </c>
      <c r="D1859" t="s">
        <v>16</v>
      </c>
      <c r="E1859" t="s">
        <v>363</v>
      </c>
      <c r="F1859">
        <f t="shared" si="58"/>
        <v>2002</v>
      </c>
      <c r="G1859">
        <f t="shared" ref="G1859:G1922" si="59">MONTH(A1859)</f>
        <v>5</v>
      </c>
      <c r="H1859" t="str">
        <f>IF(ISNUMBER(FIND(",", E1859)), TRIM(MID(E1859, FIND(",", E1859) + 1, LEN(E1859))), E1859)</f>
        <v>Taiwan region</v>
      </c>
    </row>
    <row r="1860" spans="1:8" x14ac:dyDescent="0.25">
      <c r="A1860" s="2">
        <v>37404</v>
      </c>
      <c r="B1860">
        <v>-28.95</v>
      </c>
      <c r="C1860">
        <v>-66.739999999999995</v>
      </c>
      <c r="D1860" t="s">
        <v>16</v>
      </c>
      <c r="E1860" t="s">
        <v>492</v>
      </c>
      <c r="F1860">
        <f t="shared" si="58"/>
        <v>2002</v>
      </c>
      <c r="G1860">
        <f t="shared" si="59"/>
        <v>5</v>
      </c>
      <c r="H1860" t="str">
        <f>IF(ISNUMBER(FIND(",", E1860)), TRIM(MID(E1860, FIND(",", E1860) + 1, LEN(E1860))), E1860)</f>
        <v>Argentina</v>
      </c>
    </row>
    <row r="1861" spans="1:8" x14ac:dyDescent="0.25">
      <c r="A1861" s="2">
        <v>37401</v>
      </c>
      <c r="B1861">
        <v>53.82</v>
      </c>
      <c r="C1861">
        <v>-161.16</v>
      </c>
      <c r="D1861" t="s">
        <v>16</v>
      </c>
      <c r="E1861" t="s">
        <v>493</v>
      </c>
      <c r="F1861">
        <f t="shared" si="58"/>
        <v>2002</v>
      </c>
      <c r="G1861">
        <f t="shared" si="59"/>
        <v>5</v>
      </c>
      <c r="H1861" t="str">
        <f>IF(ISNUMBER(FIND(",", E1861)), TRIM(MID(E1861, FIND(",", E1861) + 1, LEN(E1861))), E1861)</f>
        <v>south of Alaska</v>
      </c>
    </row>
    <row r="1862" spans="1:8" x14ac:dyDescent="0.25">
      <c r="A1862" s="2">
        <v>37391</v>
      </c>
      <c r="B1862">
        <v>24.66</v>
      </c>
      <c r="C1862">
        <v>121.86</v>
      </c>
      <c r="D1862" t="s">
        <v>16</v>
      </c>
      <c r="E1862" t="s">
        <v>336</v>
      </c>
      <c r="F1862">
        <f t="shared" si="58"/>
        <v>2002</v>
      </c>
      <c r="G1862">
        <f t="shared" si="59"/>
        <v>5</v>
      </c>
      <c r="H1862" t="str">
        <f>IF(ISNUMBER(FIND(",", E1862)), TRIM(MID(E1862, FIND(",", E1862) + 1, LEN(E1862))), E1862)</f>
        <v>Taiwan</v>
      </c>
    </row>
    <row r="1863" spans="1:8" x14ac:dyDescent="0.25">
      <c r="A1863" s="2">
        <v>37390</v>
      </c>
      <c r="B1863">
        <v>-36.42</v>
      </c>
      <c r="C1863">
        <v>79.03</v>
      </c>
      <c r="D1863" t="s">
        <v>16</v>
      </c>
      <c r="E1863" t="s">
        <v>377</v>
      </c>
      <c r="F1863">
        <f t="shared" si="58"/>
        <v>2002</v>
      </c>
      <c r="G1863">
        <f t="shared" si="59"/>
        <v>5</v>
      </c>
      <c r="H1863" t="str">
        <f>IF(ISNUMBER(FIND(",", E1863)), TRIM(MID(E1863, FIND(",", E1863) + 1, LEN(E1863))), E1863)</f>
        <v>Mid-Indian Ridge</v>
      </c>
    </row>
    <row r="1864" spans="1:8" x14ac:dyDescent="0.25">
      <c r="A1864" s="2">
        <v>37384</v>
      </c>
      <c r="B1864">
        <v>-18.010000000000002</v>
      </c>
      <c r="C1864">
        <v>-174.48</v>
      </c>
      <c r="D1864" t="s">
        <v>16</v>
      </c>
      <c r="E1864" t="s">
        <v>239</v>
      </c>
      <c r="F1864">
        <f t="shared" si="58"/>
        <v>2002</v>
      </c>
      <c r="G1864">
        <f t="shared" si="59"/>
        <v>5</v>
      </c>
      <c r="H1864" t="str">
        <f>IF(ISNUMBER(FIND(",", E1864)), TRIM(MID(E1864, FIND(",", E1864) + 1, LEN(E1864))), E1864)</f>
        <v>Tonga</v>
      </c>
    </row>
    <row r="1865" spans="1:8" x14ac:dyDescent="0.25">
      <c r="A1865" s="2">
        <v>37372</v>
      </c>
      <c r="B1865">
        <v>13.1</v>
      </c>
      <c r="C1865">
        <v>144.66999999999999</v>
      </c>
      <c r="D1865" t="s">
        <v>16</v>
      </c>
      <c r="E1865" t="s">
        <v>403</v>
      </c>
      <c r="F1865">
        <f t="shared" si="58"/>
        <v>2002</v>
      </c>
      <c r="G1865">
        <f t="shared" si="59"/>
        <v>4</v>
      </c>
      <c r="H1865" t="str">
        <f>IF(ISNUMBER(FIND(",", E1865)), TRIM(MID(E1865, FIND(",", E1865) + 1, LEN(E1865))), E1865)</f>
        <v>Guam region</v>
      </c>
    </row>
    <row r="1866" spans="1:8" x14ac:dyDescent="0.25">
      <c r="A1866" s="2">
        <v>37370</v>
      </c>
      <c r="B1866">
        <v>-56.04</v>
      </c>
      <c r="C1866">
        <v>-122.34</v>
      </c>
      <c r="D1866" t="s">
        <v>16</v>
      </c>
      <c r="E1866" t="s">
        <v>268</v>
      </c>
      <c r="F1866">
        <f t="shared" si="58"/>
        <v>2002</v>
      </c>
      <c r="G1866">
        <f t="shared" si="59"/>
        <v>4</v>
      </c>
      <c r="H1866" t="str">
        <f>IF(ISNUMBER(FIND(",", E1866)), TRIM(MID(E1866, FIND(",", E1866) + 1, LEN(E1866))), E1866)</f>
        <v>southern East Pacific Rise</v>
      </c>
    </row>
    <row r="1867" spans="1:8" x14ac:dyDescent="0.25">
      <c r="A1867" s="2">
        <v>37364</v>
      </c>
      <c r="B1867">
        <v>-27.46</v>
      </c>
      <c r="C1867">
        <v>-70.44</v>
      </c>
      <c r="D1867" t="s">
        <v>16</v>
      </c>
      <c r="E1867" t="s">
        <v>264</v>
      </c>
      <c r="F1867">
        <f t="shared" si="58"/>
        <v>2002</v>
      </c>
      <c r="G1867">
        <f t="shared" si="59"/>
        <v>4</v>
      </c>
      <c r="H1867" t="str">
        <f>IF(ISNUMBER(FIND(",", E1867)), TRIM(MID(E1867, FIND(",", E1867) + 1, LEN(E1867))), E1867)</f>
        <v>Chile</v>
      </c>
    </row>
    <row r="1868" spans="1:8" x14ac:dyDescent="0.25">
      <c r="A1868" s="2">
        <v>37364</v>
      </c>
      <c r="B1868">
        <v>16.97</v>
      </c>
      <c r="C1868">
        <v>-100.9</v>
      </c>
      <c r="D1868" t="s">
        <v>16</v>
      </c>
      <c r="E1868" t="s">
        <v>474</v>
      </c>
      <c r="F1868">
        <f t="shared" si="58"/>
        <v>2002</v>
      </c>
      <c r="G1868">
        <f t="shared" si="59"/>
        <v>4</v>
      </c>
      <c r="H1868" t="str">
        <f>IF(ISNUMBER(FIND(",", E1868)), TRIM(MID(E1868, FIND(",", E1868) + 1, LEN(E1868))), E1868)</f>
        <v>Mexico</v>
      </c>
    </row>
    <row r="1869" spans="1:8" x14ac:dyDescent="0.25">
      <c r="A1869" s="2">
        <v>37357</v>
      </c>
      <c r="B1869">
        <v>-14.43</v>
      </c>
      <c r="C1869">
        <v>167.81</v>
      </c>
      <c r="D1869" t="s">
        <v>16</v>
      </c>
      <c r="E1869" t="s">
        <v>181</v>
      </c>
      <c r="F1869">
        <f t="shared" si="58"/>
        <v>2002</v>
      </c>
      <c r="G1869">
        <f t="shared" si="59"/>
        <v>4</v>
      </c>
      <c r="H1869" t="str">
        <f>IF(ISNUMBER(FIND(",", E1869)), TRIM(MID(E1869, FIND(",", E1869) + 1, LEN(E1869))), E1869)</f>
        <v>Vanuatu</v>
      </c>
    </row>
    <row r="1870" spans="1:8" x14ac:dyDescent="0.25">
      <c r="A1870" s="2">
        <v>37354</v>
      </c>
      <c r="B1870">
        <v>-51.07</v>
      </c>
      <c r="C1870">
        <v>139.28</v>
      </c>
      <c r="D1870" t="s">
        <v>16</v>
      </c>
      <c r="E1870" t="s">
        <v>235</v>
      </c>
      <c r="F1870">
        <f t="shared" si="58"/>
        <v>2002</v>
      </c>
      <c r="G1870">
        <f t="shared" si="59"/>
        <v>4</v>
      </c>
      <c r="H1870" t="str">
        <f>IF(ISNUMBER(FIND(",", E1870)), TRIM(MID(E1870, FIND(",", E1870) + 1, LEN(E1870))), E1870)</f>
        <v>western Indian-Antarctic Ridge</v>
      </c>
    </row>
    <row r="1871" spans="1:8" x14ac:dyDescent="0.25">
      <c r="A1871" s="2">
        <v>37353</v>
      </c>
      <c r="B1871">
        <v>-61.02</v>
      </c>
      <c r="C1871">
        <v>153.47999999999999</v>
      </c>
      <c r="D1871" t="s">
        <v>16</v>
      </c>
      <c r="E1871" t="s">
        <v>283</v>
      </c>
      <c r="F1871">
        <f t="shared" si="58"/>
        <v>2002</v>
      </c>
      <c r="G1871">
        <f t="shared" si="59"/>
        <v>4</v>
      </c>
      <c r="H1871" t="str">
        <f>IF(ISNUMBER(FIND(",", E1871)), TRIM(MID(E1871, FIND(",", E1871) + 1, LEN(E1871))), E1871)</f>
        <v>Balleny Islands region</v>
      </c>
    </row>
    <row r="1872" spans="1:8" x14ac:dyDescent="0.25">
      <c r="A1872" s="2">
        <v>37347</v>
      </c>
      <c r="B1872">
        <v>-29.63</v>
      </c>
      <c r="C1872">
        <v>-71.290000000000006</v>
      </c>
      <c r="D1872" t="s">
        <v>16</v>
      </c>
      <c r="E1872" t="s">
        <v>193</v>
      </c>
      <c r="F1872">
        <f t="shared" si="58"/>
        <v>2002</v>
      </c>
      <c r="G1872">
        <f t="shared" si="59"/>
        <v>4</v>
      </c>
      <c r="H1872" t="str">
        <f>IF(ISNUMBER(FIND(",", E1872)), TRIM(MID(E1872, FIND(",", E1872) + 1, LEN(E1872))), E1872)</f>
        <v>Chile</v>
      </c>
    </row>
    <row r="1873" spans="1:8" x14ac:dyDescent="0.25">
      <c r="A1873" s="2">
        <v>37346</v>
      </c>
      <c r="B1873">
        <v>24.3</v>
      </c>
      <c r="C1873">
        <v>122.14</v>
      </c>
      <c r="D1873" t="s">
        <v>16</v>
      </c>
      <c r="E1873" t="s">
        <v>363</v>
      </c>
      <c r="F1873">
        <f t="shared" si="58"/>
        <v>2002</v>
      </c>
      <c r="G1873">
        <f t="shared" si="59"/>
        <v>3</v>
      </c>
      <c r="H1873" t="str">
        <f>IF(ISNUMBER(FIND(",", E1873)), TRIM(MID(E1873, FIND(",", E1873) + 1, LEN(E1873))), E1873)</f>
        <v>Taiwan region</v>
      </c>
    </row>
    <row r="1874" spans="1:8" x14ac:dyDescent="0.25">
      <c r="A1874" s="2">
        <v>37343</v>
      </c>
      <c r="B1874">
        <v>-21.69</v>
      </c>
      <c r="C1874">
        <v>-68.27</v>
      </c>
      <c r="D1874" t="s">
        <v>16</v>
      </c>
      <c r="E1874" t="s">
        <v>289</v>
      </c>
      <c r="F1874">
        <f t="shared" si="58"/>
        <v>2002</v>
      </c>
      <c r="G1874">
        <f t="shared" si="59"/>
        <v>3</v>
      </c>
      <c r="H1874" t="str">
        <f>IF(ISNUMBER(FIND(",", E1874)), TRIM(MID(E1874, FIND(",", E1874) + 1, LEN(E1874))), E1874)</f>
        <v>Chile</v>
      </c>
    </row>
    <row r="1875" spans="1:8" x14ac:dyDescent="0.25">
      <c r="A1875" s="2">
        <v>37341</v>
      </c>
      <c r="B1875">
        <v>23.32</v>
      </c>
      <c r="C1875">
        <v>124.05</v>
      </c>
      <c r="D1875" t="s">
        <v>16</v>
      </c>
      <c r="E1875" t="s">
        <v>312</v>
      </c>
      <c r="F1875">
        <f t="shared" si="58"/>
        <v>2002</v>
      </c>
      <c r="G1875">
        <f t="shared" si="59"/>
        <v>3</v>
      </c>
      <c r="H1875" t="str">
        <f>IF(ISNUMBER(FIND(",", E1875)), TRIM(MID(E1875, FIND(",", E1875) + 1, LEN(E1875))), E1875)</f>
        <v>Japan</v>
      </c>
    </row>
    <row r="1876" spans="1:8" x14ac:dyDescent="0.25">
      <c r="A1876" s="2">
        <v>37340</v>
      </c>
      <c r="B1876">
        <v>36.049999999999997</v>
      </c>
      <c r="C1876">
        <v>69.209999999999994</v>
      </c>
      <c r="D1876" t="s">
        <v>16</v>
      </c>
      <c r="E1876" t="s">
        <v>314</v>
      </c>
      <c r="F1876">
        <f t="shared" si="58"/>
        <v>2002</v>
      </c>
      <c r="G1876">
        <f t="shared" si="59"/>
        <v>3</v>
      </c>
      <c r="H1876" t="str">
        <f>IF(ISNUMBER(FIND(",", E1876)), TRIM(MID(E1876, FIND(",", E1876) + 1, LEN(E1876))), E1876)</f>
        <v>Afghanistan</v>
      </c>
    </row>
    <row r="1877" spans="1:8" x14ac:dyDescent="0.25">
      <c r="A1877" s="2">
        <v>37334</v>
      </c>
      <c r="B1877">
        <v>-6.49</v>
      </c>
      <c r="C1877">
        <v>129.88999999999999</v>
      </c>
      <c r="D1877" t="s">
        <v>16</v>
      </c>
      <c r="E1877" t="s">
        <v>187</v>
      </c>
      <c r="F1877">
        <f t="shared" si="58"/>
        <v>2002</v>
      </c>
      <c r="G1877">
        <f t="shared" si="59"/>
        <v>3</v>
      </c>
      <c r="H1877" t="str">
        <f>IF(ISNUMBER(FIND(",", E1877)), TRIM(MID(E1877, FIND(",", E1877) + 1, LEN(E1877))), E1877)</f>
        <v>Banda Sea</v>
      </c>
    </row>
    <row r="1878" spans="1:8" x14ac:dyDescent="0.25">
      <c r="A1878" s="2">
        <v>37332</v>
      </c>
      <c r="B1878">
        <v>-45.23</v>
      </c>
      <c r="C1878">
        <v>35.31</v>
      </c>
      <c r="D1878" t="s">
        <v>16</v>
      </c>
      <c r="E1878" t="s">
        <v>369</v>
      </c>
      <c r="F1878">
        <f t="shared" si="58"/>
        <v>2002</v>
      </c>
      <c r="G1878">
        <f t="shared" si="59"/>
        <v>3</v>
      </c>
      <c r="H1878" t="str">
        <f>IF(ISNUMBER(FIND(",", E1878)), TRIM(MID(E1878, FIND(",", E1878) + 1, LEN(E1878))), E1878)</f>
        <v>Prince Edward Islands region</v>
      </c>
    </row>
    <row r="1879" spans="1:8" x14ac:dyDescent="0.25">
      <c r="A1879" s="2">
        <v>37324</v>
      </c>
      <c r="B1879">
        <v>-56.11</v>
      </c>
      <c r="C1879">
        <v>-27.44</v>
      </c>
      <c r="D1879" t="s">
        <v>16</v>
      </c>
      <c r="E1879" t="s">
        <v>260</v>
      </c>
      <c r="F1879">
        <f t="shared" si="58"/>
        <v>2002</v>
      </c>
      <c r="G1879">
        <f t="shared" si="59"/>
        <v>3</v>
      </c>
      <c r="H1879" t="str">
        <f>IF(ISNUMBER(FIND(",", E1879)), TRIM(MID(E1879, FIND(",", E1879) + 1, LEN(E1879))), E1879)</f>
        <v>South Sandwich Islands region</v>
      </c>
    </row>
    <row r="1880" spans="1:8" x14ac:dyDescent="0.25">
      <c r="A1880" s="2">
        <v>37320</v>
      </c>
      <c r="B1880">
        <v>6.02</v>
      </c>
      <c r="C1880">
        <v>124.21</v>
      </c>
      <c r="D1880" t="s">
        <v>16</v>
      </c>
      <c r="E1880" t="s">
        <v>200</v>
      </c>
      <c r="F1880">
        <f t="shared" si="58"/>
        <v>2002</v>
      </c>
      <c r="G1880">
        <f t="shared" si="59"/>
        <v>3</v>
      </c>
      <c r="H1880" t="str">
        <f>IF(ISNUMBER(FIND(",", E1880)), TRIM(MID(E1880, FIND(",", E1880) + 1, LEN(E1880))), E1880)</f>
        <v>Philippines</v>
      </c>
    </row>
    <row r="1881" spans="1:8" x14ac:dyDescent="0.25">
      <c r="A1881" s="2">
        <v>37318</v>
      </c>
      <c r="B1881">
        <v>36.502000000000002</v>
      </c>
      <c r="C1881">
        <v>70.481999999999999</v>
      </c>
      <c r="D1881" t="s">
        <v>7</v>
      </c>
      <c r="E1881" t="s">
        <v>314</v>
      </c>
      <c r="F1881">
        <f t="shared" si="58"/>
        <v>2002</v>
      </c>
      <c r="G1881">
        <f t="shared" si="59"/>
        <v>3</v>
      </c>
      <c r="H1881" t="str">
        <f>IF(ISNUMBER(FIND(",", E1881)), TRIM(MID(E1881, FIND(",", E1881) + 1, LEN(E1881))), E1881)</f>
        <v>Afghanistan</v>
      </c>
    </row>
    <row r="1882" spans="1:8" x14ac:dyDescent="0.25">
      <c r="A1882" s="2">
        <v>37318</v>
      </c>
      <c r="B1882">
        <v>36.42</v>
      </c>
      <c r="C1882">
        <v>70.459999999999994</v>
      </c>
      <c r="D1882" t="s">
        <v>16</v>
      </c>
      <c r="E1882" t="s">
        <v>314</v>
      </c>
      <c r="F1882">
        <f t="shared" si="58"/>
        <v>2002</v>
      </c>
      <c r="G1882">
        <f t="shared" si="59"/>
        <v>3</v>
      </c>
      <c r="H1882" t="str">
        <f>IF(ISNUMBER(FIND(",", E1882)), TRIM(MID(E1882, FIND(",", E1882) + 1, LEN(E1882))), E1882)</f>
        <v>Afghanistan</v>
      </c>
    </row>
    <row r="1883" spans="1:8" x14ac:dyDescent="0.25">
      <c r="A1883" s="2">
        <v>37315</v>
      </c>
      <c r="B1883">
        <v>-5.74</v>
      </c>
      <c r="C1883">
        <v>151.4</v>
      </c>
      <c r="D1883" t="s">
        <v>16</v>
      </c>
      <c r="E1883" t="s">
        <v>190</v>
      </c>
      <c r="F1883">
        <f t="shared" si="58"/>
        <v>2002</v>
      </c>
      <c r="G1883">
        <f t="shared" si="59"/>
        <v>2</v>
      </c>
      <c r="H1883" t="str">
        <f>IF(ISNUMBER(FIND(",", E1883)), TRIM(MID(E1883, FIND(",", E1883) + 1, LEN(E1883))), E1883)</f>
        <v>Papua New Guinea</v>
      </c>
    </row>
    <row r="1884" spans="1:8" x14ac:dyDescent="0.25">
      <c r="A1884" s="2">
        <v>37306</v>
      </c>
      <c r="B1884">
        <v>-3.74</v>
      </c>
      <c r="C1884">
        <v>151.11000000000001</v>
      </c>
      <c r="D1884" t="s">
        <v>16</v>
      </c>
      <c r="E1884" t="s">
        <v>183</v>
      </c>
      <c r="F1884">
        <f t="shared" si="58"/>
        <v>2002</v>
      </c>
      <c r="G1884">
        <f t="shared" si="59"/>
        <v>2</v>
      </c>
      <c r="H1884" t="str">
        <f>IF(ISNUMBER(FIND(",", E1884)), TRIM(MID(E1884, FIND(",", E1884) + 1, LEN(E1884))), E1884)</f>
        <v>Papua New Guinea</v>
      </c>
    </row>
    <row r="1885" spans="1:8" x14ac:dyDescent="0.25">
      <c r="A1885" s="2">
        <v>37292</v>
      </c>
      <c r="B1885">
        <v>-5.4</v>
      </c>
      <c r="C1885">
        <v>151.38</v>
      </c>
      <c r="D1885" t="s">
        <v>16</v>
      </c>
      <c r="E1885" t="s">
        <v>190</v>
      </c>
      <c r="F1885">
        <f t="shared" si="58"/>
        <v>2002</v>
      </c>
      <c r="G1885">
        <f t="shared" si="59"/>
        <v>2</v>
      </c>
      <c r="H1885" t="str">
        <f>IF(ISNUMBER(FIND(",", E1885)), TRIM(MID(E1885, FIND(",", E1885) + 1, LEN(E1885))), E1885)</f>
        <v>Papua New Guinea</v>
      </c>
    </row>
    <row r="1886" spans="1:8" x14ac:dyDescent="0.25">
      <c r="A1886" s="2">
        <v>37290</v>
      </c>
      <c r="B1886">
        <v>38.520000000000003</v>
      </c>
      <c r="C1886">
        <v>31.22</v>
      </c>
      <c r="D1886" t="s">
        <v>16</v>
      </c>
      <c r="E1886" t="s">
        <v>494</v>
      </c>
      <c r="F1886">
        <f t="shared" si="58"/>
        <v>2002</v>
      </c>
      <c r="G1886">
        <f t="shared" si="59"/>
        <v>2</v>
      </c>
      <c r="H1886" t="str">
        <f>IF(ISNUMBER(FIND(",", E1886)), TRIM(MID(E1886, FIND(",", E1886) + 1, LEN(E1886))), E1886)</f>
        <v>western Turkey</v>
      </c>
    </row>
    <row r="1887" spans="1:8" x14ac:dyDescent="0.25">
      <c r="A1887" s="2">
        <v>37286</v>
      </c>
      <c r="B1887">
        <v>-6.25</v>
      </c>
      <c r="C1887">
        <v>150.94</v>
      </c>
      <c r="D1887" t="s">
        <v>16</v>
      </c>
      <c r="E1887" t="s">
        <v>190</v>
      </c>
      <c r="F1887">
        <f t="shared" si="58"/>
        <v>2002</v>
      </c>
      <c r="G1887">
        <f t="shared" si="59"/>
        <v>1</v>
      </c>
      <c r="H1887" t="str">
        <f>IF(ISNUMBER(FIND(",", E1887)), TRIM(MID(E1887, FIND(",", E1887) + 1, LEN(E1887))), E1887)</f>
        <v>Papua New Guinea</v>
      </c>
    </row>
    <row r="1888" spans="1:8" x14ac:dyDescent="0.25">
      <c r="A1888" s="2">
        <v>37284</v>
      </c>
      <c r="B1888">
        <v>-15.4</v>
      </c>
      <c r="C1888">
        <v>-173.07</v>
      </c>
      <c r="D1888" t="s">
        <v>16</v>
      </c>
      <c r="E1888" t="s">
        <v>239</v>
      </c>
      <c r="F1888">
        <f t="shared" si="58"/>
        <v>2002</v>
      </c>
      <c r="G1888">
        <f t="shared" si="59"/>
        <v>1</v>
      </c>
      <c r="H1888" t="str">
        <f>IF(ISNUMBER(FIND(",", E1888)), TRIM(MID(E1888, FIND(",", E1888) + 1, LEN(E1888))), E1888)</f>
        <v>Tonga</v>
      </c>
    </row>
    <row r="1889" spans="1:8" x14ac:dyDescent="0.25">
      <c r="A1889" s="2">
        <v>37284</v>
      </c>
      <c r="B1889">
        <v>49.38</v>
      </c>
      <c r="C1889">
        <v>155.53</v>
      </c>
      <c r="D1889" t="s">
        <v>16</v>
      </c>
      <c r="E1889" t="s">
        <v>191</v>
      </c>
      <c r="F1889">
        <f t="shared" si="58"/>
        <v>2002</v>
      </c>
      <c r="G1889">
        <f t="shared" si="59"/>
        <v>1</v>
      </c>
      <c r="H1889" t="str">
        <f>IF(ISNUMBER(FIND(",", E1889)), TRIM(MID(E1889, FIND(",", E1889) + 1, LEN(E1889))), E1889)</f>
        <v>Kuril Islands</v>
      </c>
    </row>
    <row r="1890" spans="1:8" x14ac:dyDescent="0.25">
      <c r="A1890" s="2">
        <v>37278</v>
      </c>
      <c r="B1890">
        <v>35.619999999999997</v>
      </c>
      <c r="C1890">
        <v>26.64</v>
      </c>
      <c r="D1890" t="s">
        <v>16</v>
      </c>
      <c r="E1890" t="s">
        <v>296</v>
      </c>
      <c r="F1890">
        <f t="shared" si="58"/>
        <v>2002</v>
      </c>
      <c r="G1890">
        <f t="shared" si="59"/>
        <v>1</v>
      </c>
      <c r="H1890" t="str">
        <f>IF(ISNUMBER(FIND(",", E1890)), TRIM(MID(E1890, FIND(",", E1890) + 1, LEN(E1890))), E1890)</f>
        <v>Greece</v>
      </c>
    </row>
    <row r="1891" spans="1:8" x14ac:dyDescent="0.25">
      <c r="A1891" s="2">
        <v>37272</v>
      </c>
      <c r="B1891">
        <v>15.56</v>
      </c>
      <c r="C1891">
        <v>-93.15</v>
      </c>
      <c r="D1891" t="s">
        <v>16</v>
      </c>
      <c r="E1891" t="s">
        <v>421</v>
      </c>
      <c r="F1891">
        <f t="shared" si="58"/>
        <v>2002</v>
      </c>
      <c r="G1891">
        <f t="shared" si="59"/>
        <v>1</v>
      </c>
      <c r="H1891" t="str">
        <f>IF(ISNUMBER(FIND(",", E1891)), TRIM(MID(E1891, FIND(",", E1891) + 1, LEN(E1891))), E1891)</f>
        <v>Mexico</v>
      </c>
    </row>
    <row r="1892" spans="1:8" x14ac:dyDescent="0.25">
      <c r="A1892" s="2">
        <v>37271</v>
      </c>
      <c r="B1892">
        <v>-5.59</v>
      </c>
      <c r="C1892">
        <v>151.19</v>
      </c>
      <c r="D1892" t="s">
        <v>16</v>
      </c>
      <c r="E1892" t="s">
        <v>190</v>
      </c>
      <c r="F1892">
        <f t="shared" si="58"/>
        <v>2002</v>
      </c>
      <c r="G1892">
        <f t="shared" si="59"/>
        <v>1</v>
      </c>
      <c r="H1892" t="str">
        <f>IF(ISNUMBER(FIND(",", E1892)), TRIM(MID(E1892, FIND(",", E1892) + 1, LEN(E1892))), E1892)</f>
        <v>Papua New Guinea</v>
      </c>
    </row>
    <row r="1893" spans="1:8" x14ac:dyDescent="0.25">
      <c r="A1893" s="2">
        <v>37271</v>
      </c>
      <c r="B1893">
        <v>-6.28</v>
      </c>
      <c r="C1893">
        <v>105.17</v>
      </c>
      <c r="D1893" t="s">
        <v>16</v>
      </c>
      <c r="E1893" t="s">
        <v>278</v>
      </c>
      <c r="F1893">
        <f t="shared" si="58"/>
        <v>2002</v>
      </c>
      <c r="G1893">
        <f t="shared" si="59"/>
        <v>1</v>
      </c>
      <c r="H1893" t="str">
        <f>IF(ISNUMBER(FIND(",", E1893)), TRIM(MID(E1893, FIND(",", E1893) + 1, LEN(E1893))), E1893)</f>
        <v>Indonesia</v>
      </c>
    </row>
    <row r="1894" spans="1:8" x14ac:dyDescent="0.25">
      <c r="A1894" s="2">
        <v>37271</v>
      </c>
      <c r="B1894">
        <v>-17.420000000000002</v>
      </c>
      <c r="C1894">
        <v>167.9</v>
      </c>
      <c r="D1894" t="s">
        <v>16</v>
      </c>
      <c r="E1894" t="s">
        <v>181</v>
      </c>
      <c r="F1894">
        <f t="shared" si="58"/>
        <v>2002</v>
      </c>
      <c r="G1894">
        <f t="shared" si="59"/>
        <v>1</v>
      </c>
      <c r="H1894" t="str">
        <f>IF(ISNUMBER(FIND(",", E1894)), TRIM(MID(E1894, FIND(",", E1894) + 1, LEN(E1894))), E1894)</f>
        <v>Vanuatu</v>
      </c>
    </row>
    <row r="1895" spans="1:8" x14ac:dyDescent="0.25">
      <c r="A1895" s="2">
        <v>37269</v>
      </c>
      <c r="B1895">
        <v>-5.66</v>
      </c>
      <c r="C1895">
        <v>151.12</v>
      </c>
      <c r="D1895" t="s">
        <v>16</v>
      </c>
      <c r="E1895" t="s">
        <v>190</v>
      </c>
      <c r="F1895">
        <f t="shared" si="58"/>
        <v>2002</v>
      </c>
      <c r="G1895">
        <f t="shared" si="59"/>
        <v>1</v>
      </c>
      <c r="H1895" t="str">
        <f>IF(ISNUMBER(FIND(",", E1895)), TRIM(MID(E1895, FIND(",", E1895) + 1, LEN(E1895))), E1895)</f>
        <v>Papua New Guinea</v>
      </c>
    </row>
    <row r="1896" spans="1:8" x14ac:dyDescent="0.25">
      <c r="A1896" s="2">
        <v>37266</v>
      </c>
      <c r="B1896">
        <v>-3.26</v>
      </c>
      <c r="C1896">
        <v>142.44</v>
      </c>
      <c r="D1896" t="s">
        <v>16</v>
      </c>
      <c r="E1896" t="s">
        <v>216</v>
      </c>
      <c r="F1896">
        <f t="shared" si="58"/>
        <v>2002</v>
      </c>
      <c r="G1896">
        <f t="shared" si="59"/>
        <v>1</v>
      </c>
      <c r="H1896" t="str">
        <f>IF(ISNUMBER(FIND(",", E1896)), TRIM(MID(E1896, FIND(",", E1896) + 1, LEN(E1896))), E1896)</f>
        <v>Papua New Guinea</v>
      </c>
    </row>
    <row r="1897" spans="1:8" x14ac:dyDescent="0.25">
      <c r="A1897" s="2">
        <v>37259</v>
      </c>
      <c r="B1897">
        <v>-17.66</v>
      </c>
      <c r="C1897">
        <v>168.08</v>
      </c>
      <c r="D1897" t="s">
        <v>16</v>
      </c>
      <c r="E1897" t="s">
        <v>181</v>
      </c>
      <c r="F1897">
        <f t="shared" si="58"/>
        <v>2002</v>
      </c>
      <c r="G1897">
        <f t="shared" si="59"/>
        <v>1</v>
      </c>
      <c r="H1897" t="str">
        <f>IF(ISNUMBER(FIND(",", E1897)), TRIM(MID(E1897, FIND(",", E1897) + 1, LEN(E1897))), E1897)</f>
        <v>Vanuatu</v>
      </c>
    </row>
    <row r="1898" spans="1:8" x14ac:dyDescent="0.25">
      <c r="A1898" s="2">
        <v>37259</v>
      </c>
      <c r="B1898">
        <v>36</v>
      </c>
      <c r="C1898">
        <v>70.650000000000006</v>
      </c>
      <c r="D1898" t="s">
        <v>16</v>
      </c>
      <c r="E1898" t="s">
        <v>314</v>
      </c>
      <c r="F1898">
        <f t="shared" si="58"/>
        <v>2002</v>
      </c>
      <c r="G1898">
        <f t="shared" si="59"/>
        <v>1</v>
      </c>
      <c r="H1898" t="str">
        <f>IF(ISNUMBER(FIND(",", E1898)), TRIM(MID(E1898, FIND(",", E1898) + 1, LEN(E1898))), E1898)</f>
        <v>Afghanistan</v>
      </c>
    </row>
    <row r="1899" spans="1:8" x14ac:dyDescent="0.25">
      <c r="A1899" s="2">
        <v>37258</v>
      </c>
      <c r="B1899">
        <v>-17.59</v>
      </c>
      <c r="C1899">
        <v>167.97</v>
      </c>
      <c r="D1899" t="s">
        <v>16</v>
      </c>
      <c r="E1899" t="s">
        <v>181</v>
      </c>
      <c r="F1899">
        <f t="shared" si="58"/>
        <v>2002</v>
      </c>
      <c r="G1899">
        <f t="shared" si="59"/>
        <v>1</v>
      </c>
      <c r="H1899" t="str">
        <f>IF(ISNUMBER(FIND(",", E1899)), TRIM(MID(E1899, FIND(",", E1899) + 1, LEN(E1899))), E1899)</f>
        <v>Vanuatu</v>
      </c>
    </row>
    <row r="1900" spans="1:8" x14ac:dyDescent="0.25">
      <c r="A1900" s="2">
        <v>37258</v>
      </c>
      <c r="B1900">
        <v>-17.88</v>
      </c>
      <c r="C1900">
        <v>178.88</v>
      </c>
      <c r="D1900" t="s">
        <v>16</v>
      </c>
      <c r="E1900" t="s">
        <v>348</v>
      </c>
      <c r="F1900">
        <f t="shared" si="58"/>
        <v>2002</v>
      </c>
      <c r="G1900">
        <f t="shared" si="59"/>
        <v>1</v>
      </c>
      <c r="H1900" t="str">
        <f>IF(ISNUMBER(FIND(",", E1900)), TRIM(MID(E1900, FIND(",", E1900) + 1, LEN(E1900))), E1900)</f>
        <v>Fiji</v>
      </c>
    </row>
    <row r="1901" spans="1:8" x14ac:dyDescent="0.25">
      <c r="A1901" s="2">
        <v>37257</v>
      </c>
      <c r="B1901">
        <v>6.31</v>
      </c>
      <c r="C1901">
        <v>125.66</v>
      </c>
      <c r="D1901" t="s">
        <v>16</v>
      </c>
      <c r="E1901" t="s">
        <v>200</v>
      </c>
      <c r="F1901">
        <f t="shared" si="58"/>
        <v>2002</v>
      </c>
      <c r="G1901">
        <f t="shared" si="59"/>
        <v>1</v>
      </c>
      <c r="H1901" t="str">
        <f>IF(ISNUMBER(FIND(",", E1901)), TRIM(MID(E1901, FIND(",", E1901) + 1, LEN(E1901))), E1901)</f>
        <v>Philippines</v>
      </c>
    </row>
    <row r="1902" spans="1:8" x14ac:dyDescent="0.25">
      <c r="A1902" s="2">
        <v>37252</v>
      </c>
      <c r="B1902">
        <v>-14.64</v>
      </c>
      <c r="C1902">
        <v>167.32</v>
      </c>
      <c r="D1902" t="s">
        <v>16</v>
      </c>
      <c r="E1902" t="s">
        <v>181</v>
      </c>
      <c r="F1902">
        <f t="shared" si="58"/>
        <v>2001</v>
      </c>
      <c r="G1902">
        <f t="shared" si="59"/>
        <v>12</v>
      </c>
      <c r="H1902" t="str">
        <f>IF(ISNUMBER(FIND(",", E1902)), TRIM(MID(E1902, FIND(",", E1902) + 1, LEN(E1902))), E1902)</f>
        <v>Vanuatu</v>
      </c>
    </row>
    <row r="1903" spans="1:8" x14ac:dyDescent="0.25">
      <c r="A1903" s="2">
        <v>37248</v>
      </c>
      <c r="B1903">
        <v>-9.61</v>
      </c>
      <c r="C1903">
        <v>159.63999999999999</v>
      </c>
      <c r="D1903" t="s">
        <v>16</v>
      </c>
      <c r="E1903" t="s">
        <v>221</v>
      </c>
      <c r="F1903">
        <f t="shared" si="58"/>
        <v>2001</v>
      </c>
      <c r="G1903">
        <f t="shared" si="59"/>
        <v>12</v>
      </c>
      <c r="H1903" t="str">
        <f>IF(ISNUMBER(FIND(",", E1903)), TRIM(MID(E1903, FIND(",", E1903) + 1, LEN(E1903))), E1903)</f>
        <v>Solomon Islands</v>
      </c>
    </row>
    <row r="1904" spans="1:8" x14ac:dyDescent="0.25">
      <c r="A1904" s="2">
        <v>37243</v>
      </c>
      <c r="B1904">
        <v>23.99</v>
      </c>
      <c r="C1904">
        <v>122.78</v>
      </c>
      <c r="D1904" t="s">
        <v>16</v>
      </c>
      <c r="E1904" t="s">
        <v>363</v>
      </c>
      <c r="F1904">
        <f t="shared" si="58"/>
        <v>2001</v>
      </c>
      <c r="G1904">
        <f t="shared" si="59"/>
        <v>12</v>
      </c>
      <c r="H1904" t="str">
        <f>IF(ISNUMBER(FIND(",", E1904)), TRIM(MID(E1904, FIND(",", E1904) + 1, LEN(E1904))), E1904)</f>
        <v>Taiwan region</v>
      </c>
    </row>
    <row r="1905" spans="1:8" x14ac:dyDescent="0.25">
      <c r="A1905" s="2">
        <v>37237</v>
      </c>
      <c r="B1905">
        <v>-42.83</v>
      </c>
      <c r="C1905">
        <v>124.65</v>
      </c>
      <c r="D1905" t="s">
        <v>16</v>
      </c>
      <c r="E1905" t="s">
        <v>495</v>
      </c>
      <c r="F1905">
        <f t="shared" si="58"/>
        <v>2001</v>
      </c>
      <c r="G1905">
        <f t="shared" si="59"/>
        <v>12</v>
      </c>
      <c r="H1905" t="str">
        <f>IF(ISNUMBER(FIND(",", E1905)), TRIM(MID(E1905, FIND(",", E1905) + 1, LEN(E1905))), E1905)</f>
        <v>south of Australia</v>
      </c>
    </row>
    <row r="1906" spans="1:8" x14ac:dyDescent="0.25">
      <c r="A1906" s="2">
        <v>37237</v>
      </c>
      <c r="B1906">
        <v>-17.18</v>
      </c>
      <c r="C1906">
        <v>167.75</v>
      </c>
      <c r="D1906" t="s">
        <v>16</v>
      </c>
      <c r="E1906" t="s">
        <v>181</v>
      </c>
      <c r="F1906">
        <f t="shared" si="58"/>
        <v>2001</v>
      </c>
      <c r="G1906">
        <f t="shared" si="59"/>
        <v>12</v>
      </c>
      <c r="H1906" t="str">
        <f>IF(ISNUMBER(FIND(",", E1906)), TRIM(MID(E1906, FIND(",", E1906) + 1, LEN(E1906))), E1906)</f>
        <v>Vanuatu</v>
      </c>
    </row>
    <row r="1907" spans="1:8" x14ac:dyDescent="0.25">
      <c r="A1907" s="2">
        <v>37234</v>
      </c>
      <c r="B1907">
        <v>-7.0000000000000007E-2</v>
      </c>
      <c r="C1907">
        <v>122.79</v>
      </c>
      <c r="D1907" t="s">
        <v>16</v>
      </c>
      <c r="E1907" t="s">
        <v>182</v>
      </c>
      <c r="F1907">
        <f t="shared" si="58"/>
        <v>2001</v>
      </c>
      <c r="G1907">
        <f t="shared" si="59"/>
        <v>12</v>
      </c>
      <c r="H1907" t="str">
        <f>IF(ISNUMBER(FIND(",", E1907)), TRIM(MID(E1907, FIND(",", E1907) + 1, LEN(E1907))), E1907)</f>
        <v>Indonesia</v>
      </c>
    </row>
    <row r="1908" spans="1:8" x14ac:dyDescent="0.25">
      <c r="A1908" s="2">
        <v>37233</v>
      </c>
      <c r="B1908">
        <v>28.28</v>
      </c>
      <c r="C1908">
        <v>129.46</v>
      </c>
      <c r="D1908" t="s">
        <v>16</v>
      </c>
      <c r="E1908" t="s">
        <v>340</v>
      </c>
      <c r="F1908">
        <f t="shared" si="58"/>
        <v>2001</v>
      </c>
      <c r="G1908">
        <f t="shared" si="59"/>
        <v>12</v>
      </c>
      <c r="H1908" t="str">
        <f>IF(ISNUMBER(FIND(",", E1908)), TRIM(MID(E1908, FIND(",", E1908) + 1, LEN(E1908))), E1908)</f>
        <v>Japan</v>
      </c>
    </row>
    <row r="1909" spans="1:8" x14ac:dyDescent="0.25">
      <c r="A1909" s="2">
        <v>37228</v>
      </c>
      <c r="B1909">
        <v>-16.52</v>
      </c>
      <c r="C1909">
        <v>-177.29</v>
      </c>
      <c r="D1909" t="s">
        <v>16</v>
      </c>
      <c r="E1909" t="s">
        <v>53</v>
      </c>
      <c r="F1909">
        <f t="shared" si="58"/>
        <v>2001</v>
      </c>
      <c r="G1909">
        <f t="shared" si="59"/>
        <v>12</v>
      </c>
      <c r="H1909" t="str">
        <f>IF(ISNUMBER(FIND(",", E1909)), TRIM(MID(E1909, FIND(",", E1909) + 1, LEN(E1909))), E1909)</f>
        <v>Fiji region</v>
      </c>
    </row>
    <row r="1910" spans="1:8" x14ac:dyDescent="0.25">
      <c r="A1910" s="2">
        <v>37227</v>
      </c>
      <c r="B1910">
        <v>39.43</v>
      </c>
      <c r="C1910">
        <v>141.09</v>
      </c>
      <c r="D1910" t="s">
        <v>16</v>
      </c>
      <c r="E1910" t="s">
        <v>293</v>
      </c>
      <c r="F1910">
        <f t="shared" si="58"/>
        <v>2001</v>
      </c>
      <c r="G1910">
        <f t="shared" si="59"/>
        <v>12</v>
      </c>
      <c r="H1910" t="str">
        <f>IF(ISNUMBER(FIND(",", E1910)), TRIM(MID(E1910, FIND(",", E1910) + 1, LEN(E1910))), E1910)</f>
        <v>Japan</v>
      </c>
    </row>
    <row r="1911" spans="1:8" x14ac:dyDescent="0.25">
      <c r="A1911" s="2">
        <v>37223</v>
      </c>
      <c r="B1911">
        <v>15.68</v>
      </c>
      <c r="C1911">
        <v>-93.11</v>
      </c>
      <c r="D1911" t="s">
        <v>16</v>
      </c>
      <c r="E1911" t="s">
        <v>421</v>
      </c>
      <c r="F1911">
        <f t="shared" si="58"/>
        <v>2001</v>
      </c>
      <c r="G1911">
        <f t="shared" si="59"/>
        <v>11</v>
      </c>
      <c r="H1911" t="str">
        <f>IF(ISNUMBER(FIND(",", E1911)), TRIM(MID(E1911, FIND(",", E1911) + 1, LEN(E1911))), E1911)</f>
        <v>Mexico</v>
      </c>
    </row>
    <row r="1912" spans="1:8" x14ac:dyDescent="0.25">
      <c r="A1912" s="2">
        <v>37222</v>
      </c>
      <c r="B1912">
        <v>-33.228000000000002</v>
      </c>
      <c r="C1912">
        <v>-178.57300000000001</v>
      </c>
      <c r="D1912" t="s">
        <v>5</v>
      </c>
      <c r="E1912" t="s">
        <v>262</v>
      </c>
      <c r="F1912">
        <f t="shared" si="58"/>
        <v>2001</v>
      </c>
      <c r="G1912">
        <f t="shared" si="59"/>
        <v>11</v>
      </c>
      <c r="H1912" t="str">
        <f>IF(ISNUMBER(FIND(",", E1912)), TRIM(MID(E1912, FIND(",", E1912) + 1, LEN(E1912))), E1912)</f>
        <v>south of the Kermadec Islands</v>
      </c>
    </row>
    <row r="1913" spans="1:8" x14ac:dyDescent="0.25">
      <c r="A1913" s="2">
        <v>37218</v>
      </c>
      <c r="B1913">
        <v>36.369999999999997</v>
      </c>
      <c r="C1913">
        <v>71.44</v>
      </c>
      <c r="D1913" t="s">
        <v>16</v>
      </c>
      <c r="E1913" t="s">
        <v>314</v>
      </c>
      <c r="F1913">
        <f t="shared" si="58"/>
        <v>2001</v>
      </c>
      <c r="G1913">
        <f t="shared" si="59"/>
        <v>11</v>
      </c>
      <c r="H1913" t="str">
        <f>IF(ISNUMBER(FIND(",", E1913)), TRIM(MID(E1913, FIND(",", E1913) + 1, LEN(E1913))), E1913)</f>
        <v>Afghanistan</v>
      </c>
    </row>
    <row r="1914" spans="1:8" x14ac:dyDescent="0.25">
      <c r="A1914" s="2">
        <v>37217</v>
      </c>
      <c r="B1914">
        <v>-16.242000000000001</v>
      </c>
      <c r="C1914">
        <v>178.054</v>
      </c>
      <c r="D1914" t="s">
        <v>5</v>
      </c>
      <c r="E1914" t="s">
        <v>348</v>
      </c>
      <c r="F1914">
        <f t="shared" si="58"/>
        <v>2001</v>
      </c>
      <c r="G1914">
        <f t="shared" si="59"/>
        <v>11</v>
      </c>
      <c r="H1914" t="str">
        <f>IF(ISNUMBER(FIND(",", E1914)), TRIM(MID(E1914, FIND(",", E1914) + 1, LEN(E1914))), E1914)</f>
        <v>Fiji</v>
      </c>
    </row>
    <row r="1915" spans="1:8" x14ac:dyDescent="0.25">
      <c r="A1915" s="2">
        <v>37217</v>
      </c>
      <c r="B1915">
        <v>-16.329999999999998</v>
      </c>
      <c r="C1915">
        <v>178.17</v>
      </c>
      <c r="D1915" t="s">
        <v>16</v>
      </c>
      <c r="E1915" t="s">
        <v>348</v>
      </c>
      <c r="F1915">
        <f t="shared" si="58"/>
        <v>2001</v>
      </c>
      <c r="G1915">
        <f t="shared" si="59"/>
        <v>11</v>
      </c>
      <c r="H1915" t="str">
        <f>IF(ISNUMBER(FIND(",", E1915)), TRIM(MID(E1915, FIND(",", E1915) + 1, LEN(E1915))), E1915)</f>
        <v>Fiji</v>
      </c>
    </row>
    <row r="1916" spans="1:8" x14ac:dyDescent="0.25">
      <c r="A1916" s="2">
        <v>37215</v>
      </c>
      <c r="B1916">
        <v>-6.98</v>
      </c>
      <c r="C1916">
        <v>128.85</v>
      </c>
      <c r="D1916" t="s">
        <v>16</v>
      </c>
      <c r="E1916" t="s">
        <v>187</v>
      </c>
      <c r="F1916">
        <f t="shared" si="58"/>
        <v>2001</v>
      </c>
      <c r="G1916">
        <f t="shared" si="59"/>
        <v>11</v>
      </c>
      <c r="H1916" t="str">
        <f>IF(ISNUMBER(FIND(",", E1916)), TRIM(MID(E1916, FIND(",", E1916) + 1, LEN(E1916))), E1916)</f>
        <v>Banda Sea</v>
      </c>
    </row>
    <row r="1917" spans="1:8" x14ac:dyDescent="0.25">
      <c r="A1917" s="2">
        <v>37210</v>
      </c>
      <c r="B1917">
        <v>-1.57</v>
      </c>
      <c r="C1917">
        <v>-15.61</v>
      </c>
      <c r="D1917" t="s">
        <v>16</v>
      </c>
      <c r="E1917" t="s">
        <v>378</v>
      </c>
      <c r="F1917">
        <f t="shared" si="58"/>
        <v>2001</v>
      </c>
      <c r="G1917">
        <f t="shared" si="59"/>
        <v>11</v>
      </c>
      <c r="H1917" t="str">
        <f>IF(ISNUMBER(FIND(",", E1917)), TRIM(MID(E1917, FIND(",", E1917) + 1, LEN(E1917))), E1917)</f>
        <v>north of Ascension Island</v>
      </c>
    </row>
    <row r="1918" spans="1:8" x14ac:dyDescent="0.25">
      <c r="A1918" s="2">
        <v>37209</v>
      </c>
      <c r="B1918">
        <v>35.880000000000003</v>
      </c>
      <c r="C1918">
        <v>90.58</v>
      </c>
      <c r="D1918" t="s">
        <v>16</v>
      </c>
      <c r="E1918" t="s">
        <v>331</v>
      </c>
      <c r="F1918">
        <f t="shared" si="58"/>
        <v>2001</v>
      </c>
      <c r="G1918">
        <f t="shared" si="59"/>
        <v>11</v>
      </c>
      <c r="H1918" t="str">
        <f>IF(ISNUMBER(FIND(",", E1918)), TRIM(MID(E1918, FIND(",", E1918) + 1, LEN(E1918))), E1918)</f>
        <v>China</v>
      </c>
    </row>
    <row r="1919" spans="1:8" x14ac:dyDescent="0.25">
      <c r="A1919" s="2">
        <v>37208</v>
      </c>
      <c r="B1919">
        <v>53.61</v>
      </c>
      <c r="C1919">
        <v>170.44</v>
      </c>
      <c r="D1919" t="s">
        <v>16</v>
      </c>
      <c r="E1919" t="s">
        <v>184</v>
      </c>
      <c r="F1919">
        <f t="shared" si="58"/>
        <v>2001</v>
      </c>
      <c r="G1919">
        <f t="shared" si="59"/>
        <v>11</v>
      </c>
      <c r="H1919" t="str">
        <f>IF(ISNUMBER(FIND(",", E1919)), TRIM(MID(E1919, FIND(",", E1919) + 1, LEN(E1919))), E1919)</f>
        <v>Aleutian Islands, Alaska</v>
      </c>
    </row>
    <row r="1920" spans="1:8" x14ac:dyDescent="0.25">
      <c r="A1920" s="2">
        <v>37208</v>
      </c>
      <c r="B1920">
        <v>22.3</v>
      </c>
      <c r="C1920">
        <v>-107.03</v>
      </c>
      <c r="D1920" t="s">
        <v>16</v>
      </c>
      <c r="E1920" t="s">
        <v>496</v>
      </c>
      <c r="F1920">
        <f t="shared" si="58"/>
        <v>2001</v>
      </c>
      <c r="G1920">
        <f t="shared" si="59"/>
        <v>11</v>
      </c>
      <c r="H1920" t="str">
        <f>IF(ISNUMBER(FIND(",", E1920)), TRIM(MID(E1920, FIND(",", E1920) + 1, LEN(E1920))), E1920)</f>
        <v>Mexico</v>
      </c>
    </row>
    <row r="1921" spans="1:8" x14ac:dyDescent="0.25">
      <c r="A1921" s="2">
        <v>37204</v>
      </c>
      <c r="B1921">
        <v>9.7100000000000009</v>
      </c>
      <c r="C1921">
        <v>-82.25</v>
      </c>
      <c r="D1921" t="s">
        <v>16</v>
      </c>
      <c r="E1921" t="s">
        <v>379</v>
      </c>
      <c r="F1921">
        <f t="shared" si="58"/>
        <v>2001</v>
      </c>
      <c r="G1921">
        <f t="shared" si="59"/>
        <v>11</v>
      </c>
      <c r="H1921" t="str">
        <f>IF(ISNUMBER(FIND(",", E1921)), TRIM(MID(E1921, FIND(",", E1921) + 1, LEN(E1921))), E1921)</f>
        <v>Panama-Costa Rica border region</v>
      </c>
    </row>
    <row r="1922" spans="1:8" x14ac:dyDescent="0.25">
      <c r="A1922" s="2">
        <v>37200</v>
      </c>
      <c r="B1922">
        <v>-17.34</v>
      </c>
      <c r="C1922">
        <v>-179.07</v>
      </c>
      <c r="D1922" t="s">
        <v>16</v>
      </c>
      <c r="E1922" t="s">
        <v>53</v>
      </c>
      <c r="F1922">
        <f t="shared" ref="F1922:F1985" si="60">YEAR(A1922)</f>
        <v>2001</v>
      </c>
      <c r="G1922">
        <f t="shared" si="59"/>
        <v>11</v>
      </c>
      <c r="H1922" t="str">
        <f>IF(ISNUMBER(FIND(",", E1922)), TRIM(MID(E1922, FIND(",", E1922) + 1, LEN(E1922))), E1922)</f>
        <v>Fiji region</v>
      </c>
    </row>
    <row r="1923" spans="1:8" x14ac:dyDescent="0.25">
      <c r="A1923" s="2">
        <v>37195</v>
      </c>
      <c r="B1923">
        <v>-5.96</v>
      </c>
      <c r="C1923">
        <v>150.24</v>
      </c>
      <c r="D1923" t="s">
        <v>16</v>
      </c>
      <c r="E1923" t="s">
        <v>190</v>
      </c>
      <c r="F1923">
        <f t="shared" si="60"/>
        <v>2001</v>
      </c>
      <c r="G1923">
        <f t="shared" ref="G1923:G1986" si="61">MONTH(A1923)</f>
        <v>10</v>
      </c>
      <c r="H1923" t="str">
        <f>IF(ISNUMBER(FIND(",", E1923)), TRIM(MID(E1923, FIND(",", E1923) + 1, LEN(E1923))), E1923)</f>
        <v>Papua New Guinea</v>
      </c>
    </row>
    <row r="1924" spans="1:8" x14ac:dyDescent="0.25">
      <c r="A1924" s="2">
        <v>37190</v>
      </c>
      <c r="B1924">
        <v>-18.5</v>
      </c>
      <c r="C1924">
        <v>168.27</v>
      </c>
      <c r="D1924" t="s">
        <v>16</v>
      </c>
      <c r="E1924" t="s">
        <v>181</v>
      </c>
      <c r="F1924">
        <f t="shared" si="60"/>
        <v>2001</v>
      </c>
      <c r="G1924">
        <f t="shared" si="61"/>
        <v>10</v>
      </c>
      <c r="H1924" t="str">
        <f>IF(ISNUMBER(FIND(",", E1924)), TRIM(MID(E1924, FIND(",", E1924) + 1, LEN(E1924))), E1924)</f>
        <v>Vanuatu</v>
      </c>
    </row>
    <row r="1925" spans="1:8" x14ac:dyDescent="0.25">
      <c r="A1925" s="2">
        <v>37185</v>
      </c>
      <c r="B1925">
        <v>-36.94</v>
      </c>
      <c r="C1925">
        <v>179.32</v>
      </c>
      <c r="D1925" t="s">
        <v>16</v>
      </c>
      <c r="E1925" t="s">
        <v>410</v>
      </c>
      <c r="F1925">
        <f t="shared" si="60"/>
        <v>2001</v>
      </c>
      <c r="G1925">
        <f t="shared" si="61"/>
        <v>10</v>
      </c>
      <c r="H1925" t="str">
        <f>IF(ISNUMBER(FIND(",", E1925)), TRIM(MID(E1925, FIND(",", E1925) + 1, LEN(E1925))), E1925)</f>
        <v>off the east coast of the North Island of New Zealand</v>
      </c>
    </row>
    <row r="1926" spans="1:8" x14ac:dyDescent="0.25">
      <c r="A1926" s="2">
        <v>37183</v>
      </c>
      <c r="B1926">
        <v>-4.1100000000000003</v>
      </c>
      <c r="C1926">
        <v>123.93</v>
      </c>
      <c r="D1926" t="s">
        <v>16</v>
      </c>
      <c r="E1926" t="s">
        <v>187</v>
      </c>
      <c r="F1926">
        <f t="shared" si="60"/>
        <v>2001</v>
      </c>
      <c r="G1926">
        <f t="shared" si="61"/>
        <v>10</v>
      </c>
      <c r="H1926" t="str">
        <f>IF(ISNUMBER(FIND(",", E1926)), TRIM(MID(E1926, FIND(",", E1926) + 1, LEN(E1926))), E1926)</f>
        <v>Banda Sea</v>
      </c>
    </row>
    <row r="1927" spans="1:8" x14ac:dyDescent="0.25">
      <c r="A1927" s="2">
        <v>37176</v>
      </c>
      <c r="B1927">
        <v>12.75</v>
      </c>
      <c r="C1927">
        <v>145.04</v>
      </c>
      <c r="D1927" t="s">
        <v>16</v>
      </c>
      <c r="E1927" t="s">
        <v>403</v>
      </c>
      <c r="F1927">
        <f t="shared" si="60"/>
        <v>2001</v>
      </c>
      <c r="G1927">
        <f t="shared" si="61"/>
        <v>10</v>
      </c>
      <c r="H1927" t="str">
        <f>IF(ISNUMBER(FIND(",", E1927)), TRIM(MID(E1927, FIND(",", E1927) + 1, LEN(E1927))), E1927)</f>
        <v>Guam region</v>
      </c>
    </row>
    <row r="1928" spans="1:8" x14ac:dyDescent="0.25">
      <c r="A1928" s="2">
        <v>37176</v>
      </c>
      <c r="B1928">
        <v>52.69</v>
      </c>
      <c r="C1928">
        <v>-132.25</v>
      </c>
      <c r="D1928" t="s">
        <v>16</v>
      </c>
      <c r="E1928" t="s">
        <v>201</v>
      </c>
      <c r="F1928">
        <f t="shared" si="60"/>
        <v>2001</v>
      </c>
      <c r="G1928">
        <f t="shared" si="61"/>
        <v>10</v>
      </c>
      <c r="H1928" t="str">
        <f>IF(ISNUMBER(FIND(",", E1928)), TRIM(MID(E1928, FIND(",", E1928) + 1, LEN(E1928))), E1928)</f>
        <v>Canada</v>
      </c>
    </row>
    <row r="1929" spans="1:8" x14ac:dyDescent="0.25">
      <c r="A1929" s="2">
        <v>37172</v>
      </c>
      <c r="B1929">
        <v>52.68</v>
      </c>
      <c r="C1929">
        <v>160.13</v>
      </c>
      <c r="D1929" t="s">
        <v>16</v>
      </c>
      <c r="E1929" t="s">
        <v>318</v>
      </c>
      <c r="F1929">
        <f t="shared" si="60"/>
        <v>2001</v>
      </c>
      <c r="G1929">
        <f t="shared" si="61"/>
        <v>10</v>
      </c>
      <c r="H1929" t="str">
        <f>IF(ISNUMBER(FIND(",", E1929)), TRIM(MID(E1929, FIND(",", E1929) + 1, LEN(E1929))), E1929)</f>
        <v>Russia</v>
      </c>
    </row>
    <row r="1930" spans="1:8" x14ac:dyDescent="0.25">
      <c r="A1930" s="2">
        <v>37172</v>
      </c>
      <c r="B1930">
        <v>52.57</v>
      </c>
      <c r="C1930">
        <v>160.19999999999999</v>
      </c>
      <c r="D1930" t="s">
        <v>16</v>
      </c>
      <c r="E1930" t="s">
        <v>318</v>
      </c>
      <c r="F1930">
        <f t="shared" si="60"/>
        <v>2001</v>
      </c>
      <c r="G1930">
        <f t="shared" si="61"/>
        <v>10</v>
      </c>
      <c r="H1930" t="str">
        <f>IF(ISNUMBER(FIND(",", E1930)), TRIM(MID(E1930, FIND(",", E1930) + 1, LEN(E1930))), E1930)</f>
        <v>Russia</v>
      </c>
    </row>
    <row r="1931" spans="1:8" x14ac:dyDescent="0.25">
      <c r="A1931" s="2">
        <v>37171</v>
      </c>
      <c r="B1931">
        <v>-3.31</v>
      </c>
      <c r="C1931">
        <v>142.96</v>
      </c>
      <c r="D1931" t="s">
        <v>16</v>
      </c>
      <c r="E1931" t="s">
        <v>216</v>
      </c>
      <c r="F1931">
        <f t="shared" si="60"/>
        <v>2001</v>
      </c>
      <c r="G1931">
        <f t="shared" si="61"/>
        <v>10</v>
      </c>
      <c r="H1931" t="str">
        <f>IF(ISNUMBER(FIND(",", E1931)), TRIM(MID(E1931, FIND(",", E1931) + 1, LEN(E1931))), E1931)</f>
        <v>Papua New Guinea</v>
      </c>
    </row>
    <row r="1932" spans="1:8" x14ac:dyDescent="0.25">
      <c r="A1932" s="2">
        <v>37166</v>
      </c>
      <c r="B1932">
        <v>-16.2</v>
      </c>
      <c r="C1932">
        <v>-173.69</v>
      </c>
      <c r="D1932" t="s">
        <v>16</v>
      </c>
      <c r="E1932" t="s">
        <v>239</v>
      </c>
      <c r="F1932">
        <f t="shared" si="60"/>
        <v>2001</v>
      </c>
      <c r="G1932">
        <f t="shared" si="61"/>
        <v>10</v>
      </c>
      <c r="H1932" t="str">
        <f>IF(ISNUMBER(FIND(",", E1932)), TRIM(MID(E1932, FIND(",", E1932) + 1, LEN(E1932))), E1932)</f>
        <v>Tonga</v>
      </c>
    </row>
    <row r="1933" spans="1:8" x14ac:dyDescent="0.25">
      <c r="A1933" s="2">
        <v>37164</v>
      </c>
      <c r="B1933">
        <v>-18.46</v>
      </c>
      <c r="C1933">
        <v>168.26</v>
      </c>
      <c r="D1933" t="s">
        <v>16</v>
      </c>
      <c r="E1933" t="s">
        <v>181</v>
      </c>
      <c r="F1933">
        <f t="shared" si="60"/>
        <v>2001</v>
      </c>
      <c r="G1933">
        <f t="shared" si="61"/>
        <v>9</v>
      </c>
      <c r="H1933" t="str">
        <f>IF(ISNUMBER(FIND(",", E1933)), TRIM(MID(E1933, FIND(",", E1933) + 1, LEN(E1933))), E1933)</f>
        <v>Vanuatu</v>
      </c>
    </row>
    <row r="1934" spans="1:8" x14ac:dyDescent="0.25">
      <c r="A1934" s="2">
        <v>37163</v>
      </c>
      <c r="B1934">
        <v>-18.52</v>
      </c>
      <c r="C1934">
        <v>168.3</v>
      </c>
      <c r="D1934" t="s">
        <v>16</v>
      </c>
      <c r="E1934" t="s">
        <v>181</v>
      </c>
      <c r="F1934">
        <f t="shared" si="60"/>
        <v>2001</v>
      </c>
      <c r="G1934">
        <f t="shared" si="61"/>
        <v>9</v>
      </c>
      <c r="H1934" t="str">
        <f>IF(ISNUMBER(FIND(",", E1934)), TRIM(MID(E1934, FIND(",", E1934) + 1, LEN(E1934))), E1934)</f>
        <v>Vanuatu</v>
      </c>
    </row>
    <row r="1935" spans="1:8" x14ac:dyDescent="0.25">
      <c r="A1935" s="2">
        <v>37152</v>
      </c>
      <c r="B1935">
        <v>-7.58</v>
      </c>
      <c r="C1935">
        <v>127.67</v>
      </c>
      <c r="D1935" t="s">
        <v>16</v>
      </c>
      <c r="E1935" t="s">
        <v>49</v>
      </c>
      <c r="F1935">
        <f t="shared" si="60"/>
        <v>2001</v>
      </c>
      <c r="G1935">
        <f t="shared" si="61"/>
        <v>9</v>
      </c>
      <c r="H1935" t="str">
        <f>IF(ISNUMBER(FIND(",", E1935)), TRIM(MID(E1935, FIND(",", E1935) + 1, LEN(E1935))), E1935)</f>
        <v>Indonesia</v>
      </c>
    </row>
    <row r="1936" spans="1:8" x14ac:dyDescent="0.25">
      <c r="A1936" s="2">
        <v>37146</v>
      </c>
      <c r="B1936">
        <v>-21.01</v>
      </c>
      <c r="C1936">
        <v>-178.97</v>
      </c>
      <c r="D1936" t="s">
        <v>16</v>
      </c>
      <c r="E1936" t="s">
        <v>53</v>
      </c>
      <c r="F1936">
        <f t="shared" si="60"/>
        <v>2001</v>
      </c>
      <c r="G1936">
        <f t="shared" si="61"/>
        <v>9</v>
      </c>
      <c r="H1936" t="str">
        <f>IF(ISNUMBER(FIND(",", E1936)), TRIM(MID(E1936, FIND(",", E1936) + 1, LEN(E1936))), E1936)</f>
        <v>Fiji region</v>
      </c>
    </row>
    <row r="1937" spans="1:8" x14ac:dyDescent="0.25">
      <c r="A1937" s="2">
        <v>37145</v>
      </c>
      <c r="B1937">
        <v>-0.61</v>
      </c>
      <c r="C1937">
        <v>133.11000000000001</v>
      </c>
      <c r="D1937" t="s">
        <v>16</v>
      </c>
      <c r="E1937" t="s">
        <v>241</v>
      </c>
      <c r="F1937">
        <f t="shared" si="60"/>
        <v>2001</v>
      </c>
      <c r="G1937">
        <f t="shared" si="61"/>
        <v>9</v>
      </c>
      <c r="H1937" t="str">
        <f>IF(ISNUMBER(FIND(",", E1937)), TRIM(MID(E1937, FIND(",", E1937) + 1, LEN(E1937))), E1937)</f>
        <v>Indonesia</v>
      </c>
    </row>
    <row r="1938" spans="1:8" x14ac:dyDescent="0.25">
      <c r="A1938" s="2">
        <v>37136</v>
      </c>
      <c r="B1938">
        <v>-54.31</v>
      </c>
      <c r="C1938">
        <v>-136.85</v>
      </c>
      <c r="D1938" t="s">
        <v>16</v>
      </c>
      <c r="E1938" t="s">
        <v>179</v>
      </c>
      <c r="F1938">
        <f t="shared" si="60"/>
        <v>2001</v>
      </c>
      <c r="G1938">
        <f t="shared" si="61"/>
        <v>9</v>
      </c>
      <c r="H1938" t="str">
        <f>IF(ISNUMBER(FIND(",", E1938)), TRIM(MID(E1938, FIND(",", E1938) + 1, LEN(E1938))), E1938)</f>
        <v>Pacific-Antarctic Ridge</v>
      </c>
    </row>
    <row r="1939" spans="1:8" x14ac:dyDescent="0.25">
      <c r="A1939" s="2">
        <v>37136</v>
      </c>
      <c r="B1939">
        <v>0.93</v>
      </c>
      <c r="C1939">
        <v>82.44</v>
      </c>
      <c r="D1939" t="s">
        <v>16</v>
      </c>
      <c r="E1939" t="s">
        <v>250</v>
      </c>
      <c r="F1939">
        <f t="shared" si="60"/>
        <v>2001</v>
      </c>
      <c r="G1939">
        <f t="shared" si="61"/>
        <v>9</v>
      </c>
      <c r="H1939" t="str">
        <f>IF(ISNUMBER(FIND(",", E1939)), TRIM(MID(E1939, FIND(",", E1939) + 1, LEN(E1939))), E1939)</f>
        <v>North Indian Ocean</v>
      </c>
    </row>
    <row r="1940" spans="1:8" x14ac:dyDescent="0.25">
      <c r="A1940" s="2">
        <v>37130</v>
      </c>
      <c r="B1940">
        <v>1.05</v>
      </c>
      <c r="C1940">
        <v>126.32</v>
      </c>
      <c r="D1940" t="s">
        <v>16</v>
      </c>
      <c r="E1940" t="s">
        <v>186</v>
      </c>
      <c r="F1940">
        <f t="shared" si="60"/>
        <v>2001</v>
      </c>
      <c r="G1940">
        <f t="shared" si="61"/>
        <v>8</v>
      </c>
      <c r="H1940" t="str">
        <f>IF(ISNUMBER(FIND(",", E1940)), TRIM(MID(E1940, FIND(",", E1940) + 1, LEN(E1940))), E1940)</f>
        <v>Molucca Sea</v>
      </c>
    </row>
    <row r="1941" spans="1:8" x14ac:dyDescent="0.25">
      <c r="A1941" s="2">
        <v>37128</v>
      </c>
      <c r="B1941">
        <v>7.6</v>
      </c>
      <c r="C1941">
        <v>-82.76</v>
      </c>
      <c r="D1941" t="s">
        <v>16</v>
      </c>
      <c r="E1941" t="s">
        <v>231</v>
      </c>
      <c r="F1941">
        <f t="shared" si="60"/>
        <v>2001</v>
      </c>
      <c r="G1941">
        <f t="shared" si="61"/>
        <v>8</v>
      </c>
      <c r="H1941" t="str">
        <f>IF(ISNUMBER(FIND(",", E1941)), TRIM(MID(E1941, FIND(",", E1941) + 1, LEN(E1941))), E1941)</f>
        <v>south of Panama</v>
      </c>
    </row>
    <row r="1942" spans="1:8" x14ac:dyDescent="0.25">
      <c r="A1942" s="2">
        <v>37126</v>
      </c>
      <c r="B1942">
        <v>-3.33</v>
      </c>
      <c r="C1942">
        <v>146.46</v>
      </c>
      <c r="D1942" t="s">
        <v>16</v>
      </c>
      <c r="E1942" t="s">
        <v>380</v>
      </c>
      <c r="F1942">
        <f t="shared" si="60"/>
        <v>2001</v>
      </c>
      <c r="G1942">
        <f t="shared" si="61"/>
        <v>8</v>
      </c>
      <c r="H1942" t="str">
        <f>IF(ISNUMBER(FIND(",", E1942)), TRIM(MID(E1942, FIND(",", E1942) + 1, LEN(E1942))), E1942)</f>
        <v>Bismarck Sea</v>
      </c>
    </row>
    <row r="1943" spans="1:8" x14ac:dyDescent="0.25">
      <c r="A1943" s="2">
        <v>37124</v>
      </c>
      <c r="B1943">
        <v>-36.81</v>
      </c>
      <c r="C1943">
        <v>-179.66</v>
      </c>
      <c r="D1943" t="s">
        <v>16</v>
      </c>
      <c r="E1943" t="s">
        <v>276</v>
      </c>
      <c r="F1943">
        <f t="shared" si="60"/>
        <v>2001</v>
      </c>
      <c r="G1943">
        <f t="shared" si="61"/>
        <v>8</v>
      </c>
      <c r="H1943" t="str">
        <f>IF(ISNUMBER(FIND(",", E1943)), TRIM(MID(E1943, FIND(",", E1943) + 1, LEN(E1943))), E1943)</f>
        <v>east of the North Island of New Zealand</v>
      </c>
    </row>
    <row r="1944" spans="1:8" x14ac:dyDescent="0.25">
      <c r="A1944" s="2">
        <v>37116</v>
      </c>
      <c r="B1944">
        <v>41.05</v>
      </c>
      <c r="C1944">
        <v>142.28</v>
      </c>
      <c r="D1944" t="s">
        <v>16</v>
      </c>
      <c r="E1944" t="s">
        <v>265</v>
      </c>
      <c r="F1944">
        <f t="shared" si="60"/>
        <v>2001</v>
      </c>
      <c r="G1944">
        <f t="shared" si="61"/>
        <v>8</v>
      </c>
      <c r="H1944" t="str">
        <f>IF(ISNUMBER(FIND(",", E1944)), TRIM(MID(E1944, FIND(",", E1944) + 1, LEN(E1944))), E1944)</f>
        <v>Japan region</v>
      </c>
    </row>
    <row r="1945" spans="1:8" x14ac:dyDescent="0.25">
      <c r="A1945" s="2">
        <v>37109</v>
      </c>
      <c r="B1945">
        <v>-55.43</v>
      </c>
      <c r="C1945">
        <v>-123.33</v>
      </c>
      <c r="D1945" t="s">
        <v>16</v>
      </c>
      <c r="E1945" t="s">
        <v>268</v>
      </c>
      <c r="F1945">
        <f t="shared" si="60"/>
        <v>2001</v>
      </c>
      <c r="G1945">
        <f t="shared" si="61"/>
        <v>8</v>
      </c>
      <c r="H1945" t="str">
        <f>IF(ISNUMBER(FIND(",", E1945)), TRIM(MID(E1945, FIND(",", E1945) + 1, LEN(E1945))), E1945)</f>
        <v>southern East Pacific Rise</v>
      </c>
    </row>
    <row r="1946" spans="1:8" x14ac:dyDescent="0.25">
      <c r="A1946" s="2">
        <v>37105</v>
      </c>
      <c r="B1946">
        <v>56.22</v>
      </c>
      <c r="C1946">
        <v>163.69999999999999</v>
      </c>
      <c r="D1946" t="s">
        <v>16</v>
      </c>
      <c r="E1946" t="s">
        <v>225</v>
      </c>
      <c r="F1946">
        <f t="shared" si="60"/>
        <v>2001</v>
      </c>
      <c r="G1946">
        <f t="shared" si="61"/>
        <v>8</v>
      </c>
      <c r="H1946" t="str">
        <f>IF(ISNUMBER(FIND(",", E1946)), TRIM(MID(E1946, FIND(",", E1946) + 1, LEN(E1946))), E1946)</f>
        <v>Russia</v>
      </c>
    </row>
    <row r="1947" spans="1:8" x14ac:dyDescent="0.25">
      <c r="A1947" s="2">
        <v>37100</v>
      </c>
      <c r="B1947">
        <v>59</v>
      </c>
      <c r="C1947">
        <v>-155.09</v>
      </c>
      <c r="D1947" t="s">
        <v>16</v>
      </c>
      <c r="E1947" t="s">
        <v>497</v>
      </c>
      <c r="F1947">
        <f t="shared" si="60"/>
        <v>2001</v>
      </c>
      <c r="G1947">
        <f t="shared" si="61"/>
        <v>7</v>
      </c>
      <c r="H1947" t="str">
        <f>IF(ISNUMBER(FIND(",", E1947)), TRIM(MID(E1947, FIND(",", E1947) + 1, LEN(E1947))), E1947)</f>
        <v>Southern Alaska</v>
      </c>
    </row>
    <row r="1948" spans="1:8" x14ac:dyDescent="0.25">
      <c r="A1948" s="2">
        <v>37098</v>
      </c>
      <c r="B1948">
        <v>39.08</v>
      </c>
      <c r="C1948">
        <v>24.29</v>
      </c>
      <c r="D1948" t="s">
        <v>16</v>
      </c>
      <c r="E1948" t="s">
        <v>498</v>
      </c>
      <c r="F1948">
        <f t="shared" si="60"/>
        <v>2001</v>
      </c>
      <c r="G1948">
        <f t="shared" si="61"/>
        <v>7</v>
      </c>
      <c r="H1948" t="str">
        <f>IF(ISNUMBER(FIND(",", E1948)), TRIM(MID(E1948, FIND(",", E1948) + 1, LEN(E1948))), E1948)</f>
        <v>Aegean Sea</v>
      </c>
    </row>
    <row r="1949" spans="1:8" x14ac:dyDescent="0.25">
      <c r="A1949" s="2">
        <v>37096</v>
      </c>
      <c r="B1949">
        <v>-19.55</v>
      </c>
      <c r="C1949">
        <v>-69.23</v>
      </c>
      <c r="D1949" t="s">
        <v>16</v>
      </c>
      <c r="E1949" t="s">
        <v>237</v>
      </c>
      <c r="F1949">
        <f t="shared" si="60"/>
        <v>2001</v>
      </c>
      <c r="G1949">
        <f t="shared" si="61"/>
        <v>7</v>
      </c>
      <c r="H1949" t="str">
        <f>IF(ISNUMBER(FIND(",", E1949)), TRIM(MID(E1949, FIND(",", E1949) + 1, LEN(E1949))), E1949)</f>
        <v>Chile</v>
      </c>
    </row>
    <row r="1950" spans="1:8" x14ac:dyDescent="0.25">
      <c r="A1950" s="2">
        <v>37094</v>
      </c>
      <c r="B1950">
        <v>-5.21</v>
      </c>
      <c r="C1950">
        <v>132.32</v>
      </c>
      <c r="D1950" t="s">
        <v>16</v>
      </c>
      <c r="E1950" t="s">
        <v>313</v>
      </c>
      <c r="F1950">
        <f t="shared" si="60"/>
        <v>2001</v>
      </c>
      <c r="G1950">
        <f t="shared" si="61"/>
        <v>7</v>
      </c>
      <c r="H1950" t="str">
        <f>IF(ISNUMBER(FIND(",", E1950)), TRIM(MID(E1950, FIND(",", E1950) + 1, LEN(E1950))), E1950)</f>
        <v>Indonesia</v>
      </c>
    </row>
    <row r="1951" spans="1:8" x14ac:dyDescent="0.25">
      <c r="A1951" s="2">
        <v>37080</v>
      </c>
      <c r="B1951">
        <v>-6.69</v>
      </c>
      <c r="C1951">
        <v>152.13999999999999</v>
      </c>
      <c r="D1951" t="s">
        <v>16</v>
      </c>
      <c r="E1951" t="s">
        <v>190</v>
      </c>
      <c r="F1951">
        <f t="shared" si="60"/>
        <v>2001</v>
      </c>
      <c r="G1951">
        <f t="shared" si="61"/>
        <v>7</v>
      </c>
      <c r="H1951" t="str">
        <f>IF(ISNUMBER(FIND(",", E1951)), TRIM(MID(E1951, FIND(",", E1951) + 1, LEN(E1951))), E1951)</f>
        <v>Papua New Guinea</v>
      </c>
    </row>
    <row r="1952" spans="1:8" x14ac:dyDescent="0.25">
      <c r="A1952" s="2">
        <v>37079</v>
      </c>
      <c r="B1952">
        <v>-17.53</v>
      </c>
      <c r="C1952">
        <v>-71.930000000000007</v>
      </c>
      <c r="D1952" t="s">
        <v>16</v>
      </c>
      <c r="E1952" t="s">
        <v>499</v>
      </c>
      <c r="F1952">
        <f t="shared" si="60"/>
        <v>2001</v>
      </c>
      <c r="G1952">
        <f t="shared" si="61"/>
        <v>7</v>
      </c>
      <c r="H1952" t="str">
        <f>IF(ISNUMBER(FIND(",", E1952)), TRIM(MID(E1952, FIND(",", E1952) + 1, LEN(E1952))), E1952)</f>
        <v>near the coast of southern Peru</v>
      </c>
    </row>
    <row r="1953" spans="1:8" x14ac:dyDescent="0.25">
      <c r="A1953" s="2">
        <v>37077</v>
      </c>
      <c r="B1953">
        <v>-16.059999999999999</v>
      </c>
      <c r="C1953">
        <v>-73.75</v>
      </c>
      <c r="D1953" t="s">
        <v>16</v>
      </c>
      <c r="E1953" t="s">
        <v>499</v>
      </c>
      <c r="F1953">
        <f t="shared" si="60"/>
        <v>2001</v>
      </c>
      <c r="G1953">
        <f t="shared" si="61"/>
        <v>7</v>
      </c>
      <c r="H1953" t="str">
        <f>IF(ISNUMBER(FIND(",", E1953)), TRIM(MID(E1953, FIND(",", E1953) + 1, LEN(E1953))), E1953)</f>
        <v>near the coast of southern Peru</v>
      </c>
    </row>
    <row r="1954" spans="1:8" x14ac:dyDescent="0.25">
      <c r="A1954" s="2">
        <v>37076</v>
      </c>
      <c r="B1954">
        <v>-17.2</v>
      </c>
      <c r="C1954">
        <v>-65.599999999999994</v>
      </c>
      <c r="D1954" t="s">
        <v>16</v>
      </c>
      <c r="E1954" t="s">
        <v>500</v>
      </c>
      <c r="F1954">
        <f t="shared" si="60"/>
        <v>2001</v>
      </c>
      <c r="G1954">
        <f t="shared" si="61"/>
        <v>7</v>
      </c>
      <c r="H1954" t="str">
        <f>IF(ISNUMBER(FIND(",", E1954)), TRIM(MID(E1954, FIND(",", E1954) + 1, LEN(E1954))), E1954)</f>
        <v>Bolivia</v>
      </c>
    </row>
    <row r="1955" spans="1:8" x14ac:dyDescent="0.25">
      <c r="A1955" s="2">
        <v>37076</v>
      </c>
      <c r="B1955">
        <v>-21.79</v>
      </c>
      <c r="C1955">
        <v>-176.59</v>
      </c>
      <c r="D1955" t="s">
        <v>16</v>
      </c>
      <c r="E1955" t="s">
        <v>53</v>
      </c>
      <c r="F1955">
        <f t="shared" si="60"/>
        <v>2001</v>
      </c>
      <c r="G1955">
        <f t="shared" si="61"/>
        <v>7</v>
      </c>
      <c r="H1955" t="str">
        <f>IF(ISNUMBER(FIND(",", E1955)), TRIM(MID(E1955, FIND(",", E1955) + 1, LEN(E1955))), E1955)</f>
        <v>Fiji region</v>
      </c>
    </row>
    <row r="1956" spans="1:8" x14ac:dyDescent="0.25">
      <c r="A1956" s="2">
        <v>37075</v>
      </c>
      <c r="B1956">
        <v>21.63</v>
      </c>
      <c r="C1956">
        <v>143.04</v>
      </c>
      <c r="D1956" t="s">
        <v>16</v>
      </c>
      <c r="E1956" t="s">
        <v>72</v>
      </c>
      <c r="F1956">
        <f t="shared" si="60"/>
        <v>2001</v>
      </c>
      <c r="G1956">
        <f t="shared" si="61"/>
        <v>7</v>
      </c>
      <c r="H1956" t="str">
        <f>IF(ISNUMBER(FIND(",", E1956)), TRIM(MID(E1956, FIND(",", E1956) + 1, LEN(E1956))), E1956)</f>
        <v>Mariana Islands region</v>
      </c>
    </row>
    <row r="1957" spans="1:8" x14ac:dyDescent="0.25">
      <c r="A1957" s="2">
        <v>37073</v>
      </c>
      <c r="B1957">
        <v>-4.3</v>
      </c>
      <c r="C1957">
        <v>152.91999999999999</v>
      </c>
      <c r="D1957" t="s">
        <v>16</v>
      </c>
      <c r="E1957" t="s">
        <v>190</v>
      </c>
      <c r="F1957">
        <f t="shared" si="60"/>
        <v>2001</v>
      </c>
      <c r="G1957">
        <f t="shared" si="61"/>
        <v>7</v>
      </c>
      <c r="H1957" t="str">
        <f>IF(ISNUMBER(FIND(",", E1957)), TRIM(MID(E1957, FIND(",", E1957) + 1, LEN(E1957))), E1957)</f>
        <v>Papua New Guinea</v>
      </c>
    </row>
    <row r="1958" spans="1:8" x14ac:dyDescent="0.25">
      <c r="A1958" s="2">
        <v>37071</v>
      </c>
      <c r="B1958">
        <v>-19.73</v>
      </c>
      <c r="C1958">
        <v>-66.25</v>
      </c>
      <c r="D1958" t="s">
        <v>16</v>
      </c>
      <c r="E1958" t="s">
        <v>472</v>
      </c>
      <c r="F1958">
        <f t="shared" si="60"/>
        <v>2001</v>
      </c>
      <c r="G1958">
        <f t="shared" si="61"/>
        <v>6</v>
      </c>
      <c r="H1958" t="str">
        <f>IF(ISNUMBER(FIND(",", E1958)), TRIM(MID(E1958, FIND(",", E1958) + 1, LEN(E1958))), E1958)</f>
        <v>Bolivia</v>
      </c>
    </row>
    <row r="1959" spans="1:8" x14ac:dyDescent="0.25">
      <c r="A1959" s="2">
        <v>37068</v>
      </c>
      <c r="B1959">
        <v>-4.04</v>
      </c>
      <c r="C1959">
        <v>-104.48</v>
      </c>
      <c r="D1959" t="s">
        <v>16</v>
      </c>
      <c r="E1959" t="s">
        <v>381</v>
      </c>
      <c r="F1959">
        <f t="shared" si="60"/>
        <v>2001</v>
      </c>
      <c r="G1959">
        <f t="shared" si="61"/>
        <v>6</v>
      </c>
      <c r="H1959" t="str">
        <f>IF(ISNUMBER(FIND(",", E1959)), TRIM(MID(E1959, FIND(",", E1959) + 1, LEN(E1959))), E1959)</f>
        <v>central East Pacific Rise</v>
      </c>
    </row>
    <row r="1960" spans="1:8" x14ac:dyDescent="0.25">
      <c r="A1960" s="2">
        <v>37068</v>
      </c>
      <c r="B1960">
        <v>-17.86</v>
      </c>
      <c r="C1960">
        <v>-71.52</v>
      </c>
      <c r="D1960" t="s">
        <v>16</v>
      </c>
      <c r="E1960" t="s">
        <v>499</v>
      </c>
      <c r="F1960">
        <f t="shared" si="60"/>
        <v>2001</v>
      </c>
      <c r="G1960">
        <f t="shared" si="61"/>
        <v>6</v>
      </c>
      <c r="H1960" t="str">
        <f>IF(ISNUMBER(FIND(",", E1960)), TRIM(MID(E1960, FIND(",", E1960) + 1, LEN(E1960))), E1960)</f>
        <v>near the coast of southern Peru</v>
      </c>
    </row>
    <row r="1961" spans="1:8" x14ac:dyDescent="0.25">
      <c r="A1961" s="2">
        <v>37066</v>
      </c>
      <c r="B1961">
        <v>44.29</v>
      </c>
      <c r="C1961">
        <v>148.38999999999999</v>
      </c>
      <c r="D1961" t="s">
        <v>16</v>
      </c>
      <c r="E1961" t="s">
        <v>191</v>
      </c>
      <c r="F1961">
        <f t="shared" si="60"/>
        <v>2001</v>
      </c>
      <c r="G1961">
        <f t="shared" si="61"/>
        <v>6</v>
      </c>
      <c r="H1961" t="str">
        <f>IF(ISNUMBER(FIND(",", E1961)), TRIM(MID(E1961, FIND(",", E1961) + 1, LEN(E1961))), E1961)</f>
        <v>Kuril Islands</v>
      </c>
    </row>
    <row r="1962" spans="1:8" x14ac:dyDescent="0.25">
      <c r="A1962" s="2">
        <v>37065</v>
      </c>
      <c r="B1962">
        <v>-17.181000000000001</v>
      </c>
      <c r="C1962">
        <v>-72.641000000000005</v>
      </c>
      <c r="D1962" t="s">
        <v>13</v>
      </c>
      <c r="E1962" t="s">
        <v>499</v>
      </c>
      <c r="F1962">
        <f t="shared" si="60"/>
        <v>2001</v>
      </c>
      <c r="G1962">
        <f t="shared" si="61"/>
        <v>6</v>
      </c>
      <c r="H1962" t="str">
        <f>IF(ISNUMBER(FIND(",", E1962)), TRIM(MID(E1962, FIND(",", E1962) + 1, LEN(E1962))), E1962)</f>
        <v>near the coast of southern Peru</v>
      </c>
    </row>
    <row r="1963" spans="1:8" x14ac:dyDescent="0.25">
      <c r="A1963" s="2">
        <v>37065</v>
      </c>
      <c r="B1963">
        <v>-16.38</v>
      </c>
      <c r="C1963">
        <v>-73.5</v>
      </c>
      <c r="D1963" t="s">
        <v>16</v>
      </c>
      <c r="E1963" t="s">
        <v>499</v>
      </c>
      <c r="F1963">
        <f t="shared" si="60"/>
        <v>2001</v>
      </c>
      <c r="G1963">
        <f t="shared" si="61"/>
        <v>6</v>
      </c>
      <c r="H1963" t="str">
        <f>IF(ISNUMBER(FIND(",", E1963)), TRIM(MID(E1963, FIND(",", E1963) + 1, LEN(E1963))), E1963)</f>
        <v>near the coast of southern Peru</v>
      </c>
    </row>
    <row r="1964" spans="1:8" x14ac:dyDescent="0.25">
      <c r="A1964" s="2">
        <v>37057</v>
      </c>
      <c r="B1964">
        <v>18.809999999999999</v>
      </c>
      <c r="C1964">
        <v>147.04</v>
      </c>
      <c r="D1964" t="s">
        <v>16</v>
      </c>
      <c r="E1964" t="s">
        <v>72</v>
      </c>
      <c r="F1964">
        <f t="shared" si="60"/>
        <v>2001</v>
      </c>
      <c r="G1964">
        <f t="shared" si="61"/>
        <v>6</v>
      </c>
      <c r="H1964" t="str">
        <f>IF(ISNUMBER(FIND(",", E1964)), TRIM(MID(E1964, FIND(",", E1964) + 1, LEN(E1964))), E1964)</f>
        <v>Mariana Islands region</v>
      </c>
    </row>
    <row r="1965" spans="1:8" x14ac:dyDescent="0.25">
      <c r="A1965" s="2">
        <v>37056</v>
      </c>
      <c r="B1965">
        <v>51.16</v>
      </c>
      <c r="C1965">
        <v>-179.86</v>
      </c>
      <c r="D1965" t="s">
        <v>16</v>
      </c>
      <c r="E1965" t="s">
        <v>207</v>
      </c>
      <c r="F1965">
        <f t="shared" si="60"/>
        <v>2001</v>
      </c>
      <c r="G1965">
        <f t="shared" si="61"/>
        <v>6</v>
      </c>
      <c r="H1965" t="str">
        <f>IF(ISNUMBER(FIND(",", E1965)), TRIM(MID(E1965, FIND(",", E1965) + 1, LEN(E1965))), E1965)</f>
        <v>Aleutian Islands, Alaska</v>
      </c>
    </row>
    <row r="1966" spans="1:8" x14ac:dyDescent="0.25">
      <c r="A1966" s="2">
        <v>37047</v>
      </c>
      <c r="B1966">
        <v>-6.79</v>
      </c>
      <c r="C1966">
        <v>146.46</v>
      </c>
      <c r="D1966" t="s">
        <v>16</v>
      </c>
      <c r="E1966" t="s">
        <v>243</v>
      </c>
      <c r="F1966">
        <f t="shared" si="60"/>
        <v>2001</v>
      </c>
      <c r="G1966">
        <f t="shared" si="61"/>
        <v>6</v>
      </c>
      <c r="H1966" t="str">
        <f>IF(ISNUMBER(FIND(",", E1966)), TRIM(MID(E1966, FIND(",", E1966) + 1, LEN(E1966))), E1966)</f>
        <v>Papua New Guinea</v>
      </c>
    </row>
    <row r="1967" spans="1:8" x14ac:dyDescent="0.25">
      <c r="A1967" s="2">
        <v>37047</v>
      </c>
      <c r="B1967">
        <v>-6.86</v>
      </c>
      <c r="C1967">
        <v>146.43</v>
      </c>
      <c r="D1967" t="s">
        <v>16</v>
      </c>
      <c r="E1967" t="s">
        <v>243</v>
      </c>
      <c r="F1967">
        <f t="shared" si="60"/>
        <v>2001</v>
      </c>
      <c r="G1967">
        <f t="shared" si="61"/>
        <v>6</v>
      </c>
      <c r="H1967" t="str">
        <f>IF(ISNUMBER(FIND(",", E1967)), TRIM(MID(E1967, FIND(",", E1967) + 1, LEN(E1967))), E1967)</f>
        <v>Papua New Guinea</v>
      </c>
    </row>
    <row r="1968" spans="1:8" x14ac:dyDescent="0.25">
      <c r="A1968" s="2">
        <v>37045</v>
      </c>
      <c r="B1968">
        <v>-29.8</v>
      </c>
      <c r="C1968">
        <v>-178.46</v>
      </c>
      <c r="D1968" t="s">
        <v>16</v>
      </c>
      <c r="E1968" t="s">
        <v>288</v>
      </c>
      <c r="F1968">
        <f t="shared" si="60"/>
        <v>2001</v>
      </c>
      <c r="G1968">
        <f t="shared" si="61"/>
        <v>6</v>
      </c>
      <c r="H1968" t="str">
        <f>IF(ISNUMBER(FIND(",", E1968)), TRIM(MID(E1968, FIND(",", E1968) + 1, LEN(E1968))), E1968)</f>
        <v>New Zealand</v>
      </c>
    </row>
    <row r="1969" spans="1:8" x14ac:dyDescent="0.25">
      <c r="A1969" s="2">
        <v>37040</v>
      </c>
      <c r="B1969">
        <v>-7.05</v>
      </c>
      <c r="C1969">
        <v>155.16999999999999</v>
      </c>
      <c r="D1969" t="s">
        <v>16</v>
      </c>
      <c r="E1969" t="s">
        <v>221</v>
      </c>
      <c r="F1969">
        <f t="shared" si="60"/>
        <v>2001</v>
      </c>
      <c r="G1969">
        <f t="shared" si="61"/>
        <v>5</v>
      </c>
      <c r="H1969" t="str">
        <f>IF(ISNUMBER(FIND(",", E1969)), TRIM(MID(E1969, FIND(",", E1969) + 1, LEN(E1969))), E1969)</f>
        <v>Solomon Islands</v>
      </c>
    </row>
    <row r="1970" spans="1:8" x14ac:dyDescent="0.25">
      <c r="A1970" s="2">
        <v>37039</v>
      </c>
      <c r="B1970">
        <v>-6.66</v>
      </c>
      <c r="C1970">
        <v>132.32</v>
      </c>
      <c r="D1970" t="s">
        <v>16</v>
      </c>
      <c r="E1970" t="s">
        <v>411</v>
      </c>
      <c r="F1970">
        <f t="shared" si="60"/>
        <v>2001</v>
      </c>
      <c r="G1970">
        <f t="shared" si="61"/>
        <v>5</v>
      </c>
      <c r="H1970" t="str">
        <f>IF(ISNUMBER(FIND(",", E1970)), TRIM(MID(E1970, FIND(",", E1970) + 1, LEN(E1970))), E1970)</f>
        <v>Indonesia</v>
      </c>
    </row>
    <row r="1971" spans="1:8" x14ac:dyDescent="0.25">
      <c r="A1971" s="2">
        <v>37037</v>
      </c>
      <c r="B1971">
        <v>-20.329999999999998</v>
      </c>
      <c r="C1971">
        <v>-177.72</v>
      </c>
      <c r="D1971" t="s">
        <v>16</v>
      </c>
      <c r="E1971" t="s">
        <v>53</v>
      </c>
      <c r="F1971">
        <f t="shared" si="60"/>
        <v>2001</v>
      </c>
      <c r="G1971">
        <f t="shared" si="61"/>
        <v>5</v>
      </c>
      <c r="H1971" t="str">
        <f>IF(ISNUMBER(FIND(",", E1971)), TRIM(MID(E1971, FIND(",", E1971) + 1, LEN(E1971))), E1971)</f>
        <v>Fiji region</v>
      </c>
    </row>
    <row r="1972" spans="1:8" x14ac:dyDescent="0.25">
      <c r="A1972" s="2">
        <v>37036</v>
      </c>
      <c r="B1972">
        <v>-7.85</v>
      </c>
      <c r="C1972">
        <v>110.04</v>
      </c>
      <c r="D1972" t="s">
        <v>16</v>
      </c>
      <c r="E1972" t="s">
        <v>358</v>
      </c>
      <c r="F1972">
        <f t="shared" si="60"/>
        <v>2001</v>
      </c>
      <c r="G1972">
        <f t="shared" si="61"/>
        <v>5</v>
      </c>
      <c r="H1972" t="str">
        <f>IF(ISNUMBER(FIND(",", E1972)), TRIM(MID(E1972, FIND(",", E1972) + 1, LEN(E1972))), E1972)</f>
        <v>Indonesia</v>
      </c>
    </row>
    <row r="1973" spans="1:8" x14ac:dyDescent="0.25">
      <c r="A1973" s="2">
        <v>37036</v>
      </c>
      <c r="B1973">
        <v>44.26</v>
      </c>
      <c r="C1973">
        <v>148.34</v>
      </c>
      <c r="D1973" t="s">
        <v>16</v>
      </c>
      <c r="E1973" t="s">
        <v>191</v>
      </c>
      <c r="F1973">
        <f t="shared" si="60"/>
        <v>2001</v>
      </c>
      <c r="G1973">
        <f t="shared" si="61"/>
        <v>5</v>
      </c>
      <c r="H1973" t="str">
        <f>IF(ISNUMBER(FIND(",", E1973)), TRIM(MID(E1973, FIND(",", E1973) + 1, LEN(E1973))), E1973)</f>
        <v>Kuril Islands</v>
      </c>
    </row>
    <row r="1974" spans="1:8" x14ac:dyDescent="0.25">
      <c r="A1974" s="2">
        <v>37031</v>
      </c>
      <c r="B1974">
        <v>18.91</v>
      </c>
      <c r="C1974">
        <v>-104.44</v>
      </c>
      <c r="D1974" t="s">
        <v>16</v>
      </c>
      <c r="E1974" t="s">
        <v>483</v>
      </c>
      <c r="F1974">
        <f t="shared" si="60"/>
        <v>2001</v>
      </c>
      <c r="G1974">
        <f t="shared" si="61"/>
        <v>5</v>
      </c>
      <c r="H1974" t="str">
        <f>IF(ISNUMBER(FIND(",", E1974)), TRIM(MID(E1974, FIND(",", E1974) + 1, LEN(E1974))), E1974)</f>
        <v>Mexico</v>
      </c>
    </row>
    <row r="1975" spans="1:8" x14ac:dyDescent="0.25">
      <c r="A1975" s="2">
        <v>37020</v>
      </c>
      <c r="B1975">
        <v>-10.31</v>
      </c>
      <c r="C1975">
        <v>161.32</v>
      </c>
      <c r="D1975" t="s">
        <v>16</v>
      </c>
      <c r="E1975" t="s">
        <v>221</v>
      </c>
      <c r="F1975">
        <f t="shared" si="60"/>
        <v>2001</v>
      </c>
      <c r="G1975">
        <f t="shared" si="61"/>
        <v>5</v>
      </c>
      <c r="H1975" t="str">
        <f>IF(ISNUMBER(FIND(",", E1975)), TRIM(MID(E1975, FIND(",", E1975) + 1, LEN(E1975))), E1975)</f>
        <v>Solomon Islands</v>
      </c>
    </row>
    <row r="1976" spans="1:8" x14ac:dyDescent="0.25">
      <c r="A1976" s="2">
        <v>37010</v>
      </c>
      <c r="B1976">
        <v>18.75</v>
      </c>
      <c r="C1976">
        <v>-104.53</v>
      </c>
      <c r="D1976" t="s">
        <v>16</v>
      </c>
      <c r="E1976" t="s">
        <v>483</v>
      </c>
      <c r="F1976">
        <f t="shared" si="60"/>
        <v>2001</v>
      </c>
      <c r="G1976">
        <f t="shared" si="61"/>
        <v>4</v>
      </c>
      <c r="H1976" t="str">
        <f>IF(ISNUMBER(FIND(",", E1976)), TRIM(MID(E1976, FIND(",", E1976) + 1, LEN(E1976))), E1976)</f>
        <v>Mexico</v>
      </c>
    </row>
    <row r="1977" spans="1:8" x14ac:dyDescent="0.25">
      <c r="A1977" s="2">
        <v>37009</v>
      </c>
      <c r="B1977">
        <v>-18.100000000000001</v>
      </c>
      <c r="C1977">
        <v>-176.9</v>
      </c>
      <c r="D1977" t="s">
        <v>16</v>
      </c>
      <c r="E1977" t="s">
        <v>53</v>
      </c>
      <c r="F1977">
        <f t="shared" si="60"/>
        <v>2001</v>
      </c>
      <c r="G1977">
        <f t="shared" si="61"/>
        <v>4</v>
      </c>
      <c r="H1977" t="str">
        <f>IF(ISNUMBER(FIND(",", E1977)), TRIM(MID(E1977, FIND(",", E1977) + 1, LEN(E1977))), E1977)</f>
        <v>Fiji region</v>
      </c>
    </row>
    <row r="1978" spans="1:8" x14ac:dyDescent="0.25">
      <c r="A1978" s="2">
        <v>37007</v>
      </c>
      <c r="B1978">
        <v>43.17</v>
      </c>
      <c r="C1978">
        <v>145.88</v>
      </c>
      <c r="D1978" t="s">
        <v>16</v>
      </c>
      <c r="E1978" t="s">
        <v>265</v>
      </c>
      <c r="F1978">
        <f t="shared" si="60"/>
        <v>2001</v>
      </c>
      <c r="G1978">
        <f t="shared" si="61"/>
        <v>4</v>
      </c>
      <c r="H1978" t="str">
        <f>IF(ISNUMBER(FIND(",", E1978)), TRIM(MID(E1978, FIND(",", E1978) + 1, LEN(E1978))), E1978)</f>
        <v>Japan region</v>
      </c>
    </row>
    <row r="1979" spans="1:8" x14ac:dyDescent="0.25">
      <c r="A1979" s="2">
        <v>37000</v>
      </c>
      <c r="B1979">
        <v>-7.42</v>
      </c>
      <c r="C1979">
        <v>155.87</v>
      </c>
      <c r="D1979" t="s">
        <v>16</v>
      </c>
      <c r="E1979" t="s">
        <v>221</v>
      </c>
      <c r="F1979">
        <f t="shared" si="60"/>
        <v>2001</v>
      </c>
      <c r="G1979">
        <f t="shared" si="61"/>
        <v>4</v>
      </c>
      <c r="H1979" t="str">
        <f>IF(ISNUMBER(FIND(",", E1979)), TRIM(MID(E1979, FIND(",", E1979) + 1, LEN(E1979))), E1979)</f>
        <v>Solomon Islands</v>
      </c>
    </row>
    <row r="1980" spans="1:8" x14ac:dyDescent="0.25">
      <c r="A1980" s="2">
        <v>37000</v>
      </c>
      <c r="B1980">
        <v>-7.41</v>
      </c>
      <c r="C1980">
        <v>156.03</v>
      </c>
      <c r="D1980" t="s">
        <v>16</v>
      </c>
      <c r="E1980" t="s">
        <v>221</v>
      </c>
      <c r="F1980">
        <f t="shared" si="60"/>
        <v>2001</v>
      </c>
      <c r="G1980">
        <f t="shared" si="61"/>
        <v>4</v>
      </c>
      <c r="H1980" t="str">
        <f>IF(ISNUMBER(FIND(",", E1980)), TRIM(MID(E1980, FIND(",", E1980) + 1, LEN(E1980))), E1980)</f>
        <v>Solomon Islands</v>
      </c>
    </row>
    <row r="1981" spans="1:8" x14ac:dyDescent="0.25">
      <c r="A1981" s="2">
        <v>37000</v>
      </c>
      <c r="B1981">
        <v>-7.47</v>
      </c>
      <c r="C1981">
        <v>155.96</v>
      </c>
      <c r="D1981" t="s">
        <v>16</v>
      </c>
      <c r="E1981" t="s">
        <v>221</v>
      </c>
      <c r="F1981">
        <f t="shared" si="60"/>
        <v>2001</v>
      </c>
      <c r="G1981">
        <f t="shared" si="61"/>
        <v>4</v>
      </c>
      <c r="H1981" t="str">
        <f>IF(ISNUMBER(FIND(",", E1981)), TRIM(MID(E1981, FIND(",", E1981) + 1, LEN(E1981))), E1981)</f>
        <v>Solomon Islands</v>
      </c>
    </row>
    <row r="1982" spans="1:8" x14ac:dyDescent="0.25">
      <c r="A1982" s="2">
        <v>36995</v>
      </c>
      <c r="B1982">
        <v>30.16</v>
      </c>
      <c r="C1982">
        <v>141.81</v>
      </c>
      <c r="D1982" t="s">
        <v>16</v>
      </c>
      <c r="E1982" t="s">
        <v>88</v>
      </c>
      <c r="F1982">
        <f t="shared" si="60"/>
        <v>2001</v>
      </c>
      <c r="G1982">
        <f t="shared" si="61"/>
        <v>4</v>
      </c>
      <c r="H1982" t="str">
        <f>IF(ISNUMBER(FIND(",", E1982)), TRIM(MID(E1982, FIND(",", E1982) + 1, LEN(E1982))), E1982)</f>
        <v>Japan region</v>
      </c>
    </row>
    <row r="1983" spans="1:8" x14ac:dyDescent="0.25">
      <c r="A1983" s="2">
        <v>36994</v>
      </c>
      <c r="B1983">
        <v>-59.83</v>
      </c>
      <c r="C1983">
        <v>-25.7</v>
      </c>
      <c r="D1983" t="s">
        <v>16</v>
      </c>
      <c r="E1983" t="s">
        <v>260</v>
      </c>
      <c r="F1983">
        <f t="shared" si="60"/>
        <v>2001</v>
      </c>
      <c r="G1983">
        <f t="shared" si="61"/>
        <v>4</v>
      </c>
      <c r="H1983" t="str">
        <f>IF(ISNUMBER(FIND(",", E1983)), TRIM(MID(E1983, FIND(",", E1983) + 1, LEN(E1983))), E1983)</f>
        <v>South Sandwich Islands region</v>
      </c>
    </row>
    <row r="1984" spans="1:8" x14ac:dyDescent="0.25">
      <c r="A1984" s="2">
        <v>36990</v>
      </c>
      <c r="B1984">
        <v>-32.75</v>
      </c>
      <c r="C1984">
        <v>-73.22</v>
      </c>
      <c r="D1984" t="s">
        <v>16</v>
      </c>
      <c r="E1984" t="s">
        <v>501</v>
      </c>
      <c r="F1984">
        <f t="shared" si="60"/>
        <v>2001</v>
      </c>
      <c r="G1984">
        <f t="shared" si="61"/>
        <v>4</v>
      </c>
      <c r="H1984" t="str">
        <f>IF(ISNUMBER(FIND(",", E1984)), TRIM(MID(E1984, FIND(",", E1984) + 1, LEN(E1984))), E1984)</f>
        <v>Chile</v>
      </c>
    </row>
    <row r="1985" spans="1:8" x14ac:dyDescent="0.25">
      <c r="A1985" s="2">
        <v>36988</v>
      </c>
      <c r="B1985">
        <v>-27.71</v>
      </c>
      <c r="C1985">
        <v>-176.23</v>
      </c>
      <c r="D1985" t="s">
        <v>16</v>
      </c>
      <c r="E1985" t="s">
        <v>240</v>
      </c>
      <c r="F1985">
        <f t="shared" si="60"/>
        <v>2001</v>
      </c>
      <c r="G1985">
        <f t="shared" si="61"/>
        <v>4</v>
      </c>
      <c r="H1985" t="str">
        <f>IF(ISNUMBER(FIND(",", E1985)), TRIM(MID(E1985, FIND(",", E1985) + 1, LEN(E1985))), E1985)</f>
        <v>Kermadec Islands region</v>
      </c>
    </row>
    <row r="1986" spans="1:8" x14ac:dyDescent="0.25">
      <c r="A1986" s="2">
        <v>36985</v>
      </c>
      <c r="B1986">
        <v>-5.26</v>
      </c>
      <c r="C1986">
        <v>132.29</v>
      </c>
      <c r="D1986" t="s">
        <v>16</v>
      </c>
      <c r="E1986" t="s">
        <v>313</v>
      </c>
      <c r="F1986">
        <f t="shared" ref="F1986:F2049" si="62">YEAR(A1986)</f>
        <v>2001</v>
      </c>
      <c r="G1986">
        <f t="shared" si="61"/>
        <v>4</v>
      </c>
      <c r="H1986" t="str">
        <f>IF(ISNUMBER(FIND(",", E1986)), TRIM(MID(E1986, FIND(",", E1986) + 1, LEN(E1986))), E1986)</f>
        <v>Indonesia</v>
      </c>
    </row>
    <row r="1987" spans="1:8" x14ac:dyDescent="0.25">
      <c r="A1987" s="2">
        <v>36974</v>
      </c>
      <c r="B1987">
        <v>34.1</v>
      </c>
      <c r="C1987">
        <v>132.54</v>
      </c>
      <c r="D1987" t="s">
        <v>16</v>
      </c>
      <c r="E1987" t="s">
        <v>502</v>
      </c>
      <c r="F1987">
        <f t="shared" si="62"/>
        <v>2001</v>
      </c>
      <c r="G1987">
        <f t="shared" ref="G1987:G2050" si="63">MONTH(A1987)</f>
        <v>3</v>
      </c>
      <c r="H1987" t="str">
        <f>IF(ISNUMBER(FIND(",", E1987)), TRIM(MID(E1987, FIND(",", E1987) + 1, LEN(E1987))), E1987)</f>
        <v>Japan</v>
      </c>
    </row>
    <row r="1988" spans="1:8" x14ac:dyDescent="0.25">
      <c r="A1988" s="2">
        <v>36973</v>
      </c>
      <c r="B1988">
        <v>44.17</v>
      </c>
      <c r="C1988">
        <v>148</v>
      </c>
      <c r="D1988" t="s">
        <v>16</v>
      </c>
      <c r="E1988" t="s">
        <v>191</v>
      </c>
      <c r="F1988">
        <f t="shared" si="62"/>
        <v>2001</v>
      </c>
      <c r="G1988">
        <f t="shared" si="63"/>
        <v>3</v>
      </c>
      <c r="H1988" t="str">
        <f>IF(ISNUMBER(FIND(",", E1988)), TRIM(MID(E1988, FIND(",", E1988) + 1, LEN(E1988))), E1988)</f>
        <v>Kuril Islands</v>
      </c>
    </row>
    <row r="1989" spans="1:8" x14ac:dyDescent="0.25">
      <c r="A1989" s="2">
        <v>36969</v>
      </c>
      <c r="B1989">
        <v>-4.08</v>
      </c>
      <c r="C1989">
        <v>127.95</v>
      </c>
      <c r="D1989" t="s">
        <v>16</v>
      </c>
      <c r="E1989" t="s">
        <v>187</v>
      </c>
      <c r="F1989">
        <f t="shared" si="62"/>
        <v>2001</v>
      </c>
      <c r="G1989">
        <f t="shared" si="63"/>
        <v>3</v>
      </c>
      <c r="H1989" t="str">
        <f>IF(ISNUMBER(FIND(",", E1989)), TRIM(MID(E1989, FIND(",", E1989) + 1, LEN(E1989))), E1989)</f>
        <v>Banda Sea</v>
      </c>
    </row>
    <row r="1990" spans="1:8" x14ac:dyDescent="0.25">
      <c r="A1990" s="2">
        <v>36956</v>
      </c>
      <c r="B1990">
        <v>-54.56</v>
      </c>
      <c r="C1990">
        <v>157.26</v>
      </c>
      <c r="D1990" t="s">
        <v>16</v>
      </c>
      <c r="E1990" t="s">
        <v>350</v>
      </c>
      <c r="F1990">
        <f t="shared" si="62"/>
        <v>2001</v>
      </c>
      <c r="G1990">
        <f t="shared" si="63"/>
        <v>3</v>
      </c>
      <c r="H1990" t="str">
        <f>IF(ISNUMBER(FIND(",", E1990)), TRIM(MID(E1990, FIND(",", E1990) + 1, LEN(E1990))), E1990)</f>
        <v>Macquarie Island region</v>
      </c>
    </row>
    <row r="1991" spans="1:8" x14ac:dyDescent="0.25">
      <c r="A1991" s="2">
        <v>36950</v>
      </c>
      <c r="B1991">
        <v>47.09</v>
      </c>
      <c r="C1991">
        <v>-122.58</v>
      </c>
      <c r="D1991" t="s">
        <v>16</v>
      </c>
      <c r="E1991" t="s">
        <v>503</v>
      </c>
      <c r="F1991">
        <f t="shared" si="62"/>
        <v>2001</v>
      </c>
      <c r="G1991">
        <f t="shared" si="63"/>
        <v>2</v>
      </c>
      <c r="H1991" t="str">
        <f>IF(ISNUMBER(FIND(",", E1991)), TRIM(MID(E1991, FIND(",", E1991) + 1, LEN(E1991))), E1991)</f>
        <v>Washington</v>
      </c>
    </row>
    <row r="1992" spans="1:8" x14ac:dyDescent="0.25">
      <c r="A1992" s="2">
        <v>36950</v>
      </c>
      <c r="B1992">
        <v>13.282999999999999</v>
      </c>
      <c r="C1992">
        <v>-88.826999999999998</v>
      </c>
      <c r="D1992" t="s">
        <v>5</v>
      </c>
      <c r="E1992" t="s">
        <v>504</v>
      </c>
      <c r="F1992">
        <f t="shared" si="62"/>
        <v>2001</v>
      </c>
      <c r="G1992">
        <f t="shared" si="63"/>
        <v>2</v>
      </c>
      <c r="H1992" t="str">
        <f>IF(ISNUMBER(FIND(",", E1992)), TRIM(MID(E1992, FIND(",", E1992) + 1, LEN(E1992))), E1992)</f>
        <v>El Salvador</v>
      </c>
    </row>
    <row r="1993" spans="1:8" x14ac:dyDescent="0.25">
      <c r="A1993" s="2">
        <v>36950</v>
      </c>
      <c r="B1993">
        <v>-21.96</v>
      </c>
      <c r="C1993">
        <v>170.13</v>
      </c>
      <c r="D1993" t="s">
        <v>16</v>
      </c>
      <c r="E1993" t="s">
        <v>254</v>
      </c>
      <c r="F1993">
        <f t="shared" si="62"/>
        <v>2001</v>
      </c>
      <c r="G1993">
        <f t="shared" si="63"/>
        <v>2</v>
      </c>
      <c r="H1993" t="str">
        <f>IF(ISNUMBER(FIND(",", E1993)), TRIM(MID(E1993, FIND(",", E1993) + 1, LEN(E1993))), E1993)</f>
        <v>southeast of the Loyalty Islands</v>
      </c>
    </row>
    <row r="1994" spans="1:8" x14ac:dyDescent="0.25">
      <c r="A1994" s="2">
        <v>36950</v>
      </c>
      <c r="B1994">
        <v>-21.93</v>
      </c>
      <c r="C1994">
        <v>170.25</v>
      </c>
      <c r="D1994" t="s">
        <v>16</v>
      </c>
      <c r="E1994" t="s">
        <v>254</v>
      </c>
      <c r="F1994">
        <f t="shared" si="62"/>
        <v>2001</v>
      </c>
      <c r="G1994">
        <f t="shared" si="63"/>
        <v>2</v>
      </c>
      <c r="H1994" t="str">
        <f>IF(ISNUMBER(FIND(",", E1994)), TRIM(MID(E1994, FIND(",", E1994) + 1, LEN(E1994))), E1994)</f>
        <v>southeast of the Loyalty Islands</v>
      </c>
    </row>
    <row r="1995" spans="1:8" x14ac:dyDescent="0.25">
      <c r="A1995" s="2">
        <v>36948</v>
      </c>
      <c r="B1995">
        <v>46.82</v>
      </c>
      <c r="C1995">
        <v>144.46</v>
      </c>
      <c r="D1995" t="s">
        <v>16</v>
      </c>
      <c r="E1995" t="s">
        <v>74</v>
      </c>
      <c r="F1995">
        <f t="shared" si="62"/>
        <v>2001</v>
      </c>
      <c r="G1995">
        <f t="shared" si="63"/>
        <v>2</v>
      </c>
      <c r="H1995" t="str">
        <f>IF(ISNUMBER(FIND(",", E1995)), TRIM(MID(E1995, FIND(",", E1995) + 1, LEN(E1995))), E1995)</f>
        <v>Sea of Okhotsk</v>
      </c>
    </row>
    <row r="1996" spans="1:8" x14ac:dyDescent="0.25">
      <c r="A1996" s="2">
        <v>36947</v>
      </c>
      <c r="B1996">
        <v>36.42</v>
      </c>
      <c r="C1996">
        <v>70.86</v>
      </c>
      <c r="D1996" t="s">
        <v>16</v>
      </c>
      <c r="E1996" t="s">
        <v>314</v>
      </c>
      <c r="F1996">
        <f t="shared" si="62"/>
        <v>2001</v>
      </c>
      <c r="G1996">
        <f t="shared" si="63"/>
        <v>2</v>
      </c>
      <c r="H1996" t="str">
        <f>IF(ISNUMBER(FIND(",", E1996)), TRIM(MID(E1996, FIND(",", E1996) + 1, LEN(E1996))), E1996)</f>
        <v>Afghanistan</v>
      </c>
    </row>
    <row r="1997" spans="1:8" x14ac:dyDescent="0.25">
      <c r="A1997" s="2">
        <v>36946</v>
      </c>
      <c r="B1997">
        <v>1.53</v>
      </c>
      <c r="C1997">
        <v>126.33</v>
      </c>
      <c r="D1997" t="s">
        <v>16</v>
      </c>
      <c r="E1997" t="s">
        <v>186</v>
      </c>
      <c r="F1997">
        <f t="shared" si="62"/>
        <v>2001</v>
      </c>
      <c r="G1997">
        <f t="shared" si="63"/>
        <v>2</v>
      </c>
      <c r="H1997" t="str">
        <f>IF(ISNUMBER(FIND(",", E1997)), TRIM(MID(E1997, FIND(",", E1997) + 1, LEN(E1997))), E1997)</f>
        <v>Molucca Sea</v>
      </c>
    </row>
    <row r="1998" spans="1:8" x14ac:dyDescent="0.25">
      <c r="A1998" s="2">
        <v>36946</v>
      </c>
      <c r="B1998">
        <v>1.33</v>
      </c>
      <c r="C1998">
        <v>126.27</v>
      </c>
      <c r="D1998" t="s">
        <v>16</v>
      </c>
      <c r="E1998" t="s">
        <v>186</v>
      </c>
      <c r="F1998">
        <f t="shared" si="62"/>
        <v>2001</v>
      </c>
      <c r="G1998">
        <f t="shared" si="63"/>
        <v>2</v>
      </c>
      <c r="H1998" t="str">
        <f>IF(ISNUMBER(FIND(",", E1998)), TRIM(MID(E1998, FIND(",", E1998) + 1, LEN(E1998))), E1998)</f>
        <v>Molucca Sea</v>
      </c>
    </row>
    <row r="1999" spans="1:8" x14ac:dyDescent="0.25">
      <c r="A1999" s="2">
        <v>36940</v>
      </c>
      <c r="B1999">
        <v>-47.36</v>
      </c>
      <c r="C1999">
        <v>32.47</v>
      </c>
      <c r="D1999" t="s">
        <v>16</v>
      </c>
      <c r="E1999" t="s">
        <v>369</v>
      </c>
      <c r="F1999">
        <f t="shared" si="62"/>
        <v>2001</v>
      </c>
      <c r="G1999">
        <f t="shared" si="63"/>
        <v>2</v>
      </c>
      <c r="H1999" t="str">
        <f>IF(ISNUMBER(FIND(",", E1999)), TRIM(MID(E1999, FIND(",", E1999) + 1, LEN(E1999))), E1999)</f>
        <v>Prince Edward Islands region</v>
      </c>
    </row>
    <row r="2000" spans="1:8" x14ac:dyDescent="0.25">
      <c r="A2000" s="2">
        <v>36939</v>
      </c>
      <c r="B2000">
        <v>53.96</v>
      </c>
      <c r="C2000">
        <v>-133.87</v>
      </c>
      <c r="D2000" t="s">
        <v>16</v>
      </c>
      <c r="E2000" t="s">
        <v>409</v>
      </c>
      <c r="F2000">
        <f t="shared" si="62"/>
        <v>2001</v>
      </c>
      <c r="G2000">
        <f t="shared" si="63"/>
        <v>2</v>
      </c>
      <c r="H2000" t="str">
        <f>IF(ISNUMBER(FIND(",", E2000)), TRIM(MID(E2000, FIND(",", E2000) + 1, LEN(E2000))), E2000)</f>
        <v>Canada</v>
      </c>
    </row>
    <row r="2001" spans="1:8" x14ac:dyDescent="0.25">
      <c r="A2001" s="2">
        <v>36938</v>
      </c>
      <c r="B2001">
        <v>-7.15</v>
      </c>
      <c r="C2001">
        <v>117.42</v>
      </c>
      <c r="D2001" t="s">
        <v>16</v>
      </c>
      <c r="E2001" t="s">
        <v>299</v>
      </c>
      <c r="F2001">
        <f t="shared" si="62"/>
        <v>2001</v>
      </c>
      <c r="G2001">
        <f t="shared" si="63"/>
        <v>2</v>
      </c>
      <c r="H2001" t="str">
        <f>IF(ISNUMBER(FIND(",", E2001)), TRIM(MID(E2001, FIND(",", E2001) + 1, LEN(E2001))), E2001)</f>
        <v>Bali Sea</v>
      </c>
    </row>
    <row r="2002" spans="1:8" x14ac:dyDescent="0.25">
      <c r="A2002" s="2">
        <v>36936</v>
      </c>
      <c r="B2002">
        <v>-19.649999999999999</v>
      </c>
      <c r="C2002">
        <v>177.53</v>
      </c>
      <c r="D2002" t="s">
        <v>16</v>
      </c>
      <c r="E2002" t="s">
        <v>256</v>
      </c>
      <c r="F2002">
        <f t="shared" si="62"/>
        <v>2001</v>
      </c>
      <c r="G2002">
        <f t="shared" si="63"/>
        <v>2</v>
      </c>
      <c r="H2002" t="str">
        <f>IF(ISNUMBER(FIND(",", E2002)), TRIM(MID(E2002, FIND(",", E2002) + 1, LEN(E2002))), E2002)</f>
        <v>south of the Fiji Islands</v>
      </c>
    </row>
    <row r="2003" spans="1:8" x14ac:dyDescent="0.25">
      <c r="A2003" s="2">
        <v>36936</v>
      </c>
      <c r="B2003">
        <v>-19.559999999999999</v>
      </c>
      <c r="C2003">
        <v>177.52</v>
      </c>
      <c r="D2003" t="s">
        <v>16</v>
      </c>
      <c r="E2003" t="s">
        <v>256</v>
      </c>
      <c r="F2003">
        <f t="shared" si="62"/>
        <v>2001</v>
      </c>
      <c r="G2003">
        <f t="shared" si="63"/>
        <v>2</v>
      </c>
      <c r="H2003" t="str">
        <f>IF(ISNUMBER(FIND(",", E2003)), TRIM(MID(E2003, FIND(",", E2003) + 1, LEN(E2003))), E2003)</f>
        <v>south of the Fiji Islands</v>
      </c>
    </row>
    <row r="2004" spans="1:8" x14ac:dyDescent="0.25">
      <c r="A2004" s="2">
        <v>36935</v>
      </c>
      <c r="B2004">
        <v>-4.83</v>
      </c>
      <c r="C2004">
        <v>102.32</v>
      </c>
      <c r="D2004" t="s">
        <v>16</v>
      </c>
      <c r="E2004" t="s">
        <v>308</v>
      </c>
      <c r="F2004">
        <f t="shared" si="62"/>
        <v>2001</v>
      </c>
      <c r="G2004">
        <f t="shared" si="63"/>
        <v>2</v>
      </c>
      <c r="H2004" t="str">
        <f>IF(ISNUMBER(FIND(",", E2004)), TRIM(MID(E2004, FIND(",", E2004) + 1, LEN(E2004))), E2004)</f>
        <v>Indonesia</v>
      </c>
    </row>
    <row r="2005" spans="1:8" x14ac:dyDescent="0.25">
      <c r="A2005" s="2">
        <v>36935</v>
      </c>
      <c r="B2005">
        <v>13.6</v>
      </c>
      <c r="C2005">
        <v>-89</v>
      </c>
      <c r="D2005" t="s">
        <v>16</v>
      </c>
      <c r="E2005" t="s">
        <v>504</v>
      </c>
      <c r="F2005">
        <f t="shared" si="62"/>
        <v>2001</v>
      </c>
      <c r="G2005">
        <f t="shared" si="63"/>
        <v>2</v>
      </c>
      <c r="H2005" t="str">
        <f>IF(ISNUMBER(FIND(",", E2005)), TRIM(MID(E2005, FIND(",", E2005) + 1, LEN(E2005))), E2005)</f>
        <v>El Salvador</v>
      </c>
    </row>
    <row r="2006" spans="1:8" x14ac:dyDescent="0.25">
      <c r="A2006" s="2">
        <v>36923</v>
      </c>
      <c r="B2006">
        <v>51.44</v>
      </c>
      <c r="C2006">
        <v>-177.8</v>
      </c>
      <c r="D2006" t="s">
        <v>16</v>
      </c>
      <c r="E2006" t="s">
        <v>207</v>
      </c>
      <c r="F2006">
        <f t="shared" si="62"/>
        <v>2001</v>
      </c>
      <c r="G2006">
        <f t="shared" si="63"/>
        <v>2</v>
      </c>
      <c r="H2006" t="str">
        <f>IF(ISNUMBER(FIND(",", E2006)), TRIM(MID(E2006, FIND(",", E2006) + 1, LEN(E2006))), E2006)</f>
        <v>Aleutian Islands, Alaska</v>
      </c>
    </row>
    <row r="2007" spans="1:8" x14ac:dyDescent="0.25">
      <c r="A2007" s="2">
        <v>36920</v>
      </c>
      <c r="B2007">
        <v>-0.71</v>
      </c>
      <c r="C2007">
        <v>133.25</v>
      </c>
      <c r="D2007" t="s">
        <v>16</v>
      </c>
      <c r="E2007" t="s">
        <v>241</v>
      </c>
      <c r="F2007">
        <f t="shared" si="62"/>
        <v>2001</v>
      </c>
      <c r="G2007">
        <f t="shared" si="63"/>
        <v>1</v>
      </c>
      <c r="H2007" t="str">
        <f>IF(ISNUMBER(FIND(",", E2007)), TRIM(MID(E2007, FIND(",", E2007) + 1, LEN(E2007))), E2007)</f>
        <v>Indonesia</v>
      </c>
    </row>
    <row r="2008" spans="1:8" x14ac:dyDescent="0.25">
      <c r="A2008" s="2">
        <v>36917</v>
      </c>
      <c r="B2008">
        <v>23.4</v>
      </c>
      <c r="C2008">
        <v>70.28</v>
      </c>
      <c r="D2008" t="s">
        <v>16</v>
      </c>
      <c r="E2008" t="s">
        <v>505</v>
      </c>
      <c r="F2008">
        <f t="shared" si="62"/>
        <v>2001</v>
      </c>
      <c r="G2008">
        <f t="shared" si="63"/>
        <v>1</v>
      </c>
      <c r="H2008" t="str">
        <f>IF(ISNUMBER(FIND(",", E2008)), TRIM(MID(E2008, FIND(",", E2008) + 1, LEN(E2008))), E2008)</f>
        <v>India</v>
      </c>
    </row>
    <row r="2009" spans="1:8" x14ac:dyDescent="0.25">
      <c r="A2009" s="2">
        <v>36910</v>
      </c>
      <c r="B2009">
        <v>-58.12</v>
      </c>
      <c r="C2009">
        <v>-9.5299999999999994</v>
      </c>
      <c r="D2009" t="s">
        <v>16</v>
      </c>
      <c r="E2009" t="s">
        <v>242</v>
      </c>
      <c r="F2009">
        <f t="shared" si="62"/>
        <v>2001</v>
      </c>
      <c r="G2009">
        <f t="shared" si="63"/>
        <v>1</v>
      </c>
      <c r="H2009" t="str">
        <f>IF(ISNUMBER(FIND(",", E2009)), TRIM(MID(E2009, FIND(",", E2009) + 1, LEN(E2009))), E2009)</f>
        <v>east of the South Sandwich Islands</v>
      </c>
    </row>
    <row r="2010" spans="1:8" x14ac:dyDescent="0.25">
      <c r="A2010" s="2">
        <v>36910</v>
      </c>
      <c r="B2010">
        <v>-11.63</v>
      </c>
      <c r="C2010">
        <v>166.45</v>
      </c>
      <c r="D2010" t="s">
        <v>16</v>
      </c>
      <c r="E2010" t="s">
        <v>211</v>
      </c>
      <c r="F2010">
        <f t="shared" si="62"/>
        <v>2001</v>
      </c>
      <c r="G2010">
        <f t="shared" si="63"/>
        <v>1</v>
      </c>
      <c r="H2010" t="str">
        <f>IF(ISNUMBER(FIND(",", E2010)), TRIM(MID(E2010, FIND(",", E2010) + 1, LEN(E2010))), E2010)</f>
        <v>Santa Cruz Islands</v>
      </c>
    </row>
    <row r="2011" spans="1:8" x14ac:dyDescent="0.25">
      <c r="A2011" s="2">
        <v>36910</v>
      </c>
      <c r="B2011">
        <v>15.38</v>
      </c>
      <c r="C2011">
        <v>-92.68</v>
      </c>
      <c r="D2011" t="s">
        <v>16</v>
      </c>
      <c r="E2011" t="s">
        <v>421</v>
      </c>
      <c r="F2011">
        <f t="shared" si="62"/>
        <v>2001</v>
      </c>
      <c r="G2011">
        <f t="shared" si="63"/>
        <v>1</v>
      </c>
      <c r="H2011" t="str">
        <f>IF(ISNUMBER(FIND(",", E2011)), TRIM(MID(E2011, FIND(",", E2011) + 1, LEN(E2011))), E2011)</f>
        <v>Mexico</v>
      </c>
    </row>
    <row r="2012" spans="1:8" x14ac:dyDescent="0.25">
      <c r="A2012" s="2">
        <v>36907</v>
      </c>
      <c r="B2012">
        <v>-4.0220000000000002</v>
      </c>
      <c r="C2012">
        <v>101.776</v>
      </c>
      <c r="D2012" t="s">
        <v>5</v>
      </c>
      <c r="E2012" t="s">
        <v>308</v>
      </c>
      <c r="F2012">
        <f t="shared" si="62"/>
        <v>2001</v>
      </c>
      <c r="G2012">
        <f t="shared" si="63"/>
        <v>1</v>
      </c>
      <c r="H2012" t="str">
        <f>IF(ISNUMBER(FIND(",", E2012)), TRIM(MID(E2012, FIND(",", E2012) + 1, LEN(E2012))), E2012)</f>
        <v>Indonesia</v>
      </c>
    </row>
    <row r="2013" spans="1:8" x14ac:dyDescent="0.25">
      <c r="A2013" s="2">
        <v>36907</v>
      </c>
      <c r="B2013">
        <v>-4.0599999999999996</v>
      </c>
      <c r="C2013">
        <v>101.59</v>
      </c>
      <c r="D2013" t="s">
        <v>16</v>
      </c>
      <c r="E2013" t="s">
        <v>308</v>
      </c>
      <c r="F2013">
        <f t="shared" si="62"/>
        <v>2001</v>
      </c>
      <c r="G2013">
        <f t="shared" si="63"/>
        <v>1</v>
      </c>
      <c r="H2013" t="str">
        <f>IF(ISNUMBER(FIND(",", E2013)), TRIM(MID(E2013, FIND(",", E2013) + 1, LEN(E2013))), E2013)</f>
        <v>Indonesia</v>
      </c>
    </row>
    <row r="2014" spans="1:8" x14ac:dyDescent="0.25">
      <c r="A2014" s="2">
        <v>36906</v>
      </c>
      <c r="B2014">
        <v>-40.33</v>
      </c>
      <c r="C2014">
        <v>78.28</v>
      </c>
      <c r="D2014" t="s">
        <v>16</v>
      </c>
      <c r="E2014" t="s">
        <v>377</v>
      </c>
      <c r="F2014">
        <f t="shared" si="62"/>
        <v>2001</v>
      </c>
      <c r="G2014">
        <f t="shared" si="63"/>
        <v>1</v>
      </c>
      <c r="H2014" t="str">
        <f>IF(ISNUMBER(FIND(",", E2014)), TRIM(MID(E2014, FIND(",", E2014) + 1, LEN(E2014))), E2014)</f>
        <v>Mid-Indian Ridge</v>
      </c>
    </row>
    <row r="2015" spans="1:8" x14ac:dyDescent="0.25">
      <c r="A2015" s="2">
        <v>36904</v>
      </c>
      <c r="B2015">
        <v>13.07</v>
      </c>
      <c r="C2015">
        <v>-88.7</v>
      </c>
      <c r="D2015" t="s">
        <v>16</v>
      </c>
      <c r="E2015" t="s">
        <v>461</v>
      </c>
      <c r="F2015">
        <f t="shared" si="62"/>
        <v>2001</v>
      </c>
      <c r="G2015">
        <f t="shared" si="63"/>
        <v>1</v>
      </c>
      <c r="H2015" t="str">
        <f>IF(ISNUMBER(FIND(",", E2015)), TRIM(MID(E2015, FIND(",", E2015) + 1, LEN(E2015))), E2015)</f>
        <v>offshore El Salvador</v>
      </c>
    </row>
    <row r="2016" spans="1:8" x14ac:dyDescent="0.25">
      <c r="A2016" s="2">
        <v>36902</v>
      </c>
      <c r="B2016">
        <v>49.16</v>
      </c>
      <c r="C2016">
        <v>-128.96</v>
      </c>
      <c r="D2016" t="s">
        <v>16</v>
      </c>
      <c r="E2016" t="s">
        <v>199</v>
      </c>
      <c r="F2016">
        <f t="shared" si="62"/>
        <v>2001</v>
      </c>
      <c r="G2016">
        <f t="shared" si="63"/>
        <v>1</v>
      </c>
      <c r="H2016" t="str">
        <f>IF(ISNUMBER(FIND(",", E2016)), TRIM(MID(E2016, FIND(",", E2016) + 1, LEN(E2016))), E2016)</f>
        <v>Canada region</v>
      </c>
    </row>
    <row r="2017" spans="1:8" x14ac:dyDescent="0.25">
      <c r="A2017" s="2">
        <v>36901</v>
      </c>
      <c r="B2017">
        <v>56.93</v>
      </c>
      <c r="C2017">
        <v>-153.53</v>
      </c>
      <c r="D2017" t="s">
        <v>16</v>
      </c>
      <c r="E2017" t="s">
        <v>374</v>
      </c>
      <c r="F2017">
        <f t="shared" si="62"/>
        <v>2001</v>
      </c>
      <c r="G2017">
        <f t="shared" si="63"/>
        <v>1</v>
      </c>
      <c r="H2017" t="str">
        <f>IF(ISNUMBER(FIND(",", E2017)), TRIM(MID(E2017, FIND(",", E2017) + 1, LEN(E2017))), E2017)</f>
        <v>Alaska</v>
      </c>
    </row>
    <row r="2018" spans="1:8" x14ac:dyDescent="0.25">
      <c r="A2018" s="2">
        <v>36900</v>
      </c>
      <c r="B2018">
        <v>-14.94</v>
      </c>
      <c r="C2018">
        <v>167.29</v>
      </c>
      <c r="D2018" t="s">
        <v>16</v>
      </c>
      <c r="E2018" t="s">
        <v>181</v>
      </c>
      <c r="F2018">
        <f t="shared" si="62"/>
        <v>2001</v>
      </c>
      <c r="G2018">
        <f t="shared" si="63"/>
        <v>1</v>
      </c>
      <c r="H2018" t="str">
        <f>IF(ISNUMBER(FIND(",", E2018)), TRIM(MID(E2018, FIND(",", E2018) + 1, LEN(E2018))), E2018)</f>
        <v>Vanuatu</v>
      </c>
    </row>
    <row r="2019" spans="1:8" x14ac:dyDescent="0.25">
      <c r="A2019" s="2">
        <v>36893</v>
      </c>
      <c r="B2019">
        <v>6.72</v>
      </c>
      <c r="C2019">
        <v>126.92</v>
      </c>
      <c r="D2019" t="s">
        <v>16</v>
      </c>
      <c r="E2019" t="s">
        <v>200</v>
      </c>
      <c r="F2019">
        <f t="shared" si="62"/>
        <v>2001</v>
      </c>
      <c r="G2019">
        <f t="shared" si="63"/>
        <v>1</v>
      </c>
      <c r="H2019" t="str">
        <f>IF(ISNUMBER(FIND(",", E2019)), TRIM(MID(E2019, FIND(",", E2019) + 1, LEN(E2019))), E2019)</f>
        <v>Philippines</v>
      </c>
    </row>
    <row r="2020" spans="1:8" x14ac:dyDescent="0.25">
      <c r="A2020" s="2">
        <v>36892</v>
      </c>
      <c r="B2020">
        <v>6.58</v>
      </c>
      <c r="C2020">
        <v>126.92</v>
      </c>
      <c r="D2020" t="s">
        <v>16</v>
      </c>
      <c r="E2020" t="s">
        <v>200</v>
      </c>
      <c r="F2020">
        <f t="shared" si="62"/>
        <v>2001</v>
      </c>
      <c r="G2020">
        <f t="shared" si="63"/>
        <v>1</v>
      </c>
      <c r="H2020" t="str">
        <f>IF(ISNUMBER(FIND(",", E2020)), TRIM(MID(E2020, FIND(",", E2020) + 1, LEN(E2020))), E2020)</f>
        <v>Philippines</v>
      </c>
    </row>
    <row r="2021" spans="1:8" x14ac:dyDescent="0.25">
      <c r="A2021" s="2">
        <v>36892</v>
      </c>
      <c r="B2021">
        <v>6.88</v>
      </c>
      <c r="C2021">
        <v>126.69</v>
      </c>
      <c r="D2021" t="s">
        <v>16</v>
      </c>
      <c r="E2021" t="s">
        <v>200</v>
      </c>
      <c r="F2021">
        <f t="shared" si="62"/>
        <v>2001</v>
      </c>
      <c r="G2021">
        <f t="shared" si="63"/>
        <v>1</v>
      </c>
      <c r="H2021" t="str">
        <f>IF(ISNUMBER(FIND(",", E2021)), TRIM(MID(E2021, FIND(",", E2021) + 1, LEN(E2021))), E2021)</f>
        <v>Philippines</v>
      </c>
    </row>
    <row r="2022" spans="1:8" x14ac:dyDescent="0.25">
      <c r="A2022" s="2">
        <v>36888</v>
      </c>
      <c r="B2022">
        <v>-4.04</v>
      </c>
      <c r="C2022">
        <v>152.47999999999999</v>
      </c>
      <c r="D2022" t="s">
        <v>16</v>
      </c>
      <c r="E2022" t="s">
        <v>190</v>
      </c>
      <c r="F2022">
        <f t="shared" si="62"/>
        <v>2000</v>
      </c>
      <c r="G2022">
        <f t="shared" si="63"/>
        <v>12</v>
      </c>
      <c r="H2022" t="str">
        <f>IF(ISNUMBER(FIND(",", E2022)), TRIM(MID(E2022, FIND(",", E2022) + 1, LEN(E2022))), E2022)</f>
        <v>Papua New Guinea</v>
      </c>
    </row>
    <row r="2023" spans="1:8" x14ac:dyDescent="0.25">
      <c r="A2023" s="2">
        <v>36883</v>
      </c>
      <c r="B2023">
        <v>-7.91</v>
      </c>
      <c r="C2023">
        <v>135.75</v>
      </c>
      <c r="D2023" t="s">
        <v>16</v>
      </c>
      <c r="E2023" t="s">
        <v>506</v>
      </c>
      <c r="F2023">
        <f t="shared" si="62"/>
        <v>2000</v>
      </c>
      <c r="G2023">
        <f t="shared" si="63"/>
        <v>12</v>
      </c>
      <c r="H2023" t="str">
        <f>IF(ISNUMBER(FIND(",", E2023)), TRIM(MID(E2023, FIND(",", E2023) + 1, LEN(E2023))), E2023)</f>
        <v>Indonesia</v>
      </c>
    </row>
    <row r="2024" spans="1:8" x14ac:dyDescent="0.25">
      <c r="A2024" s="2">
        <v>36882</v>
      </c>
      <c r="B2024">
        <v>44.85</v>
      </c>
      <c r="C2024">
        <v>147.13999999999999</v>
      </c>
      <c r="D2024" t="s">
        <v>16</v>
      </c>
      <c r="E2024" t="s">
        <v>191</v>
      </c>
      <c r="F2024">
        <f t="shared" si="62"/>
        <v>2000</v>
      </c>
      <c r="G2024">
        <f t="shared" si="63"/>
        <v>12</v>
      </c>
      <c r="H2024" t="str">
        <f>IF(ISNUMBER(FIND(",", E2024)), TRIM(MID(E2024, FIND(",", E2024) + 1, LEN(E2024))), E2024)</f>
        <v>Kuril Islands</v>
      </c>
    </row>
    <row r="2025" spans="1:8" x14ac:dyDescent="0.25">
      <c r="A2025" s="2">
        <v>36881</v>
      </c>
      <c r="B2025">
        <v>-5.38</v>
      </c>
      <c r="C2025">
        <v>154.21</v>
      </c>
      <c r="D2025" t="s">
        <v>16</v>
      </c>
      <c r="E2025" t="s">
        <v>290</v>
      </c>
      <c r="F2025">
        <f t="shared" si="62"/>
        <v>2000</v>
      </c>
      <c r="G2025">
        <f t="shared" si="63"/>
        <v>12</v>
      </c>
      <c r="H2025" t="str">
        <f>IF(ISNUMBER(FIND(",", E2025)), TRIM(MID(E2025, FIND(",", E2025) + 1, LEN(E2025))), E2025)</f>
        <v>Papua New Guinea</v>
      </c>
    </row>
    <row r="2026" spans="1:8" x14ac:dyDescent="0.25">
      <c r="A2026" s="2">
        <v>36881</v>
      </c>
      <c r="B2026">
        <v>-5.8</v>
      </c>
      <c r="C2026">
        <v>151.27000000000001</v>
      </c>
      <c r="D2026" t="s">
        <v>16</v>
      </c>
      <c r="E2026" t="s">
        <v>190</v>
      </c>
      <c r="F2026">
        <f t="shared" si="62"/>
        <v>2000</v>
      </c>
      <c r="G2026">
        <f t="shared" si="63"/>
        <v>12</v>
      </c>
      <c r="H2026" t="str">
        <f>IF(ISNUMBER(FIND(",", E2026)), TRIM(MID(E2026, FIND(",", E2026) + 1, LEN(E2026))), E2026)</f>
        <v>Papua New Guinea</v>
      </c>
    </row>
    <row r="2027" spans="1:8" x14ac:dyDescent="0.25">
      <c r="A2027" s="2">
        <v>36880</v>
      </c>
      <c r="B2027">
        <v>-9.35</v>
      </c>
      <c r="C2027">
        <v>154.63999999999999</v>
      </c>
      <c r="D2027" t="s">
        <v>16</v>
      </c>
      <c r="E2027" t="s">
        <v>507</v>
      </c>
      <c r="F2027">
        <f t="shared" si="62"/>
        <v>2000</v>
      </c>
      <c r="G2027">
        <f t="shared" si="63"/>
        <v>12</v>
      </c>
      <c r="H2027" t="str">
        <f>IF(ISNUMBER(FIND(",", E2027)), TRIM(MID(E2027, FIND(",", E2027) + 1, LEN(E2027))), E2027)</f>
        <v>D'Entrecasteaux Islands region</v>
      </c>
    </row>
    <row r="2028" spans="1:8" x14ac:dyDescent="0.25">
      <c r="A2028" s="2">
        <v>36880</v>
      </c>
      <c r="B2028">
        <v>-39.1</v>
      </c>
      <c r="C2028">
        <v>-74.930000000000007</v>
      </c>
      <c r="D2028" t="s">
        <v>16</v>
      </c>
      <c r="E2028" t="s">
        <v>508</v>
      </c>
      <c r="F2028">
        <f t="shared" si="62"/>
        <v>2000</v>
      </c>
      <c r="G2028">
        <f t="shared" si="63"/>
        <v>12</v>
      </c>
      <c r="H2028" t="str">
        <f>IF(ISNUMBER(FIND(",", E2028)), TRIM(MID(E2028, FIND(",", E2028) + 1, LEN(E2028))), E2028)</f>
        <v>Chile</v>
      </c>
    </row>
    <row r="2029" spans="1:8" x14ac:dyDescent="0.25">
      <c r="A2029" s="2">
        <v>36879</v>
      </c>
      <c r="B2029">
        <v>11.73</v>
      </c>
      <c r="C2029">
        <v>144.87</v>
      </c>
      <c r="D2029" t="s">
        <v>16</v>
      </c>
      <c r="E2029" t="s">
        <v>321</v>
      </c>
      <c r="F2029">
        <f t="shared" si="62"/>
        <v>2000</v>
      </c>
      <c r="G2029">
        <f t="shared" si="63"/>
        <v>12</v>
      </c>
      <c r="H2029" t="str">
        <f>IF(ISNUMBER(FIND(",", E2029)), TRIM(MID(E2029, FIND(",", E2029) + 1, LEN(E2029))), E2029)</f>
        <v>south of the Mariana Islands</v>
      </c>
    </row>
    <row r="2030" spans="1:8" x14ac:dyDescent="0.25">
      <c r="A2030" s="2">
        <v>36878</v>
      </c>
      <c r="B2030">
        <v>-21.15</v>
      </c>
      <c r="C2030">
        <v>-179.03</v>
      </c>
      <c r="D2030" t="s">
        <v>16</v>
      </c>
      <c r="E2030" t="s">
        <v>53</v>
      </c>
      <c r="F2030">
        <f t="shared" si="62"/>
        <v>2000</v>
      </c>
      <c r="G2030">
        <f t="shared" si="63"/>
        <v>12</v>
      </c>
      <c r="H2030" t="str">
        <f>IF(ISNUMBER(FIND(",", E2030)), TRIM(MID(E2030, FIND(",", E2030) + 1, LEN(E2030))), E2030)</f>
        <v>Fiji region</v>
      </c>
    </row>
    <row r="2031" spans="1:8" x14ac:dyDescent="0.25">
      <c r="A2031" s="2">
        <v>36875</v>
      </c>
      <c r="B2031">
        <v>38.450000000000003</v>
      </c>
      <c r="C2031">
        <v>31.26</v>
      </c>
      <c r="D2031" t="s">
        <v>16</v>
      </c>
      <c r="E2031" t="s">
        <v>494</v>
      </c>
      <c r="F2031">
        <f t="shared" si="62"/>
        <v>2000</v>
      </c>
      <c r="G2031">
        <f t="shared" si="63"/>
        <v>12</v>
      </c>
      <c r="H2031" t="str">
        <f>IF(ISNUMBER(FIND(",", E2031)), TRIM(MID(E2031, FIND(",", E2031) + 1, LEN(E2031))), E2031)</f>
        <v>western Turkey</v>
      </c>
    </row>
    <row r="2032" spans="1:8" x14ac:dyDescent="0.25">
      <c r="A2032" s="2">
        <v>36872</v>
      </c>
      <c r="B2032">
        <v>5.78</v>
      </c>
      <c r="C2032">
        <v>-82.69</v>
      </c>
      <c r="D2032" t="s">
        <v>16</v>
      </c>
      <c r="E2032" t="s">
        <v>231</v>
      </c>
      <c r="F2032">
        <f t="shared" si="62"/>
        <v>2000</v>
      </c>
      <c r="G2032">
        <f t="shared" si="63"/>
        <v>12</v>
      </c>
      <c r="H2032" t="str">
        <f>IF(ISNUMBER(FIND(",", E2032)), TRIM(MID(E2032, FIND(",", E2032) + 1, LEN(E2032))), E2032)</f>
        <v>south of Panama</v>
      </c>
    </row>
    <row r="2033" spans="1:8" x14ac:dyDescent="0.25">
      <c r="A2033" s="2">
        <v>36866</v>
      </c>
      <c r="B2033">
        <v>-4.22</v>
      </c>
      <c r="C2033">
        <v>152.79</v>
      </c>
      <c r="D2033" t="s">
        <v>16</v>
      </c>
      <c r="E2033" t="s">
        <v>190</v>
      </c>
      <c r="F2033">
        <f t="shared" si="62"/>
        <v>2000</v>
      </c>
      <c r="G2033">
        <f t="shared" si="63"/>
        <v>12</v>
      </c>
      <c r="H2033" t="str">
        <f>IF(ISNUMBER(FIND(",", E2033)), TRIM(MID(E2033, FIND(",", E2033) + 1, LEN(E2033))), E2033)</f>
        <v>Papua New Guinea</v>
      </c>
    </row>
    <row r="2034" spans="1:8" x14ac:dyDescent="0.25">
      <c r="A2034" s="2">
        <v>36866</v>
      </c>
      <c r="B2034">
        <v>39.53</v>
      </c>
      <c r="C2034">
        <v>54.8</v>
      </c>
      <c r="D2034" t="s">
        <v>16</v>
      </c>
      <c r="E2034" t="s">
        <v>509</v>
      </c>
      <c r="F2034">
        <f t="shared" si="62"/>
        <v>2000</v>
      </c>
      <c r="G2034">
        <f t="shared" si="63"/>
        <v>12</v>
      </c>
      <c r="H2034" t="str">
        <f>IF(ISNUMBER(FIND(",", E2034)), TRIM(MID(E2034, FIND(",", E2034) + 1, LEN(E2034))), E2034)</f>
        <v>Turkmenistan</v>
      </c>
    </row>
    <row r="2035" spans="1:8" x14ac:dyDescent="0.25">
      <c r="A2035" s="2">
        <v>36864</v>
      </c>
      <c r="B2035">
        <v>14.875999999999999</v>
      </c>
      <c r="C2035">
        <v>-93.944000000000003</v>
      </c>
      <c r="D2035" t="s">
        <v>5</v>
      </c>
      <c r="E2035" t="s">
        <v>510</v>
      </c>
      <c r="F2035">
        <f t="shared" si="62"/>
        <v>2000</v>
      </c>
      <c r="G2035">
        <f t="shared" si="63"/>
        <v>12</v>
      </c>
      <c r="H2035" t="str">
        <f>IF(ISNUMBER(FIND(",", E2035)), TRIM(MID(E2035, FIND(",", E2035) + 1, LEN(E2035))), E2035)</f>
        <v>Mexico</v>
      </c>
    </row>
    <row r="2036" spans="1:8" x14ac:dyDescent="0.25">
      <c r="A2036" s="2">
        <v>36864</v>
      </c>
      <c r="B2036">
        <v>14.87</v>
      </c>
      <c r="C2036">
        <v>-93.87</v>
      </c>
      <c r="D2036" t="s">
        <v>16</v>
      </c>
      <c r="E2036" t="s">
        <v>238</v>
      </c>
      <c r="F2036">
        <f t="shared" si="62"/>
        <v>2000</v>
      </c>
      <c r="G2036">
        <f t="shared" si="63"/>
        <v>12</v>
      </c>
      <c r="H2036" t="str">
        <f>IF(ISNUMBER(FIND(",", E2036)), TRIM(MID(E2036, FIND(",", E2036) + 1, LEN(E2036))), E2036)</f>
        <v>Mexico</v>
      </c>
    </row>
    <row r="2037" spans="1:8" x14ac:dyDescent="0.25">
      <c r="A2037" s="2">
        <v>36859</v>
      </c>
      <c r="B2037">
        <v>-24.95</v>
      </c>
      <c r="C2037">
        <v>-70.98</v>
      </c>
      <c r="D2037" t="s">
        <v>16</v>
      </c>
      <c r="E2037" t="s">
        <v>413</v>
      </c>
      <c r="F2037">
        <f t="shared" si="62"/>
        <v>2000</v>
      </c>
      <c r="G2037">
        <f t="shared" si="63"/>
        <v>11</v>
      </c>
      <c r="H2037" t="str">
        <f>IF(ISNUMBER(FIND(",", E2037)), TRIM(MID(E2037, FIND(",", E2037) + 1, LEN(E2037))), E2037)</f>
        <v>Chile</v>
      </c>
    </row>
    <row r="2038" spans="1:8" x14ac:dyDescent="0.25">
      <c r="A2038" s="2">
        <v>36855</v>
      </c>
      <c r="B2038">
        <v>40.167000000000002</v>
      </c>
      <c r="C2038">
        <v>49.954000000000001</v>
      </c>
      <c r="D2038" t="s">
        <v>7</v>
      </c>
      <c r="E2038" t="s">
        <v>511</v>
      </c>
      <c r="F2038">
        <f t="shared" si="62"/>
        <v>2000</v>
      </c>
      <c r="G2038">
        <f t="shared" si="63"/>
        <v>11</v>
      </c>
      <c r="H2038" t="str">
        <f>IF(ISNUMBER(FIND(",", E2038)), TRIM(MID(E2038, FIND(",", E2038) + 1, LEN(E2038))), E2038)</f>
        <v>offshore Azerbaijan</v>
      </c>
    </row>
    <row r="2039" spans="1:8" x14ac:dyDescent="0.25">
      <c r="A2039" s="2">
        <v>36855</v>
      </c>
      <c r="B2039">
        <v>40.19</v>
      </c>
      <c r="C2039">
        <v>49.92</v>
      </c>
      <c r="D2039" t="s">
        <v>16</v>
      </c>
      <c r="E2039" t="s">
        <v>511</v>
      </c>
      <c r="F2039">
        <f t="shared" si="62"/>
        <v>2000</v>
      </c>
      <c r="G2039">
        <f t="shared" si="63"/>
        <v>11</v>
      </c>
      <c r="H2039" t="str">
        <f>IF(ISNUMBER(FIND(",", E2039)), TRIM(MID(E2039, FIND(",", E2039) + 1, LEN(E2039))), E2039)</f>
        <v>offshore Azerbaijan</v>
      </c>
    </row>
    <row r="2040" spans="1:8" x14ac:dyDescent="0.25">
      <c r="A2040" s="2">
        <v>36853</v>
      </c>
      <c r="B2040">
        <v>-4.59</v>
      </c>
      <c r="C2040">
        <v>153.09</v>
      </c>
      <c r="D2040" t="s">
        <v>16</v>
      </c>
      <c r="E2040" t="s">
        <v>183</v>
      </c>
      <c r="F2040">
        <f t="shared" si="62"/>
        <v>2000</v>
      </c>
      <c r="G2040">
        <f t="shared" si="63"/>
        <v>11</v>
      </c>
      <c r="H2040" t="str">
        <f>IF(ISNUMBER(FIND(",", E2040)), TRIM(MID(E2040, FIND(",", E2040) + 1, LEN(E2040))), E2040)</f>
        <v>Papua New Guinea</v>
      </c>
    </row>
    <row r="2041" spans="1:8" x14ac:dyDescent="0.25">
      <c r="A2041" s="2">
        <v>36851</v>
      </c>
      <c r="B2041">
        <v>-5.33</v>
      </c>
      <c r="C2041">
        <v>152.74</v>
      </c>
      <c r="D2041" t="s">
        <v>16</v>
      </c>
      <c r="E2041" t="s">
        <v>190</v>
      </c>
      <c r="F2041">
        <f t="shared" si="62"/>
        <v>2000</v>
      </c>
      <c r="G2041">
        <f t="shared" si="63"/>
        <v>11</v>
      </c>
      <c r="H2041" t="str">
        <f>IF(ISNUMBER(FIND(",", E2041)), TRIM(MID(E2041, FIND(",", E2041) + 1, LEN(E2041))), E2041)</f>
        <v>Papua New Guinea</v>
      </c>
    </row>
    <row r="2042" spans="1:8" x14ac:dyDescent="0.25">
      <c r="A2042" s="2">
        <v>36851</v>
      </c>
      <c r="B2042">
        <v>-5.44</v>
      </c>
      <c r="C2042">
        <v>152.22</v>
      </c>
      <c r="D2042" t="s">
        <v>16</v>
      </c>
      <c r="E2042" t="s">
        <v>190</v>
      </c>
      <c r="F2042">
        <f t="shared" si="62"/>
        <v>2000</v>
      </c>
      <c r="G2042">
        <f t="shared" si="63"/>
        <v>11</v>
      </c>
      <c r="H2042" t="str">
        <f>IF(ISNUMBER(FIND(",", E2042)), TRIM(MID(E2042, FIND(",", E2042) + 1, LEN(E2042))), E2042)</f>
        <v>Papua New Guinea</v>
      </c>
    </row>
    <row r="2043" spans="1:8" x14ac:dyDescent="0.25">
      <c r="A2043" s="2">
        <v>36849</v>
      </c>
      <c r="B2043">
        <v>-5.6</v>
      </c>
      <c r="C2043">
        <v>151.94999999999999</v>
      </c>
      <c r="D2043" t="s">
        <v>16</v>
      </c>
      <c r="E2043" t="s">
        <v>190</v>
      </c>
      <c r="F2043">
        <f t="shared" si="62"/>
        <v>2000</v>
      </c>
      <c r="G2043">
        <f t="shared" si="63"/>
        <v>11</v>
      </c>
      <c r="H2043" t="str">
        <f>IF(ISNUMBER(FIND(",", E2043)), TRIM(MID(E2043, FIND(",", E2043) + 1, LEN(E2043))), E2043)</f>
        <v>Papua New Guinea</v>
      </c>
    </row>
    <row r="2044" spans="1:8" x14ac:dyDescent="0.25">
      <c r="A2044" s="2">
        <v>36848</v>
      </c>
      <c r="B2044">
        <v>-5.41</v>
      </c>
      <c r="C2044">
        <v>153.46</v>
      </c>
      <c r="D2044" t="s">
        <v>16</v>
      </c>
      <c r="E2044" t="s">
        <v>183</v>
      </c>
      <c r="F2044">
        <f t="shared" si="62"/>
        <v>2000</v>
      </c>
      <c r="G2044">
        <f t="shared" si="63"/>
        <v>11</v>
      </c>
      <c r="H2044" t="str">
        <f>IF(ISNUMBER(FIND(",", E2044)), TRIM(MID(E2044, FIND(",", E2044) + 1, LEN(E2044))), E2044)</f>
        <v>Papua New Guinea</v>
      </c>
    </row>
    <row r="2045" spans="1:8" x14ac:dyDescent="0.25">
      <c r="A2045" s="2">
        <v>36848</v>
      </c>
      <c r="B2045">
        <v>-5.23</v>
      </c>
      <c r="C2045">
        <v>151.80000000000001</v>
      </c>
      <c r="D2045" t="s">
        <v>16</v>
      </c>
      <c r="E2045" t="s">
        <v>190</v>
      </c>
      <c r="F2045">
        <f t="shared" si="62"/>
        <v>2000</v>
      </c>
      <c r="G2045">
        <f t="shared" si="63"/>
        <v>11</v>
      </c>
      <c r="H2045" t="str">
        <f>IF(ISNUMBER(FIND(",", E2045)), TRIM(MID(E2045, FIND(",", E2045) + 1, LEN(E2045))), E2045)</f>
        <v>Papua New Guinea</v>
      </c>
    </row>
    <row r="2046" spans="1:8" x14ac:dyDescent="0.25">
      <c r="A2046" s="2">
        <v>36848</v>
      </c>
      <c r="B2046">
        <v>-5.09</v>
      </c>
      <c r="C2046">
        <v>153.19</v>
      </c>
      <c r="D2046" t="s">
        <v>16</v>
      </c>
      <c r="E2046" t="s">
        <v>183</v>
      </c>
      <c r="F2046">
        <f t="shared" si="62"/>
        <v>2000</v>
      </c>
      <c r="G2046">
        <f t="shared" si="63"/>
        <v>11</v>
      </c>
      <c r="H2046" t="str">
        <f>IF(ISNUMBER(FIND(",", E2046)), TRIM(MID(E2046, FIND(",", E2046) + 1, LEN(E2046))), E2046)</f>
        <v>Papua New Guinea</v>
      </c>
    </row>
    <row r="2047" spans="1:8" x14ac:dyDescent="0.25">
      <c r="A2047" s="2">
        <v>36847</v>
      </c>
      <c r="B2047">
        <v>-5.49</v>
      </c>
      <c r="C2047">
        <v>151.88</v>
      </c>
      <c r="D2047" t="s">
        <v>16</v>
      </c>
      <c r="E2047" t="s">
        <v>190</v>
      </c>
      <c r="F2047">
        <f t="shared" si="62"/>
        <v>2000</v>
      </c>
      <c r="G2047">
        <f t="shared" si="63"/>
        <v>11</v>
      </c>
      <c r="H2047" t="str">
        <f>IF(ISNUMBER(FIND(",", E2047)), TRIM(MID(E2047, FIND(",", E2047) + 1, LEN(E2047))), E2047)</f>
        <v>Papua New Guinea</v>
      </c>
    </row>
    <row r="2048" spans="1:8" x14ac:dyDescent="0.25">
      <c r="A2048" s="2">
        <v>36846</v>
      </c>
      <c r="B2048">
        <v>-5.29</v>
      </c>
      <c r="C2048">
        <v>152.96799999999999</v>
      </c>
      <c r="D2048" t="s">
        <v>14</v>
      </c>
      <c r="E2048" t="s">
        <v>190</v>
      </c>
      <c r="F2048">
        <f t="shared" si="62"/>
        <v>2000</v>
      </c>
      <c r="G2048">
        <f t="shared" si="63"/>
        <v>11</v>
      </c>
      <c r="H2048" t="str">
        <f>IF(ISNUMBER(FIND(",", E2048)), TRIM(MID(E2048, FIND(",", E2048) + 1, LEN(E2048))), E2048)</f>
        <v>Papua New Guinea</v>
      </c>
    </row>
    <row r="2049" spans="1:8" x14ac:dyDescent="0.25">
      <c r="A2049" s="2">
        <v>36846</v>
      </c>
      <c r="B2049">
        <v>-4.827</v>
      </c>
      <c r="C2049">
        <v>153.226</v>
      </c>
      <c r="D2049" t="s">
        <v>13</v>
      </c>
      <c r="E2049" t="s">
        <v>183</v>
      </c>
      <c r="F2049">
        <f t="shared" si="62"/>
        <v>2000</v>
      </c>
      <c r="G2049">
        <f t="shared" si="63"/>
        <v>11</v>
      </c>
      <c r="H2049" t="str">
        <f>IF(ISNUMBER(FIND(",", E2049)), TRIM(MID(E2049, FIND(",", E2049) + 1, LEN(E2049))), E2049)</f>
        <v>Papua New Guinea</v>
      </c>
    </row>
    <row r="2050" spans="1:8" x14ac:dyDescent="0.25">
      <c r="A2050" s="2">
        <v>36846</v>
      </c>
      <c r="B2050">
        <v>-5.19</v>
      </c>
      <c r="C2050">
        <v>153.12</v>
      </c>
      <c r="D2050" t="s">
        <v>16</v>
      </c>
      <c r="E2050" t="s">
        <v>183</v>
      </c>
      <c r="F2050">
        <f t="shared" ref="F2050:F2113" si="64">YEAR(A2050)</f>
        <v>2000</v>
      </c>
      <c r="G2050">
        <f t="shared" si="63"/>
        <v>11</v>
      </c>
      <c r="H2050" t="str">
        <f>IF(ISNUMBER(FIND(",", E2050)), TRIM(MID(E2050, FIND(",", E2050) + 1, LEN(E2050))), E2050)</f>
        <v>Papua New Guinea</v>
      </c>
    </row>
    <row r="2051" spans="1:8" x14ac:dyDescent="0.25">
      <c r="A2051" s="2">
        <v>36846</v>
      </c>
      <c r="B2051">
        <v>-5.069</v>
      </c>
      <c r="C2051">
        <v>153.238</v>
      </c>
      <c r="D2051" t="s">
        <v>13</v>
      </c>
      <c r="E2051" t="s">
        <v>183</v>
      </c>
      <c r="F2051">
        <f t="shared" si="64"/>
        <v>2000</v>
      </c>
      <c r="G2051">
        <f t="shared" ref="G2051:G2114" si="65">MONTH(A2051)</f>
        <v>11</v>
      </c>
      <c r="H2051" t="str">
        <f>IF(ISNUMBER(FIND(",", E2051)), TRIM(MID(E2051, FIND(",", E2051) + 1, LEN(E2051))), E2051)</f>
        <v>Papua New Guinea</v>
      </c>
    </row>
    <row r="2052" spans="1:8" x14ac:dyDescent="0.25">
      <c r="A2052" s="2">
        <v>36846</v>
      </c>
      <c r="B2052">
        <v>-3.99</v>
      </c>
      <c r="C2052">
        <v>152.26</v>
      </c>
      <c r="D2052" t="s">
        <v>16</v>
      </c>
      <c r="E2052" t="s">
        <v>183</v>
      </c>
      <c r="F2052">
        <f t="shared" si="64"/>
        <v>2000</v>
      </c>
      <c r="G2052">
        <f t="shared" si="65"/>
        <v>11</v>
      </c>
      <c r="H2052" t="str">
        <f>IF(ISNUMBER(FIND(",", E2052)), TRIM(MID(E2052, FIND(",", E2052) + 1, LEN(E2052))), E2052)</f>
        <v>Papua New Guinea</v>
      </c>
    </row>
    <row r="2053" spans="1:8" x14ac:dyDescent="0.25">
      <c r="A2053" s="2">
        <v>36843</v>
      </c>
      <c r="B2053">
        <v>42.52</v>
      </c>
      <c r="C2053">
        <v>144.72999999999999</v>
      </c>
      <c r="D2053" t="s">
        <v>16</v>
      </c>
      <c r="E2053" t="s">
        <v>265</v>
      </c>
      <c r="F2053">
        <f t="shared" si="64"/>
        <v>2000</v>
      </c>
      <c r="G2053">
        <f t="shared" si="65"/>
        <v>11</v>
      </c>
      <c r="H2053" t="str">
        <f>IF(ISNUMBER(FIND(",", E2053)), TRIM(MID(E2053, FIND(",", E2053) + 1, LEN(E2053))), E2053)</f>
        <v>Japan region</v>
      </c>
    </row>
    <row r="2054" spans="1:8" x14ac:dyDescent="0.25">
      <c r="A2054" s="2">
        <v>36838</v>
      </c>
      <c r="B2054">
        <v>7.09</v>
      </c>
      <c r="C2054">
        <v>-77.81</v>
      </c>
      <c r="D2054" t="s">
        <v>16</v>
      </c>
      <c r="E2054" t="s">
        <v>512</v>
      </c>
      <c r="F2054">
        <f t="shared" si="64"/>
        <v>2000</v>
      </c>
      <c r="G2054">
        <f t="shared" si="65"/>
        <v>11</v>
      </c>
      <c r="H2054" t="str">
        <f>IF(ISNUMBER(FIND(",", E2054)), TRIM(MID(E2054, FIND(",", E2054) + 1, LEN(E2054))), E2054)</f>
        <v>Panama-Colombia border region</v>
      </c>
    </row>
    <row r="2055" spans="1:8" x14ac:dyDescent="0.25">
      <c r="A2055" s="2">
        <v>36837</v>
      </c>
      <c r="B2055">
        <v>-5.46</v>
      </c>
      <c r="C2055">
        <v>154.01</v>
      </c>
      <c r="D2055" t="s">
        <v>16</v>
      </c>
      <c r="E2055" t="s">
        <v>290</v>
      </c>
      <c r="F2055">
        <f t="shared" si="64"/>
        <v>2000</v>
      </c>
      <c r="G2055">
        <f t="shared" si="65"/>
        <v>11</v>
      </c>
      <c r="H2055" t="str">
        <f>IF(ISNUMBER(FIND(",", E2055)), TRIM(MID(E2055, FIND(",", E2055) + 1, LEN(E2055))), E2055)</f>
        <v>Papua New Guinea</v>
      </c>
    </row>
    <row r="2056" spans="1:8" x14ac:dyDescent="0.25">
      <c r="A2056" s="2">
        <v>36837</v>
      </c>
      <c r="B2056">
        <v>-5.5380000000000003</v>
      </c>
      <c r="C2056">
        <v>151.59200000000001</v>
      </c>
      <c r="D2056" t="s">
        <v>14</v>
      </c>
      <c r="E2056" t="s">
        <v>190</v>
      </c>
      <c r="F2056">
        <f t="shared" si="64"/>
        <v>2000</v>
      </c>
      <c r="G2056">
        <f t="shared" si="65"/>
        <v>11</v>
      </c>
      <c r="H2056" t="str">
        <f>IF(ISNUMBER(FIND(",", E2056)), TRIM(MID(E2056, FIND(",", E2056) + 1, LEN(E2056))), E2056)</f>
        <v>Papua New Guinea</v>
      </c>
    </row>
    <row r="2057" spans="1:8" x14ac:dyDescent="0.25">
      <c r="A2057" s="2">
        <v>36837</v>
      </c>
      <c r="B2057">
        <v>-55.51</v>
      </c>
      <c r="C2057">
        <v>-29.48</v>
      </c>
      <c r="D2057" t="s">
        <v>16</v>
      </c>
      <c r="E2057" t="s">
        <v>260</v>
      </c>
      <c r="F2057">
        <f t="shared" si="64"/>
        <v>2000</v>
      </c>
      <c r="G2057">
        <f t="shared" si="65"/>
        <v>11</v>
      </c>
      <c r="H2057" t="str">
        <f>IF(ISNUMBER(FIND(",", E2057)), TRIM(MID(E2057, FIND(",", E2057) + 1, LEN(E2057))), E2057)</f>
        <v>South Sandwich Islands region</v>
      </c>
    </row>
    <row r="2058" spans="1:8" x14ac:dyDescent="0.25">
      <c r="A2058" s="2">
        <v>36831</v>
      </c>
      <c r="B2058">
        <v>-45.13</v>
      </c>
      <c r="C2058">
        <v>167.12</v>
      </c>
      <c r="D2058" t="s">
        <v>16</v>
      </c>
      <c r="E2058" t="s">
        <v>300</v>
      </c>
      <c r="F2058">
        <f t="shared" si="64"/>
        <v>2000</v>
      </c>
      <c r="G2058">
        <f t="shared" si="65"/>
        <v>11</v>
      </c>
      <c r="H2058" t="str">
        <f>IF(ISNUMBER(FIND(",", E2058)), TRIM(MID(E2058, FIND(",", E2058) + 1, LEN(E2058))), E2058)</f>
        <v>South Island of New Zealand</v>
      </c>
    </row>
    <row r="2059" spans="1:8" x14ac:dyDescent="0.25">
      <c r="A2059" s="2">
        <v>36830</v>
      </c>
      <c r="B2059">
        <v>-18.04</v>
      </c>
      <c r="C2059">
        <v>-175.17</v>
      </c>
      <c r="D2059" t="s">
        <v>16</v>
      </c>
      <c r="E2059" t="s">
        <v>239</v>
      </c>
      <c r="F2059">
        <f t="shared" si="64"/>
        <v>2000</v>
      </c>
      <c r="G2059">
        <f t="shared" si="65"/>
        <v>10</v>
      </c>
      <c r="H2059" t="str">
        <f>IF(ISNUMBER(FIND(",", E2059)), TRIM(MID(E2059, FIND(",", E2059) + 1, LEN(E2059))), E2059)</f>
        <v>Tonga</v>
      </c>
    </row>
    <row r="2060" spans="1:8" x14ac:dyDescent="0.25">
      <c r="A2060" s="2">
        <v>36828</v>
      </c>
      <c r="B2060">
        <v>-4.766</v>
      </c>
      <c r="C2060">
        <v>153.94499999999999</v>
      </c>
      <c r="D2060" t="s">
        <v>7</v>
      </c>
      <c r="E2060" t="s">
        <v>183</v>
      </c>
      <c r="F2060">
        <f t="shared" si="64"/>
        <v>2000</v>
      </c>
      <c r="G2060">
        <f t="shared" si="65"/>
        <v>10</v>
      </c>
      <c r="H2060" t="str">
        <f>IF(ISNUMBER(FIND(",", E2060)), TRIM(MID(E2060, FIND(",", E2060) + 1, LEN(E2060))), E2060)</f>
        <v>Papua New Guinea</v>
      </c>
    </row>
    <row r="2061" spans="1:8" x14ac:dyDescent="0.25">
      <c r="A2061" s="2">
        <v>36828</v>
      </c>
      <c r="B2061">
        <v>-5.22</v>
      </c>
      <c r="C2061">
        <v>154.06</v>
      </c>
      <c r="D2061" t="s">
        <v>16</v>
      </c>
      <c r="E2061" t="s">
        <v>290</v>
      </c>
      <c r="F2061">
        <f t="shared" si="64"/>
        <v>2000</v>
      </c>
      <c r="G2061">
        <f t="shared" si="65"/>
        <v>10</v>
      </c>
      <c r="H2061" t="str">
        <f>IF(ISNUMBER(FIND(",", E2061)), TRIM(MID(E2061, FIND(",", E2061) + 1, LEN(E2061))), E2061)</f>
        <v>Papua New Guinea</v>
      </c>
    </row>
    <row r="2062" spans="1:8" x14ac:dyDescent="0.25">
      <c r="A2062" s="2">
        <v>36826</v>
      </c>
      <c r="B2062">
        <v>26.26</v>
      </c>
      <c r="C2062">
        <v>140.61000000000001</v>
      </c>
      <c r="D2062" t="s">
        <v>16</v>
      </c>
      <c r="E2062" t="s">
        <v>233</v>
      </c>
      <c r="F2062">
        <f t="shared" si="64"/>
        <v>2000</v>
      </c>
      <c r="G2062">
        <f t="shared" si="65"/>
        <v>10</v>
      </c>
      <c r="H2062" t="str">
        <f>IF(ISNUMBER(FIND(",", E2062)), TRIM(MID(E2062, FIND(",", E2062) + 1, LEN(E2062))), E2062)</f>
        <v>Japan region</v>
      </c>
    </row>
    <row r="2063" spans="1:8" x14ac:dyDescent="0.25">
      <c r="A2063" s="2">
        <v>36824</v>
      </c>
      <c r="B2063">
        <v>-34.619999999999997</v>
      </c>
      <c r="C2063">
        <v>-109.53</v>
      </c>
      <c r="D2063" t="s">
        <v>16</v>
      </c>
      <c r="E2063" t="s">
        <v>268</v>
      </c>
      <c r="F2063">
        <f t="shared" si="64"/>
        <v>2000</v>
      </c>
      <c r="G2063">
        <f t="shared" si="65"/>
        <v>10</v>
      </c>
      <c r="H2063" t="str">
        <f>IF(ISNUMBER(FIND(",", E2063)), TRIM(MID(E2063, FIND(",", E2063) + 1, LEN(E2063))), E2063)</f>
        <v>southern East Pacific Rise</v>
      </c>
    </row>
    <row r="2064" spans="1:8" x14ac:dyDescent="0.25">
      <c r="A2064" s="2">
        <v>36824</v>
      </c>
      <c r="B2064">
        <v>-6.72</v>
      </c>
      <c r="C2064">
        <v>105.52</v>
      </c>
      <c r="D2064" t="s">
        <v>16</v>
      </c>
      <c r="E2064" t="s">
        <v>278</v>
      </c>
      <c r="F2064">
        <f t="shared" si="64"/>
        <v>2000</v>
      </c>
      <c r="G2064">
        <f t="shared" si="65"/>
        <v>10</v>
      </c>
      <c r="H2064" t="str">
        <f>IF(ISNUMBER(FIND(",", E2064)), TRIM(MID(E2064, FIND(",", E2064) + 1, LEN(E2064))), E2064)</f>
        <v>Indonesia</v>
      </c>
    </row>
    <row r="2065" spans="1:8" x14ac:dyDescent="0.25">
      <c r="A2065" s="2">
        <v>36824</v>
      </c>
      <c r="B2065">
        <v>-34.57</v>
      </c>
      <c r="C2065">
        <v>-109.66</v>
      </c>
      <c r="D2065" t="s">
        <v>16</v>
      </c>
      <c r="E2065" t="s">
        <v>268</v>
      </c>
      <c r="F2065">
        <f t="shared" si="64"/>
        <v>2000</v>
      </c>
      <c r="G2065">
        <f t="shared" si="65"/>
        <v>10</v>
      </c>
      <c r="H2065" t="str">
        <f>IF(ISNUMBER(FIND(",", E2065)), TRIM(MID(E2065, FIND(",", E2065) + 1, LEN(E2065))), E2065)</f>
        <v>southern East Pacific Rise</v>
      </c>
    </row>
    <row r="2066" spans="1:8" x14ac:dyDescent="0.25">
      <c r="A2066" s="2">
        <v>36820</v>
      </c>
      <c r="B2066">
        <v>-47.28</v>
      </c>
      <c r="C2066">
        <v>-12.28</v>
      </c>
      <c r="D2066" t="s">
        <v>16</v>
      </c>
      <c r="E2066" t="s">
        <v>422</v>
      </c>
      <c r="F2066">
        <f t="shared" si="64"/>
        <v>2000</v>
      </c>
      <c r="G2066">
        <f t="shared" si="65"/>
        <v>10</v>
      </c>
      <c r="H2066" t="str">
        <f>IF(ISNUMBER(FIND(",", E2066)), TRIM(MID(E2066, FIND(",", E2066) + 1, LEN(E2066))), E2066)</f>
        <v>southern Mid-Atlantic Ridge</v>
      </c>
    </row>
    <row r="2067" spans="1:8" x14ac:dyDescent="0.25">
      <c r="A2067" s="2">
        <v>36820</v>
      </c>
      <c r="B2067">
        <v>-17.37</v>
      </c>
      <c r="C2067">
        <v>-175.05</v>
      </c>
      <c r="D2067" t="s">
        <v>16</v>
      </c>
      <c r="E2067" t="s">
        <v>239</v>
      </c>
      <c r="F2067">
        <f t="shared" si="64"/>
        <v>2000</v>
      </c>
      <c r="G2067">
        <f t="shared" si="65"/>
        <v>10</v>
      </c>
      <c r="H2067" t="str">
        <f>IF(ISNUMBER(FIND(",", E2067)), TRIM(MID(E2067, FIND(",", E2067) + 1, LEN(E2067))), E2067)</f>
        <v>Tonga</v>
      </c>
    </row>
    <row r="2068" spans="1:8" x14ac:dyDescent="0.25">
      <c r="A2068" s="2">
        <v>36805</v>
      </c>
      <c r="B2068">
        <v>35.380000000000003</v>
      </c>
      <c r="C2068">
        <v>133.16999999999999</v>
      </c>
      <c r="D2068" t="s">
        <v>16</v>
      </c>
      <c r="E2068" t="s">
        <v>502</v>
      </c>
      <c r="F2068">
        <f t="shared" si="64"/>
        <v>2000</v>
      </c>
      <c r="G2068">
        <f t="shared" si="65"/>
        <v>10</v>
      </c>
      <c r="H2068" t="str">
        <f>IF(ISNUMBER(FIND(",", E2068)), TRIM(MID(E2068, FIND(",", E2068) + 1, LEN(E2068))), E2068)</f>
        <v>Japan</v>
      </c>
    </row>
    <row r="2069" spans="1:8" x14ac:dyDescent="0.25">
      <c r="A2069" s="2">
        <v>36804</v>
      </c>
      <c r="B2069">
        <v>6.8</v>
      </c>
      <c r="C2069">
        <v>126.87</v>
      </c>
      <c r="D2069" t="s">
        <v>16</v>
      </c>
      <c r="E2069" t="s">
        <v>200</v>
      </c>
      <c r="F2069">
        <f t="shared" si="64"/>
        <v>2000</v>
      </c>
      <c r="G2069">
        <f t="shared" si="65"/>
        <v>10</v>
      </c>
      <c r="H2069" t="str">
        <f>IF(ISNUMBER(FIND(",", E2069)), TRIM(MID(E2069, FIND(",", E2069) + 1, LEN(E2069))), E2069)</f>
        <v>Philippines</v>
      </c>
    </row>
    <row r="2070" spans="1:8" x14ac:dyDescent="0.25">
      <c r="A2070" s="2">
        <v>36804</v>
      </c>
      <c r="B2070">
        <v>31.67</v>
      </c>
      <c r="C2070">
        <v>-40.9</v>
      </c>
      <c r="D2070" t="s">
        <v>16</v>
      </c>
      <c r="E2070" t="s">
        <v>325</v>
      </c>
      <c r="F2070">
        <f t="shared" si="64"/>
        <v>2000</v>
      </c>
      <c r="G2070">
        <f t="shared" si="65"/>
        <v>10</v>
      </c>
      <c r="H2070" t="str">
        <f>IF(ISNUMBER(FIND(",", E2070)), TRIM(MID(E2070, FIND(",", E2070) + 1, LEN(E2070))), E2070)</f>
        <v>northern Mid-Atlantic Ridge</v>
      </c>
    </row>
    <row r="2071" spans="1:8" x14ac:dyDescent="0.25">
      <c r="A2071" s="2">
        <v>36803</v>
      </c>
      <c r="B2071">
        <v>-15.34</v>
      </c>
      <c r="C2071">
        <v>167</v>
      </c>
      <c r="D2071" t="s">
        <v>16</v>
      </c>
      <c r="E2071" t="s">
        <v>181</v>
      </c>
      <c r="F2071">
        <f t="shared" si="64"/>
        <v>2000</v>
      </c>
      <c r="G2071">
        <f t="shared" si="65"/>
        <v>10</v>
      </c>
      <c r="H2071" t="str">
        <f>IF(ISNUMBER(FIND(",", E2071)), TRIM(MID(E2071, FIND(",", E2071) + 1, LEN(E2071))), E2071)</f>
        <v>Vanuatu</v>
      </c>
    </row>
    <row r="2072" spans="1:8" x14ac:dyDescent="0.25">
      <c r="A2072" s="2">
        <v>36803</v>
      </c>
      <c r="B2072">
        <v>11.08</v>
      </c>
      <c r="C2072">
        <v>-62.53</v>
      </c>
      <c r="D2072" t="s">
        <v>16</v>
      </c>
      <c r="E2072" t="s">
        <v>437</v>
      </c>
      <c r="F2072">
        <f t="shared" si="64"/>
        <v>2000</v>
      </c>
      <c r="G2072">
        <f t="shared" si="65"/>
        <v>10</v>
      </c>
      <c r="H2072" t="str">
        <f>IF(ISNUMBER(FIND(",", E2072)), TRIM(MID(E2072, FIND(",", E2072) + 1, LEN(E2072))), E2072)</f>
        <v>Venezuela</v>
      </c>
    </row>
    <row r="2073" spans="1:8" x14ac:dyDescent="0.25">
      <c r="A2073" s="2">
        <v>36802</v>
      </c>
      <c r="B2073">
        <v>40.19</v>
      </c>
      <c r="C2073">
        <v>143.13</v>
      </c>
      <c r="D2073" t="s">
        <v>16</v>
      </c>
      <c r="E2073" t="s">
        <v>189</v>
      </c>
      <c r="F2073">
        <f t="shared" si="64"/>
        <v>2000</v>
      </c>
      <c r="G2073">
        <f t="shared" si="65"/>
        <v>10</v>
      </c>
      <c r="H2073" t="str">
        <f>IF(ISNUMBER(FIND(",", E2073)), TRIM(MID(E2073, FIND(",", E2073) + 1, LEN(E2073))), E2073)</f>
        <v>Japan</v>
      </c>
    </row>
    <row r="2074" spans="1:8" x14ac:dyDescent="0.25">
      <c r="A2074" s="2">
        <v>36801</v>
      </c>
      <c r="B2074">
        <v>-7.96</v>
      </c>
      <c r="C2074">
        <v>30.8</v>
      </c>
      <c r="D2074" t="s">
        <v>16</v>
      </c>
      <c r="E2074" t="s">
        <v>446</v>
      </c>
      <c r="F2074">
        <f t="shared" si="64"/>
        <v>2000</v>
      </c>
      <c r="G2074">
        <f t="shared" si="65"/>
        <v>10</v>
      </c>
      <c r="H2074" t="str">
        <f>IF(ISNUMBER(FIND(",", E2074)), TRIM(MID(E2074, FIND(",", E2074) + 1, LEN(E2074))), E2074)</f>
        <v>Dem. Republic of the Congo-Tanzania</v>
      </c>
    </row>
    <row r="2075" spans="1:8" x14ac:dyDescent="0.25">
      <c r="A2075" s="2">
        <v>36797</v>
      </c>
      <c r="B2075">
        <v>-0.27</v>
      </c>
      <c r="C2075">
        <v>-80.540000000000006</v>
      </c>
      <c r="D2075" t="s">
        <v>16</v>
      </c>
      <c r="E2075" t="s">
        <v>457</v>
      </c>
      <c r="F2075">
        <f t="shared" si="64"/>
        <v>2000</v>
      </c>
      <c r="G2075">
        <f t="shared" si="65"/>
        <v>9</v>
      </c>
      <c r="H2075" t="str">
        <f>IF(ISNUMBER(FIND(",", E2075)), TRIM(MID(E2075, FIND(",", E2075) + 1, LEN(E2075))), E2075)</f>
        <v>near the coast of Ecuador</v>
      </c>
    </row>
    <row r="2076" spans="1:8" x14ac:dyDescent="0.25">
      <c r="A2076" s="2">
        <v>36795</v>
      </c>
      <c r="B2076">
        <v>-17.27</v>
      </c>
      <c r="C2076">
        <v>-173.78</v>
      </c>
      <c r="D2076" t="s">
        <v>16</v>
      </c>
      <c r="E2076" t="s">
        <v>239</v>
      </c>
      <c r="F2076">
        <f t="shared" si="64"/>
        <v>2000</v>
      </c>
      <c r="G2076">
        <f t="shared" si="65"/>
        <v>9</v>
      </c>
      <c r="H2076" t="str">
        <f>IF(ISNUMBER(FIND(",", E2076)), TRIM(MID(E2076, FIND(",", E2076) + 1, LEN(E2076))), E2076)</f>
        <v>Tonga</v>
      </c>
    </row>
    <row r="2077" spans="1:8" x14ac:dyDescent="0.25">
      <c r="A2077" s="2">
        <v>36791</v>
      </c>
      <c r="B2077">
        <v>-5.01</v>
      </c>
      <c r="C2077">
        <v>102.01</v>
      </c>
      <c r="D2077" t="s">
        <v>16</v>
      </c>
      <c r="E2077" t="s">
        <v>308</v>
      </c>
      <c r="F2077">
        <f t="shared" si="64"/>
        <v>2000</v>
      </c>
      <c r="G2077">
        <f t="shared" si="65"/>
        <v>9</v>
      </c>
      <c r="H2077" t="str">
        <f>IF(ISNUMBER(FIND(",", E2077)), TRIM(MID(E2077, FIND(",", E2077) + 1, LEN(E2077))), E2077)</f>
        <v>Indonesia</v>
      </c>
    </row>
    <row r="2078" spans="1:8" x14ac:dyDescent="0.25">
      <c r="A2078" s="2">
        <v>36783</v>
      </c>
      <c r="B2078">
        <v>-15.742000000000001</v>
      </c>
      <c r="C2078">
        <v>179.80099999999999</v>
      </c>
      <c r="D2078" t="s">
        <v>7</v>
      </c>
      <c r="E2078" t="s">
        <v>348</v>
      </c>
      <c r="F2078">
        <f t="shared" si="64"/>
        <v>2000</v>
      </c>
      <c r="G2078">
        <f t="shared" si="65"/>
        <v>9</v>
      </c>
      <c r="H2078" t="str">
        <f>IF(ISNUMBER(FIND(",", E2078)), TRIM(MID(E2078, FIND(",", E2078) + 1, LEN(E2078))), E2078)</f>
        <v>Fiji</v>
      </c>
    </row>
    <row r="2079" spans="1:8" x14ac:dyDescent="0.25">
      <c r="A2079" s="2">
        <v>36783</v>
      </c>
      <c r="B2079">
        <v>-15.79</v>
      </c>
      <c r="C2079">
        <v>-179.93</v>
      </c>
      <c r="D2079" t="s">
        <v>16</v>
      </c>
      <c r="E2079" t="s">
        <v>53</v>
      </c>
      <c r="F2079">
        <f t="shared" si="64"/>
        <v>2000</v>
      </c>
      <c r="G2079">
        <f t="shared" si="65"/>
        <v>9</v>
      </c>
      <c r="H2079" t="str">
        <f>IF(ISNUMBER(FIND(",", E2079)), TRIM(MID(E2079, FIND(",", E2079) + 1, LEN(E2079))), E2079)</f>
        <v>Fiji region</v>
      </c>
    </row>
    <row r="2080" spans="1:8" x14ac:dyDescent="0.25">
      <c r="A2080" s="2">
        <v>36781</v>
      </c>
      <c r="B2080">
        <v>-5.51</v>
      </c>
      <c r="C2080">
        <v>101.7</v>
      </c>
      <c r="D2080" t="s">
        <v>16</v>
      </c>
      <c r="E2080" t="s">
        <v>450</v>
      </c>
      <c r="F2080">
        <f t="shared" si="64"/>
        <v>2000</v>
      </c>
      <c r="G2080">
        <f t="shared" si="65"/>
        <v>9</v>
      </c>
      <c r="H2080" t="str">
        <f>IF(ISNUMBER(FIND(",", E2080)), TRIM(MID(E2080, FIND(",", E2080) + 1, LEN(E2080))), E2080)</f>
        <v>Indonesia</v>
      </c>
    </row>
    <row r="2081" spans="1:8" x14ac:dyDescent="0.25">
      <c r="A2081" s="2">
        <v>36781</v>
      </c>
      <c r="B2081">
        <v>35.42</v>
      </c>
      <c r="C2081">
        <v>99.44</v>
      </c>
      <c r="D2081" t="s">
        <v>16</v>
      </c>
      <c r="E2081" t="s">
        <v>331</v>
      </c>
      <c r="F2081">
        <f t="shared" si="64"/>
        <v>2000</v>
      </c>
      <c r="G2081">
        <f t="shared" si="65"/>
        <v>9</v>
      </c>
      <c r="H2081" t="str">
        <f>IF(ISNUMBER(FIND(",", E2081)), TRIM(MID(E2081, FIND(",", E2081) + 1, LEN(E2081))), E2081)</f>
        <v>China</v>
      </c>
    </row>
    <row r="2082" spans="1:8" x14ac:dyDescent="0.25">
      <c r="A2082" s="2">
        <v>36780</v>
      </c>
      <c r="B2082">
        <v>-15.91</v>
      </c>
      <c r="C2082">
        <v>-173.57</v>
      </c>
      <c r="D2082" t="s">
        <v>16</v>
      </c>
      <c r="E2082" t="s">
        <v>239</v>
      </c>
      <c r="F2082">
        <f t="shared" si="64"/>
        <v>2000</v>
      </c>
      <c r="G2082">
        <f t="shared" si="65"/>
        <v>9</v>
      </c>
      <c r="H2082" t="str">
        <f>IF(ISNUMBER(FIND(",", E2082)), TRIM(MID(E2082, FIND(",", E2082) + 1, LEN(E2082))), E2082)</f>
        <v>Tonga</v>
      </c>
    </row>
    <row r="2083" spans="1:8" x14ac:dyDescent="0.25">
      <c r="A2083" s="2">
        <v>36779</v>
      </c>
      <c r="B2083">
        <v>-1.1499999999999999</v>
      </c>
      <c r="C2083">
        <v>129.35</v>
      </c>
      <c r="D2083" t="s">
        <v>16</v>
      </c>
      <c r="E2083" t="s">
        <v>513</v>
      </c>
      <c r="F2083">
        <f t="shared" si="64"/>
        <v>2000</v>
      </c>
      <c r="G2083">
        <f t="shared" si="65"/>
        <v>9</v>
      </c>
      <c r="H2083" t="str">
        <f>IF(ISNUMBER(FIND(",", E2083)), TRIM(MID(E2083, FIND(",", E2083) + 1, LEN(E2083))), E2083)</f>
        <v>Indonesia</v>
      </c>
    </row>
    <row r="2084" spans="1:8" x14ac:dyDescent="0.25">
      <c r="A2084" s="2">
        <v>36771</v>
      </c>
      <c r="B2084">
        <v>-20.04</v>
      </c>
      <c r="C2084">
        <v>-179.01</v>
      </c>
      <c r="D2084" t="s">
        <v>16</v>
      </c>
      <c r="E2084" t="s">
        <v>53</v>
      </c>
      <c r="F2084">
        <f t="shared" si="64"/>
        <v>2000</v>
      </c>
      <c r="G2084">
        <f t="shared" si="65"/>
        <v>9</v>
      </c>
      <c r="H2084" t="str">
        <f>IF(ISNUMBER(FIND(",", E2084)), TRIM(MID(E2084, FIND(",", E2084) + 1, LEN(E2084))), E2084)</f>
        <v>Fiji region</v>
      </c>
    </row>
    <row r="2085" spans="1:8" x14ac:dyDescent="0.25">
      <c r="A2085" s="2">
        <v>36770</v>
      </c>
      <c r="B2085">
        <v>1.39</v>
      </c>
      <c r="C2085">
        <v>96.45</v>
      </c>
      <c r="D2085" t="s">
        <v>16</v>
      </c>
      <c r="E2085" t="s">
        <v>295</v>
      </c>
      <c r="F2085">
        <f t="shared" si="64"/>
        <v>2000</v>
      </c>
      <c r="G2085">
        <f t="shared" si="65"/>
        <v>9</v>
      </c>
      <c r="H2085" t="str">
        <f>IF(ISNUMBER(FIND(",", E2085)), TRIM(MID(E2085, FIND(",", E2085) + 1, LEN(E2085))), E2085)</f>
        <v>Indonesia</v>
      </c>
    </row>
    <row r="2086" spans="1:8" x14ac:dyDescent="0.25">
      <c r="A2086" s="2">
        <v>36766</v>
      </c>
      <c r="B2086">
        <v>-4.1239999999999997</v>
      </c>
      <c r="C2086">
        <v>127.027</v>
      </c>
      <c r="D2086" t="s">
        <v>5</v>
      </c>
      <c r="E2086" t="s">
        <v>187</v>
      </c>
      <c r="F2086">
        <f t="shared" si="64"/>
        <v>2000</v>
      </c>
      <c r="G2086">
        <f t="shared" si="65"/>
        <v>8</v>
      </c>
      <c r="H2086" t="str">
        <f>IF(ISNUMBER(FIND(",", E2086)), TRIM(MID(E2086, FIND(",", E2086) + 1, LEN(E2086))), E2086)</f>
        <v>Banda Sea</v>
      </c>
    </row>
    <row r="2087" spans="1:8" x14ac:dyDescent="0.25">
      <c r="A2087" s="2">
        <v>36766</v>
      </c>
      <c r="B2087">
        <v>-4.1900000000000004</v>
      </c>
      <c r="C2087">
        <v>127.27</v>
      </c>
      <c r="D2087" t="s">
        <v>16</v>
      </c>
      <c r="E2087" t="s">
        <v>187</v>
      </c>
      <c r="F2087">
        <f t="shared" si="64"/>
        <v>2000</v>
      </c>
      <c r="G2087">
        <f t="shared" si="65"/>
        <v>8</v>
      </c>
      <c r="H2087" t="str">
        <f>IF(ISNUMBER(FIND(",", E2087)), TRIM(MID(E2087, FIND(",", E2087) + 1, LEN(E2087))), E2087)</f>
        <v>Banda Sea</v>
      </c>
    </row>
    <row r="2088" spans="1:8" x14ac:dyDescent="0.25">
      <c r="A2088" s="2">
        <v>36766</v>
      </c>
      <c r="B2088">
        <v>-3.9860000000000002</v>
      </c>
      <c r="C2088">
        <v>127.325</v>
      </c>
      <c r="D2088" t="s">
        <v>7</v>
      </c>
      <c r="E2088" t="s">
        <v>433</v>
      </c>
      <c r="F2088">
        <f t="shared" si="64"/>
        <v>2000</v>
      </c>
      <c r="G2088">
        <f t="shared" si="65"/>
        <v>8</v>
      </c>
      <c r="H2088" t="str">
        <f>IF(ISNUMBER(FIND(",", E2088)), TRIM(MID(E2088, FIND(",", E2088) + 1, LEN(E2088))), E2088)</f>
        <v>Indonesia</v>
      </c>
    </row>
    <row r="2089" spans="1:8" x14ac:dyDescent="0.25">
      <c r="A2089" s="2">
        <v>36766</v>
      </c>
      <c r="B2089">
        <v>-4.09</v>
      </c>
      <c r="C2089">
        <v>127.42</v>
      </c>
      <c r="D2089" t="s">
        <v>16</v>
      </c>
      <c r="E2089" t="s">
        <v>187</v>
      </c>
      <c r="F2089">
        <f t="shared" si="64"/>
        <v>2000</v>
      </c>
      <c r="G2089">
        <f t="shared" si="65"/>
        <v>8</v>
      </c>
      <c r="H2089" t="str">
        <f>IF(ISNUMBER(FIND(",", E2089)), TRIM(MID(E2089, FIND(",", E2089) + 1, LEN(E2089))), E2089)</f>
        <v>Banda Sea</v>
      </c>
    </row>
    <row r="2090" spans="1:8" x14ac:dyDescent="0.25">
      <c r="A2090" s="2">
        <v>36759</v>
      </c>
      <c r="B2090">
        <v>-53.02</v>
      </c>
      <c r="C2090">
        <v>-46.3</v>
      </c>
      <c r="D2090" t="s">
        <v>16</v>
      </c>
      <c r="E2090" t="s">
        <v>50</v>
      </c>
      <c r="F2090">
        <f t="shared" si="64"/>
        <v>2000</v>
      </c>
      <c r="G2090">
        <f t="shared" si="65"/>
        <v>8</v>
      </c>
      <c r="H2090" t="str">
        <f>IF(ISNUMBER(FIND(",", E2090)), TRIM(MID(E2090, FIND(",", E2090) + 1, LEN(E2090))), E2090)</f>
        <v>South Atlantic Ocean</v>
      </c>
    </row>
    <row r="2091" spans="1:8" x14ac:dyDescent="0.25">
      <c r="A2091" s="2">
        <v>36753</v>
      </c>
      <c r="B2091">
        <v>-31.64</v>
      </c>
      <c r="C2091">
        <v>179.86</v>
      </c>
      <c r="D2091" t="s">
        <v>16</v>
      </c>
      <c r="E2091" t="s">
        <v>240</v>
      </c>
      <c r="F2091">
        <f t="shared" si="64"/>
        <v>2000</v>
      </c>
      <c r="G2091">
        <f t="shared" si="65"/>
        <v>8</v>
      </c>
      <c r="H2091" t="str">
        <f>IF(ISNUMBER(FIND(",", E2091)), TRIM(MID(E2091, FIND(",", E2091) + 1, LEN(E2091))), E2091)</f>
        <v>Kermadec Islands region</v>
      </c>
    </row>
    <row r="2092" spans="1:8" x14ac:dyDescent="0.25">
      <c r="A2092" s="2">
        <v>36752</v>
      </c>
      <c r="B2092">
        <v>-9.36</v>
      </c>
      <c r="C2092">
        <v>153.94</v>
      </c>
      <c r="D2092" t="s">
        <v>16</v>
      </c>
      <c r="E2092" t="s">
        <v>507</v>
      </c>
      <c r="F2092">
        <f t="shared" si="64"/>
        <v>2000</v>
      </c>
      <c r="G2092">
        <f t="shared" si="65"/>
        <v>8</v>
      </c>
      <c r="H2092" t="str">
        <f>IF(ISNUMBER(FIND(",", E2092)), TRIM(MID(E2092, FIND(",", E2092) + 1, LEN(E2092))), E2092)</f>
        <v>D'Entrecasteaux Islands region</v>
      </c>
    </row>
    <row r="2093" spans="1:8" x14ac:dyDescent="0.25">
      <c r="A2093" s="2">
        <v>36747</v>
      </c>
      <c r="B2093">
        <v>-16.809999999999999</v>
      </c>
      <c r="C2093">
        <v>174.48</v>
      </c>
      <c r="D2093" t="s">
        <v>16</v>
      </c>
      <c r="E2093" t="s">
        <v>53</v>
      </c>
      <c r="F2093">
        <f t="shared" si="64"/>
        <v>2000</v>
      </c>
      <c r="G2093">
        <f t="shared" si="65"/>
        <v>8</v>
      </c>
      <c r="H2093" t="str">
        <f>IF(ISNUMBER(FIND(",", E2093)), TRIM(MID(E2093, FIND(",", E2093) + 1, LEN(E2093))), E2093)</f>
        <v>Fiji region</v>
      </c>
    </row>
    <row r="2094" spans="1:8" x14ac:dyDescent="0.25">
      <c r="A2094" s="2">
        <v>36747</v>
      </c>
      <c r="B2094">
        <v>18.149999999999999</v>
      </c>
      <c r="C2094">
        <v>-102.55</v>
      </c>
      <c r="D2094" t="s">
        <v>16</v>
      </c>
      <c r="E2094" t="s">
        <v>248</v>
      </c>
      <c r="F2094">
        <f t="shared" si="64"/>
        <v>2000</v>
      </c>
      <c r="G2094">
        <f t="shared" si="65"/>
        <v>8</v>
      </c>
      <c r="H2094" t="str">
        <f>IF(ISNUMBER(FIND(",", E2094)), TRIM(MID(E2094, FIND(",", E2094) + 1, LEN(E2094))), E2094)</f>
        <v>Mexico</v>
      </c>
    </row>
    <row r="2095" spans="1:8" x14ac:dyDescent="0.25">
      <c r="A2095" s="2">
        <v>36747</v>
      </c>
      <c r="B2095">
        <v>-15.7</v>
      </c>
      <c r="C2095">
        <v>168.08</v>
      </c>
      <c r="D2095" t="s">
        <v>16</v>
      </c>
      <c r="E2095" t="s">
        <v>181</v>
      </c>
      <c r="F2095">
        <f t="shared" si="64"/>
        <v>2000</v>
      </c>
      <c r="G2095">
        <f t="shared" si="65"/>
        <v>8</v>
      </c>
      <c r="H2095" t="str">
        <f>IF(ISNUMBER(FIND(",", E2095)), TRIM(MID(E2095, FIND(",", E2095) + 1, LEN(E2095))), E2095)</f>
        <v>Vanuatu</v>
      </c>
    </row>
    <row r="2096" spans="1:8" x14ac:dyDescent="0.25">
      <c r="A2096" s="2">
        <v>36745</v>
      </c>
      <c r="B2096">
        <v>-7.01</v>
      </c>
      <c r="C2096">
        <v>123.36</v>
      </c>
      <c r="D2096" t="s">
        <v>16</v>
      </c>
      <c r="E2096" t="s">
        <v>187</v>
      </c>
      <c r="F2096">
        <f t="shared" si="64"/>
        <v>2000</v>
      </c>
      <c r="G2096">
        <f t="shared" si="65"/>
        <v>8</v>
      </c>
      <c r="H2096" t="str">
        <f>IF(ISNUMBER(FIND(",", E2096)), TRIM(MID(E2096, FIND(",", E2096) + 1, LEN(E2096))), E2096)</f>
        <v>Banda Sea</v>
      </c>
    </row>
    <row r="2097" spans="1:8" x14ac:dyDescent="0.25">
      <c r="A2097" s="2">
        <v>36744</v>
      </c>
      <c r="B2097">
        <v>28.82</v>
      </c>
      <c r="C2097">
        <v>139.6</v>
      </c>
      <c r="D2097" t="s">
        <v>16</v>
      </c>
      <c r="E2097" t="s">
        <v>233</v>
      </c>
      <c r="F2097">
        <f t="shared" si="64"/>
        <v>2000</v>
      </c>
      <c r="G2097">
        <f t="shared" si="65"/>
        <v>8</v>
      </c>
      <c r="H2097" t="str">
        <f>IF(ISNUMBER(FIND(",", E2097)), TRIM(MID(E2097, FIND(",", E2097) + 1, LEN(E2097))), E2097)</f>
        <v>Japan region</v>
      </c>
    </row>
    <row r="2098" spans="1:8" x14ac:dyDescent="0.25">
      <c r="A2098" s="2">
        <v>36742</v>
      </c>
      <c r="B2098">
        <v>48.77</v>
      </c>
      <c r="C2098">
        <v>142.19999999999999</v>
      </c>
      <c r="D2098" t="s">
        <v>16</v>
      </c>
      <c r="E2098" t="s">
        <v>514</v>
      </c>
      <c r="F2098">
        <f t="shared" si="64"/>
        <v>2000</v>
      </c>
      <c r="G2098">
        <f t="shared" si="65"/>
        <v>8</v>
      </c>
      <c r="H2098" t="str">
        <f>IF(ISNUMBER(FIND(",", E2098)), TRIM(MID(E2098, FIND(",", E2098) + 1, LEN(E2098))), E2098)</f>
        <v>Russia</v>
      </c>
    </row>
    <row r="2099" spans="1:8" x14ac:dyDescent="0.25">
      <c r="A2099" s="2">
        <v>36741</v>
      </c>
      <c r="B2099">
        <v>-12.04</v>
      </c>
      <c r="C2099">
        <v>166.52</v>
      </c>
      <c r="D2099" t="s">
        <v>16</v>
      </c>
      <c r="E2099" t="s">
        <v>211</v>
      </c>
      <c r="F2099">
        <f t="shared" si="64"/>
        <v>2000</v>
      </c>
      <c r="G2099">
        <f t="shared" si="65"/>
        <v>8</v>
      </c>
      <c r="H2099" t="str">
        <f>IF(ISNUMBER(FIND(",", E2099)), TRIM(MID(E2099, FIND(",", E2099) + 1, LEN(E2099))), E2099)</f>
        <v>Santa Cruz Islands</v>
      </c>
    </row>
    <row r="2100" spans="1:8" x14ac:dyDescent="0.25">
      <c r="A2100" s="2">
        <v>36738</v>
      </c>
      <c r="B2100">
        <v>-16.71</v>
      </c>
      <c r="C2100">
        <v>174.66</v>
      </c>
      <c r="D2100" t="s">
        <v>16</v>
      </c>
      <c r="E2100" t="s">
        <v>53</v>
      </c>
      <c r="F2100">
        <f t="shared" si="64"/>
        <v>2000</v>
      </c>
      <c r="G2100">
        <f t="shared" si="65"/>
        <v>7</v>
      </c>
      <c r="H2100" t="str">
        <f>IF(ISNUMBER(FIND(",", E2100)), TRIM(MID(E2100, FIND(",", E2100) + 1, LEN(E2100))), E2100)</f>
        <v>Fiji region</v>
      </c>
    </row>
    <row r="2101" spans="1:8" x14ac:dyDescent="0.25">
      <c r="A2101" s="2">
        <v>36737</v>
      </c>
      <c r="B2101">
        <v>33.93</v>
      </c>
      <c r="C2101">
        <v>139.38</v>
      </c>
      <c r="D2101" t="s">
        <v>16</v>
      </c>
      <c r="E2101" t="s">
        <v>88</v>
      </c>
      <c r="F2101">
        <f t="shared" si="64"/>
        <v>2000</v>
      </c>
      <c r="G2101">
        <f t="shared" si="65"/>
        <v>7</v>
      </c>
      <c r="H2101" t="str">
        <f>IF(ISNUMBER(FIND(",", E2101)), TRIM(MID(E2101, FIND(",", E2101) + 1, LEN(E2101))), E2101)</f>
        <v>Japan region</v>
      </c>
    </row>
    <row r="2102" spans="1:8" x14ac:dyDescent="0.25">
      <c r="A2102" s="2">
        <v>36728</v>
      </c>
      <c r="B2102">
        <v>9.33</v>
      </c>
      <c r="C2102">
        <v>-85.31</v>
      </c>
      <c r="D2102" t="s">
        <v>16</v>
      </c>
      <c r="E2102" t="s">
        <v>469</v>
      </c>
      <c r="F2102">
        <f t="shared" si="64"/>
        <v>2000</v>
      </c>
      <c r="G2102">
        <f t="shared" si="65"/>
        <v>7</v>
      </c>
      <c r="H2102" t="str">
        <f>IF(ISNUMBER(FIND(",", E2102)), TRIM(MID(E2102, FIND(",", E2102) + 1, LEN(E2102))), E2102)</f>
        <v>off the coast of Costa Rica</v>
      </c>
    </row>
    <row r="2103" spans="1:8" x14ac:dyDescent="0.25">
      <c r="A2103" s="2">
        <v>36727</v>
      </c>
      <c r="B2103">
        <v>36.549999999999997</v>
      </c>
      <c r="C2103">
        <v>140.94</v>
      </c>
      <c r="D2103" t="s">
        <v>16</v>
      </c>
      <c r="E2103" t="s">
        <v>227</v>
      </c>
      <c r="F2103">
        <f t="shared" si="64"/>
        <v>2000</v>
      </c>
      <c r="G2103">
        <f t="shared" si="65"/>
        <v>7</v>
      </c>
      <c r="H2103" t="str">
        <f>IF(ISNUMBER(FIND(",", E2103)), TRIM(MID(E2103, FIND(",", E2103) + 1, LEN(E2103))), E2103)</f>
        <v>Japan</v>
      </c>
    </row>
    <row r="2104" spans="1:8" x14ac:dyDescent="0.25">
      <c r="A2104" s="2">
        <v>36724</v>
      </c>
      <c r="B2104">
        <v>36.24</v>
      </c>
      <c r="C2104">
        <v>70.94</v>
      </c>
      <c r="D2104" t="s">
        <v>16</v>
      </c>
      <c r="E2104" t="s">
        <v>314</v>
      </c>
      <c r="F2104">
        <f t="shared" si="64"/>
        <v>2000</v>
      </c>
      <c r="G2104">
        <f t="shared" si="65"/>
        <v>7</v>
      </c>
      <c r="H2104" t="str">
        <f>IF(ISNUMBER(FIND(",", E2104)), TRIM(MID(E2104, FIND(",", E2104) + 1, LEN(E2104))), E2104)</f>
        <v>Afghanistan</v>
      </c>
    </row>
    <row r="2105" spans="1:8" x14ac:dyDescent="0.25">
      <c r="A2105" s="2">
        <v>36723</v>
      </c>
      <c r="B2105">
        <v>-12.39</v>
      </c>
      <c r="C2105">
        <v>166.59</v>
      </c>
      <c r="D2105" t="s">
        <v>16</v>
      </c>
      <c r="E2105" t="s">
        <v>211</v>
      </c>
      <c r="F2105">
        <f t="shared" si="64"/>
        <v>2000</v>
      </c>
      <c r="G2105">
        <f t="shared" si="65"/>
        <v>7</v>
      </c>
      <c r="H2105" t="str">
        <f>IF(ISNUMBER(FIND(",", E2105)), TRIM(MID(E2105, FIND(",", E2105) + 1, LEN(E2105))), E2105)</f>
        <v>Santa Cruz Islands</v>
      </c>
    </row>
    <row r="2106" spans="1:8" x14ac:dyDescent="0.25">
      <c r="A2106" s="2">
        <v>36723</v>
      </c>
      <c r="B2106">
        <v>-7.77</v>
      </c>
      <c r="C2106">
        <v>150.96</v>
      </c>
      <c r="D2106" t="s">
        <v>16</v>
      </c>
      <c r="E2106" t="s">
        <v>190</v>
      </c>
      <c r="F2106">
        <f t="shared" si="64"/>
        <v>2000</v>
      </c>
      <c r="G2106">
        <f t="shared" si="65"/>
        <v>7</v>
      </c>
      <c r="H2106" t="str">
        <f>IF(ISNUMBER(FIND(",", E2106)), TRIM(MID(E2106, FIND(",", E2106) + 1, LEN(E2106))), E2106)</f>
        <v>Papua New Guinea</v>
      </c>
    </row>
    <row r="2107" spans="1:8" x14ac:dyDescent="0.25">
      <c r="A2107" s="2">
        <v>36723</v>
      </c>
      <c r="B2107">
        <v>20.28</v>
      </c>
      <c r="C2107">
        <v>122.13</v>
      </c>
      <c r="D2107" t="s">
        <v>16</v>
      </c>
      <c r="E2107" t="s">
        <v>400</v>
      </c>
      <c r="F2107">
        <f t="shared" si="64"/>
        <v>2000</v>
      </c>
      <c r="G2107">
        <f t="shared" si="65"/>
        <v>7</v>
      </c>
      <c r="H2107" t="str">
        <f>IF(ISNUMBER(FIND(",", E2107)), TRIM(MID(E2107, FIND(",", E2107) + 1, LEN(E2107))), E2107)</f>
        <v>Philippines</v>
      </c>
    </row>
    <row r="2108" spans="1:8" x14ac:dyDescent="0.25">
      <c r="A2108" s="2">
        <v>36722</v>
      </c>
      <c r="B2108">
        <v>34.39</v>
      </c>
      <c r="C2108">
        <v>139.26</v>
      </c>
      <c r="D2108" t="s">
        <v>16</v>
      </c>
      <c r="E2108" t="s">
        <v>360</v>
      </c>
      <c r="F2108">
        <f t="shared" si="64"/>
        <v>2000</v>
      </c>
      <c r="G2108">
        <f t="shared" si="65"/>
        <v>7</v>
      </c>
      <c r="H2108" t="str">
        <f>IF(ISNUMBER(FIND(",", E2108)), TRIM(MID(E2108, FIND(",", E2108) + 1, LEN(E2108))), E2108)</f>
        <v>Japan</v>
      </c>
    </row>
    <row r="2109" spans="1:8" x14ac:dyDescent="0.25">
      <c r="A2109" s="2">
        <v>36718</v>
      </c>
      <c r="B2109">
        <v>57.41</v>
      </c>
      <c r="C2109">
        <v>-154.41999999999999</v>
      </c>
      <c r="D2109" t="s">
        <v>16</v>
      </c>
      <c r="E2109" t="s">
        <v>374</v>
      </c>
      <c r="F2109">
        <f t="shared" si="64"/>
        <v>2000</v>
      </c>
      <c r="G2109">
        <f t="shared" si="65"/>
        <v>7</v>
      </c>
      <c r="H2109" t="str">
        <f>IF(ISNUMBER(FIND(",", E2109)), TRIM(MID(E2109, FIND(",", E2109) + 1, LEN(E2109))), E2109)</f>
        <v>Alaska</v>
      </c>
    </row>
    <row r="2110" spans="1:8" x14ac:dyDescent="0.25">
      <c r="A2110" s="2">
        <v>36708</v>
      </c>
      <c r="B2110">
        <v>34.22</v>
      </c>
      <c r="C2110">
        <v>139.16999999999999</v>
      </c>
      <c r="D2110" t="s">
        <v>16</v>
      </c>
      <c r="E2110" t="s">
        <v>360</v>
      </c>
      <c r="F2110">
        <f t="shared" si="64"/>
        <v>2000</v>
      </c>
      <c r="G2110">
        <f t="shared" si="65"/>
        <v>7</v>
      </c>
      <c r="H2110" t="str">
        <f>IF(ISNUMBER(FIND(",", E2110)), TRIM(MID(E2110, FIND(",", E2110) + 1, LEN(E2110))), E2110)</f>
        <v>Japan</v>
      </c>
    </row>
    <row r="2111" spans="1:8" x14ac:dyDescent="0.25">
      <c r="A2111" s="2">
        <v>36702</v>
      </c>
      <c r="B2111">
        <v>31.13</v>
      </c>
      <c r="C2111">
        <v>131.25</v>
      </c>
      <c r="D2111" t="s">
        <v>16</v>
      </c>
      <c r="E2111" t="s">
        <v>357</v>
      </c>
      <c r="F2111">
        <f t="shared" si="64"/>
        <v>2000</v>
      </c>
      <c r="G2111">
        <f t="shared" si="65"/>
        <v>6</v>
      </c>
      <c r="H2111" t="str">
        <f>IF(ISNUMBER(FIND(",", E2111)), TRIM(MID(E2111, FIND(",", E2111) + 1, LEN(E2111))), E2111)</f>
        <v>Japan</v>
      </c>
    </row>
    <row r="2112" spans="1:8" x14ac:dyDescent="0.25">
      <c r="A2112" s="2">
        <v>36698</v>
      </c>
      <c r="B2112">
        <v>63.87</v>
      </c>
      <c r="C2112">
        <v>-20.74</v>
      </c>
      <c r="D2112" t="s">
        <v>16</v>
      </c>
      <c r="E2112" t="s">
        <v>401</v>
      </c>
      <c r="F2112">
        <f t="shared" si="64"/>
        <v>2000</v>
      </c>
      <c r="G2112">
        <f t="shared" si="65"/>
        <v>6</v>
      </c>
      <c r="H2112" t="str">
        <f>IF(ISNUMBER(FIND(",", E2112)), TRIM(MID(E2112, FIND(",", E2112) + 1, LEN(E2112))), E2112)</f>
        <v>Iceland</v>
      </c>
    </row>
    <row r="2113" spans="1:8" x14ac:dyDescent="0.25">
      <c r="A2113" s="2">
        <v>36695</v>
      </c>
      <c r="B2113">
        <v>-13.87</v>
      </c>
      <c r="C2113">
        <v>97.3</v>
      </c>
      <c r="D2113" t="s">
        <v>16</v>
      </c>
      <c r="E2113" t="s">
        <v>473</v>
      </c>
      <c r="F2113">
        <f t="shared" si="64"/>
        <v>2000</v>
      </c>
      <c r="G2113">
        <f t="shared" si="65"/>
        <v>6</v>
      </c>
      <c r="H2113" t="str">
        <f>IF(ISNUMBER(FIND(",", E2113)), TRIM(MID(E2113, FIND(",", E2113) + 1, LEN(E2113))), E2113)</f>
        <v>South Indian Ocean</v>
      </c>
    </row>
    <row r="2114" spans="1:8" x14ac:dyDescent="0.25">
      <c r="A2114" s="2">
        <v>36694</v>
      </c>
      <c r="B2114">
        <v>63.9</v>
      </c>
      <c r="C2114">
        <v>-20.47</v>
      </c>
      <c r="D2114" t="s">
        <v>16</v>
      </c>
      <c r="E2114" t="s">
        <v>401</v>
      </c>
      <c r="F2114">
        <f t="shared" ref="F2114:F2177" si="66">YEAR(A2114)</f>
        <v>2000</v>
      </c>
      <c r="G2114">
        <f t="shared" si="65"/>
        <v>6</v>
      </c>
      <c r="H2114" t="str">
        <f>IF(ISNUMBER(FIND(",", E2114)), TRIM(MID(E2114, FIND(",", E2114) + 1, LEN(E2114))), E2114)</f>
        <v>Iceland</v>
      </c>
    </row>
    <row r="2115" spans="1:8" x14ac:dyDescent="0.25">
      <c r="A2115" s="2">
        <v>36693</v>
      </c>
      <c r="B2115">
        <v>-33.83</v>
      </c>
      <c r="C2115">
        <v>-70.099999999999994</v>
      </c>
      <c r="D2115" t="s">
        <v>16</v>
      </c>
      <c r="E2115" t="s">
        <v>515</v>
      </c>
      <c r="F2115">
        <f t="shared" si="66"/>
        <v>2000</v>
      </c>
      <c r="G2115">
        <f t="shared" ref="G2115:G2178" si="67">MONTH(A2115)</f>
        <v>6</v>
      </c>
      <c r="H2115" t="str">
        <f>IF(ISNUMBER(FIND(",", E2115)), TRIM(MID(E2115, FIND(",", E2115) + 1, LEN(E2115))), E2115)</f>
        <v>Chile</v>
      </c>
    </row>
    <row r="2116" spans="1:8" x14ac:dyDescent="0.25">
      <c r="A2116" s="2">
        <v>36692</v>
      </c>
      <c r="B2116">
        <v>29.38</v>
      </c>
      <c r="C2116">
        <v>132.11000000000001</v>
      </c>
      <c r="D2116" t="s">
        <v>16</v>
      </c>
      <c r="E2116" t="s">
        <v>516</v>
      </c>
      <c r="F2116">
        <f t="shared" si="66"/>
        <v>2000</v>
      </c>
      <c r="G2116">
        <f t="shared" si="67"/>
        <v>6</v>
      </c>
      <c r="H2116" t="str">
        <f>IF(ISNUMBER(FIND(",", E2116)), TRIM(MID(E2116, FIND(",", E2116) + 1, LEN(E2116))), E2116)</f>
        <v>Japan</v>
      </c>
    </row>
    <row r="2117" spans="1:8" x14ac:dyDescent="0.25">
      <c r="A2117" s="2">
        <v>36691</v>
      </c>
      <c r="B2117">
        <v>-17.66</v>
      </c>
      <c r="C2117">
        <v>176.38</v>
      </c>
      <c r="D2117" t="s">
        <v>16</v>
      </c>
      <c r="E2117" t="s">
        <v>53</v>
      </c>
      <c r="F2117">
        <f t="shared" si="66"/>
        <v>2000</v>
      </c>
      <c r="G2117">
        <f t="shared" si="67"/>
        <v>6</v>
      </c>
      <c r="H2117" t="str">
        <f>IF(ISNUMBER(FIND(",", E2117)), TRIM(MID(E2117, FIND(",", E2117) + 1, LEN(E2117))), E2117)</f>
        <v>Fiji region</v>
      </c>
    </row>
    <row r="2118" spans="1:8" x14ac:dyDescent="0.25">
      <c r="A2118" s="2">
        <v>36691</v>
      </c>
      <c r="B2118">
        <v>4.54</v>
      </c>
      <c r="C2118">
        <v>127.7</v>
      </c>
      <c r="D2118" t="s">
        <v>16</v>
      </c>
      <c r="E2118" t="s">
        <v>372</v>
      </c>
      <c r="F2118">
        <f t="shared" si="66"/>
        <v>2000</v>
      </c>
      <c r="G2118">
        <f t="shared" si="67"/>
        <v>6</v>
      </c>
      <c r="H2118" t="str">
        <f>IF(ISNUMBER(FIND(",", E2118)), TRIM(MID(E2118, FIND(",", E2118) + 1, LEN(E2118))), E2118)</f>
        <v>Indonesia</v>
      </c>
    </row>
    <row r="2119" spans="1:8" x14ac:dyDescent="0.25">
      <c r="A2119" s="2">
        <v>36691</v>
      </c>
      <c r="B2119">
        <v>-25.56</v>
      </c>
      <c r="C2119">
        <v>178.21</v>
      </c>
      <c r="D2119" t="s">
        <v>16</v>
      </c>
      <c r="E2119" t="s">
        <v>256</v>
      </c>
      <c r="F2119">
        <f t="shared" si="66"/>
        <v>2000</v>
      </c>
      <c r="G2119">
        <f t="shared" si="67"/>
        <v>6</v>
      </c>
      <c r="H2119" t="str">
        <f>IF(ISNUMBER(FIND(",", E2119)), TRIM(MID(E2119, FIND(",", E2119) + 1, LEN(E2119))), E2119)</f>
        <v>south of the Fiji Islands</v>
      </c>
    </row>
    <row r="2120" spans="1:8" x14ac:dyDescent="0.25">
      <c r="A2120" s="2">
        <v>36688</v>
      </c>
      <c r="B2120">
        <v>-50.57</v>
      </c>
      <c r="C2120">
        <v>139.49</v>
      </c>
      <c r="D2120" t="s">
        <v>16</v>
      </c>
      <c r="E2120" t="s">
        <v>235</v>
      </c>
      <c r="F2120">
        <f t="shared" si="66"/>
        <v>2000</v>
      </c>
      <c r="G2120">
        <f t="shared" si="67"/>
        <v>6</v>
      </c>
      <c r="H2120" t="str">
        <f>IF(ISNUMBER(FIND(",", E2120)), TRIM(MID(E2120, FIND(",", E2120) + 1, LEN(E2120))), E2120)</f>
        <v>western Indian-Antarctic Ridge</v>
      </c>
    </row>
    <row r="2121" spans="1:8" x14ac:dyDescent="0.25">
      <c r="A2121" s="2">
        <v>36687</v>
      </c>
      <c r="B2121">
        <v>23.86</v>
      </c>
      <c r="C2121">
        <v>121.18</v>
      </c>
      <c r="D2121" t="s">
        <v>16</v>
      </c>
      <c r="E2121" t="s">
        <v>336</v>
      </c>
      <c r="F2121">
        <f t="shared" si="66"/>
        <v>2000</v>
      </c>
      <c r="G2121">
        <f t="shared" si="67"/>
        <v>6</v>
      </c>
      <c r="H2121" t="str">
        <f>IF(ISNUMBER(FIND(",", E2121)), TRIM(MID(E2121, FIND(",", E2121) + 1, LEN(E2121))), E2121)</f>
        <v>Taiwan</v>
      </c>
    </row>
    <row r="2122" spans="1:8" x14ac:dyDescent="0.25">
      <c r="A2122" s="2">
        <v>36686</v>
      </c>
      <c r="B2122">
        <v>30.47</v>
      </c>
      <c r="C2122">
        <v>137.75</v>
      </c>
      <c r="D2122" t="s">
        <v>16</v>
      </c>
      <c r="E2122" t="s">
        <v>88</v>
      </c>
      <c r="F2122">
        <f t="shared" si="66"/>
        <v>2000</v>
      </c>
      <c r="G2122">
        <f t="shared" si="67"/>
        <v>6</v>
      </c>
      <c r="H2122" t="str">
        <f>IF(ISNUMBER(FIND(",", E2122)), TRIM(MID(E2122, FIND(",", E2122) + 1, LEN(E2122))), E2122)</f>
        <v>Japan region</v>
      </c>
    </row>
    <row r="2123" spans="1:8" x14ac:dyDescent="0.25">
      <c r="A2123" s="2">
        <v>36686</v>
      </c>
      <c r="B2123">
        <v>-11.35</v>
      </c>
      <c r="C2123">
        <v>162.24</v>
      </c>
      <c r="D2123" t="s">
        <v>16</v>
      </c>
      <c r="E2123" t="s">
        <v>221</v>
      </c>
      <c r="F2123">
        <f t="shared" si="66"/>
        <v>2000</v>
      </c>
      <c r="G2123">
        <f t="shared" si="67"/>
        <v>6</v>
      </c>
      <c r="H2123" t="str">
        <f>IF(ISNUMBER(FIND(",", E2123)), TRIM(MID(E2123, FIND(",", E2123) + 1, LEN(E2123))), E2123)</f>
        <v>Solomon Islands</v>
      </c>
    </row>
    <row r="2124" spans="1:8" x14ac:dyDescent="0.25">
      <c r="A2124" s="2">
        <v>36686</v>
      </c>
      <c r="B2124">
        <v>-5.1100000000000003</v>
      </c>
      <c r="C2124">
        <v>152.57</v>
      </c>
      <c r="D2124" t="s">
        <v>16</v>
      </c>
      <c r="E2124" t="s">
        <v>190</v>
      </c>
      <c r="F2124">
        <f t="shared" si="66"/>
        <v>2000</v>
      </c>
      <c r="G2124">
        <f t="shared" si="67"/>
        <v>6</v>
      </c>
      <c r="H2124" t="str">
        <f>IF(ISNUMBER(FIND(",", E2124)), TRIM(MID(E2124, FIND(",", E2124) + 1, LEN(E2124))), E2124)</f>
        <v>Papua New Guinea</v>
      </c>
    </row>
    <row r="2125" spans="1:8" x14ac:dyDescent="0.25">
      <c r="A2125" s="2">
        <v>36684</v>
      </c>
      <c r="B2125">
        <v>-4.6500000000000004</v>
      </c>
      <c r="C2125">
        <v>101.84</v>
      </c>
      <c r="D2125" t="s">
        <v>16</v>
      </c>
      <c r="E2125" t="s">
        <v>308</v>
      </c>
      <c r="F2125">
        <f t="shared" si="66"/>
        <v>2000</v>
      </c>
      <c r="G2125">
        <f t="shared" si="67"/>
        <v>6</v>
      </c>
      <c r="H2125" t="str">
        <f>IF(ISNUMBER(FIND(",", E2125)), TRIM(MID(E2125, FIND(",", E2125) + 1, LEN(E2125))), E2125)</f>
        <v>Indonesia</v>
      </c>
    </row>
    <row r="2126" spans="1:8" x14ac:dyDescent="0.25">
      <c r="A2126" s="2">
        <v>36684</v>
      </c>
      <c r="B2126">
        <v>26.79</v>
      </c>
      <c r="C2126">
        <v>97.14</v>
      </c>
      <c r="D2126" t="s">
        <v>16</v>
      </c>
      <c r="E2126" t="s">
        <v>197</v>
      </c>
      <c r="F2126">
        <f t="shared" si="66"/>
        <v>2000</v>
      </c>
      <c r="G2126">
        <f t="shared" si="67"/>
        <v>6</v>
      </c>
      <c r="H2126" t="str">
        <f>IF(ISNUMBER(FIND(",", E2126)), TRIM(MID(E2126, FIND(",", E2126) + 1, LEN(E2126))), E2126)</f>
        <v>Myanmar</v>
      </c>
    </row>
    <row r="2127" spans="1:8" x14ac:dyDescent="0.25">
      <c r="A2127" s="2">
        <v>36683</v>
      </c>
      <c r="B2127">
        <v>29.43</v>
      </c>
      <c r="C2127">
        <v>131.49</v>
      </c>
      <c r="D2127" t="s">
        <v>16</v>
      </c>
      <c r="E2127" t="s">
        <v>324</v>
      </c>
      <c r="F2127">
        <f t="shared" si="66"/>
        <v>2000</v>
      </c>
      <c r="G2127">
        <f t="shared" si="67"/>
        <v>6</v>
      </c>
      <c r="H2127" t="str">
        <f>IF(ISNUMBER(FIND(",", E2127)), TRIM(MID(E2127, FIND(",", E2127) + 1, LEN(E2127))), E2127)</f>
        <v>Japan</v>
      </c>
    </row>
    <row r="2128" spans="1:8" x14ac:dyDescent="0.25">
      <c r="A2128" s="2">
        <v>36683</v>
      </c>
      <c r="B2128">
        <v>-5.1100000000000003</v>
      </c>
      <c r="C2128">
        <v>102.66</v>
      </c>
      <c r="D2128" t="s">
        <v>16</v>
      </c>
      <c r="E2128" t="s">
        <v>308</v>
      </c>
      <c r="F2128">
        <f t="shared" si="66"/>
        <v>2000</v>
      </c>
      <c r="G2128">
        <f t="shared" si="67"/>
        <v>6</v>
      </c>
      <c r="H2128" t="str">
        <f>IF(ISNUMBER(FIND(",", E2128)), TRIM(MID(E2128, FIND(",", E2128) + 1, LEN(E2128))), E2128)</f>
        <v>Indonesia</v>
      </c>
    </row>
    <row r="2129" spans="1:8" x14ac:dyDescent="0.25">
      <c r="A2129" s="2">
        <v>36683</v>
      </c>
      <c r="B2129">
        <v>40.729999999999997</v>
      </c>
      <c r="C2129">
        <v>33</v>
      </c>
      <c r="D2129" t="s">
        <v>16</v>
      </c>
      <c r="E2129" t="s">
        <v>517</v>
      </c>
      <c r="F2129">
        <f t="shared" si="66"/>
        <v>2000</v>
      </c>
      <c r="G2129">
        <f t="shared" si="67"/>
        <v>6</v>
      </c>
      <c r="H2129" t="str">
        <f>IF(ISNUMBER(FIND(",", E2129)), TRIM(MID(E2129, FIND(",", E2129) + 1, LEN(E2129))), E2129)</f>
        <v>central Turkey</v>
      </c>
    </row>
    <row r="2130" spans="1:8" x14ac:dyDescent="0.25">
      <c r="A2130" s="2">
        <v>36681</v>
      </c>
      <c r="B2130">
        <v>28.722999999999999</v>
      </c>
      <c r="C2130">
        <v>65.382999999999996</v>
      </c>
      <c r="D2130" t="s">
        <v>13</v>
      </c>
      <c r="E2130" t="s">
        <v>382</v>
      </c>
      <c r="F2130">
        <f t="shared" si="66"/>
        <v>2000</v>
      </c>
      <c r="G2130">
        <f t="shared" si="67"/>
        <v>6</v>
      </c>
      <c r="H2130" t="str">
        <f>IF(ISNUMBER(FIND(",", E2130)), TRIM(MID(E2130, FIND(",", E2130) + 1, LEN(E2130))), E2130)</f>
        <v>Pakistan</v>
      </c>
    </row>
    <row r="2131" spans="1:8" x14ac:dyDescent="0.25">
      <c r="A2131" s="2">
        <v>36681</v>
      </c>
      <c r="B2131">
        <v>-4.6459999999999999</v>
      </c>
      <c r="C2131">
        <v>102.102</v>
      </c>
      <c r="D2131" t="s">
        <v>13</v>
      </c>
      <c r="E2131" t="s">
        <v>308</v>
      </c>
      <c r="F2131">
        <f t="shared" si="66"/>
        <v>2000</v>
      </c>
      <c r="G2131">
        <f t="shared" si="67"/>
        <v>6</v>
      </c>
      <c r="H2131" t="str">
        <f>IF(ISNUMBER(FIND(",", E2131)), TRIM(MID(E2131, FIND(",", E2131) + 1, LEN(E2131))), E2131)</f>
        <v>Indonesia</v>
      </c>
    </row>
    <row r="2132" spans="1:8" x14ac:dyDescent="0.25">
      <c r="A2132" s="2">
        <v>36681</v>
      </c>
      <c r="B2132">
        <v>-4.76</v>
      </c>
      <c r="C2132">
        <v>102.03</v>
      </c>
      <c r="D2132" t="s">
        <v>16</v>
      </c>
      <c r="E2132" t="s">
        <v>308</v>
      </c>
      <c r="F2132">
        <f t="shared" si="66"/>
        <v>2000</v>
      </c>
      <c r="G2132">
        <f t="shared" si="67"/>
        <v>6</v>
      </c>
      <c r="H2132" t="str">
        <f>IF(ISNUMBER(FIND(",", E2132)), TRIM(MID(E2132, FIND(",", E2132) + 1, LEN(E2132))), E2132)</f>
        <v>Indonesia</v>
      </c>
    </row>
    <row r="2133" spans="1:8" x14ac:dyDescent="0.25">
      <c r="A2133" s="2">
        <v>36680</v>
      </c>
      <c r="B2133">
        <v>35.57</v>
      </c>
      <c r="C2133">
        <v>140.46</v>
      </c>
      <c r="D2133" t="s">
        <v>16</v>
      </c>
      <c r="E2133" t="s">
        <v>227</v>
      </c>
      <c r="F2133">
        <f t="shared" si="66"/>
        <v>2000</v>
      </c>
      <c r="G2133">
        <f t="shared" si="67"/>
        <v>6</v>
      </c>
      <c r="H2133" t="str">
        <f>IF(ISNUMBER(FIND(",", E2133)), TRIM(MID(E2133, FIND(",", E2133) + 1, LEN(E2133))), E2133)</f>
        <v>Japan</v>
      </c>
    </row>
    <row r="2134" spans="1:8" x14ac:dyDescent="0.25">
      <c r="A2134" s="2">
        <v>36679</v>
      </c>
      <c r="B2134">
        <v>44.41</v>
      </c>
      <c r="C2134">
        <v>-130.28</v>
      </c>
      <c r="D2134" t="s">
        <v>16</v>
      </c>
      <c r="E2134" t="s">
        <v>249</v>
      </c>
      <c r="F2134">
        <f t="shared" si="66"/>
        <v>2000</v>
      </c>
      <c r="G2134">
        <f t="shared" si="67"/>
        <v>6</v>
      </c>
      <c r="H2134" t="str">
        <f>IF(ISNUMBER(FIND(",", E2134)), TRIM(MID(E2134, FIND(",", E2134) + 1, LEN(E2134))), E2134)</f>
        <v>off the coast of Oregon</v>
      </c>
    </row>
    <row r="2135" spans="1:8" x14ac:dyDescent="0.25">
      <c r="A2135" s="2">
        <v>36672</v>
      </c>
      <c r="B2135">
        <v>11.35</v>
      </c>
      <c r="C2135">
        <v>139.30000000000001</v>
      </c>
      <c r="D2135" t="s">
        <v>16</v>
      </c>
      <c r="E2135" t="s">
        <v>458</v>
      </c>
      <c r="F2135">
        <f t="shared" si="66"/>
        <v>2000</v>
      </c>
      <c r="G2135">
        <f t="shared" si="67"/>
        <v>5</v>
      </c>
      <c r="H2135" t="str">
        <f>IF(ISNUMBER(FIND(",", E2135)), TRIM(MID(E2135, FIND(",", E2135) + 1, LEN(E2135))), E2135)</f>
        <v>Federated States of Micronesia</v>
      </c>
    </row>
    <row r="2136" spans="1:8" x14ac:dyDescent="0.25">
      <c r="A2136" s="2">
        <v>36660</v>
      </c>
      <c r="B2136">
        <v>-4.32</v>
      </c>
      <c r="C2136">
        <v>123.09</v>
      </c>
      <c r="D2136" t="s">
        <v>16</v>
      </c>
      <c r="E2136" t="s">
        <v>187</v>
      </c>
      <c r="F2136">
        <f t="shared" si="66"/>
        <v>2000</v>
      </c>
      <c r="G2136">
        <f t="shared" si="67"/>
        <v>5</v>
      </c>
      <c r="H2136" t="str">
        <f>IF(ISNUMBER(FIND(",", E2136)), TRIM(MID(E2136, FIND(",", E2136) + 1, LEN(E2136))), E2136)</f>
        <v>Banda Sea</v>
      </c>
    </row>
    <row r="2137" spans="1:8" x14ac:dyDescent="0.25">
      <c r="A2137" s="2">
        <v>36658</v>
      </c>
      <c r="B2137">
        <v>35.880000000000003</v>
      </c>
      <c r="C2137">
        <v>70.650000000000006</v>
      </c>
      <c r="D2137" t="s">
        <v>16</v>
      </c>
      <c r="E2137" t="s">
        <v>314</v>
      </c>
      <c r="F2137">
        <f t="shared" si="66"/>
        <v>2000</v>
      </c>
      <c r="G2137">
        <f t="shared" si="67"/>
        <v>5</v>
      </c>
      <c r="H2137" t="str">
        <f>IF(ISNUMBER(FIND(",", E2137)), TRIM(MID(E2137, FIND(",", E2137) + 1, LEN(E2137))), E2137)</f>
        <v>Afghanistan</v>
      </c>
    </row>
    <row r="2138" spans="1:8" x14ac:dyDescent="0.25">
      <c r="A2138" s="2">
        <v>36658</v>
      </c>
      <c r="B2138">
        <v>-23.75</v>
      </c>
      <c r="C2138">
        <v>-66.77</v>
      </c>
      <c r="D2138" t="s">
        <v>16</v>
      </c>
      <c r="E2138" t="s">
        <v>347</v>
      </c>
      <c r="F2138">
        <f t="shared" si="66"/>
        <v>2000</v>
      </c>
      <c r="G2138">
        <f t="shared" si="67"/>
        <v>5</v>
      </c>
      <c r="H2138" t="str">
        <f>IF(ISNUMBER(FIND(",", E2138)), TRIM(MID(E2138, FIND(",", E2138) + 1, LEN(E2138))), E2138)</f>
        <v>Argentina</v>
      </c>
    </row>
    <row r="2139" spans="1:8" x14ac:dyDescent="0.25">
      <c r="A2139" s="2">
        <v>36654</v>
      </c>
      <c r="B2139">
        <v>-4.45</v>
      </c>
      <c r="C2139">
        <v>150.03</v>
      </c>
      <c r="D2139" t="s">
        <v>16</v>
      </c>
      <c r="E2139" t="s">
        <v>190</v>
      </c>
      <c r="F2139">
        <f t="shared" si="66"/>
        <v>2000</v>
      </c>
      <c r="G2139">
        <f t="shared" si="67"/>
        <v>5</v>
      </c>
      <c r="H2139" t="str">
        <f>IF(ISNUMBER(FIND(",", E2139)), TRIM(MID(E2139, FIND(",", E2139) + 1, LEN(E2139))), E2139)</f>
        <v>Papua New Guinea</v>
      </c>
    </row>
    <row r="2140" spans="1:8" x14ac:dyDescent="0.25">
      <c r="A2140" s="2">
        <v>36652</v>
      </c>
      <c r="B2140">
        <v>-11.27</v>
      </c>
      <c r="C2140">
        <v>165.47</v>
      </c>
      <c r="D2140" t="s">
        <v>16</v>
      </c>
      <c r="E2140" t="s">
        <v>211</v>
      </c>
      <c r="F2140">
        <f t="shared" si="66"/>
        <v>2000</v>
      </c>
      <c r="G2140">
        <f t="shared" si="67"/>
        <v>5</v>
      </c>
      <c r="H2140" t="str">
        <f>IF(ISNUMBER(FIND(",", E2140)), TRIM(MID(E2140, FIND(",", E2140) + 1, LEN(E2140))), E2140)</f>
        <v>Santa Cruz Islands</v>
      </c>
    </row>
    <row r="2141" spans="1:8" x14ac:dyDescent="0.25">
      <c r="A2141" s="2">
        <v>36650</v>
      </c>
      <c r="B2141">
        <v>-17.91</v>
      </c>
      <c r="C2141">
        <v>-178.41</v>
      </c>
      <c r="D2141" t="s">
        <v>16</v>
      </c>
      <c r="E2141" t="s">
        <v>53</v>
      </c>
      <c r="F2141">
        <f t="shared" si="66"/>
        <v>2000</v>
      </c>
      <c r="G2141">
        <f t="shared" si="67"/>
        <v>5</v>
      </c>
      <c r="H2141" t="str">
        <f>IF(ISNUMBER(FIND(",", E2141)), TRIM(MID(E2141, FIND(",", E2141) + 1, LEN(E2141))), E2141)</f>
        <v>Fiji region</v>
      </c>
    </row>
    <row r="2142" spans="1:8" x14ac:dyDescent="0.25">
      <c r="A2142" s="2">
        <v>36650</v>
      </c>
      <c r="B2142">
        <v>-1.1399999999999999</v>
      </c>
      <c r="C2142">
        <v>123.52</v>
      </c>
      <c r="D2142" t="s">
        <v>16</v>
      </c>
      <c r="E2142" t="s">
        <v>182</v>
      </c>
      <c r="F2142">
        <f t="shared" si="66"/>
        <v>2000</v>
      </c>
      <c r="G2142">
        <f t="shared" si="67"/>
        <v>5</v>
      </c>
      <c r="H2142" t="str">
        <f>IF(ISNUMBER(FIND(",", E2142)), TRIM(MID(E2142, FIND(",", E2142) + 1, LEN(E2142))), E2142)</f>
        <v>Indonesia</v>
      </c>
    </row>
    <row r="2143" spans="1:8" x14ac:dyDescent="0.25">
      <c r="A2143" s="2">
        <v>36648</v>
      </c>
      <c r="B2143">
        <v>17.420000000000002</v>
      </c>
      <c r="C2143">
        <v>147.6</v>
      </c>
      <c r="D2143" t="s">
        <v>16</v>
      </c>
      <c r="E2143" t="s">
        <v>72</v>
      </c>
      <c r="F2143">
        <f t="shared" si="66"/>
        <v>2000</v>
      </c>
      <c r="G2143">
        <f t="shared" si="67"/>
        <v>5</v>
      </c>
      <c r="H2143" t="str">
        <f>IF(ISNUMBER(FIND(",", E2143)), TRIM(MID(E2143, FIND(",", E2143) + 1, LEN(E2143))), E2143)</f>
        <v>Mariana Islands region</v>
      </c>
    </row>
    <row r="2144" spans="1:8" x14ac:dyDescent="0.25">
      <c r="A2144" s="2">
        <v>36639</v>
      </c>
      <c r="B2144">
        <v>-28.37</v>
      </c>
      <c r="C2144">
        <v>-62.92</v>
      </c>
      <c r="D2144" t="s">
        <v>16</v>
      </c>
      <c r="E2144" t="s">
        <v>232</v>
      </c>
      <c r="F2144">
        <f t="shared" si="66"/>
        <v>2000</v>
      </c>
      <c r="G2144">
        <f t="shared" si="67"/>
        <v>4</v>
      </c>
      <c r="H2144" t="str">
        <f>IF(ISNUMBER(FIND(",", E2144)), TRIM(MID(E2144, FIND(",", E2144) + 1, LEN(E2144))), E2144)</f>
        <v>Argentina</v>
      </c>
    </row>
    <row r="2145" spans="1:8" x14ac:dyDescent="0.25">
      <c r="A2145" s="2">
        <v>36639</v>
      </c>
      <c r="B2145">
        <v>-28.31</v>
      </c>
      <c r="C2145">
        <v>-62.92</v>
      </c>
      <c r="D2145" t="s">
        <v>16</v>
      </c>
      <c r="E2145" t="s">
        <v>232</v>
      </c>
      <c r="F2145">
        <f t="shared" si="66"/>
        <v>2000</v>
      </c>
      <c r="G2145">
        <f t="shared" si="67"/>
        <v>4</v>
      </c>
      <c r="H2145" t="str">
        <f>IF(ISNUMBER(FIND(",", E2145)), TRIM(MID(E2145, FIND(",", E2145) + 1, LEN(E2145))), E2145)</f>
        <v>Argentina</v>
      </c>
    </row>
    <row r="2146" spans="1:8" x14ac:dyDescent="0.25">
      <c r="A2146" s="2">
        <v>36637</v>
      </c>
      <c r="B2146">
        <v>51.44</v>
      </c>
      <c r="C2146">
        <v>-178.15</v>
      </c>
      <c r="D2146" t="s">
        <v>16</v>
      </c>
      <c r="E2146" t="s">
        <v>207</v>
      </c>
      <c r="F2146">
        <f t="shared" si="66"/>
        <v>2000</v>
      </c>
      <c r="G2146">
        <f t="shared" si="67"/>
        <v>4</v>
      </c>
      <c r="H2146" t="str">
        <f>IF(ISNUMBER(FIND(",", E2146)), TRIM(MID(E2146, FIND(",", E2146) + 1, LEN(E2146))), E2146)</f>
        <v>Aleutian Islands, Alaska</v>
      </c>
    </row>
    <row r="2147" spans="1:8" x14ac:dyDescent="0.25">
      <c r="A2147" s="2">
        <v>36623</v>
      </c>
      <c r="B2147">
        <v>-17.79</v>
      </c>
      <c r="C2147">
        <v>65.84</v>
      </c>
      <c r="D2147" t="s">
        <v>16</v>
      </c>
      <c r="E2147" t="s">
        <v>220</v>
      </c>
      <c r="F2147">
        <f t="shared" si="66"/>
        <v>2000</v>
      </c>
      <c r="G2147">
        <f t="shared" si="67"/>
        <v>4</v>
      </c>
      <c r="H2147" t="str">
        <f>IF(ISNUMBER(FIND(",", E2147)), TRIM(MID(E2147, FIND(",", E2147) + 1, LEN(E2147))), E2147)</f>
        <v>Mauritius - Reunion region</v>
      </c>
    </row>
    <row r="2148" spans="1:8" x14ac:dyDescent="0.25">
      <c r="A2148" s="2">
        <v>36619</v>
      </c>
      <c r="B2148">
        <v>4.09</v>
      </c>
      <c r="C2148">
        <v>125.52</v>
      </c>
      <c r="D2148" t="s">
        <v>16</v>
      </c>
      <c r="E2148" t="s">
        <v>518</v>
      </c>
      <c r="F2148">
        <f t="shared" si="66"/>
        <v>2000</v>
      </c>
      <c r="G2148">
        <f t="shared" si="67"/>
        <v>4</v>
      </c>
      <c r="H2148" t="str">
        <f>IF(ISNUMBER(FIND(",", E2148)), TRIM(MID(E2148, FIND(",", E2148) + 1, LEN(E2148))), E2148)</f>
        <v>Indonesia</v>
      </c>
    </row>
    <row r="2149" spans="1:8" x14ac:dyDescent="0.25">
      <c r="A2149" s="2">
        <v>36613</v>
      </c>
      <c r="B2149">
        <v>22.26</v>
      </c>
      <c r="C2149">
        <v>143.68</v>
      </c>
      <c r="D2149" t="s">
        <v>16</v>
      </c>
      <c r="E2149" t="s">
        <v>519</v>
      </c>
      <c r="F2149">
        <f t="shared" si="66"/>
        <v>2000</v>
      </c>
      <c r="G2149">
        <f t="shared" si="67"/>
        <v>3</v>
      </c>
      <c r="H2149" t="str">
        <f>IF(ISNUMBER(FIND(",", E2149)), TRIM(MID(E2149, FIND(",", E2149) + 1, LEN(E2149))), E2149)</f>
        <v>Japan region</v>
      </c>
    </row>
    <row r="2150" spans="1:8" x14ac:dyDescent="0.25">
      <c r="A2150" s="2">
        <v>36597</v>
      </c>
      <c r="B2150">
        <v>15.14</v>
      </c>
      <c r="C2150">
        <v>-92.41</v>
      </c>
      <c r="D2150" t="s">
        <v>16</v>
      </c>
      <c r="E2150" t="s">
        <v>421</v>
      </c>
      <c r="F2150">
        <f t="shared" si="66"/>
        <v>2000</v>
      </c>
      <c r="G2150">
        <f t="shared" si="67"/>
        <v>3</v>
      </c>
      <c r="H2150" t="str">
        <f>IF(ISNUMBER(FIND(",", E2150)), TRIM(MID(E2150, FIND(",", E2150) + 1, LEN(E2150))), E2150)</f>
        <v>Mexico</v>
      </c>
    </row>
    <row r="2151" spans="1:8" x14ac:dyDescent="0.25">
      <c r="A2151" s="2">
        <v>36590</v>
      </c>
      <c r="B2151">
        <v>-62.98</v>
      </c>
      <c r="C2151">
        <v>145.49</v>
      </c>
      <c r="D2151" t="s">
        <v>16</v>
      </c>
      <c r="E2151" t="s">
        <v>495</v>
      </c>
      <c r="F2151">
        <f t="shared" si="66"/>
        <v>2000</v>
      </c>
      <c r="G2151">
        <f t="shared" si="67"/>
        <v>3</v>
      </c>
      <c r="H2151" t="str">
        <f>IF(ISNUMBER(FIND(",", E2151)), TRIM(MID(E2151, FIND(",", E2151) + 1, LEN(E2151))), E2151)</f>
        <v>south of Australia</v>
      </c>
    </row>
    <row r="2152" spans="1:8" x14ac:dyDescent="0.25">
      <c r="A2152" s="2">
        <v>36589</v>
      </c>
      <c r="B2152">
        <v>-60.16</v>
      </c>
      <c r="C2152">
        <v>150.25</v>
      </c>
      <c r="D2152" t="s">
        <v>16</v>
      </c>
      <c r="E2152" t="s">
        <v>205</v>
      </c>
      <c r="F2152">
        <f t="shared" si="66"/>
        <v>2000</v>
      </c>
      <c r="G2152">
        <f t="shared" si="67"/>
        <v>3</v>
      </c>
      <c r="H2152" t="str">
        <f>IF(ISNUMBER(FIND(",", E2152)), TRIM(MID(E2152, FIND(",", E2152) + 1, LEN(E2152))), E2152)</f>
        <v>west of Macquarie Island</v>
      </c>
    </row>
    <row r="2153" spans="1:8" x14ac:dyDescent="0.25">
      <c r="A2153" s="2">
        <v>36588</v>
      </c>
      <c r="B2153">
        <v>-6.8</v>
      </c>
      <c r="C2153">
        <v>143.88999999999999</v>
      </c>
      <c r="D2153" t="s">
        <v>16</v>
      </c>
      <c r="E2153" t="s">
        <v>253</v>
      </c>
      <c r="F2153">
        <f t="shared" si="66"/>
        <v>2000</v>
      </c>
      <c r="G2153">
        <f t="shared" si="67"/>
        <v>3</v>
      </c>
      <c r="H2153" t="str">
        <f>IF(ISNUMBER(FIND(",", E2153)), TRIM(MID(E2153, FIND(",", E2153) + 1, LEN(E2153))), E2153)</f>
        <v>Papua New Guinea</v>
      </c>
    </row>
    <row r="2154" spans="1:8" x14ac:dyDescent="0.25">
      <c r="A2154" s="2">
        <v>36588</v>
      </c>
      <c r="B2154">
        <v>-7.35</v>
      </c>
      <c r="C2154">
        <v>128.52000000000001</v>
      </c>
      <c r="D2154" t="s">
        <v>16</v>
      </c>
      <c r="E2154" t="s">
        <v>49</v>
      </c>
      <c r="F2154">
        <f t="shared" si="66"/>
        <v>2000</v>
      </c>
      <c r="G2154">
        <f t="shared" si="67"/>
        <v>3</v>
      </c>
      <c r="H2154" t="str">
        <f>IF(ISNUMBER(FIND(",", E2154)), TRIM(MID(E2154, FIND(",", E2154) + 1, LEN(E2154))), E2154)</f>
        <v>Indonesia</v>
      </c>
    </row>
    <row r="2155" spans="1:8" x14ac:dyDescent="0.25">
      <c r="A2155" s="2">
        <v>36585</v>
      </c>
      <c r="B2155">
        <v>-18.05</v>
      </c>
      <c r="C2155">
        <v>169.1</v>
      </c>
      <c r="D2155" t="s">
        <v>16</v>
      </c>
      <c r="E2155" t="s">
        <v>181</v>
      </c>
      <c r="F2155">
        <f t="shared" si="66"/>
        <v>2000</v>
      </c>
      <c r="G2155">
        <f t="shared" si="67"/>
        <v>2</v>
      </c>
      <c r="H2155" t="str">
        <f>IF(ISNUMBER(FIND(",", E2155)), TRIM(MID(E2155, FIND(",", E2155) + 1, LEN(E2155))), E2155)</f>
        <v>Vanuatu</v>
      </c>
    </row>
    <row r="2156" spans="1:8" x14ac:dyDescent="0.25">
      <c r="A2156" s="2">
        <v>36582</v>
      </c>
      <c r="B2156">
        <v>9.36</v>
      </c>
      <c r="C2156">
        <v>-78.650000000000006</v>
      </c>
      <c r="D2156" t="s">
        <v>16</v>
      </c>
      <c r="E2156" t="s">
        <v>367</v>
      </c>
      <c r="F2156">
        <f t="shared" si="66"/>
        <v>2000</v>
      </c>
      <c r="G2156">
        <f t="shared" si="67"/>
        <v>2</v>
      </c>
      <c r="H2156" t="str">
        <f>IF(ISNUMBER(FIND(",", E2156)), TRIM(MID(E2156, FIND(",", E2156) + 1, LEN(E2156))), E2156)</f>
        <v>Panama</v>
      </c>
    </row>
    <row r="2157" spans="1:8" x14ac:dyDescent="0.25">
      <c r="A2157" s="2">
        <v>36582</v>
      </c>
      <c r="B2157">
        <v>13.82</v>
      </c>
      <c r="C2157">
        <v>144.9</v>
      </c>
      <c r="D2157" t="s">
        <v>16</v>
      </c>
      <c r="E2157" t="s">
        <v>403</v>
      </c>
      <c r="F2157">
        <f t="shared" si="66"/>
        <v>2000</v>
      </c>
      <c r="G2157">
        <f t="shared" si="67"/>
        <v>2</v>
      </c>
      <c r="H2157" t="str">
        <f>IF(ISNUMBER(FIND(",", E2157)), TRIM(MID(E2157, FIND(",", E2157) + 1, LEN(E2157))), E2157)</f>
        <v>Guam region</v>
      </c>
    </row>
    <row r="2158" spans="1:8" x14ac:dyDescent="0.25">
      <c r="A2158" s="2">
        <v>36581</v>
      </c>
      <c r="B2158">
        <v>-19.5</v>
      </c>
      <c r="C2158">
        <v>173.97</v>
      </c>
      <c r="D2158" t="s">
        <v>16</v>
      </c>
      <c r="E2158" t="s">
        <v>281</v>
      </c>
      <c r="F2158">
        <f t="shared" si="66"/>
        <v>2000</v>
      </c>
      <c r="G2158">
        <f t="shared" si="67"/>
        <v>2</v>
      </c>
      <c r="H2158" t="str">
        <f>IF(ISNUMBER(FIND(",", E2158)), TRIM(MID(E2158, FIND(",", E2158) + 1, LEN(E2158))), E2158)</f>
        <v>Vanuatu region</v>
      </c>
    </row>
    <row r="2159" spans="1:8" x14ac:dyDescent="0.25">
      <c r="A2159" s="2">
        <v>36569</v>
      </c>
      <c r="B2159">
        <v>42.8</v>
      </c>
      <c r="C2159">
        <v>131.66</v>
      </c>
      <c r="D2159" t="s">
        <v>16</v>
      </c>
      <c r="E2159" t="s">
        <v>520</v>
      </c>
      <c r="F2159">
        <f t="shared" si="66"/>
        <v>2000</v>
      </c>
      <c r="G2159">
        <f t="shared" si="67"/>
        <v>2</v>
      </c>
      <c r="H2159" t="str">
        <f>IF(ISNUMBER(FIND(",", E2159)), TRIM(MID(E2159, FIND(",", E2159) + 1, LEN(E2159))), E2159)</f>
        <v>eastern Russia-northeastern China border region</v>
      </c>
    </row>
    <row r="2160" spans="1:8" x14ac:dyDescent="0.25">
      <c r="A2160" s="2">
        <v>36562</v>
      </c>
      <c r="B2160">
        <v>-5.89</v>
      </c>
      <c r="C2160">
        <v>150.99</v>
      </c>
      <c r="D2160" t="s">
        <v>16</v>
      </c>
      <c r="E2160" t="s">
        <v>190</v>
      </c>
      <c r="F2160">
        <f t="shared" si="66"/>
        <v>2000</v>
      </c>
      <c r="G2160">
        <f t="shared" si="67"/>
        <v>2</v>
      </c>
      <c r="H2160" t="str">
        <f>IF(ISNUMBER(FIND(",", E2160)), TRIM(MID(E2160, FIND(",", E2160) + 1, LEN(E2160))), E2160)</f>
        <v>Papua New Guinea</v>
      </c>
    </row>
    <row r="2161" spans="1:8" x14ac:dyDescent="0.25">
      <c r="A2161" s="2">
        <v>36553</v>
      </c>
      <c r="B2161">
        <v>26.1</v>
      </c>
      <c r="C2161">
        <v>124.55</v>
      </c>
      <c r="D2161" t="s">
        <v>16</v>
      </c>
      <c r="E2161" t="s">
        <v>269</v>
      </c>
      <c r="F2161">
        <f t="shared" si="66"/>
        <v>2000</v>
      </c>
      <c r="G2161">
        <f t="shared" si="67"/>
        <v>1</v>
      </c>
      <c r="H2161" t="str">
        <f>IF(ISNUMBER(FIND(",", E2161)), TRIM(MID(E2161, FIND(",", E2161) + 1, LEN(E2161))), E2161)</f>
        <v>northeast of Taiwan</v>
      </c>
    </row>
    <row r="2162" spans="1:8" x14ac:dyDescent="0.25">
      <c r="A2162" s="2">
        <v>36553</v>
      </c>
      <c r="B2162">
        <v>43.08</v>
      </c>
      <c r="C2162">
        <v>146.81</v>
      </c>
      <c r="D2162" t="s">
        <v>16</v>
      </c>
      <c r="E2162" t="s">
        <v>191</v>
      </c>
      <c r="F2162">
        <f t="shared" si="66"/>
        <v>2000</v>
      </c>
      <c r="G2162">
        <f t="shared" si="67"/>
        <v>1</v>
      </c>
      <c r="H2162" t="str">
        <f>IF(ISNUMBER(FIND(",", E2162)), TRIM(MID(E2162, FIND(",", E2162) + 1, LEN(E2162))), E2162)</f>
        <v>Kuril Islands</v>
      </c>
    </row>
    <row r="2163" spans="1:8" x14ac:dyDescent="0.25">
      <c r="A2163" s="2">
        <v>36551</v>
      </c>
      <c r="B2163">
        <v>-17.32</v>
      </c>
      <c r="C2163">
        <v>-173.86</v>
      </c>
      <c r="D2163" t="s">
        <v>16</v>
      </c>
      <c r="E2163" t="s">
        <v>239</v>
      </c>
      <c r="F2163">
        <f t="shared" si="66"/>
        <v>2000</v>
      </c>
      <c r="G2163">
        <f t="shared" si="67"/>
        <v>1</v>
      </c>
      <c r="H2163" t="str">
        <f>IF(ISNUMBER(FIND(",", E2163)), TRIM(MID(E2163, FIND(",", E2163) + 1, LEN(E2163))), E2163)</f>
        <v>Tonga</v>
      </c>
    </row>
    <row r="2164" spans="1:8" x14ac:dyDescent="0.25">
      <c r="A2164" s="2">
        <v>36545</v>
      </c>
      <c r="B2164">
        <v>43.62</v>
      </c>
      <c r="C2164">
        <v>-127.08</v>
      </c>
      <c r="D2164" t="s">
        <v>16</v>
      </c>
      <c r="E2164" t="s">
        <v>249</v>
      </c>
      <c r="F2164">
        <f t="shared" si="66"/>
        <v>2000</v>
      </c>
      <c r="G2164">
        <f t="shared" si="67"/>
        <v>1</v>
      </c>
      <c r="H2164" t="str">
        <f>IF(ISNUMBER(FIND(",", E2164)), TRIM(MID(E2164, FIND(",", E2164) + 1, LEN(E2164))), E2164)</f>
        <v>off the coast of Oregon</v>
      </c>
    </row>
    <row r="2165" spans="1:8" x14ac:dyDescent="0.25">
      <c r="A2165" s="2">
        <v>36540</v>
      </c>
      <c r="B2165">
        <v>-21.21</v>
      </c>
      <c r="C2165">
        <v>-179.09</v>
      </c>
      <c r="D2165" t="s">
        <v>16</v>
      </c>
      <c r="E2165" t="s">
        <v>53</v>
      </c>
      <c r="F2165">
        <f t="shared" si="66"/>
        <v>2000</v>
      </c>
      <c r="G2165">
        <f t="shared" si="67"/>
        <v>1</v>
      </c>
      <c r="H2165" t="str">
        <f>IF(ISNUMBER(FIND(",", E2165)), TRIM(MID(E2165, FIND(",", E2165) + 1, LEN(E2165))), E2165)</f>
        <v>Fiji region</v>
      </c>
    </row>
    <row r="2166" spans="1:8" x14ac:dyDescent="0.25">
      <c r="A2166" s="2">
        <v>36538</v>
      </c>
      <c r="B2166">
        <v>-17.59</v>
      </c>
      <c r="C2166">
        <v>-178.64</v>
      </c>
      <c r="D2166" t="s">
        <v>16</v>
      </c>
      <c r="E2166" t="s">
        <v>53</v>
      </c>
      <c r="F2166">
        <f t="shared" si="66"/>
        <v>2000</v>
      </c>
      <c r="G2166">
        <f t="shared" si="67"/>
        <v>1</v>
      </c>
      <c r="H2166" t="str">
        <f>IF(ISNUMBER(FIND(",", E2166)), TRIM(MID(E2166, FIND(",", E2166) + 1, LEN(E2166))), E2166)</f>
        <v>Fiji region</v>
      </c>
    </row>
    <row r="2167" spans="1:8" x14ac:dyDescent="0.25">
      <c r="A2167" s="2">
        <v>36534</v>
      </c>
      <c r="B2167">
        <v>-18.760000000000002</v>
      </c>
      <c r="C2167">
        <v>174.46</v>
      </c>
      <c r="D2167" t="s">
        <v>16</v>
      </c>
      <c r="E2167" t="s">
        <v>53</v>
      </c>
      <c r="F2167">
        <f t="shared" si="66"/>
        <v>2000</v>
      </c>
      <c r="G2167">
        <f t="shared" si="67"/>
        <v>1</v>
      </c>
      <c r="H2167" t="str">
        <f>IF(ISNUMBER(FIND(",", E2167)), TRIM(MID(E2167, FIND(",", E2167) + 1, LEN(E2167))), E2167)</f>
        <v>Fiji region</v>
      </c>
    </row>
    <row r="2168" spans="1:8" x14ac:dyDescent="0.25">
      <c r="A2168" s="2">
        <v>36533</v>
      </c>
      <c r="B2168">
        <v>-16.940000000000001</v>
      </c>
      <c r="C2168">
        <v>-174.09</v>
      </c>
      <c r="D2168" t="s">
        <v>16</v>
      </c>
      <c r="E2168" t="s">
        <v>239</v>
      </c>
      <c r="F2168">
        <f t="shared" si="66"/>
        <v>2000</v>
      </c>
      <c r="G2168">
        <f t="shared" si="67"/>
        <v>1</v>
      </c>
      <c r="H2168" t="str">
        <f>IF(ISNUMBER(FIND(",", E2168)), TRIM(MID(E2168, FIND(",", E2168) + 1, LEN(E2168))), E2168)</f>
        <v>Tonga</v>
      </c>
    </row>
    <row r="2169" spans="1:8" x14ac:dyDescent="0.25">
      <c r="A2169" s="2">
        <v>36533</v>
      </c>
      <c r="B2169">
        <v>-23.19</v>
      </c>
      <c r="C2169">
        <v>-70.099999999999994</v>
      </c>
      <c r="D2169" t="s">
        <v>16</v>
      </c>
      <c r="E2169" t="s">
        <v>289</v>
      </c>
      <c r="F2169">
        <f t="shared" si="66"/>
        <v>2000</v>
      </c>
      <c r="G2169">
        <f t="shared" si="67"/>
        <v>1</v>
      </c>
      <c r="H2169" t="str">
        <f>IF(ISNUMBER(FIND(",", E2169)), TRIM(MID(E2169, FIND(",", E2169) + 1, LEN(E2169))), E2169)</f>
        <v>Chile</v>
      </c>
    </row>
    <row r="2170" spans="1:8" x14ac:dyDescent="0.25">
      <c r="A2170" s="2">
        <v>36533</v>
      </c>
      <c r="B2170">
        <v>-9.85</v>
      </c>
      <c r="C2170">
        <v>160.01</v>
      </c>
      <c r="D2170" t="s">
        <v>16</v>
      </c>
      <c r="E2170" t="s">
        <v>221</v>
      </c>
      <c r="F2170">
        <f t="shared" si="66"/>
        <v>2000</v>
      </c>
      <c r="G2170">
        <f t="shared" si="67"/>
        <v>1</v>
      </c>
      <c r="H2170" t="str">
        <f>IF(ISNUMBER(FIND(",", E2170)), TRIM(MID(E2170, FIND(",", E2170) + 1, LEN(E2170))), E2170)</f>
        <v>Solomon Islands</v>
      </c>
    </row>
    <row r="2171" spans="1:8" x14ac:dyDescent="0.25">
      <c r="A2171" s="2">
        <v>36531</v>
      </c>
      <c r="B2171">
        <v>16.13</v>
      </c>
      <c r="C2171">
        <v>119.37</v>
      </c>
      <c r="D2171" t="s">
        <v>16</v>
      </c>
      <c r="E2171" t="s">
        <v>297</v>
      </c>
      <c r="F2171">
        <f t="shared" si="66"/>
        <v>2000</v>
      </c>
      <c r="G2171">
        <f t="shared" si="67"/>
        <v>1</v>
      </c>
      <c r="H2171" t="str">
        <f>IF(ISNUMBER(FIND(",", E2171)), TRIM(MID(E2171, FIND(",", E2171) + 1, LEN(E2171))), E2171)</f>
        <v>Philippines</v>
      </c>
    </row>
    <row r="2172" spans="1:8" x14ac:dyDescent="0.25">
      <c r="A2172" s="2">
        <v>36531</v>
      </c>
      <c r="B2172">
        <v>58.08</v>
      </c>
      <c r="C2172">
        <v>-136.91</v>
      </c>
      <c r="D2172" t="s">
        <v>16</v>
      </c>
      <c r="E2172" t="s">
        <v>180</v>
      </c>
      <c r="F2172">
        <f t="shared" si="66"/>
        <v>2000</v>
      </c>
      <c r="G2172">
        <f t="shared" si="67"/>
        <v>1</v>
      </c>
      <c r="H2172" t="str">
        <f>IF(ISNUMBER(FIND(",", E2172)), TRIM(MID(E2172, FIND(",", E2172) + 1, LEN(E2172))), E2172)</f>
        <v>Southeastern Alaska</v>
      </c>
    </row>
    <row r="2173" spans="1:8" x14ac:dyDescent="0.25">
      <c r="A2173" s="2">
        <v>36530</v>
      </c>
      <c r="B2173">
        <v>-11.3</v>
      </c>
      <c r="C2173">
        <v>165.47</v>
      </c>
      <c r="D2173" t="s">
        <v>16</v>
      </c>
      <c r="E2173" t="s">
        <v>211</v>
      </c>
      <c r="F2173">
        <f t="shared" si="66"/>
        <v>2000</v>
      </c>
      <c r="G2173">
        <f t="shared" si="67"/>
        <v>1</v>
      </c>
      <c r="H2173" t="str">
        <f>IF(ISNUMBER(FIND(",", E2173)), TRIM(MID(E2173, FIND(",", E2173) + 1, LEN(E2173))), E2173)</f>
        <v>Santa Cruz Islands</v>
      </c>
    </row>
    <row r="2174" spans="1:8" x14ac:dyDescent="0.25">
      <c r="A2174" s="2">
        <v>36526</v>
      </c>
      <c r="B2174">
        <v>-60.7</v>
      </c>
      <c r="C2174">
        <v>153.77000000000001</v>
      </c>
      <c r="D2174" t="s">
        <v>16</v>
      </c>
      <c r="E2174" t="s">
        <v>205</v>
      </c>
      <c r="F2174">
        <f t="shared" si="66"/>
        <v>2000</v>
      </c>
      <c r="G2174">
        <f t="shared" si="67"/>
        <v>1</v>
      </c>
      <c r="H2174" t="str">
        <f>IF(ISNUMBER(FIND(",", E2174)), TRIM(MID(E2174, FIND(",", E2174) + 1, LEN(E2174))), E2174)</f>
        <v>west of Macquarie Island</v>
      </c>
    </row>
    <row r="2175" spans="1:8" x14ac:dyDescent="0.25">
      <c r="A2175" s="2">
        <v>36523</v>
      </c>
      <c r="B2175">
        <v>-11.12</v>
      </c>
      <c r="C2175">
        <v>165.46799999999999</v>
      </c>
      <c r="D2175" t="s">
        <v>14</v>
      </c>
      <c r="E2175" t="s">
        <v>211</v>
      </c>
      <c r="F2175">
        <f t="shared" si="66"/>
        <v>1999</v>
      </c>
      <c r="G2175">
        <f t="shared" si="67"/>
        <v>12</v>
      </c>
      <c r="H2175" t="str">
        <f>IF(ISNUMBER(FIND(",", E2175)), TRIM(MID(E2175, FIND(",", E2175) + 1, LEN(E2175))), E2175)</f>
        <v>Santa Cruz Islands</v>
      </c>
    </row>
    <row r="2176" spans="1:8" x14ac:dyDescent="0.25">
      <c r="A2176" s="2">
        <v>36523</v>
      </c>
      <c r="B2176">
        <v>-10.925000000000001</v>
      </c>
      <c r="C2176">
        <v>165.52199999999999</v>
      </c>
      <c r="D2176" t="s">
        <v>14</v>
      </c>
      <c r="E2176" t="s">
        <v>211</v>
      </c>
      <c r="F2176">
        <f t="shared" si="66"/>
        <v>1999</v>
      </c>
      <c r="G2176">
        <f t="shared" si="67"/>
        <v>12</v>
      </c>
      <c r="H2176" t="str">
        <f>IF(ISNUMBER(FIND(",", E2176)), TRIM(MID(E2176, FIND(",", E2176) + 1, LEN(E2176))), E2176)</f>
        <v>Santa Cruz Islands</v>
      </c>
    </row>
    <row r="2177" spans="1:8" x14ac:dyDescent="0.25">
      <c r="A2177" s="2">
        <v>36522</v>
      </c>
      <c r="B2177">
        <v>5.6360000000000001</v>
      </c>
      <c r="C2177">
        <v>-82.745999999999995</v>
      </c>
      <c r="D2177" t="s">
        <v>14</v>
      </c>
      <c r="E2177" t="s">
        <v>231</v>
      </c>
      <c r="F2177">
        <f t="shared" si="66"/>
        <v>1999</v>
      </c>
      <c r="G2177">
        <f t="shared" si="67"/>
        <v>12</v>
      </c>
      <c r="H2177" t="str">
        <f>IF(ISNUMBER(FIND(",", E2177)), TRIM(MID(E2177, FIND(",", E2177) + 1, LEN(E2177))), E2177)</f>
        <v>south of Panama</v>
      </c>
    </row>
    <row r="2178" spans="1:8" x14ac:dyDescent="0.25">
      <c r="A2178" s="2">
        <v>36518</v>
      </c>
      <c r="B2178">
        <v>-56.404000000000003</v>
      </c>
      <c r="C2178">
        <v>147.23500000000001</v>
      </c>
      <c r="D2178" t="s">
        <v>14</v>
      </c>
      <c r="E2178" t="s">
        <v>205</v>
      </c>
      <c r="F2178">
        <f t="shared" ref="F2178:F2241" si="68">YEAR(A2178)</f>
        <v>1999</v>
      </c>
      <c r="G2178">
        <f t="shared" si="67"/>
        <v>12</v>
      </c>
      <c r="H2178" t="str">
        <f>IF(ISNUMBER(FIND(",", E2178)), TRIM(MID(E2178, FIND(",", E2178) + 1, LEN(E2178))), E2178)</f>
        <v>west of Macquarie Island</v>
      </c>
    </row>
    <row r="2179" spans="1:8" x14ac:dyDescent="0.25">
      <c r="A2179" s="2">
        <v>36518</v>
      </c>
      <c r="B2179">
        <v>-56.223999999999997</v>
      </c>
      <c r="C2179">
        <v>147.012</v>
      </c>
      <c r="D2179" t="s">
        <v>14</v>
      </c>
      <c r="E2179" t="s">
        <v>205</v>
      </c>
      <c r="F2179">
        <f t="shared" si="68"/>
        <v>1999</v>
      </c>
      <c r="G2179">
        <f t="shared" ref="G2179:G2242" si="69">MONTH(A2179)</f>
        <v>12</v>
      </c>
      <c r="H2179" t="str">
        <f>IF(ISNUMBER(FIND(",", E2179)), TRIM(MID(E2179, FIND(",", E2179) + 1, LEN(E2179))), E2179)</f>
        <v>west of Macquarie Island</v>
      </c>
    </row>
    <row r="2180" spans="1:8" x14ac:dyDescent="0.25">
      <c r="A2180" s="2">
        <v>36515</v>
      </c>
      <c r="B2180">
        <v>-6.8490000000000002</v>
      </c>
      <c r="C2180">
        <v>105.53</v>
      </c>
      <c r="D2180" t="s">
        <v>14</v>
      </c>
      <c r="E2180" t="s">
        <v>278</v>
      </c>
      <c r="F2180">
        <f t="shared" si="68"/>
        <v>1999</v>
      </c>
      <c r="G2180">
        <f t="shared" si="69"/>
        <v>12</v>
      </c>
      <c r="H2180" t="str">
        <f>IF(ISNUMBER(FIND(",", E2180)), TRIM(MID(E2180, FIND(",", E2180) + 1, LEN(E2180))), E2180)</f>
        <v>Indonesia</v>
      </c>
    </row>
    <row r="2181" spans="1:8" x14ac:dyDescent="0.25">
      <c r="A2181" s="2">
        <v>36512</v>
      </c>
      <c r="B2181">
        <v>-2.448</v>
      </c>
      <c r="C2181">
        <v>139.75800000000001</v>
      </c>
      <c r="D2181" t="s">
        <v>14</v>
      </c>
      <c r="E2181" t="s">
        <v>241</v>
      </c>
      <c r="F2181">
        <f t="shared" si="68"/>
        <v>1999</v>
      </c>
      <c r="G2181">
        <f t="shared" si="69"/>
        <v>12</v>
      </c>
      <c r="H2181" t="str">
        <f>IF(ISNUMBER(FIND(",", E2181)), TRIM(MID(E2181, FIND(",", E2181) + 1, LEN(E2181))), E2181)</f>
        <v>Indonesia</v>
      </c>
    </row>
    <row r="2182" spans="1:8" x14ac:dyDescent="0.25">
      <c r="A2182" s="2">
        <v>36509</v>
      </c>
      <c r="B2182">
        <v>-5.81</v>
      </c>
      <c r="C2182">
        <v>151.054</v>
      </c>
      <c r="D2182" t="s">
        <v>14</v>
      </c>
      <c r="E2182" t="s">
        <v>190</v>
      </c>
      <c r="F2182">
        <f t="shared" si="68"/>
        <v>1999</v>
      </c>
      <c r="G2182">
        <f t="shared" si="69"/>
        <v>12</v>
      </c>
      <c r="H2182" t="str">
        <f>IF(ISNUMBER(FIND(",", E2182)), TRIM(MID(E2182, FIND(",", E2182) + 1, LEN(E2182))), E2182)</f>
        <v>Papua New Guinea</v>
      </c>
    </row>
    <row r="2183" spans="1:8" x14ac:dyDescent="0.25">
      <c r="A2183" s="2">
        <v>36505</v>
      </c>
      <c r="B2183">
        <v>15.757999999999999</v>
      </c>
      <c r="C2183">
        <v>119.758</v>
      </c>
      <c r="D2183" t="s">
        <v>14</v>
      </c>
      <c r="E2183" t="s">
        <v>297</v>
      </c>
      <c r="F2183">
        <f t="shared" si="68"/>
        <v>1999</v>
      </c>
      <c r="G2183">
        <f t="shared" si="69"/>
        <v>12</v>
      </c>
      <c r="H2183" t="str">
        <f>IF(ISNUMBER(FIND(",", E2183)), TRIM(MID(E2183, FIND(",", E2183) + 1, LEN(E2183))), E2183)</f>
        <v>Philippines</v>
      </c>
    </row>
    <row r="2184" spans="1:8" x14ac:dyDescent="0.25">
      <c r="A2184" s="2">
        <v>36504</v>
      </c>
      <c r="B2184">
        <v>-36.103000000000002</v>
      </c>
      <c r="C2184">
        <v>-97.281999999999996</v>
      </c>
      <c r="D2184" t="s">
        <v>14</v>
      </c>
      <c r="E2184" t="s">
        <v>71</v>
      </c>
      <c r="F2184">
        <f t="shared" si="68"/>
        <v>1999</v>
      </c>
      <c r="G2184">
        <f t="shared" si="69"/>
        <v>12</v>
      </c>
      <c r="H2184" t="str">
        <f>IF(ISNUMBER(FIND(",", E2184)), TRIM(MID(E2184, FIND(",", E2184) + 1, LEN(E2184))), E2184)</f>
        <v>West Chile Rise</v>
      </c>
    </row>
    <row r="2185" spans="1:8" x14ac:dyDescent="0.25">
      <c r="A2185" s="2">
        <v>36503</v>
      </c>
      <c r="B2185">
        <v>-6.0469999999999997</v>
      </c>
      <c r="C2185">
        <v>148.17699999999999</v>
      </c>
      <c r="D2185" t="s">
        <v>14</v>
      </c>
      <c r="E2185" t="s">
        <v>190</v>
      </c>
      <c r="F2185">
        <f t="shared" si="68"/>
        <v>1999</v>
      </c>
      <c r="G2185">
        <f t="shared" si="69"/>
        <v>12</v>
      </c>
      <c r="H2185" t="str">
        <f>IF(ISNUMBER(FIND(",", E2185)), TRIM(MID(E2185, FIND(",", E2185) + 1, LEN(E2185))), E2185)</f>
        <v>Papua New Guinea</v>
      </c>
    </row>
    <row r="2186" spans="1:8" x14ac:dyDescent="0.25">
      <c r="A2186" s="2">
        <v>36502</v>
      </c>
      <c r="B2186">
        <v>-9.8550000000000004</v>
      </c>
      <c r="C2186">
        <v>160.11199999999999</v>
      </c>
      <c r="D2186" t="s">
        <v>14</v>
      </c>
      <c r="E2186" t="s">
        <v>221</v>
      </c>
      <c r="F2186">
        <f t="shared" si="68"/>
        <v>1999</v>
      </c>
      <c r="G2186">
        <f t="shared" si="69"/>
        <v>12</v>
      </c>
      <c r="H2186" t="str">
        <f>IF(ISNUMBER(FIND(",", E2186)), TRIM(MID(E2186, FIND(",", E2186) + 1, LEN(E2186))), E2186)</f>
        <v>Solomon Islands</v>
      </c>
    </row>
    <row r="2187" spans="1:8" x14ac:dyDescent="0.25">
      <c r="A2187" s="2">
        <v>36501</v>
      </c>
      <c r="B2187">
        <v>-15.948</v>
      </c>
      <c r="C2187">
        <v>-173.92</v>
      </c>
      <c r="D2187" t="s">
        <v>14</v>
      </c>
      <c r="E2187" t="s">
        <v>239</v>
      </c>
      <c r="F2187">
        <f t="shared" si="68"/>
        <v>1999</v>
      </c>
      <c r="G2187">
        <f t="shared" si="69"/>
        <v>12</v>
      </c>
      <c r="H2187" t="str">
        <f>IF(ISNUMBER(FIND(",", E2187)), TRIM(MID(E2187, FIND(",", E2187) + 1, LEN(E2187))), E2187)</f>
        <v>Tonga</v>
      </c>
    </row>
    <row r="2188" spans="1:8" x14ac:dyDescent="0.25">
      <c r="A2188" s="2">
        <v>36501</v>
      </c>
      <c r="B2188">
        <v>57.295999999999999</v>
      </c>
      <c r="C2188">
        <v>-154.52500000000001</v>
      </c>
      <c r="D2188" t="s">
        <v>14</v>
      </c>
      <c r="E2188" t="s">
        <v>374</v>
      </c>
      <c r="F2188">
        <f t="shared" si="68"/>
        <v>1999</v>
      </c>
      <c r="G2188">
        <f t="shared" si="69"/>
        <v>12</v>
      </c>
      <c r="H2188" t="str">
        <f>IF(ISNUMBER(FIND(",", E2188)), TRIM(MID(E2188, FIND(",", E2188) + 1, LEN(E2188))), E2188)</f>
        <v>Alaska</v>
      </c>
    </row>
    <row r="2189" spans="1:8" x14ac:dyDescent="0.25">
      <c r="A2189" s="2">
        <v>36500</v>
      </c>
      <c r="B2189">
        <v>57.345999999999997</v>
      </c>
      <c r="C2189">
        <v>-154.51900000000001</v>
      </c>
      <c r="D2189" t="s">
        <v>14</v>
      </c>
      <c r="E2189" t="s">
        <v>374</v>
      </c>
      <c r="F2189">
        <f t="shared" si="68"/>
        <v>1999</v>
      </c>
      <c r="G2189">
        <f t="shared" si="69"/>
        <v>12</v>
      </c>
      <c r="H2189" t="str">
        <f>IF(ISNUMBER(FIND(",", E2189)), TRIM(MID(E2189, FIND(",", E2189) + 1, LEN(E2189))), E2189)</f>
        <v>Alaska</v>
      </c>
    </row>
    <row r="2190" spans="1:8" x14ac:dyDescent="0.25">
      <c r="A2190" s="2">
        <v>36495</v>
      </c>
      <c r="B2190">
        <v>17.663</v>
      </c>
      <c r="C2190">
        <v>-82.382000000000005</v>
      </c>
      <c r="D2190" t="s">
        <v>14</v>
      </c>
      <c r="E2190" t="s">
        <v>459</v>
      </c>
      <c r="F2190">
        <f t="shared" si="68"/>
        <v>1999</v>
      </c>
      <c r="G2190">
        <f t="shared" si="69"/>
        <v>12</v>
      </c>
      <c r="H2190" t="str">
        <f>IF(ISNUMBER(FIND(",", E2190)), TRIM(MID(E2190, FIND(",", E2190) + 1, LEN(E2190))), E2190)</f>
        <v>Cayman Islands region</v>
      </c>
    </row>
    <row r="2191" spans="1:8" x14ac:dyDescent="0.25">
      <c r="A2191" s="2">
        <v>36494</v>
      </c>
      <c r="B2191">
        <v>-18.917000000000002</v>
      </c>
      <c r="C2191">
        <v>-69.141000000000005</v>
      </c>
      <c r="D2191" t="s">
        <v>14</v>
      </c>
      <c r="E2191" t="s">
        <v>237</v>
      </c>
      <c r="F2191">
        <f t="shared" si="68"/>
        <v>1999</v>
      </c>
      <c r="G2191">
        <f t="shared" si="69"/>
        <v>11</v>
      </c>
      <c r="H2191" t="str">
        <f>IF(ISNUMBER(FIND(",", E2191)), TRIM(MID(E2191, FIND(",", E2191) + 1, LEN(E2191))), E2191)</f>
        <v>Chile</v>
      </c>
    </row>
    <row r="2192" spans="1:8" x14ac:dyDescent="0.25">
      <c r="A2192" s="2">
        <v>36493</v>
      </c>
      <c r="B2192">
        <v>-1.2869999999999999</v>
      </c>
      <c r="C2192">
        <v>88.965000000000003</v>
      </c>
      <c r="D2192" t="s">
        <v>14</v>
      </c>
      <c r="E2192" t="s">
        <v>473</v>
      </c>
      <c r="F2192">
        <f t="shared" si="68"/>
        <v>1999</v>
      </c>
      <c r="G2192">
        <f t="shared" si="69"/>
        <v>11</v>
      </c>
      <c r="H2192" t="str">
        <f>IF(ISNUMBER(FIND(",", E2192)), TRIM(MID(E2192, FIND(",", E2192) + 1, LEN(E2192))), E2192)</f>
        <v>South Indian Ocean</v>
      </c>
    </row>
    <row r="2193" spans="1:8" x14ac:dyDescent="0.25">
      <c r="A2193" s="2">
        <v>36490</v>
      </c>
      <c r="B2193">
        <v>-16.393000000000001</v>
      </c>
      <c r="C2193">
        <v>168.31399999999999</v>
      </c>
      <c r="D2193" t="s">
        <v>14</v>
      </c>
      <c r="E2193" t="s">
        <v>181</v>
      </c>
      <c r="F2193">
        <f t="shared" si="68"/>
        <v>1999</v>
      </c>
      <c r="G2193">
        <f t="shared" si="69"/>
        <v>11</v>
      </c>
      <c r="H2193" t="str">
        <f>IF(ISNUMBER(FIND(",", E2193)), TRIM(MID(E2193, FIND(",", E2193) + 1, LEN(E2193))), E2193)</f>
        <v>Vanuatu</v>
      </c>
    </row>
    <row r="2194" spans="1:8" x14ac:dyDescent="0.25">
      <c r="A2194" s="2">
        <v>36485</v>
      </c>
      <c r="B2194">
        <v>18.724</v>
      </c>
      <c r="C2194">
        <v>-107.176</v>
      </c>
      <c r="D2194" t="s">
        <v>14</v>
      </c>
      <c r="E2194" t="s">
        <v>315</v>
      </c>
      <c r="F2194">
        <f t="shared" si="68"/>
        <v>1999</v>
      </c>
      <c r="G2194">
        <f t="shared" si="69"/>
        <v>11</v>
      </c>
      <c r="H2194" t="str">
        <f>IF(ISNUMBER(FIND(",", E2194)), TRIM(MID(E2194, FIND(",", E2194) + 1, LEN(E2194))), E2194)</f>
        <v>Mexico</v>
      </c>
    </row>
    <row r="2195" spans="1:8" x14ac:dyDescent="0.25">
      <c r="A2195" s="2">
        <v>36483</v>
      </c>
      <c r="B2195">
        <v>-6.359</v>
      </c>
      <c r="C2195">
        <v>148.81299999999999</v>
      </c>
      <c r="D2195" t="s">
        <v>14</v>
      </c>
      <c r="E2195" t="s">
        <v>190</v>
      </c>
      <c r="F2195">
        <f t="shared" si="68"/>
        <v>1999</v>
      </c>
      <c r="G2195">
        <f t="shared" si="69"/>
        <v>11</v>
      </c>
      <c r="H2195" t="str">
        <f>IF(ISNUMBER(FIND(",", E2195)), TRIM(MID(E2195, FIND(",", E2195) + 1, LEN(E2195))), E2195)</f>
        <v>Papua New Guinea</v>
      </c>
    </row>
    <row r="2196" spans="1:8" x14ac:dyDescent="0.25">
      <c r="A2196" s="2">
        <v>36481</v>
      </c>
      <c r="B2196">
        <v>-6.0359999999999996</v>
      </c>
      <c r="C2196">
        <v>148.833</v>
      </c>
      <c r="D2196" t="s">
        <v>14</v>
      </c>
      <c r="E2196" t="s">
        <v>190</v>
      </c>
      <c r="F2196">
        <f t="shared" si="68"/>
        <v>1999</v>
      </c>
      <c r="G2196">
        <f t="shared" si="69"/>
        <v>11</v>
      </c>
      <c r="H2196" t="str">
        <f>IF(ISNUMBER(FIND(",", E2196)), TRIM(MID(E2196, FIND(",", E2196) + 1, LEN(E2196))), E2196)</f>
        <v>Papua New Guinea</v>
      </c>
    </row>
    <row r="2197" spans="1:8" x14ac:dyDescent="0.25">
      <c r="A2197" s="2">
        <v>36481</v>
      </c>
      <c r="B2197">
        <v>-6.0049999999999999</v>
      </c>
      <c r="C2197">
        <v>148.858</v>
      </c>
      <c r="D2197" t="s">
        <v>14</v>
      </c>
      <c r="E2197" t="s">
        <v>190</v>
      </c>
      <c r="F2197">
        <f t="shared" si="68"/>
        <v>1999</v>
      </c>
      <c r="G2197">
        <f t="shared" si="69"/>
        <v>11</v>
      </c>
      <c r="H2197" t="str">
        <f>IF(ISNUMBER(FIND(",", E2197)), TRIM(MID(E2197, FIND(",", E2197) + 1, LEN(E2197))), E2197)</f>
        <v>Papua New Guinea</v>
      </c>
    </row>
    <row r="2198" spans="1:8" x14ac:dyDescent="0.25">
      <c r="A2198" s="2">
        <v>36479</v>
      </c>
      <c r="B2198">
        <v>-1.35</v>
      </c>
      <c r="C2198">
        <v>88.869</v>
      </c>
      <c r="D2198" t="s">
        <v>14</v>
      </c>
      <c r="E2198" t="s">
        <v>473</v>
      </c>
      <c r="F2198">
        <f t="shared" si="68"/>
        <v>1999</v>
      </c>
      <c r="G2198">
        <f t="shared" si="69"/>
        <v>11</v>
      </c>
      <c r="H2198" t="str">
        <f>IF(ISNUMBER(FIND(",", E2198)), TRIM(MID(E2198, FIND(",", E2198) + 1, LEN(E2198))), E2198)</f>
        <v>South Indian Ocean</v>
      </c>
    </row>
    <row r="2199" spans="1:8" x14ac:dyDescent="0.25">
      <c r="A2199" s="2">
        <v>36476</v>
      </c>
      <c r="B2199">
        <v>40.781999999999996</v>
      </c>
      <c r="C2199">
        <v>31.213000000000001</v>
      </c>
      <c r="D2199" t="s">
        <v>14</v>
      </c>
      <c r="E2199" t="s">
        <v>494</v>
      </c>
      <c r="F2199">
        <f t="shared" si="68"/>
        <v>1999</v>
      </c>
      <c r="G2199">
        <f t="shared" si="69"/>
        <v>11</v>
      </c>
      <c r="H2199" t="str">
        <f>IF(ISNUMBER(FIND(",", E2199)), TRIM(MID(E2199, FIND(",", E2199) + 1, LEN(E2199))), E2199)</f>
        <v>western Turkey</v>
      </c>
    </row>
    <row r="2200" spans="1:8" x14ac:dyDescent="0.25">
      <c r="A2200" s="2">
        <v>36475</v>
      </c>
      <c r="B2200">
        <v>1.244</v>
      </c>
      <c r="C2200">
        <v>100.22</v>
      </c>
      <c r="D2200" t="s">
        <v>14</v>
      </c>
      <c r="E2200" t="s">
        <v>226</v>
      </c>
      <c r="F2200">
        <f t="shared" si="68"/>
        <v>1999</v>
      </c>
      <c r="G2200">
        <f t="shared" si="69"/>
        <v>11</v>
      </c>
      <c r="H2200" t="str">
        <f>IF(ISNUMBER(FIND(",", E2200)), TRIM(MID(E2200, FIND(",", E2200) + 1, LEN(E2200))), E2200)</f>
        <v>Indonesia</v>
      </c>
    </row>
    <row r="2201" spans="1:8" x14ac:dyDescent="0.25">
      <c r="A2201" s="2">
        <v>36475</v>
      </c>
      <c r="B2201">
        <v>49.396999999999998</v>
      </c>
      <c r="C2201">
        <v>155.53399999999999</v>
      </c>
      <c r="D2201" t="s">
        <v>14</v>
      </c>
      <c r="E2201" t="s">
        <v>191</v>
      </c>
      <c r="F2201">
        <f t="shared" si="68"/>
        <v>1999</v>
      </c>
      <c r="G2201">
        <f t="shared" si="69"/>
        <v>11</v>
      </c>
      <c r="H2201" t="str">
        <f>IF(ISNUMBER(FIND(",", E2201)), TRIM(MID(E2201, FIND(",", E2201) + 1, LEN(E2201))), E2201)</f>
        <v>Kuril Islands</v>
      </c>
    </row>
    <row r="2202" spans="1:8" x14ac:dyDescent="0.25">
      <c r="A2202" s="2">
        <v>36472</v>
      </c>
      <c r="B2202">
        <v>36.472000000000001</v>
      </c>
      <c r="C2202">
        <v>71.236000000000004</v>
      </c>
      <c r="D2202" t="s">
        <v>14</v>
      </c>
      <c r="E2202" t="s">
        <v>314</v>
      </c>
      <c r="F2202">
        <f t="shared" si="68"/>
        <v>1999</v>
      </c>
      <c r="G2202">
        <f t="shared" si="69"/>
        <v>11</v>
      </c>
      <c r="H2202" t="str">
        <f>IF(ISNUMBER(FIND(",", E2202)), TRIM(MID(E2202, FIND(",", E2202) + 1, LEN(E2202))), E2202)</f>
        <v>Afghanistan</v>
      </c>
    </row>
    <row r="2203" spans="1:8" x14ac:dyDescent="0.25">
      <c r="A2203" s="2">
        <v>36465</v>
      </c>
      <c r="B2203">
        <v>23.414999999999999</v>
      </c>
      <c r="C2203">
        <v>121.52800000000001</v>
      </c>
      <c r="D2203" t="s">
        <v>14</v>
      </c>
      <c r="E2203" t="s">
        <v>336</v>
      </c>
      <c r="F2203">
        <f t="shared" si="68"/>
        <v>1999</v>
      </c>
      <c r="G2203">
        <f t="shared" si="69"/>
        <v>11</v>
      </c>
      <c r="H2203" t="str">
        <f>IF(ISNUMBER(FIND(",", E2203)), TRIM(MID(E2203, FIND(",", E2203) + 1, LEN(E2203))), E2203)</f>
        <v>Taiwan</v>
      </c>
    </row>
    <row r="2204" spans="1:8" x14ac:dyDescent="0.25">
      <c r="A2204" s="2">
        <v>36456</v>
      </c>
      <c r="B2204">
        <v>-4.8079999999999998</v>
      </c>
      <c r="C2204">
        <v>153.45699999999999</v>
      </c>
      <c r="D2204" t="s">
        <v>14</v>
      </c>
      <c r="E2204" t="s">
        <v>183</v>
      </c>
      <c r="F2204">
        <f t="shared" si="68"/>
        <v>1999</v>
      </c>
      <c r="G2204">
        <f t="shared" si="69"/>
        <v>10</v>
      </c>
      <c r="H2204" t="str">
        <f>IF(ISNUMBER(FIND(",", E2204)), TRIM(MID(E2204, FIND(",", E2204) + 1, LEN(E2204))), E2204)</f>
        <v>Papua New Guinea</v>
      </c>
    </row>
    <row r="2205" spans="1:8" x14ac:dyDescent="0.25">
      <c r="A2205" s="2">
        <v>36451</v>
      </c>
      <c r="B2205">
        <v>-56.210999999999999</v>
      </c>
      <c r="C2205">
        <v>-26.687999999999999</v>
      </c>
      <c r="D2205" t="s">
        <v>14</v>
      </c>
      <c r="E2205" t="s">
        <v>260</v>
      </c>
      <c r="F2205">
        <f t="shared" si="68"/>
        <v>1999</v>
      </c>
      <c r="G2205">
        <f t="shared" si="69"/>
        <v>10</v>
      </c>
      <c r="H2205" t="str">
        <f>IF(ISNUMBER(FIND(",", E2205)), TRIM(MID(E2205, FIND(",", E2205) + 1, LEN(E2205))), E2205)</f>
        <v>South Sandwich Islands region</v>
      </c>
    </row>
    <row r="2206" spans="1:8" x14ac:dyDescent="0.25">
      <c r="A2206" s="2">
        <v>36449</v>
      </c>
      <c r="B2206">
        <v>34.515000000000001</v>
      </c>
      <c r="C2206">
        <v>-116.435</v>
      </c>
      <c r="D2206" t="s">
        <v>14</v>
      </c>
      <c r="E2206" t="s">
        <v>521</v>
      </c>
      <c r="F2206">
        <f t="shared" si="68"/>
        <v>1999</v>
      </c>
      <c r="G2206">
        <f t="shared" si="69"/>
        <v>10</v>
      </c>
      <c r="H2206" t="str">
        <f>IF(ISNUMBER(FIND(",", E2206)), TRIM(MID(E2206, FIND(",", E2206) + 1, LEN(E2206))), E2206)</f>
        <v>Southern California</v>
      </c>
    </row>
    <row r="2207" spans="1:8" x14ac:dyDescent="0.25">
      <c r="A2207" s="2">
        <v>36446</v>
      </c>
      <c r="B2207">
        <v>54.624000000000002</v>
      </c>
      <c r="C2207">
        <v>-161.226</v>
      </c>
      <c r="D2207" t="s">
        <v>14</v>
      </c>
      <c r="E2207" t="s">
        <v>285</v>
      </c>
      <c r="F2207">
        <f t="shared" si="68"/>
        <v>1999</v>
      </c>
      <c r="G2207">
        <f t="shared" si="69"/>
        <v>10</v>
      </c>
      <c r="H2207" t="str">
        <f>IF(ISNUMBER(FIND(",", E2207)), TRIM(MID(E2207, FIND(",", E2207) + 1, LEN(E2207))), E2207)</f>
        <v>Alaska Peninsula</v>
      </c>
    </row>
    <row r="2208" spans="1:8" x14ac:dyDescent="0.25">
      <c r="A2208" s="2">
        <v>36433</v>
      </c>
      <c r="B2208">
        <v>16.045000000000002</v>
      </c>
      <c r="C2208">
        <v>-96.869</v>
      </c>
      <c r="D2208" t="s">
        <v>14</v>
      </c>
      <c r="E2208" t="s">
        <v>251</v>
      </c>
      <c r="F2208">
        <f t="shared" si="68"/>
        <v>1999</v>
      </c>
      <c r="G2208">
        <f t="shared" si="69"/>
        <v>9</v>
      </c>
      <c r="H2208" t="str">
        <f>IF(ISNUMBER(FIND(",", E2208)), TRIM(MID(E2208, FIND(",", E2208) + 1, LEN(E2208))), E2208)</f>
        <v>Mexico</v>
      </c>
    </row>
    <row r="2209" spans="1:8" x14ac:dyDescent="0.25">
      <c r="A2209" s="2">
        <v>36432</v>
      </c>
      <c r="B2209">
        <v>-30.738</v>
      </c>
      <c r="C2209">
        <v>-71.992999999999995</v>
      </c>
      <c r="D2209" t="s">
        <v>5</v>
      </c>
      <c r="E2209" t="s">
        <v>442</v>
      </c>
      <c r="F2209">
        <f t="shared" si="68"/>
        <v>1999</v>
      </c>
      <c r="G2209">
        <f t="shared" si="69"/>
        <v>9</v>
      </c>
      <c r="H2209" t="str">
        <f>IF(ISNUMBER(FIND(",", E2209)), TRIM(MID(E2209, FIND(",", E2209) + 1, LEN(E2209))), E2209)</f>
        <v>Chile</v>
      </c>
    </row>
    <row r="2210" spans="1:8" x14ac:dyDescent="0.25">
      <c r="A2210" s="2">
        <v>36431</v>
      </c>
      <c r="B2210">
        <v>54.613999999999997</v>
      </c>
      <c r="C2210">
        <v>168.24199999999999</v>
      </c>
      <c r="D2210" t="s">
        <v>14</v>
      </c>
      <c r="E2210" t="s">
        <v>443</v>
      </c>
      <c r="F2210">
        <f t="shared" si="68"/>
        <v>1999</v>
      </c>
      <c r="G2210">
        <f t="shared" si="69"/>
        <v>9</v>
      </c>
      <c r="H2210" t="str">
        <f>IF(ISNUMBER(FIND(",", E2210)), TRIM(MID(E2210, FIND(",", E2210) + 1, LEN(E2210))), E2210)</f>
        <v>Russia region</v>
      </c>
    </row>
    <row r="2211" spans="1:8" x14ac:dyDescent="0.25">
      <c r="A2211" s="2">
        <v>36428</v>
      </c>
      <c r="B2211">
        <v>23.776</v>
      </c>
      <c r="C2211">
        <v>121.15</v>
      </c>
      <c r="D2211" t="s">
        <v>14</v>
      </c>
      <c r="E2211" t="s">
        <v>336</v>
      </c>
      <c r="F2211">
        <f t="shared" si="68"/>
        <v>1999</v>
      </c>
      <c r="G2211">
        <f t="shared" si="69"/>
        <v>9</v>
      </c>
      <c r="H2211" t="str">
        <f>IF(ISNUMBER(FIND(",", E2211)), TRIM(MID(E2211, FIND(",", E2211) + 1, LEN(E2211))), E2211)</f>
        <v>Taiwan</v>
      </c>
    </row>
    <row r="2212" spans="1:8" x14ac:dyDescent="0.25">
      <c r="A2212" s="2">
        <v>36425</v>
      </c>
      <c r="B2212">
        <v>23.757999999999999</v>
      </c>
      <c r="C2212">
        <v>121.158</v>
      </c>
      <c r="D2212" t="s">
        <v>14</v>
      </c>
      <c r="E2212" t="s">
        <v>336</v>
      </c>
      <c r="F2212">
        <f t="shared" si="68"/>
        <v>1999</v>
      </c>
      <c r="G2212">
        <f t="shared" si="69"/>
        <v>9</v>
      </c>
      <c r="H2212" t="str">
        <f>IF(ISNUMBER(FIND(",", E2212)), TRIM(MID(E2212, FIND(",", E2212) + 1, LEN(E2212))), E2212)</f>
        <v>Taiwan</v>
      </c>
    </row>
    <row r="2213" spans="1:8" x14ac:dyDescent="0.25">
      <c r="A2213" s="2">
        <v>36423</v>
      </c>
      <c r="B2213">
        <v>23.422999999999998</v>
      </c>
      <c r="C2213">
        <v>120.875</v>
      </c>
      <c r="D2213" t="s">
        <v>14</v>
      </c>
      <c r="E2213" t="s">
        <v>336</v>
      </c>
      <c r="F2213">
        <f t="shared" si="68"/>
        <v>1999</v>
      </c>
      <c r="G2213">
        <f t="shared" si="69"/>
        <v>9</v>
      </c>
      <c r="H2213" t="str">
        <f>IF(ISNUMBER(FIND(",", E2213)), TRIM(MID(E2213, FIND(",", E2213) + 1, LEN(E2213))), E2213)</f>
        <v>Taiwan</v>
      </c>
    </row>
    <row r="2214" spans="1:8" x14ac:dyDescent="0.25">
      <c r="A2214" s="2">
        <v>36423</v>
      </c>
      <c r="B2214">
        <v>23.821999999999999</v>
      </c>
      <c r="C2214">
        <v>121.226</v>
      </c>
      <c r="D2214" t="s">
        <v>13</v>
      </c>
      <c r="E2214" t="s">
        <v>336</v>
      </c>
      <c r="F2214">
        <f t="shared" si="68"/>
        <v>1999</v>
      </c>
      <c r="G2214">
        <f t="shared" si="69"/>
        <v>9</v>
      </c>
      <c r="H2214" t="str">
        <f>IF(ISNUMBER(FIND(",", E2214)), TRIM(MID(E2214, FIND(",", E2214) + 1, LEN(E2214))), E2214)</f>
        <v>Taiwan</v>
      </c>
    </row>
    <row r="2215" spans="1:8" x14ac:dyDescent="0.25">
      <c r="A2215" s="2">
        <v>36423</v>
      </c>
      <c r="B2215">
        <v>23.806000000000001</v>
      </c>
      <c r="C2215">
        <v>121.15</v>
      </c>
      <c r="D2215" t="s">
        <v>13</v>
      </c>
      <c r="E2215" t="s">
        <v>336</v>
      </c>
      <c r="F2215">
        <f t="shared" si="68"/>
        <v>1999</v>
      </c>
      <c r="G2215">
        <f t="shared" si="69"/>
        <v>9</v>
      </c>
      <c r="H2215" t="str">
        <f>IF(ISNUMBER(FIND(",", E2215)), TRIM(MID(E2215, FIND(",", E2215) + 1, LEN(E2215))), E2215)</f>
        <v>Taiwan</v>
      </c>
    </row>
    <row r="2216" spans="1:8" x14ac:dyDescent="0.25">
      <c r="A2216" s="2">
        <v>36423</v>
      </c>
      <c r="B2216">
        <v>23.641999999999999</v>
      </c>
      <c r="C2216">
        <v>121.244</v>
      </c>
      <c r="D2216" t="s">
        <v>13</v>
      </c>
      <c r="E2216" t="s">
        <v>336</v>
      </c>
      <c r="F2216">
        <f t="shared" si="68"/>
        <v>1999</v>
      </c>
      <c r="G2216">
        <f t="shared" si="69"/>
        <v>9</v>
      </c>
      <c r="H2216" t="str">
        <f>IF(ISNUMBER(FIND(",", E2216)), TRIM(MID(E2216, FIND(",", E2216) + 1, LEN(E2216))), E2216)</f>
        <v>Taiwan</v>
      </c>
    </row>
    <row r="2217" spans="1:8" x14ac:dyDescent="0.25">
      <c r="A2217" s="2">
        <v>36423</v>
      </c>
      <c r="B2217">
        <v>23.853999999999999</v>
      </c>
      <c r="C2217">
        <v>121.205</v>
      </c>
      <c r="D2217" t="s">
        <v>13</v>
      </c>
      <c r="E2217" t="s">
        <v>336</v>
      </c>
      <c r="F2217">
        <f t="shared" si="68"/>
        <v>1999</v>
      </c>
      <c r="G2217">
        <f t="shared" si="69"/>
        <v>9</v>
      </c>
      <c r="H2217" t="str">
        <f>IF(ISNUMBER(FIND(",", E2217)), TRIM(MID(E2217, FIND(",", E2217) + 1, LEN(E2217))), E2217)</f>
        <v>Taiwan</v>
      </c>
    </row>
    <row r="2218" spans="1:8" x14ac:dyDescent="0.25">
      <c r="A2218" s="2">
        <v>36423</v>
      </c>
      <c r="B2218">
        <v>23.789000000000001</v>
      </c>
      <c r="C2218">
        <v>120.95399999999999</v>
      </c>
      <c r="D2218" t="s">
        <v>14</v>
      </c>
      <c r="E2218" t="s">
        <v>336</v>
      </c>
      <c r="F2218">
        <f t="shared" si="68"/>
        <v>1999</v>
      </c>
      <c r="G2218">
        <f t="shared" si="69"/>
        <v>9</v>
      </c>
      <c r="H2218" t="str">
        <f>IF(ISNUMBER(FIND(",", E2218)), TRIM(MID(E2218, FIND(",", E2218) + 1, LEN(E2218))), E2218)</f>
        <v>Taiwan</v>
      </c>
    </row>
    <row r="2219" spans="1:8" x14ac:dyDescent="0.25">
      <c r="A2219" s="2">
        <v>36420</v>
      </c>
      <c r="B2219">
        <v>-13.775</v>
      </c>
      <c r="C2219">
        <v>167.31800000000001</v>
      </c>
      <c r="D2219" t="s">
        <v>14</v>
      </c>
      <c r="E2219" t="s">
        <v>181</v>
      </c>
      <c r="F2219">
        <f t="shared" si="68"/>
        <v>1999</v>
      </c>
      <c r="G2219">
        <f t="shared" si="69"/>
        <v>9</v>
      </c>
      <c r="H2219" t="str">
        <f>IF(ISNUMBER(FIND(",", E2219)), TRIM(MID(E2219, FIND(",", E2219) + 1, LEN(E2219))), E2219)</f>
        <v>Vanuatu</v>
      </c>
    </row>
    <row r="2220" spans="1:8" x14ac:dyDescent="0.25">
      <c r="A2220" s="2">
        <v>36418</v>
      </c>
      <c r="B2220">
        <v>-20.815000000000001</v>
      </c>
      <c r="C2220">
        <v>-67.225999999999999</v>
      </c>
      <c r="D2220" t="s">
        <v>14</v>
      </c>
      <c r="E2220" t="s">
        <v>472</v>
      </c>
      <c r="F2220">
        <f t="shared" si="68"/>
        <v>1999</v>
      </c>
      <c r="G2220">
        <f t="shared" si="69"/>
        <v>9</v>
      </c>
      <c r="H2220" t="str">
        <f>IF(ISNUMBER(FIND(",", E2220)), TRIM(MID(E2220, FIND(",", E2220) + 1, LEN(E2220))), E2220)</f>
        <v>Bolivia</v>
      </c>
    </row>
    <row r="2221" spans="1:8" x14ac:dyDescent="0.25">
      <c r="A2221" s="2">
        <v>36400</v>
      </c>
      <c r="B2221">
        <v>-1.226</v>
      </c>
      <c r="C2221">
        <v>-77.468999999999994</v>
      </c>
      <c r="D2221" t="s">
        <v>14</v>
      </c>
      <c r="E2221" t="s">
        <v>316</v>
      </c>
      <c r="F2221">
        <f t="shared" si="68"/>
        <v>1999</v>
      </c>
      <c r="G2221">
        <f t="shared" si="69"/>
        <v>8</v>
      </c>
      <c r="H2221" t="str">
        <f>IF(ISNUMBER(FIND(",", E2221)), TRIM(MID(E2221, FIND(",", E2221) + 1, LEN(E2221))), E2221)</f>
        <v>Ecuador</v>
      </c>
    </row>
    <row r="2222" spans="1:8" x14ac:dyDescent="0.25">
      <c r="A2222" s="2">
        <v>36398</v>
      </c>
      <c r="B2222">
        <v>-3.4510000000000001</v>
      </c>
      <c r="C2222">
        <v>145.732</v>
      </c>
      <c r="D2222" t="s">
        <v>14</v>
      </c>
      <c r="E2222" t="s">
        <v>216</v>
      </c>
      <c r="F2222">
        <f t="shared" si="68"/>
        <v>1999</v>
      </c>
      <c r="G2222">
        <f t="shared" si="69"/>
        <v>8</v>
      </c>
      <c r="H2222" t="str">
        <f>IF(ISNUMBER(FIND(",", E2222)), TRIM(MID(E2222, FIND(",", E2222) + 1, LEN(E2222))), E2222)</f>
        <v>Papua New Guinea</v>
      </c>
    </row>
    <row r="2223" spans="1:8" x14ac:dyDescent="0.25">
      <c r="A2223" s="2">
        <v>36394</v>
      </c>
      <c r="B2223">
        <v>-16.091999999999999</v>
      </c>
      <c r="C2223">
        <v>168.15299999999999</v>
      </c>
      <c r="D2223" t="s">
        <v>14</v>
      </c>
      <c r="E2223" t="s">
        <v>181</v>
      </c>
      <c r="F2223">
        <f t="shared" si="68"/>
        <v>1999</v>
      </c>
      <c r="G2223">
        <f t="shared" si="69"/>
        <v>8</v>
      </c>
      <c r="H2223" t="str">
        <f>IF(ISNUMBER(FIND(",", E2223)), TRIM(MID(E2223, FIND(",", E2223) + 1, LEN(E2223))), E2223)</f>
        <v>Vanuatu</v>
      </c>
    </row>
    <row r="2224" spans="1:8" x14ac:dyDescent="0.25">
      <c r="A2224" s="2">
        <v>36394</v>
      </c>
      <c r="B2224">
        <v>-40.582999999999998</v>
      </c>
      <c r="C2224">
        <v>-75.006</v>
      </c>
      <c r="D2224" t="s">
        <v>14</v>
      </c>
      <c r="E2224" t="s">
        <v>522</v>
      </c>
      <c r="F2224">
        <f t="shared" si="68"/>
        <v>1999</v>
      </c>
      <c r="G2224">
        <f t="shared" si="69"/>
        <v>8</v>
      </c>
      <c r="H2224" t="str">
        <f>IF(ISNUMBER(FIND(",", E2224)), TRIM(MID(E2224, FIND(",", E2224) + 1, LEN(E2224))), E2224)</f>
        <v>Chile</v>
      </c>
    </row>
    <row r="2225" spans="1:8" x14ac:dyDescent="0.25">
      <c r="A2225" s="2">
        <v>36393</v>
      </c>
      <c r="B2225">
        <v>-58.225000000000001</v>
      </c>
      <c r="C2225">
        <v>-13.144</v>
      </c>
      <c r="D2225" t="s">
        <v>14</v>
      </c>
      <c r="E2225" t="s">
        <v>242</v>
      </c>
      <c r="F2225">
        <f t="shared" si="68"/>
        <v>1999</v>
      </c>
      <c r="G2225">
        <f t="shared" si="69"/>
        <v>8</v>
      </c>
      <c r="H2225" t="str">
        <f>IF(ISNUMBER(FIND(",", E2225)), TRIM(MID(E2225, FIND(",", E2225) + 1, LEN(E2225))), E2225)</f>
        <v>east of the South Sandwich Islands</v>
      </c>
    </row>
    <row r="2226" spans="1:8" x14ac:dyDescent="0.25">
      <c r="A2226" s="2">
        <v>36392</v>
      </c>
      <c r="B2226">
        <v>9.3010000000000002</v>
      </c>
      <c r="C2226">
        <v>-84.046999999999997</v>
      </c>
      <c r="D2226" t="s">
        <v>14</v>
      </c>
      <c r="E2226" t="s">
        <v>202</v>
      </c>
      <c r="F2226">
        <f t="shared" si="68"/>
        <v>1999</v>
      </c>
      <c r="G2226">
        <f t="shared" si="69"/>
        <v>8</v>
      </c>
      <c r="H2226" t="str">
        <f>IF(ISNUMBER(FIND(",", E2226)), TRIM(MID(E2226, FIND(",", E2226) + 1, LEN(E2226))), E2226)</f>
        <v>Costa Rica</v>
      </c>
    </row>
    <row r="2227" spans="1:8" x14ac:dyDescent="0.25">
      <c r="A2227" s="2">
        <v>36389</v>
      </c>
      <c r="B2227">
        <v>40.747</v>
      </c>
      <c r="C2227">
        <v>29.937999999999999</v>
      </c>
      <c r="D2227" t="s">
        <v>14</v>
      </c>
      <c r="E2227" t="s">
        <v>494</v>
      </c>
      <c r="F2227">
        <f t="shared" si="68"/>
        <v>1999</v>
      </c>
      <c r="G2227">
        <f t="shared" si="69"/>
        <v>8</v>
      </c>
      <c r="H2227" t="str">
        <f>IF(ISNUMBER(FIND(",", E2227)), TRIM(MID(E2227, FIND(",", E2227) + 1, LEN(E2227))), E2227)</f>
        <v>western Turkey</v>
      </c>
    </row>
    <row r="2228" spans="1:8" x14ac:dyDescent="0.25">
      <c r="A2228" s="2">
        <v>36386</v>
      </c>
      <c r="B2228">
        <v>-5.9130000000000003</v>
      </c>
      <c r="C2228">
        <v>104.622</v>
      </c>
      <c r="D2228" t="s">
        <v>14</v>
      </c>
      <c r="E2228" t="s">
        <v>308</v>
      </c>
      <c r="F2228">
        <f t="shared" si="68"/>
        <v>1999</v>
      </c>
      <c r="G2228">
        <f t="shared" si="69"/>
        <v>8</v>
      </c>
      <c r="H2228" t="str">
        <f>IF(ISNUMBER(FIND(",", E2228)), TRIM(MID(E2228, FIND(",", E2228) + 1, LEN(E2228))), E2228)</f>
        <v>Indonesia</v>
      </c>
    </row>
    <row r="2229" spans="1:8" x14ac:dyDescent="0.25">
      <c r="A2229" s="2">
        <v>36384</v>
      </c>
      <c r="B2229">
        <v>-1.7250000000000001</v>
      </c>
      <c r="C2229">
        <v>122.504</v>
      </c>
      <c r="D2229" t="s">
        <v>14</v>
      </c>
      <c r="E2229" t="s">
        <v>182</v>
      </c>
      <c r="F2229">
        <f t="shared" si="68"/>
        <v>1999</v>
      </c>
      <c r="G2229">
        <f t="shared" si="69"/>
        <v>8</v>
      </c>
      <c r="H2229" t="str">
        <f>IF(ISNUMBER(FIND(",", E2229)), TRIM(MID(E2229, FIND(",", E2229) + 1, LEN(E2229))), E2229)</f>
        <v>Indonesia</v>
      </c>
    </row>
    <row r="2230" spans="1:8" x14ac:dyDescent="0.25">
      <c r="A2230" s="2">
        <v>36373</v>
      </c>
      <c r="B2230">
        <v>-30.391999999999999</v>
      </c>
      <c r="C2230">
        <v>-177.67699999999999</v>
      </c>
      <c r="D2230" t="s">
        <v>14</v>
      </c>
      <c r="E2230" t="s">
        <v>288</v>
      </c>
      <c r="F2230">
        <f t="shared" si="68"/>
        <v>1999</v>
      </c>
      <c r="G2230">
        <f t="shared" si="69"/>
        <v>8</v>
      </c>
      <c r="H2230" t="str">
        <f>IF(ISNUMBER(FIND(",", E2230)), TRIM(MID(E2230, FIND(",", E2230) + 1, LEN(E2230))), E2230)</f>
        <v>New Zealand</v>
      </c>
    </row>
    <row r="2231" spans="1:8" x14ac:dyDescent="0.25">
      <c r="A2231" s="2">
        <v>36369</v>
      </c>
      <c r="B2231">
        <v>-30.321999999999999</v>
      </c>
      <c r="C2231">
        <v>-177.84899999999999</v>
      </c>
      <c r="D2231" t="s">
        <v>14</v>
      </c>
      <c r="E2231" t="s">
        <v>288</v>
      </c>
      <c r="F2231">
        <f t="shared" si="68"/>
        <v>1999</v>
      </c>
      <c r="G2231">
        <f t="shared" si="69"/>
        <v>7</v>
      </c>
      <c r="H2231" t="str">
        <f>IF(ISNUMBER(FIND(",", E2231)), TRIM(MID(E2231, FIND(",", E2231) + 1, LEN(E2231))), E2231)</f>
        <v>New Zealand</v>
      </c>
    </row>
    <row r="2232" spans="1:8" x14ac:dyDescent="0.25">
      <c r="A2232" s="2">
        <v>36367</v>
      </c>
      <c r="B2232">
        <v>-5.1559999999999997</v>
      </c>
      <c r="C2232">
        <v>152.11799999999999</v>
      </c>
      <c r="D2232" t="s">
        <v>14</v>
      </c>
      <c r="E2232" t="s">
        <v>190</v>
      </c>
      <c r="F2232">
        <f t="shared" si="68"/>
        <v>1999</v>
      </c>
      <c r="G2232">
        <f t="shared" si="69"/>
        <v>7</v>
      </c>
      <c r="H2232" t="str">
        <f>IF(ISNUMBER(FIND(",", E2232)), TRIM(MID(E2232, FIND(",", E2232) + 1, LEN(E2232))), E2232)</f>
        <v>Papua New Guinea</v>
      </c>
    </row>
    <row r="2233" spans="1:8" x14ac:dyDescent="0.25">
      <c r="A2233" s="2">
        <v>36360</v>
      </c>
      <c r="B2233">
        <v>-28.681000000000001</v>
      </c>
      <c r="C2233">
        <v>-177.43799999999999</v>
      </c>
      <c r="D2233" t="s">
        <v>14</v>
      </c>
      <c r="E2233" t="s">
        <v>240</v>
      </c>
      <c r="F2233">
        <f t="shared" si="68"/>
        <v>1999</v>
      </c>
      <c r="G2233">
        <f t="shared" si="69"/>
        <v>7</v>
      </c>
      <c r="H2233" t="str">
        <f>IF(ISNUMBER(FIND(",", E2233)), TRIM(MID(E2233, FIND(",", E2233) + 1, LEN(E2233))), E2233)</f>
        <v>Kermadec Islands region</v>
      </c>
    </row>
    <row r="2234" spans="1:8" x14ac:dyDescent="0.25">
      <c r="A2234" s="2">
        <v>36352</v>
      </c>
      <c r="B2234">
        <v>15.798</v>
      </c>
      <c r="C2234">
        <v>-88.286000000000001</v>
      </c>
      <c r="D2234" t="s">
        <v>14</v>
      </c>
      <c r="E2234" t="s">
        <v>196</v>
      </c>
      <c r="F2234">
        <f t="shared" si="68"/>
        <v>1999</v>
      </c>
      <c r="G2234">
        <f t="shared" si="69"/>
        <v>7</v>
      </c>
      <c r="H2234" t="str">
        <f>IF(ISNUMBER(FIND(",", E2234)), TRIM(MID(E2234, FIND(",", E2234) + 1, LEN(E2234))), E2234)</f>
        <v>offshore Guatemala</v>
      </c>
    </row>
    <row r="2235" spans="1:8" x14ac:dyDescent="0.25">
      <c r="A2235" s="2">
        <v>36350</v>
      </c>
      <c r="B2235">
        <v>-6.5279999999999996</v>
      </c>
      <c r="C2235">
        <v>155.02199999999999</v>
      </c>
      <c r="D2235" t="s">
        <v>14</v>
      </c>
      <c r="E2235" t="s">
        <v>290</v>
      </c>
      <c r="F2235">
        <f t="shared" si="68"/>
        <v>1999</v>
      </c>
      <c r="G2235">
        <f t="shared" si="69"/>
        <v>7</v>
      </c>
      <c r="H2235" t="str">
        <f>IF(ISNUMBER(FIND(",", E2235)), TRIM(MID(E2235, FIND(",", E2235) + 1, LEN(E2235))), E2235)</f>
        <v>Papua New Guinea</v>
      </c>
    </row>
    <row r="2236" spans="1:8" x14ac:dyDescent="0.25">
      <c r="A2236" s="2">
        <v>36332</v>
      </c>
      <c r="B2236">
        <v>18.253</v>
      </c>
      <c r="C2236">
        <v>-101.54900000000001</v>
      </c>
      <c r="D2236" t="s">
        <v>14</v>
      </c>
      <c r="E2236" t="s">
        <v>192</v>
      </c>
      <c r="F2236">
        <f t="shared" si="68"/>
        <v>1999</v>
      </c>
      <c r="G2236">
        <f t="shared" si="69"/>
        <v>6</v>
      </c>
      <c r="H2236" t="str">
        <f>IF(ISNUMBER(FIND(",", E2236)), TRIM(MID(E2236, FIND(",", E2236) + 1, LEN(E2236))), E2236)</f>
        <v>Mexico</v>
      </c>
    </row>
    <row r="2237" spans="1:8" x14ac:dyDescent="0.25">
      <c r="A2237" s="2">
        <v>36329</v>
      </c>
      <c r="B2237">
        <v>5.4720000000000004</v>
      </c>
      <c r="C2237">
        <v>126.587</v>
      </c>
      <c r="D2237" t="s">
        <v>14</v>
      </c>
      <c r="E2237" t="s">
        <v>200</v>
      </c>
      <c r="F2237">
        <f t="shared" si="68"/>
        <v>1999</v>
      </c>
      <c r="G2237">
        <f t="shared" si="69"/>
        <v>6</v>
      </c>
      <c r="H2237" t="str">
        <f>IF(ISNUMBER(FIND(",", E2237)), TRIM(MID(E2237, FIND(",", E2237) + 1, LEN(E2237))), E2237)</f>
        <v>Philippines</v>
      </c>
    </row>
    <row r="2238" spans="1:8" x14ac:dyDescent="0.25">
      <c r="A2238" s="2">
        <v>36326</v>
      </c>
      <c r="B2238">
        <v>18.361999999999998</v>
      </c>
      <c r="C2238">
        <v>-97.45</v>
      </c>
      <c r="D2238" t="s">
        <v>14</v>
      </c>
      <c r="E2238" t="s">
        <v>523</v>
      </c>
      <c r="F2238">
        <f t="shared" si="68"/>
        <v>1999</v>
      </c>
      <c r="G2238">
        <f t="shared" si="69"/>
        <v>6</v>
      </c>
      <c r="H2238" t="str">
        <f>IF(ISNUMBER(FIND(",", E2238)), TRIM(MID(E2238, FIND(",", E2238) + 1, LEN(E2238))), E2238)</f>
        <v>Mexico</v>
      </c>
    </row>
    <row r="2239" spans="1:8" x14ac:dyDescent="0.25">
      <c r="A2239" s="2">
        <v>36317</v>
      </c>
      <c r="B2239">
        <v>13.909000000000001</v>
      </c>
      <c r="C2239">
        <v>-90.745999999999995</v>
      </c>
      <c r="D2239" t="s">
        <v>14</v>
      </c>
      <c r="E2239" t="s">
        <v>196</v>
      </c>
      <c r="F2239">
        <f t="shared" si="68"/>
        <v>1999</v>
      </c>
      <c r="G2239">
        <f t="shared" si="69"/>
        <v>6</v>
      </c>
      <c r="H2239" t="str">
        <f>IF(ISNUMBER(FIND(",", E2239)), TRIM(MID(E2239, FIND(",", E2239) + 1, LEN(E2239))), E2239)</f>
        <v>offshore Guatemala</v>
      </c>
    </row>
    <row r="2240" spans="1:8" x14ac:dyDescent="0.25">
      <c r="A2240" s="2">
        <v>36297</v>
      </c>
      <c r="B2240">
        <v>-5.12</v>
      </c>
      <c r="C2240">
        <v>152.95400000000001</v>
      </c>
      <c r="D2240" t="s">
        <v>14</v>
      </c>
      <c r="E2240" t="s">
        <v>190</v>
      </c>
      <c r="F2240">
        <f t="shared" si="68"/>
        <v>1999</v>
      </c>
      <c r="G2240">
        <f t="shared" si="69"/>
        <v>5</v>
      </c>
      <c r="H2240" t="str">
        <f>IF(ISNUMBER(FIND(",", E2240)), TRIM(MID(E2240, FIND(",", E2240) + 1, LEN(E2240))), E2240)</f>
        <v>Papua New Guinea</v>
      </c>
    </row>
    <row r="2241" spans="1:8" x14ac:dyDescent="0.25">
      <c r="A2241" s="2">
        <v>36296</v>
      </c>
      <c r="B2241">
        <v>-2.5950000000000002</v>
      </c>
      <c r="C2241">
        <v>138.245</v>
      </c>
      <c r="D2241" t="s">
        <v>14</v>
      </c>
      <c r="E2241" t="s">
        <v>210</v>
      </c>
      <c r="F2241">
        <f t="shared" si="68"/>
        <v>1999</v>
      </c>
      <c r="G2241">
        <f t="shared" si="69"/>
        <v>5</v>
      </c>
      <c r="H2241" t="str">
        <f>IF(ISNUMBER(FIND(",", E2241)), TRIM(MID(E2241, FIND(",", E2241) + 1, LEN(E2241))), E2241)</f>
        <v>Indonesia</v>
      </c>
    </row>
    <row r="2242" spans="1:8" x14ac:dyDescent="0.25">
      <c r="A2242" s="2">
        <v>36296</v>
      </c>
      <c r="B2242">
        <v>-4.7089999999999996</v>
      </c>
      <c r="C2242">
        <v>152.61199999999999</v>
      </c>
      <c r="D2242" t="s">
        <v>14</v>
      </c>
      <c r="E2242" t="s">
        <v>190</v>
      </c>
      <c r="F2242">
        <f t="shared" ref="F2242:F2305" si="70">YEAR(A2242)</f>
        <v>1999</v>
      </c>
      <c r="G2242">
        <f t="shared" si="69"/>
        <v>5</v>
      </c>
      <c r="H2242" t="str">
        <f>IF(ISNUMBER(FIND(",", E2242)), TRIM(MID(E2242, FIND(",", E2242) + 1, LEN(E2242))), E2242)</f>
        <v>Papua New Guinea</v>
      </c>
    </row>
    <row r="2243" spans="1:8" x14ac:dyDescent="0.25">
      <c r="A2243" s="2">
        <v>36292</v>
      </c>
      <c r="B2243">
        <v>43.112000000000002</v>
      </c>
      <c r="C2243">
        <v>143.791</v>
      </c>
      <c r="D2243" t="s">
        <v>14</v>
      </c>
      <c r="E2243" t="s">
        <v>265</v>
      </c>
      <c r="F2243">
        <f t="shared" si="70"/>
        <v>1999</v>
      </c>
      <c r="G2243">
        <f t="shared" ref="G2243:G2306" si="71">MONTH(A2243)</f>
        <v>5</v>
      </c>
      <c r="H2243" t="str">
        <f>IF(ISNUMBER(FIND(",", E2243)), TRIM(MID(E2243, FIND(",", E2243) + 1, LEN(E2243))), E2243)</f>
        <v>Japan region</v>
      </c>
    </row>
    <row r="2244" spans="1:8" x14ac:dyDescent="0.25">
      <c r="A2244" s="2">
        <v>36290</v>
      </c>
      <c r="B2244">
        <v>-5.1580000000000004</v>
      </c>
      <c r="C2244">
        <v>150.97499999999999</v>
      </c>
      <c r="D2244" t="s">
        <v>14</v>
      </c>
      <c r="E2244" t="s">
        <v>190</v>
      </c>
      <c r="F2244">
        <f t="shared" si="70"/>
        <v>1999</v>
      </c>
      <c r="G2244">
        <f t="shared" si="71"/>
        <v>5</v>
      </c>
      <c r="H2244" t="str">
        <f>IF(ISNUMBER(FIND(",", E2244)), TRIM(MID(E2244, FIND(",", E2244) + 1, LEN(E2244))), E2244)</f>
        <v>Papua New Guinea</v>
      </c>
    </row>
    <row r="2245" spans="1:8" x14ac:dyDescent="0.25">
      <c r="A2245" s="2">
        <v>36287</v>
      </c>
      <c r="B2245">
        <v>56.469000000000001</v>
      </c>
      <c r="C2245">
        <v>-152.87</v>
      </c>
      <c r="D2245" t="s">
        <v>14</v>
      </c>
      <c r="E2245" t="s">
        <v>374</v>
      </c>
      <c r="F2245">
        <f t="shared" si="70"/>
        <v>1999</v>
      </c>
      <c r="G2245">
        <f t="shared" si="71"/>
        <v>5</v>
      </c>
      <c r="H2245" t="str">
        <f>IF(ISNUMBER(FIND(",", E2245)), TRIM(MID(E2245, FIND(",", E2245) + 1, LEN(E2245))), E2245)</f>
        <v>Alaska</v>
      </c>
    </row>
    <row r="2246" spans="1:8" x14ac:dyDescent="0.25">
      <c r="A2246" s="2">
        <v>36286</v>
      </c>
      <c r="B2246">
        <v>29.46</v>
      </c>
      <c r="C2246">
        <v>51.884</v>
      </c>
      <c r="D2246" t="s">
        <v>14</v>
      </c>
      <c r="E2246" t="s">
        <v>390</v>
      </c>
      <c r="F2246">
        <f t="shared" si="70"/>
        <v>1999</v>
      </c>
      <c r="G2246">
        <f t="shared" si="71"/>
        <v>5</v>
      </c>
      <c r="H2246" t="str">
        <f>IF(ISNUMBER(FIND(",", E2246)), TRIM(MID(E2246, FIND(",", E2246) + 1, LEN(E2246))), E2246)</f>
        <v>southern Iran</v>
      </c>
    </row>
    <row r="2247" spans="1:8" x14ac:dyDescent="0.25">
      <c r="A2247" s="2">
        <v>36285</v>
      </c>
      <c r="B2247">
        <v>14.339</v>
      </c>
      <c r="C2247">
        <v>-94.738</v>
      </c>
      <c r="D2247" t="s">
        <v>14</v>
      </c>
      <c r="E2247" t="s">
        <v>510</v>
      </c>
      <c r="F2247">
        <f t="shared" si="70"/>
        <v>1999</v>
      </c>
      <c r="G2247">
        <f t="shared" si="71"/>
        <v>5</v>
      </c>
      <c r="H2247" t="str">
        <f>IF(ISNUMBER(FIND(",", E2247)), TRIM(MID(E2247, FIND(",", E2247) + 1, LEN(E2247))), E2247)</f>
        <v>Mexico</v>
      </c>
    </row>
    <row r="2248" spans="1:8" x14ac:dyDescent="0.25">
      <c r="A2248" s="2">
        <v>36270</v>
      </c>
      <c r="B2248">
        <v>-32.070999999999998</v>
      </c>
      <c r="C2248">
        <v>-178.84200000000001</v>
      </c>
      <c r="D2248" t="s">
        <v>14</v>
      </c>
      <c r="E2248" t="s">
        <v>262</v>
      </c>
      <c r="F2248">
        <f t="shared" si="70"/>
        <v>1999</v>
      </c>
      <c r="G2248">
        <f t="shared" si="71"/>
        <v>4</v>
      </c>
      <c r="H2248" t="str">
        <f>IF(ISNUMBER(FIND(",", E2248)), TRIM(MID(E2248, FIND(",", E2248) + 1, LEN(E2248))), E2248)</f>
        <v>south of the Kermadec Islands</v>
      </c>
    </row>
    <row r="2249" spans="1:8" x14ac:dyDescent="0.25">
      <c r="A2249" s="2">
        <v>36263</v>
      </c>
      <c r="B2249">
        <v>-21.513000000000002</v>
      </c>
      <c r="C2249">
        <v>-176.321</v>
      </c>
      <c r="D2249" t="s">
        <v>14</v>
      </c>
      <c r="E2249" t="s">
        <v>53</v>
      </c>
      <c r="F2249">
        <f t="shared" si="70"/>
        <v>1999</v>
      </c>
      <c r="G2249">
        <f t="shared" si="71"/>
        <v>4</v>
      </c>
      <c r="H2249" t="str">
        <f>IF(ISNUMBER(FIND(",", E2249)), TRIM(MID(E2249, FIND(",", E2249) + 1, LEN(E2249))), E2249)</f>
        <v>Fiji region</v>
      </c>
    </row>
    <row r="2250" spans="1:8" x14ac:dyDescent="0.25">
      <c r="A2250" s="2">
        <v>36259</v>
      </c>
      <c r="B2250">
        <v>-26.366</v>
      </c>
      <c r="C2250">
        <v>178.35300000000001</v>
      </c>
      <c r="D2250" t="s">
        <v>14</v>
      </c>
      <c r="E2250" t="s">
        <v>256</v>
      </c>
      <c r="F2250">
        <f t="shared" si="70"/>
        <v>1999</v>
      </c>
      <c r="G2250">
        <f t="shared" si="71"/>
        <v>4</v>
      </c>
      <c r="H2250" t="str">
        <f>IF(ISNUMBER(FIND(",", E2250)), TRIM(MID(E2250, FIND(",", E2250) + 1, LEN(E2250))), E2250)</f>
        <v>south of the Fiji Islands</v>
      </c>
    </row>
    <row r="2251" spans="1:8" x14ac:dyDescent="0.25">
      <c r="A2251" s="2">
        <v>36258</v>
      </c>
      <c r="B2251">
        <v>43.616</v>
      </c>
      <c r="C2251">
        <v>130.339</v>
      </c>
      <c r="D2251" t="s">
        <v>14</v>
      </c>
      <c r="E2251" t="s">
        <v>491</v>
      </c>
      <c r="F2251">
        <f t="shared" si="70"/>
        <v>1999</v>
      </c>
      <c r="G2251">
        <f t="shared" si="71"/>
        <v>4</v>
      </c>
      <c r="H2251" t="str">
        <f>IF(ISNUMBER(FIND(",", E2251)), TRIM(MID(E2251, FIND(",", E2251) + 1, LEN(E2251))), E2251)</f>
        <v>China</v>
      </c>
    </row>
    <row r="2252" spans="1:8" x14ac:dyDescent="0.25">
      <c r="A2252" s="2">
        <v>36256</v>
      </c>
      <c r="B2252">
        <v>-6.52</v>
      </c>
      <c r="C2252">
        <v>147.1</v>
      </c>
      <c r="D2252" t="s">
        <v>14</v>
      </c>
      <c r="E2252" t="s">
        <v>243</v>
      </c>
      <c r="F2252">
        <f t="shared" si="70"/>
        <v>1999</v>
      </c>
      <c r="G2252">
        <f t="shared" si="71"/>
        <v>4</v>
      </c>
      <c r="H2252" t="str">
        <f>IF(ISNUMBER(FIND(",", E2252)), TRIM(MID(E2252, FIND(",", E2252) + 1, LEN(E2252))), E2252)</f>
        <v>Papua New Guinea</v>
      </c>
    </row>
    <row r="2253" spans="1:8" x14ac:dyDescent="0.25">
      <c r="A2253" s="2">
        <v>36255</v>
      </c>
      <c r="B2253">
        <v>-5.6</v>
      </c>
      <c r="C2253">
        <v>149.65</v>
      </c>
      <c r="D2253" t="s">
        <v>14</v>
      </c>
      <c r="E2253" t="s">
        <v>190</v>
      </c>
      <c r="F2253">
        <f t="shared" si="70"/>
        <v>1999</v>
      </c>
      <c r="G2253">
        <f t="shared" si="71"/>
        <v>4</v>
      </c>
      <c r="H2253" t="str">
        <f>IF(ISNUMBER(FIND(",", E2253)), TRIM(MID(E2253, FIND(",", E2253) + 1, LEN(E2253))), E2253)</f>
        <v>Papua New Guinea</v>
      </c>
    </row>
    <row r="2254" spans="1:8" x14ac:dyDescent="0.25">
      <c r="A2254" s="2">
        <v>36253</v>
      </c>
      <c r="B2254">
        <v>-16.613</v>
      </c>
      <c r="C2254">
        <v>-72.527000000000001</v>
      </c>
      <c r="D2254" t="s">
        <v>14</v>
      </c>
      <c r="E2254" t="s">
        <v>499</v>
      </c>
      <c r="F2254">
        <f t="shared" si="70"/>
        <v>1999</v>
      </c>
      <c r="G2254">
        <f t="shared" si="71"/>
        <v>4</v>
      </c>
      <c r="H2254" t="str">
        <f>IF(ISNUMBER(FIND(",", E2254)), TRIM(MID(E2254, FIND(",", E2254) + 1, LEN(E2254))), E2254)</f>
        <v>near the coast of southern Peru</v>
      </c>
    </row>
    <row r="2255" spans="1:8" x14ac:dyDescent="0.25">
      <c r="A2255" s="2">
        <v>36252</v>
      </c>
      <c r="B2255">
        <v>-19.905999999999999</v>
      </c>
      <c r="C2255">
        <v>168.28800000000001</v>
      </c>
      <c r="D2255" t="s">
        <v>14</v>
      </c>
      <c r="E2255" t="s">
        <v>181</v>
      </c>
      <c r="F2255">
        <f t="shared" si="70"/>
        <v>1999</v>
      </c>
      <c r="G2255">
        <f t="shared" si="71"/>
        <v>4</v>
      </c>
      <c r="H2255" t="str">
        <f>IF(ISNUMBER(FIND(",", E2255)), TRIM(MID(E2255, FIND(",", E2255) + 1, LEN(E2255))), E2255)</f>
        <v>Vanuatu</v>
      </c>
    </row>
    <row r="2256" spans="1:8" x14ac:dyDescent="0.25">
      <c r="A2256" s="2">
        <v>36251</v>
      </c>
      <c r="B2256">
        <v>-4.4329999999999998</v>
      </c>
      <c r="C2256">
        <v>152.76300000000001</v>
      </c>
      <c r="D2256" t="s">
        <v>14</v>
      </c>
      <c r="E2256" t="s">
        <v>190</v>
      </c>
      <c r="F2256">
        <f t="shared" si="70"/>
        <v>1999</v>
      </c>
      <c r="G2256">
        <f t="shared" si="71"/>
        <v>4</v>
      </c>
      <c r="H2256" t="str">
        <f>IF(ISNUMBER(FIND(",", E2256)), TRIM(MID(E2256, FIND(",", E2256) + 1, LEN(E2256))), E2256)</f>
        <v>Papua New Guinea</v>
      </c>
    </row>
    <row r="2257" spans="1:8" x14ac:dyDescent="0.25">
      <c r="A2257" s="2">
        <v>36250</v>
      </c>
      <c r="B2257">
        <v>5.883</v>
      </c>
      <c r="C2257">
        <v>-82.722999999999999</v>
      </c>
      <c r="D2257" t="s">
        <v>14</v>
      </c>
      <c r="E2257" t="s">
        <v>231</v>
      </c>
      <c r="F2257">
        <f t="shared" si="70"/>
        <v>1999</v>
      </c>
      <c r="G2257">
        <f t="shared" si="71"/>
        <v>3</v>
      </c>
      <c r="H2257" t="str">
        <f>IF(ISNUMBER(FIND(",", E2257)), TRIM(MID(E2257, FIND(",", E2257) + 1, LEN(E2257))), E2257)</f>
        <v>south of Panama</v>
      </c>
    </row>
    <row r="2258" spans="1:8" x14ac:dyDescent="0.25">
      <c r="A2258" s="2">
        <v>36247</v>
      </c>
      <c r="B2258">
        <v>30.454999999999998</v>
      </c>
      <c r="C2258">
        <v>79.384</v>
      </c>
      <c r="D2258" t="s">
        <v>14</v>
      </c>
      <c r="E2258" t="s">
        <v>524</v>
      </c>
      <c r="F2258">
        <f t="shared" si="70"/>
        <v>1999</v>
      </c>
      <c r="G2258">
        <f t="shared" si="71"/>
        <v>3</v>
      </c>
      <c r="H2258" t="str">
        <f>IF(ISNUMBER(FIND(",", E2258)), TRIM(MID(E2258, FIND(",", E2258) + 1, LEN(E2258))), E2258)</f>
        <v>India</v>
      </c>
    </row>
    <row r="2259" spans="1:8" x14ac:dyDescent="0.25">
      <c r="A2259" s="2">
        <v>36239</v>
      </c>
      <c r="B2259">
        <v>51.59</v>
      </c>
      <c r="C2259">
        <v>-177.65700000000001</v>
      </c>
      <c r="D2259" t="s">
        <v>14</v>
      </c>
      <c r="E2259" t="s">
        <v>207</v>
      </c>
      <c r="F2259">
        <f t="shared" si="70"/>
        <v>1999</v>
      </c>
      <c r="G2259">
        <f t="shared" si="71"/>
        <v>3</v>
      </c>
      <c r="H2259" t="str">
        <f>IF(ISNUMBER(FIND(",", E2259)), TRIM(MID(E2259, FIND(",", E2259) + 1, LEN(E2259))), E2259)</f>
        <v>Aleutian Islands, Alaska</v>
      </c>
    </row>
    <row r="2260" spans="1:8" x14ac:dyDescent="0.25">
      <c r="A2260" s="2">
        <v>36227</v>
      </c>
      <c r="B2260">
        <v>52.076000000000001</v>
      </c>
      <c r="C2260">
        <v>159.46199999999999</v>
      </c>
      <c r="D2260" t="s">
        <v>14</v>
      </c>
      <c r="E2260" t="s">
        <v>318</v>
      </c>
      <c r="F2260">
        <f t="shared" si="70"/>
        <v>1999</v>
      </c>
      <c r="G2260">
        <f t="shared" si="71"/>
        <v>3</v>
      </c>
      <c r="H2260" t="str">
        <f>IF(ISNUMBER(FIND(",", E2260)), TRIM(MID(E2260, FIND(",", E2260) + 1, LEN(E2260))), E2260)</f>
        <v>Russia</v>
      </c>
    </row>
    <row r="2261" spans="1:8" x14ac:dyDescent="0.25">
      <c r="A2261" s="2">
        <v>36226</v>
      </c>
      <c r="B2261">
        <v>-15.981999999999999</v>
      </c>
      <c r="C2261">
        <v>-179.304</v>
      </c>
      <c r="D2261" t="s">
        <v>14</v>
      </c>
      <c r="E2261" t="s">
        <v>53</v>
      </c>
      <c r="F2261">
        <f t="shared" si="70"/>
        <v>1999</v>
      </c>
      <c r="G2261">
        <f t="shared" si="71"/>
        <v>3</v>
      </c>
      <c r="H2261" t="str">
        <f>IF(ISNUMBER(FIND(",", E2261)), TRIM(MID(E2261, FIND(",", E2261) + 1, LEN(E2261))), E2261)</f>
        <v>Fiji region</v>
      </c>
    </row>
    <row r="2262" spans="1:8" x14ac:dyDescent="0.25">
      <c r="A2262" s="2">
        <v>36223</v>
      </c>
      <c r="B2262">
        <v>5.4210000000000003</v>
      </c>
      <c r="C2262">
        <v>121.875</v>
      </c>
      <c r="D2262" t="s">
        <v>14</v>
      </c>
      <c r="E2262" t="s">
        <v>525</v>
      </c>
      <c r="F2262">
        <f t="shared" si="70"/>
        <v>1999</v>
      </c>
      <c r="G2262">
        <f t="shared" si="71"/>
        <v>3</v>
      </c>
      <c r="H2262" t="str">
        <f>IF(ISNUMBER(FIND(",", E2262)), TRIM(MID(E2262, FIND(",", E2262) + 1, LEN(E2262))), E2262)</f>
        <v>Philippines</v>
      </c>
    </row>
    <row r="2263" spans="1:8" x14ac:dyDescent="0.25">
      <c r="A2263" s="2">
        <v>36223</v>
      </c>
      <c r="B2263">
        <v>28.318000000000001</v>
      </c>
      <c r="C2263">
        <v>57.206000000000003</v>
      </c>
      <c r="D2263" t="s">
        <v>14</v>
      </c>
      <c r="E2263" t="s">
        <v>390</v>
      </c>
      <c r="F2263">
        <f t="shared" si="70"/>
        <v>1999</v>
      </c>
      <c r="G2263">
        <f t="shared" si="71"/>
        <v>3</v>
      </c>
      <c r="H2263" t="str">
        <f>IF(ISNUMBER(FIND(",", E2263)), TRIM(MID(E2263, FIND(",", E2263) + 1, LEN(E2263))), E2263)</f>
        <v>southern Iran</v>
      </c>
    </row>
    <row r="2264" spans="1:8" x14ac:dyDescent="0.25">
      <c r="A2264" s="2">
        <v>36213</v>
      </c>
      <c r="B2264">
        <v>-21.452999999999999</v>
      </c>
      <c r="C2264">
        <v>169.77099999999999</v>
      </c>
      <c r="D2264" t="s">
        <v>14</v>
      </c>
      <c r="E2264" t="s">
        <v>254</v>
      </c>
      <c r="F2264">
        <f t="shared" si="70"/>
        <v>1999</v>
      </c>
      <c r="G2264">
        <f t="shared" si="71"/>
        <v>2</v>
      </c>
      <c r="H2264" t="str">
        <f>IF(ISNUMBER(FIND(",", E2264)), TRIM(MID(E2264, FIND(",", E2264) + 1, LEN(E2264))), E2264)</f>
        <v>southeast of the Loyalty Islands</v>
      </c>
    </row>
    <row r="2265" spans="1:8" x14ac:dyDescent="0.25">
      <c r="A2265" s="2">
        <v>36204</v>
      </c>
      <c r="B2265">
        <v>-3.4670000000000001</v>
      </c>
      <c r="C2265">
        <v>144.792</v>
      </c>
      <c r="D2265" t="s">
        <v>14</v>
      </c>
      <c r="E2265" t="s">
        <v>216</v>
      </c>
      <c r="F2265">
        <f t="shared" si="70"/>
        <v>1999</v>
      </c>
      <c r="G2265">
        <f t="shared" si="71"/>
        <v>2</v>
      </c>
      <c r="H2265" t="str">
        <f>IF(ISNUMBER(FIND(",", E2265)), TRIM(MID(E2265, FIND(",", E2265) + 1, LEN(E2265))), E2265)</f>
        <v>Papua New Guinea</v>
      </c>
    </row>
    <row r="2266" spans="1:8" x14ac:dyDescent="0.25">
      <c r="A2266" s="2">
        <v>36197</v>
      </c>
      <c r="B2266">
        <v>-12.818</v>
      </c>
      <c r="C2266">
        <v>166.779</v>
      </c>
      <c r="D2266" t="s">
        <v>14</v>
      </c>
      <c r="E2266" t="s">
        <v>211</v>
      </c>
      <c r="F2266">
        <f t="shared" si="70"/>
        <v>1999</v>
      </c>
      <c r="G2266">
        <f t="shared" si="71"/>
        <v>2</v>
      </c>
      <c r="H2266" t="str">
        <f>IF(ISNUMBER(FIND(",", E2266)), TRIM(MID(E2266, FIND(",", E2266) + 1, LEN(E2266))), E2266)</f>
        <v>Santa Cruz Islands</v>
      </c>
    </row>
    <row r="2267" spans="1:8" x14ac:dyDescent="0.25">
      <c r="A2267" s="2">
        <v>36194</v>
      </c>
      <c r="B2267">
        <v>-20.315000000000001</v>
      </c>
      <c r="C2267">
        <v>-174.16399999999999</v>
      </c>
      <c r="D2267" t="s">
        <v>14</v>
      </c>
      <c r="E2267" t="s">
        <v>239</v>
      </c>
      <c r="F2267">
        <f t="shared" si="70"/>
        <v>1999</v>
      </c>
      <c r="G2267">
        <f t="shared" si="71"/>
        <v>2</v>
      </c>
      <c r="H2267" t="str">
        <f>IF(ISNUMBER(FIND(",", E2267)), TRIM(MID(E2267, FIND(",", E2267) + 1, LEN(E2267))), E2267)</f>
        <v>Tonga</v>
      </c>
    </row>
    <row r="2268" spans="1:8" x14ac:dyDescent="0.25">
      <c r="A2268" s="2">
        <v>36188</v>
      </c>
      <c r="B2268">
        <v>-4.5910000000000002</v>
      </c>
      <c r="C2268">
        <v>153.684</v>
      </c>
      <c r="D2268" t="s">
        <v>14</v>
      </c>
      <c r="E2268" t="s">
        <v>183</v>
      </c>
      <c r="F2268">
        <f t="shared" si="70"/>
        <v>1999</v>
      </c>
      <c r="G2268">
        <f t="shared" si="71"/>
        <v>1</v>
      </c>
      <c r="H2268" t="str">
        <f>IF(ISNUMBER(FIND(",", E2268)), TRIM(MID(E2268, FIND(",", E2268) + 1, LEN(E2268))), E2268)</f>
        <v>Papua New Guinea</v>
      </c>
    </row>
    <row r="2269" spans="1:8" x14ac:dyDescent="0.25">
      <c r="A2269" s="2">
        <v>36188</v>
      </c>
      <c r="B2269">
        <v>52.892000000000003</v>
      </c>
      <c r="C2269">
        <v>-169.11699999999999</v>
      </c>
      <c r="D2269" t="s">
        <v>14</v>
      </c>
      <c r="E2269" t="s">
        <v>219</v>
      </c>
      <c r="F2269">
        <f t="shared" si="70"/>
        <v>1999</v>
      </c>
      <c r="G2269">
        <f t="shared" si="71"/>
        <v>1</v>
      </c>
      <c r="H2269" t="str">
        <f>IF(ISNUMBER(FIND(",", E2269)), TRIM(MID(E2269, FIND(",", E2269) + 1, LEN(E2269))), E2269)</f>
        <v>Aleutian Islands, Alaska</v>
      </c>
    </row>
    <row r="2270" spans="1:8" x14ac:dyDescent="0.25">
      <c r="A2270" s="2">
        <v>36185</v>
      </c>
      <c r="B2270">
        <v>4.4470000000000001</v>
      </c>
      <c r="C2270">
        <v>-75.677999999999997</v>
      </c>
      <c r="D2270" t="s">
        <v>14</v>
      </c>
      <c r="E2270" t="s">
        <v>206</v>
      </c>
      <c r="F2270">
        <f t="shared" si="70"/>
        <v>1999</v>
      </c>
      <c r="G2270">
        <f t="shared" si="71"/>
        <v>1</v>
      </c>
      <c r="H2270" t="str">
        <f>IF(ISNUMBER(FIND(",", E2270)), TRIM(MID(E2270, FIND(",", E2270) + 1, LEN(E2270))), E2270)</f>
        <v>Colombia</v>
      </c>
    </row>
    <row r="2271" spans="1:8" x14ac:dyDescent="0.25">
      <c r="A2271" s="2">
        <v>36184</v>
      </c>
      <c r="B2271">
        <v>-26.492000000000001</v>
      </c>
      <c r="C2271">
        <v>74.415999999999997</v>
      </c>
      <c r="D2271" t="s">
        <v>14</v>
      </c>
      <c r="E2271" t="s">
        <v>377</v>
      </c>
      <c r="F2271">
        <f t="shared" si="70"/>
        <v>1999</v>
      </c>
      <c r="G2271">
        <f t="shared" si="71"/>
        <v>1</v>
      </c>
      <c r="H2271" t="str">
        <f>IF(ISNUMBER(FIND(",", E2271)), TRIM(MID(E2271, FIND(",", E2271) + 1, LEN(E2271))), E2271)</f>
        <v>Mid-Indian Ridge</v>
      </c>
    </row>
    <row r="2272" spans="1:8" x14ac:dyDescent="0.25">
      <c r="A2272" s="2">
        <v>36184</v>
      </c>
      <c r="B2272">
        <v>-21.143999999999998</v>
      </c>
      <c r="C2272">
        <v>-174.45099999999999</v>
      </c>
      <c r="D2272" t="s">
        <v>14</v>
      </c>
      <c r="E2272" t="s">
        <v>239</v>
      </c>
      <c r="F2272">
        <f t="shared" si="70"/>
        <v>1999</v>
      </c>
      <c r="G2272">
        <f t="shared" si="71"/>
        <v>1</v>
      </c>
      <c r="H2272" t="str">
        <f>IF(ISNUMBER(FIND(",", E2272)), TRIM(MID(E2272, FIND(",", E2272) + 1, LEN(E2272))), E2272)</f>
        <v>Tonga</v>
      </c>
    </row>
    <row r="2273" spans="1:8" x14ac:dyDescent="0.25">
      <c r="A2273" s="2">
        <v>36184</v>
      </c>
      <c r="B2273">
        <v>30.657</v>
      </c>
      <c r="C2273">
        <v>131.05600000000001</v>
      </c>
      <c r="D2273" t="s">
        <v>14</v>
      </c>
      <c r="E2273" t="s">
        <v>357</v>
      </c>
      <c r="F2273">
        <f t="shared" si="70"/>
        <v>1999</v>
      </c>
      <c r="G2273">
        <f t="shared" si="71"/>
        <v>1</v>
      </c>
      <c r="H2273" t="str">
        <f>IF(ISNUMBER(FIND(",", E2273)), TRIM(MID(E2273, FIND(",", E2273) + 1, LEN(E2273))), E2273)</f>
        <v>Japan</v>
      </c>
    </row>
    <row r="2274" spans="1:8" x14ac:dyDescent="0.25">
      <c r="A2274" s="2">
        <v>36179</v>
      </c>
      <c r="B2274">
        <v>-4.5529999999999999</v>
      </c>
      <c r="C2274">
        <v>153.40600000000001</v>
      </c>
      <c r="D2274" t="s">
        <v>14</v>
      </c>
      <c r="E2274" t="s">
        <v>183</v>
      </c>
      <c r="F2274">
        <f t="shared" si="70"/>
        <v>1999</v>
      </c>
      <c r="G2274">
        <f t="shared" si="71"/>
        <v>1</v>
      </c>
      <c r="H2274" t="str">
        <f>IF(ISNUMBER(FIND(",", E2274)), TRIM(MID(E2274, FIND(",", E2274) + 1, LEN(E2274))), E2274)</f>
        <v>Papua New Guinea</v>
      </c>
    </row>
    <row r="2275" spans="1:8" x14ac:dyDescent="0.25">
      <c r="A2275" s="2">
        <v>36156</v>
      </c>
      <c r="B2275">
        <v>-21.768000000000001</v>
      </c>
      <c r="C2275">
        <v>-176.20099999999999</v>
      </c>
      <c r="D2275" t="s">
        <v>14</v>
      </c>
      <c r="E2275" t="s">
        <v>53</v>
      </c>
      <c r="F2275">
        <f t="shared" si="70"/>
        <v>1998</v>
      </c>
      <c r="G2275">
        <f t="shared" si="71"/>
        <v>12</v>
      </c>
      <c r="H2275" t="str">
        <f>IF(ISNUMBER(FIND(",", E2275)), TRIM(MID(E2275, FIND(",", E2275) + 1, LEN(E2275))), E2275)</f>
        <v>Fiji region</v>
      </c>
    </row>
    <row r="2276" spans="1:8" x14ac:dyDescent="0.25">
      <c r="A2276" s="2">
        <v>36145</v>
      </c>
      <c r="B2276">
        <v>1.1499999999999999</v>
      </c>
      <c r="C2276">
        <v>126.08199999999999</v>
      </c>
      <c r="D2276" t="s">
        <v>14</v>
      </c>
      <c r="E2276" t="s">
        <v>186</v>
      </c>
      <c r="F2276">
        <f t="shared" si="70"/>
        <v>1998</v>
      </c>
      <c r="G2276">
        <f t="shared" si="71"/>
        <v>12</v>
      </c>
      <c r="H2276" t="str">
        <f>IF(ISNUMBER(FIND(",", E2276)), TRIM(MID(E2276, FIND(",", E2276) + 1, LEN(E2276))), E2276)</f>
        <v>Molucca Sea</v>
      </c>
    </row>
    <row r="2277" spans="1:8" x14ac:dyDescent="0.25">
      <c r="A2277" s="2">
        <v>36135</v>
      </c>
      <c r="B2277">
        <v>1.298</v>
      </c>
      <c r="C2277">
        <v>126.205</v>
      </c>
      <c r="D2277" t="s">
        <v>14</v>
      </c>
      <c r="E2277" t="s">
        <v>186</v>
      </c>
      <c r="F2277">
        <f t="shared" si="70"/>
        <v>1998</v>
      </c>
      <c r="G2277">
        <f t="shared" si="71"/>
        <v>12</v>
      </c>
      <c r="H2277" t="str">
        <f>IF(ISNUMBER(FIND(",", E2277)), TRIM(MID(E2277, FIND(",", E2277) + 1, LEN(E2277))), E2277)</f>
        <v>Molucca Sea</v>
      </c>
    </row>
    <row r="2278" spans="1:8" x14ac:dyDescent="0.25">
      <c r="A2278" s="2">
        <v>36128</v>
      </c>
      <c r="B2278">
        <v>-1.9390000000000001</v>
      </c>
      <c r="C2278">
        <v>124.818</v>
      </c>
      <c r="D2278" t="s">
        <v>14</v>
      </c>
      <c r="E2278" t="s">
        <v>429</v>
      </c>
      <c r="F2278">
        <f t="shared" si="70"/>
        <v>1998</v>
      </c>
      <c r="G2278">
        <f t="shared" si="71"/>
        <v>11</v>
      </c>
      <c r="H2278" t="str">
        <f>IF(ISNUMBER(FIND(",", E2278)), TRIM(MID(E2278, FIND(",", E2278) + 1, LEN(E2278))), E2278)</f>
        <v>Indonesia</v>
      </c>
    </row>
    <row r="2279" spans="1:8" x14ac:dyDescent="0.25">
      <c r="A2279" s="2">
        <v>36124</v>
      </c>
      <c r="B2279">
        <v>-7.891</v>
      </c>
      <c r="C2279">
        <v>158.745</v>
      </c>
      <c r="D2279" t="s">
        <v>14</v>
      </c>
      <c r="E2279" t="s">
        <v>221</v>
      </c>
      <c r="F2279">
        <f t="shared" si="70"/>
        <v>1998</v>
      </c>
      <c r="G2279">
        <f t="shared" si="71"/>
        <v>11</v>
      </c>
      <c r="H2279" t="str">
        <f>IF(ISNUMBER(FIND(",", E2279)), TRIM(MID(E2279, FIND(",", E2279) + 1, LEN(E2279))), E2279)</f>
        <v>Solomon Islands</v>
      </c>
    </row>
    <row r="2280" spans="1:8" x14ac:dyDescent="0.25">
      <c r="A2280" s="2">
        <v>36118</v>
      </c>
      <c r="B2280">
        <v>22.707000000000001</v>
      </c>
      <c r="C2280">
        <v>125.83199999999999</v>
      </c>
      <c r="D2280" t="s">
        <v>14</v>
      </c>
      <c r="E2280" t="s">
        <v>329</v>
      </c>
      <c r="F2280">
        <f t="shared" si="70"/>
        <v>1998</v>
      </c>
      <c r="G2280">
        <f t="shared" si="71"/>
        <v>11</v>
      </c>
      <c r="H2280" t="str">
        <f>IF(ISNUMBER(FIND(",", E2280)), TRIM(MID(E2280, FIND(",", E2280) + 1, LEN(E2280))), E2280)</f>
        <v>southeast of Taiwan</v>
      </c>
    </row>
    <row r="2281" spans="1:8" x14ac:dyDescent="0.25">
      <c r="A2281" s="2">
        <v>36114</v>
      </c>
      <c r="B2281">
        <v>-21.629000000000001</v>
      </c>
      <c r="C2281">
        <v>-176.376</v>
      </c>
      <c r="D2281" t="s">
        <v>14</v>
      </c>
      <c r="E2281" t="s">
        <v>53</v>
      </c>
      <c r="F2281">
        <f t="shared" si="70"/>
        <v>1998</v>
      </c>
      <c r="G2281">
        <f t="shared" si="71"/>
        <v>11</v>
      </c>
      <c r="H2281" t="str">
        <f>IF(ISNUMBER(FIND(",", E2281)), TRIM(MID(E2281, FIND(",", E2281) + 1, LEN(E2281))), E2281)</f>
        <v>Fiji region</v>
      </c>
    </row>
    <row r="2282" spans="1:8" x14ac:dyDescent="0.25">
      <c r="A2282" s="2">
        <v>36108</v>
      </c>
      <c r="B2282">
        <v>-6.976</v>
      </c>
      <c r="C2282">
        <v>128.928</v>
      </c>
      <c r="D2282" t="s">
        <v>14</v>
      </c>
      <c r="E2282" t="s">
        <v>187</v>
      </c>
      <c r="F2282">
        <f t="shared" si="70"/>
        <v>1998</v>
      </c>
      <c r="G2282">
        <f t="shared" si="71"/>
        <v>11</v>
      </c>
      <c r="H2282" t="str">
        <f>IF(ISNUMBER(FIND(",", E2282)), TRIM(MID(E2282, FIND(",", E2282) + 1, LEN(E2282))), E2282)</f>
        <v>Banda Sea</v>
      </c>
    </row>
    <row r="2283" spans="1:8" x14ac:dyDescent="0.25">
      <c r="A2283" s="2">
        <v>36108</v>
      </c>
      <c r="B2283">
        <v>-6.9939999999999998</v>
      </c>
      <c r="C2283">
        <v>128.923</v>
      </c>
      <c r="D2283" t="s">
        <v>14</v>
      </c>
      <c r="E2283" t="s">
        <v>187</v>
      </c>
      <c r="F2283">
        <f t="shared" si="70"/>
        <v>1998</v>
      </c>
      <c r="G2283">
        <f t="shared" si="71"/>
        <v>11</v>
      </c>
      <c r="H2283" t="str">
        <f>IF(ISNUMBER(FIND(",", E2283)), TRIM(MID(E2283, FIND(",", E2283) + 1, LEN(E2283))), E2283)</f>
        <v>Banda Sea</v>
      </c>
    </row>
    <row r="2284" spans="1:8" x14ac:dyDescent="0.25">
      <c r="A2284" s="2">
        <v>36107</v>
      </c>
      <c r="B2284">
        <v>-9.19</v>
      </c>
      <c r="C2284">
        <v>121.399</v>
      </c>
      <c r="D2284" t="s">
        <v>14</v>
      </c>
      <c r="E2284" t="s">
        <v>471</v>
      </c>
      <c r="F2284">
        <f t="shared" si="70"/>
        <v>1998</v>
      </c>
      <c r="G2284">
        <f t="shared" si="71"/>
        <v>11</v>
      </c>
      <c r="H2284" t="str">
        <f>IF(ISNUMBER(FIND(",", E2284)), TRIM(MID(E2284, FIND(",", E2284) + 1, LEN(E2284))), E2284)</f>
        <v>Savu Sea</v>
      </c>
    </row>
    <row r="2285" spans="1:8" x14ac:dyDescent="0.25">
      <c r="A2285" s="2">
        <v>36096</v>
      </c>
      <c r="B2285">
        <v>0.85199999999999998</v>
      </c>
      <c r="C2285">
        <v>125.89700000000001</v>
      </c>
      <c r="D2285" t="s">
        <v>14</v>
      </c>
      <c r="E2285" t="s">
        <v>186</v>
      </c>
      <c r="F2285">
        <f t="shared" si="70"/>
        <v>1998</v>
      </c>
      <c r="G2285">
        <f t="shared" si="71"/>
        <v>10</v>
      </c>
      <c r="H2285" t="str">
        <f>IF(ISNUMBER(FIND(",", E2285)), TRIM(MID(E2285, FIND(",", E2285) + 1, LEN(E2285))), E2285)</f>
        <v>Molucca Sea</v>
      </c>
    </row>
    <row r="2286" spans="1:8" x14ac:dyDescent="0.25">
      <c r="A2286" s="2">
        <v>36079</v>
      </c>
      <c r="B2286">
        <v>-56.61</v>
      </c>
      <c r="C2286">
        <v>-142.471</v>
      </c>
      <c r="D2286" t="s">
        <v>14</v>
      </c>
      <c r="E2286" t="s">
        <v>179</v>
      </c>
      <c r="F2286">
        <f t="shared" si="70"/>
        <v>1998</v>
      </c>
      <c r="G2286">
        <f t="shared" si="71"/>
        <v>10</v>
      </c>
      <c r="H2286" t="str">
        <f>IF(ISNUMBER(FIND(",", E2286)), TRIM(MID(E2286, FIND(",", E2286) + 1, LEN(E2286))), E2286)</f>
        <v>Pacific-Antarctic Ridge</v>
      </c>
    </row>
    <row r="2287" spans="1:8" x14ac:dyDescent="0.25">
      <c r="A2287" s="2">
        <v>36076</v>
      </c>
      <c r="B2287">
        <v>-16.05</v>
      </c>
      <c r="C2287">
        <v>-71.302999999999997</v>
      </c>
      <c r="D2287" t="s">
        <v>14</v>
      </c>
      <c r="E2287" t="s">
        <v>229</v>
      </c>
      <c r="F2287">
        <f t="shared" si="70"/>
        <v>1998</v>
      </c>
      <c r="G2287">
        <f t="shared" si="71"/>
        <v>10</v>
      </c>
      <c r="H2287" t="str">
        <f>IF(ISNUMBER(FIND(",", E2287)), TRIM(MID(E2287, FIND(",", E2287) + 1, LEN(E2287))), E2287)</f>
        <v>southern Peru</v>
      </c>
    </row>
    <row r="2288" spans="1:8" x14ac:dyDescent="0.25">
      <c r="A2288" s="2">
        <v>36071</v>
      </c>
      <c r="B2288">
        <v>28.574000000000002</v>
      </c>
      <c r="C2288">
        <v>127.65900000000001</v>
      </c>
      <c r="D2288" t="s">
        <v>14</v>
      </c>
      <c r="E2288" t="s">
        <v>418</v>
      </c>
      <c r="F2288">
        <f t="shared" si="70"/>
        <v>1998</v>
      </c>
      <c r="G2288">
        <f t="shared" si="71"/>
        <v>10</v>
      </c>
      <c r="H2288" t="str">
        <f>IF(ISNUMBER(FIND(",", E2288)), TRIM(MID(E2288, FIND(",", E2288) + 1, LEN(E2288))), E2288)</f>
        <v>Japan</v>
      </c>
    </row>
    <row r="2289" spans="1:8" x14ac:dyDescent="0.25">
      <c r="A2289" s="2">
        <v>36066</v>
      </c>
      <c r="B2289">
        <v>3.855</v>
      </c>
      <c r="C2289">
        <v>126.393</v>
      </c>
      <c r="D2289" t="s">
        <v>14</v>
      </c>
      <c r="E2289" t="s">
        <v>372</v>
      </c>
      <c r="F2289">
        <f t="shared" si="70"/>
        <v>1998</v>
      </c>
      <c r="G2289">
        <f t="shared" si="71"/>
        <v>9</v>
      </c>
      <c r="H2289" t="str">
        <f>IF(ISNUMBER(FIND(",", E2289)), TRIM(MID(E2289, FIND(",", E2289) + 1, LEN(E2289))), E2289)</f>
        <v>Indonesia</v>
      </c>
    </row>
    <row r="2290" spans="1:8" x14ac:dyDescent="0.25">
      <c r="A2290" s="2">
        <v>36066</v>
      </c>
      <c r="B2290">
        <v>-8.1820000000000004</v>
      </c>
      <c r="C2290">
        <v>112.337</v>
      </c>
      <c r="D2290" t="s">
        <v>14</v>
      </c>
      <c r="E2290" t="s">
        <v>358</v>
      </c>
      <c r="F2290">
        <f t="shared" si="70"/>
        <v>1998</v>
      </c>
      <c r="G2290">
        <f t="shared" si="71"/>
        <v>9</v>
      </c>
      <c r="H2290" t="str">
        <f>IF(ISNUMBER(FIND(",", E2290)), TRIM(MID(E2290, FIND(",", E2290) + 1, LEN(E2290))), E2290)</f>
        <v>Indonesia</v>
      </c>
    </row>
    <row r="2291" spans="1:8" x14ac:dyDescent="0.25">
      <c r="A2291" s="2">
        <v>36059</v>
      </c>
      <c r="B2291">
        <v>-13.602</v>
      </c>
      <c r="C2291">
        <v>166.899</v>
      </c>
      <c r="D2291" t="s">
        <v>14</v>
      </c>
      <c r="E2291" t="s">
        <v>181</v>
      </c>
      <c r="F2291">
        <f t="shared" si="70"/>
        <v>1998</v>
      </c>
      <c r="G2291">
        <f t="shared" si="71"/>
        <v>9</v>
      </c>
      <c r="H2291" t="str">
        <f>IF(ISNUMBER(FIND(",", E2291)), TRIM(MID(E2291, FIND(",", E2291) + 1, LEN(E2291))), E2291)</f>
        <v>Vanuatu</v>
      </c>
    </row>
    <row r="2292" spans="1:8" x14ac:dyDescent="0.25">
      <c r="A2292" s="2">
        <v>36053</v>
      </c>
      <c r="B2292">
        <v>-5.4349999999999996</v>
      </c>
      <c r="C2292">
        <v>151.72300000000001</v>
      </c>
      <c r="D2292" t="s">
        <v>14</v>
      </c>
      <c r="E2292" t="s">
        <v>190</v>
      </c>
      <c r="F2292">
        <f t="shared" si="70"/>
        <v>1998</v>
      </c>
      <c r="G2292">
        <f t="shared" si="71"/>
        <v>9</v>
      </c>
      <c r="H2292" t="str">
        <f>IF(ISNUMBER(FIND(",", E2292)), TRIM(MID(E2292, FIND(",", E2292) + 1, LEN(E2292))), E2292)</f>
        <v>Papua New Guinea</v>
      </c>
    </row>
    <row r="2293" spans="1:8" x14ac:dyDescent="0.25">
      <c r="A2293" s="2">
        <v>36052</v>
      </c>
      <c r="B2293">
        <v>51.606000000000002</v>
      </c>
      <c r="C2293">
        <v>-173.17500000000001</v>
      </c>
      <c r="D2293" t="s">
        <v>14</v>
      </c>
      <c r="E2293" t="s">
        <v>207</v>
      </c>
      <c r="F2293">
        <f t="shared" si="70"/>
        <v>1998</v>
      </c>
      <c r="G2293">
        <f t="shared" si="71"/>
        <v>9</v>
      </c>
      <c r="H2293" t="str">
        <f>IF(ISNUMBER(FIND(",", E2293)), TRIM(MID(E2293, FIND(",", E2293) + 1, LEN(E2293))), E2293)</f>
        <v>Aleutian Islands, Alaska</v>
      </c>
    </row>
    <row r="2294" spans="1:8" x14ac:dyDescent="0.25">
      <c r="A2294" s="2">
        <v>36041</v>
      </c>
      <c r="B2294">
        <v>27.815000000000001</v>
      </c>
      <c r="C2294">
        <v>86.935000000000002</v>
      </c>
      <c r="D2294" t="s">
        <v>14</v>
      </c>
      <c r="E2294" t="s">
        <v>526</v>
      </c>
      <c r="F2294">
        <f t="shared" si="70"/>
        <v>1998</v>
      </c>
      <c r="G2294">
        <f t="shared" si="71"/>
        <v>9</v>
      </c>
      <c r="H2294" t="str">
        <f>IF(ISNUMBER(FIND(",", E2294)), TRIM(MID(E2294, FIND(",", E2294) + 1, LEN(E2294))), E2294)</f>
        <v>Nepal</v>
      </c>
    </row>
    <row r="2295" spans="1:8" x14ac:dyDescent="0.25">
      <c r="A2295" s="2">
        <v>36041</v>
      </c>
      <c r="B2295">
        <v>-29.434000000000001</v>
      </c>
      <c r="C2295">
        <v>-71.674000000000007</v>
      </c>
      <c r="D2295" t="s">
        <v>14</v>
      </c>
      <c r="E2295" t="s">
        <v>442</v>
      </c>
      <c r="F2295">
        <f t="shared" si="70"/>
        <v>1998</v>
      </c>
      <c r="G2295">
        <f t="shared" si="71"/>
        <v>9</v>
      </c>
      <c r="H2295" t="str">
        <f>IF(ISNUMBER(FIND(",", E2295)), TRIM(MID(E2295, FIND(",", E2295) + 1, LEN(E2295))), E2295)</f>
        <v>Chile</v>
      </c>
    </row>
    <row r="2296" spans="1:8" x14ac:dyDescent="0.25">
      <c r="A2296" s="2">
        <v>36040</v>
      </c>
      <c r="B2296">
        <v>5.4589999999999996</v>
      </c>
      <c r="C2296">
        <v>126.7</v>
      </c>
      <c r="D2296" t="s">
        <v>14</v>
      </c>
      <c r="E2296" t="s">
        <v>200</v>
      </c>
      <c r="F2296">
        <f t="shared" si="70"/>
        <v>1998</v>
      </c>
      <c r="G2296">
        <f t="shared" si="71"/>
        <v>9</v>
      </c>
      <c r="H2296" t="str">
        <f>IF(ISNUMBER(FIND(",", E2296)), TRIM(MID(E2296, FIND(",", E2296) + 1, LEN(E2296))), E2296)</f>
        <v>Philippines</v>
      </c>
    </row>
    <row r="2297" spans="1:8" x14ac:dyDescent="0.25">
      <c r="A2297" s="2">
        <v>36037</v>
      </c>
      <c r="B2297">
        <v>51.005000000000003</v>
      </c>
      <c r="C2297">
        <v>-130.50299999999999</v>
      </c>
      <c r="D2297" t="s">
        <v>14</v>
      </c>
      <c r="E2297" t="s">
        <v>409</v>
      </c>
      <c r="F2297">
        <f t="shared" si="70"/>
        <v>1998</v>
      </c>
      <c r="G2297">
        <f t="shared" si="71"/>
        <v>8</v>
      </c>
      <c r="H2297" t="str">
        <f>IF(ISNUMBER(FIND(",", E2297)), TRIM(MID(E2297, FIND(",", E2297) + 1, LEN(E2297))), E2297)</f>
        <v>Canada</v>
      </c>
    </row>
    <row r="2298" spans="1:8" x14ac:dyDescent="0.25">
      <c r="A2298" s="2">
        <v>36037</v>
      </c>
      <c r="B2298">
        <v>17.100000000000001</v>
      </c>
      <c r="C2298">
        <v>148.22900000000001</v>
      </c>
      <c r="D2298" t="s">
        <v>14</v>
      </c>
      <c r="E2298" t="s">
        <v>72</v>
      </c>
      <c r="F2298">
        <f t="shared" si="70"/>
        <v>1998</v>
      </c>
      <c r="G2298">
        <f t="shared" si="71"/>
        <v>8</v>
      </c>
      <c r="H2298" t="str">
        <f>IF(ISNUMBER(FIND(",", E2298)), TRIM(MID(E2298, FIND(",", E2298) + 1, LEN(E2298))), E2298)</f>
        <v>Mariana Islands region</v>
      </c>
    </row>
    <row r="2299" spans="1:8" x14ac:dyDescent="0.25">
      <c r="A2299" s="2">
        <v>36035</v>
      </c>
      <c r="B2299">
        <v>-0.121</v>
      </c>
      <c r="C2299">
        <v>125.002</v>
      </c>
      <c r="D2299" t="s">
        <v>14</v>
      </c>
      <c r="E2299" t="s">
        <v>186</v>
      </c>
      <c r="F2299">
        <f t="shared" si="70"/>
        <v>1998</v>
      </c>
      <c r="G2299">
        <f t="shared" si="71"/>
        <v>8</v>
      </c>
      <c r="H2299" t="str">
        <f>IF(ISNUMBER(FIND(",", E2299)), TRIM(MID(E2299, FIND(",", E2299) + 1, LEN(E2299))), E2299)</f>
        <v>Molucca Sea</v>
      </c>
    </row>
    <row r="2300" spans="1:8" x14ac:dyDescent="0.25">
      <c r="A2300" s="2">
        <v>36034</v>
      </c>
      <c r="B2300">
        <v>39.549999999999997</v>
      </c>
      <c r="C2300">
        <v>77.326999999999998</v>
      </c>
      <c r="D2300" t="s">
        <v>14</v>
      </c>
      <c r="E2300" t="s">
        <v>482</v>
      </c>
      <c r="F2300">
        <f t="shared" si="70"/>
        <v>1998</v>
      </c>
      <c r="G2300">
        <f t="shared" si="71"/>
        <v>8</v>
      </c>
      <c r="H2300" t="str">
        <f>IF(ISNUMBER(FIND(",", E2300)), TRIM(MID(E2300, FIND(",", E2300) + 1, LEN(E2300))), E2300)</f>
        <v>China</v>
      </c>
    </row>
    <row r="2301" spans="1:8" x14ac:dyDescent="0.25">
      <c r="A2301" s="2">
        <v>36030</v>
      </c>
      <c r="B2301">
        <v>11.706</v>
      </c>
      <c r="C2301">
        <v>-87.998000000000005</v>
      </c>
      <c r="D2301" t="s">
        <v>14</v>
      </c>
      <c r="E2301" t="s">
        <v>448</v>
      </c>
      <c r="F2301">
        <f t="shared" si="70"/>
        <v>1998</v>
      </c>
      <c r="G2301">
        <f t="shared" si="71"/>
        <v>8</v>
      </c>
      <c r="H2301" t="str">
        <f>IF(ISNUMBER(FIND(",", E2301)), TRIM(MID(E2301, FIND(",", E2301) + 1, LEN(E2301))), E2301)</f>
        <v>near the coast of Nicaragua</v>
      </c>
    </row>
    <row r="2302" spans="1:8" x14ac:dyDescent="0.25">
      <c r="A2302" s="2">
        <v>36027</v>
      </c>
      <c r="B2302">
        <v>51.627000000000002</v>
      </c>
      <c r="C2302">
        <v>175.18700000000001</v>
      </c>
      <c r="D2302" t="s">
        <v>14</v>
      </c>
      <c r="E2302" t="s">
        <v>366</v>
      </c>
      <c r="F2302">
        <f t="shared" si="70"/>
        <v>1998</v>
      </c>
      <c r="G2302">
        <f t="shared" si="71"/>
        <v>8</v>
      </c>
      <c r="H2302" t="str">
        <f>IF(ISNUMBER(FIND(",", E2302)), TRIM(MID(E2302, FIND(",", E2302) + 1, LEN(E2302))), E2302)</f>
        <v>Aleutian Islands, Alaska</v>
      </c>
    </row>
    <row r="2303" spans="1:8" x14ac:dyDescent="0.25">
      <c r="A2303" s="2">
        <v>36027</v>
      </c>
      <c r="B2303">
        <v>28.975000000000001</v>
      </c>
      <c r="C2303">
        <v>139.393</v>
      </c>
      <c r="D2303" t="s">
        <v>14</v>
      </c>
      <c r="E2303" t="s">
        <v>233</v>
      </c>
      <c r="F2303">
        <f t="shared" si="70"/>
        <v>1998</v>
      </c>
      <c r="G2303">
        <f t="shared" si="71"/>
        <v>8</v>
      </c>
      <c r="H2303" t="str">
        <f>IF(ISNUMBER(FIND(",", E2303)), TRIM(MID(E2303, FIND(",", E2303) + 1, LEN(E2303))), E2303)</f>
        <v>Japan region</v>
      </c>
    </row>
    <row r="2304" spans="1:8" x14ac:dyDescent="0.25">
      <c r="A2304" s="2">
        <v>36012</v>
      </c>
      <c r="B2304">
        <v>-54.771000000000001</v>
      </c>
      <c r="C2304">
        <v>-135.642</v>
      </c>
      <c r="D2304" t="s">
        <v>14</v>
      </c>
      <c r="E2304" t="s">
        <v>179</v>
      </c>
      <c r="F2304">
        <f t="shared" si="70"/>
        <v>1998</v>
      </c>
      <c r="G2304">
        <f t="shared" si="71"/>
        <v>8</v>
      </c>
      <c r="H2304" t="str">
        <f>IF(ISNUMBER(FIND(",", E2304)), TRIM(MID(E2304, FIND(",", E2304) + 1, LEN(E2304))), E2304)</f>
        <v>Pacific-Antarctic Ridge</v>
      </c>
    </row>
    <row r="2305" spans="1:8" x14ac:dyDescent="0.25">
      <c r="A2305" s="2">
        <v>36011</v>
      </c>
      <c r="B2305">
        <v>-0.59499999999999997</v>
      </c>
      <c r="C2305">
        <v>-80.31</v>
      </c>
      <c r="D2305" t="s">
        <v>14</v>
      </c>
      <c r="E2305" t="s">
        <v>457</v>
      </c>
      <c r="F2305">
        <f t="shared" si="70"/>
        <v>1998</v>
      </c>
      <c r="G2305">
        <f t="shared" si="71"/>
        <v>8</v>
      </c>
      <c r="H2305" t="str">
        <f>IF(ISNUMBER(FIND(",", E2305)), TRIM(MID(E2305, FIND(",", E2305) + 1, LEN(E2305))), E2305)</f>
        <v>near the coast of Ecuador</v>
      </c>
    </row>
    <row r="2306" spans="1:8" x14ac:dyDescent="0.25">
      <c r="A2306" s="2">
        <v>36005</v>
      </c>
      <c r="B2306">
        <v>-2.7050000000000001</v>
      </c>
      <c r="C2306">
        <v>138.97999999999999</v>
      </c>
      <c r="D2306" t="s">
        <v>14</v>
      </c>
      <c r="E2306" t="s">
        <v>210</v>
      </c>
      <c r="F2306">
        <f t="shared" ref="F2306:F2369" si="72">YEAR(A2306)</f>
        <v>1998</v>
      </c>
      <c r="G2306">
        <f t="shared" si="71"/>
        <v>7</v>
      </c>
      <c r="H2306" t="str">
        <f>IF(ISNUMBER(FIND(",", E2306)), TRIM(MID(E2306, FIND(",", E2306) + 1, LEN(E2306))), E2306)</f>
        <v>Indonesia</v>
      </c>
    </row>
    <row r="2307" spans="1:8" x14ac:dyDescent="0.25">
      <c r="A2307" s="2">
        <v>36005</v>
      </c>
      <c r="B2307">
        <v>-32.322000000000003</v>
      </c>
      <c r="C2307">
        <v>-71.245999999999995</v>
      </c>
      <c r="D2307" t="s">
        <v>14</v>
      </c>
      <c r="E2307" t="s">
        <v>244</v>
      </c>
      <c r="F2307">
        <f t="shared" si="72"/>
        <v>1998</v>
      </c>
      <c r="G2307">
        <f t="shared" ref="G2307:G2370" si="73">MONTH(A2307)</f>
        <v>7</v>
      </c>
      <c r="H2307" t="str">
        <f>IF(ISNUMBER(FIND(",", E2307)), TRIM(MID(E2307, FIND(",", E2307) + 1, LEN(E2307))), E2307)</f>
        <v>Chile</v>
      </c>
    </row>
    <row r="2308" spans="1:8" x14ac:dyDescent="0.25">
      <c r="A2308" s="2">
        <v>36001</v>
      </c>
      <c r="B2308">
        <v>-13.601000000000001</v>
      </c>
      <c r="C2308">
        <v>166.916</v>
      </c>
      <c r="D2308" t="s">
        <v>14</v>
      </c>
      <c r="E2308" t="s">
        <v>181</v>
      </c>
      <c r="F2308">
        <f t="shared" si="72"/>
        <v>1998</v>
      </c>
      <c r="G2308">
        <f t="shared" si="73"/>
        <v>7</v>
      </c>
      <c r="H2308" t="str">
        <f>IF(ISNUMBER(FIND(",", E2308)), TRIM(MID(E2308, FIND(",", E2308) + 1, LEN(E2308))), E2308)</f>
        <v>Vanuatu</v>
      </c>
    </row>
    <row r="2309" spans="1:8" x14ac:dyDescent="0.25">
      <c r="A2309" s="2">
        <v>36000</v>
      </c>
      <c r="B2309">
        <v>21.405999999999999</v>
      </c>
      <c r="C2309">
        <v>121.956</v>
      </c>
      <c r="D2309" t="s">
        <v>14</v>
      </c>
      <c r="E2309" t="s">
        <v>363</v>
      </c>
      <c r="F2309">
        <f t="shared" si="72"/>
        <v>1998</v>
      </c>
      <c r="G2309">
        <f t="shared" si="73"/>
        <v>7</v>
      </c>
      <c r="H2309" t="str">
        <f>IF(ISNUMBER(FIND(",", E2309)), TRIM(MID(E2309, FIND(",", E2309) + 1, LEN(E2309))), E2309)</f>
        <v>Taiwan region</v>
      </c>
    </row>
    <row r="2310" spans="1:8" x14ac:dyDescent="0.25">
      <c r="A2310" s="2">
        <v>35994</v>
      </c>
      <c r="B2310">
        <v>-18.274000000000001</v>
      </c>
      <c r="C2310">
        <v>168.26900000000001</v>
      </c>
      <c r="D2310" t="s">
        <v>14</v>
      </c>
      <c r="E2310" t="s">
        <v>181</v>
      </c>
      <c r="F2310">
        <f t="shared" si="72"/>
        <v>1998</v>
      </c>
      <c r="G2310">
        <f t="shared" si="73"/>
        <v>7</v>
      </c>
      <c r="H2310" t="str">
        <f>IF(ISNUMBER(FIND(",", E2310)), TRIM(MID(E2310, FIND(",", E2310) + 1, LEN(E2310))), E2310)</f>
        <v>Vanuatu</v>
      </c>
    </row>
    <row r="2311" spans="1:8" x14ac:dyDescent="0.25">
      <c r="A2311" s="2">
        <v>35993</v>
      </c>
      <c r="B2311">
        <v>-2.9009999999999998</v>
      </c>
      <c r="C2311">
        <v>142.172</v>
      </c>
      <c r="D2311" t="s">
        <v>14</v>
      </c>
      <c r="E2311" t="s">
        <v>216</v>
      </c>
      <c r="F2311">
        <f t="shared" si="72"/>
        <v>1998</v>
      </c>
      <c r="G2311">
        <f t="shared" si="73"/>
        <v>7</v>
      </c>
      <c r="H2311" t="str">
        <f>IF(ISNUMBER(FIND(",", E2311)), TRIM(MID(E2311, FIND(",", E2311) + 1, LEN(E2311))), E2311)</f>
        <v>Papua New Guinea</v>
      </c>
    </row>
    <row r="2312" spans="1:8" x14ac:dyDescent="0.25">
      <c r="A2312" s="2">
        <v>35993</v>
      </c>
      <c r="B2312">
        <v>-2.9750000000000001</v>
      </c>
      <c r="C2312">
        <v>142.69200000000001</v>
      </c>
      <c r="D2312" t="s">
        <v>14</v>
      </c>
      <c r="E2312" t="s">
        <v>216</v>
      </c>
      <c r="F2312">
        <f t="shared" si="72"/>
        <v>1998</v>
      </c>
      <c r="G2312">
        <f t="shared" si="73"/>
        <v>7</v>
      </c>
      <c r="H2312" t="str">
        <f>IF(ISNUMBER(FIND(",", E2312)), TRIM(MID(E2312, FIND(",", E2312) + 1, LEN(E2312))), E2312)</f>
        <v>Papua New Guinea</v>
      </c>
    </row>
    <row r="2313" spans="1:8" x14ac:dyDescent="0.25">
      <c r="A2313" s="2">
        <v>35992</v>
      </c>
      <c r="B2313">
        <v>-11.032999999999999</v>
      </c>
      <c r="C2313">
        <v>166.267</v>
      </c>
      <c r="D2313" t="s">
        <v>14</v>
      </c>
      <c r="E2313" t="s">
        <v>211</v>
      </c>
      <c r="F2313">
        <f t="shared" si="72"/>
        <v>1998</v>
      </c>
      <c r="G2313">
        <f t="shared" si="73"/>
        <v>7</v>
      </c>
      <c r="H2313" t="str">
        <f>IF(ISNUMBER(FIND(",", E2313)), TRIM(MID(E2313, FIND(",", E2313) + 1, LEN(E2313))), E2313)</f>
        <v>Santa Cruz Islands</v>
      </c>
    </row>
    <row r="2314" spans="1:8" x14ac:dyDescent="0.25">
      <c r="A2314" s="2">
        <v>35985</v>
      </c>
      <c r="B2314">
        <v>60.475000000000001</v>
      </c>
      <c r="C2314">
        <v>-153.19800000000001</v>
      </c>
      <c r="D2314" t="s">
        <v>14</v>
      </c>
      <c r="E2314" t="s">
        <v>497</v>
      </c>
      <c r="F2314">
        <f t="shared" si="72"/>
        <v>1998</v>
      </c>
      <c r="G2314">
        <f t="shared" si="73"/>
        <v>7</v>
      </c>
      <c r="H2314" t="str">
        <f>IF(ISNUMBER(FIND(",", E2314)), TRIM(MID(E2314, FIND(",", E2314) + 1, LEN(E2314))), E2314)</f>
        <v>Southern Alaska</v>
      </c>
    </row>
    <row r="2315" spans="1:8" x14ac:dyDescent="0.25">
      <c r="A2315" s="2">
        <v>35985</v>
      </c>
      <c r="B2315">
        <v>-30.568000000000001</v>
      </c>
      <c r="C2315">
        <v>-178.86199999999999</v>
      </c>
      <c r="D2315" t="s">
        <v>14</v>
      </c>
      <c r="E2315" t="s">
        <v>288</v>
      </c>
      <c r="F2315">
        <f t="shared" si="72"/>
        <v>1998</v>
      </c>
      <c r="G2315">
        <f t="shared" si="73"/>
        <v>7</v>
      </c>
      <c r="H2315" t="str">
        <f>IF(ISNUMBER(FIND(",", E2315)), TRIM(MID(E2315, FIND(",", E2315) + 1, LEN(E2315))), E2315)</f>
        <v>New Zealand</v>
      </c>
    </row>
    <row r="2316" spans="1:8" x14ac:dyDescent="0.25">
      <c r="A2316" s="2">
        <v>35985</v>
      </c>
      <c r="B2316">
        <v>38.631999999999998</v>
      </c>
      <c r="C2316">
        <v>-28.57</v>
      </c>
      <c r="D2316" t="s">
        <v>14</v>
      </c>
      <c r="E2316" t="s">
        <v>527</v>
      </c>
      <c r="F2316">
        <f t="shared" si="72"/>
        <v>1998</v>
      </c>
      <c r="G2316">
        <f t="shared" si="73"/>
        <v>7</v>
      </c>
      <c r="H2316" t="str">
        <f>IF(ISNUMBER(FIND(",", E2316)), TRIM(MID(E2316, FIND(",", E2316) + 1, LEN(E2316))), E2316)</f>
        <v>Portugal</v>
      </c>
    </row>
    <row r="2317" spans="1:8" x14ac:dyDescent="0.25">
      <c r="A2317" s="2">
        <v>35975</v>
      </c>
      <c r="B2317">
        <v>-60.427</v>
      </c>
      <c r="C2317">
        <v>153.363</v>
      </c>
      <c r="D2317" t="s">
        <v>14</v>
      </c>
      <c r="E2317" t="s">
        <v>205</v>
      </c>
      <c r="F2317">
        <f t="shared" si="72"/>
        <v>1998</v>
      </c>
      <c r="G2317">
        <f t="shared" si="73"/>
        <v>6</v>
      </c>
      <c r="H2317" t="str">
        <f>IF(ISNUMBER(FIND(",", E2317)), TRIM(MID(E2317, FIND(",", E2317) + 1, LEN(E2317))), E2317)</f>
        <v>west of Macquarie Island</v>
      </c>
    </row>
    <row r="2318" spans="1:8" x14ac:dyDescent="0.25">
      <c r="A2318" s="2">
        <v>35973</v>
      </c>
      <c r="B2318">
        <v>36.905000000000001</v>
      </c>
      <c r="C2318">
        <v>35.323</v>
      </c>
      <c r="D2318" t="s">
        <v>14</v>
      </c>
      <c r="E2318" t="s">
        <v>517</v>
      </c>
      <c r="F2318">
        <f t="shared" si="72"/>
        <v>1998</v>
      </c>
      <c r="G2318">
        <f t="shared" si="73"/>
        <v>6</v>
      </c>
      <c r="H2318" t="str">
        <f>IF(ISNUMBER(FIND(",", E2318)), TRIM(MID(E2318, FIND(",", E2318) + 1, LEN(E2318))), E2318)</f>
        <v>central Turkey</v>
      </c>
    </row>
    <row r="2319" spans="1:8" x14ac:dyDescent="0.25">
      <c r="A2319" s="2">
        <v>35964</v>
      </c>
      <c r="B2319">
        <v>-11.529</v>
      </c>
      <c r="C2319">
        <v>-14.065</v>
      </c>
      <c r="D2319" t="s">
        <v>14</v>
      </c>
      <c r="E2319" t="s">
        <v>280</v>
      </c>
      <c r="F2319">
        <f t="shared" si="72"/>
        <v>1998</v>
      </c>
      <c r="G2319">
        <f t="shared" si="73"/>
        <v>6</v>
      </c>
      <c r="H2319" t="str">
        <f>IF(ISNUMBER(FIND(",", E2319)), TRIM(MID(E2319, FIND(",", E2319) + 1, LEN(E2319))), E2319)</f>
        <v>Ascension Island region</v>
      </c>
    </row>
    <row r="2320" spans="1:8" x14ac:dyDescent="0.25">
      <c r="A2320" s="2">
        <v>35962</v>
      </c>
      <c r="B2320">
        <v>-52.94</v>
      </c>
      <c r="C2320">
        <v>159.875</v>
      </c>
      <c r="D2320" t="s">
        <v>14</v>
      </c>
      <c r="E2320" t="s">
        <v>350</v>
      </c>
      <c r="F2320">
        <f t="shared" si="72"/>
        <v>1998</v>
      </c>
      <c r="G2320">
        <f t="shared" si="73"/>
        <v>6</v>
      </c>
      <c r="H2320" t="str">
        <f>IF(ISNUMBER(FIND(",", E2320)), TRIM(MID(E2320, FIND(",", E2320) + 1, LEN(E2320))), E2320)</f>
        <v>Macquarie Island region</v>
      </c>
    </row>
    <row r="2321" spans="1:8" x14ac:dyDescent="0.25">
      <c r="A2321" s="2">
        <v>35953</v>
      </c>
      <c r="B2321">
        <v>15.96</v>
      </c>
      <c r="C2321">
        <v>-93.754000000000005</v>
      </c>
      <c r="D2321" t="s">
        <v>14</v>
      </c>
      <c r="E2321" t="s">
        <v>421</v>
      </c>
      <c r="F2321">
        <f t="shared" si="72"/>
        <v>1998</v>
      </c>
      <c r="G2321">
        <f t="shared" si="73"/>
        <v>6</v>
      </c>
      <c r="H2321" t="str">
        <f>IF(ISNUMBER(FIND(",", E2321)), TRIM(MID(E2321, FIND(",", E2321) + 1, LEN(E2321))), E2321)</f>
        <v>Mexico</v>
      </c>
    </row>
    <row r="2322" spans="1:8" x14ac:dyDescent="0.25">
      <c r="A2322" s="2">
        <v>35947</v>
      </c>
      <c r="B2322">
        <v>52.917000000000002</v>
      </c>
      <c r="C2322">
        <v>159.959</v>
      </c>
      <c r="D2322" t="s">
        <v>14</v>
      </c>
      <c r="E2322" t="s">
        <v>318</v>
      </c>
      <c r="F2322">
        <f t="shared" si="72"/>
        <v>1998</v>
      </c>
      <c r="G2322">
        <f t="shared" si="73"/>
        <v>6</v>
      </c>
      <c r="H2322" t="str">
        <f>IF(ISNUMBER(FIND(",", E2322)), TRIM(MID(E2322, FIND(",", E2322) + 1, LEN(E2322))), E2322)</f>
        <v>Russia</v>
      </c>
    </row>
    <row r="2323" spans="1:8" x14ac:dyDescent="0.25">
      <c r="A2323" s="2">
        <v>35945</v>
      </c>
      <c r="B2323">
        <v>39.093000000000004</v>
      </c>
      <c r="C2323">
        <v>143.434</v>
      </c>
      <c r="D2323" t="s">
        <v>14</v>
      </c>
      <c r="E2323" t="s">
        <v>189</v>
      </c>
      <c r="F2323">
        <f t="shared" si="72"/>
        <v>1998</v>
      </c>
      <c r="G2323">
        <f t="shared" si="73"/>
        <v>5</v>
      </c>
      <c r="H2323" t="str">
        <f>IF(ISNUMBER(FIND(",", E2323)), TRIM(MID(E2323, FIND(",", E2323) + 1, LEN(E2323))), E2323)</f>
        <v>Japan</v>
      </c>
    </row>
    <row r="2324" spans="1:8" x14ac:dyDescent="0.25">
      <c r="A2324" s="2">
        <v>35945</v>
      </c>
      <c r="B2324">
        <v>37.134999999999998</v>
      </c>
      <c r="C2324">
        <v>70.096000000000004</v>
      </c>
      <c r="D2324" t="s">
        <v>14</v>
      </c>
      <c r="E2324" t="s">
        <v>314</v>
      </c>
      <c r="F2324">
        <f t="shared" si="72"/>
        <v>1998</v>
      </c>
      <c r="G2324">
        <f t="shared" si="73"/>
        <v>5</v>
      </c>
      <c r="H2324" t="str">
        <f>IF(ISNUMBER(FIND(",", E2324)), TRIM(MID(E2324, FIND(",", E2324) + 1, LEN(E2324))), E2324)</f>
        <v>Afghanistan</v>
      </c>
    </row>
    <row r="2325" spans="1:8" x14ac:dyDescent="0.25">
      <c r="A2325" s="2">
        <v>35937</v>
      </c>
      <c r="B2325">
        <v>-17.774999999999999</v>
      </c>
      <c r="C2325">
        <v>-65.397999999999996</v>
      </c>
      <c r="D2325" t="s">
        <v>14</v>
      </c>
      <c r="E2325" t="s">
        <v>500</v>
      </c>
      <c r="F2325">
        <f t="shared" si="72"/>
        <v>1998</v>
      </c>
      <c r="G2325">
        <f t="shared" si="73"/>
        <v>5</v>
      </c>
      <c r="H2325" t="str">
        <f>IF(ISNUMBER(FIND(",", E2325)), TRIM(MID(E2325, FIND(",", E2325) + 1, LEN(E2325))), E2325)</f>
        <v>Bolivia</v>
      </c>
    </row>
    <row r="2326" spans="1:8" x14ac:dyDescent="0.25">
      <c r="A2326" s="2">
        <v>35936</v>
      </c>
      <c r="B2326">
        <v>-43.286999999999999</v>
      </c>
      <c r="C2326">
        <v>41.552999999999997</v>
      </c>
      <c r="D2326" t="s">
        <v>14</v>
      </c>
      <c r="E2326" t="s">
        <v>369</v>
      </c>
      <c r="F2326">
        <f t="shared" si="72"/>
        <v>1998</v>
      </c>
      <c r="G2326">
        <f t="shared" si="73"/>
        <v>5</v>
      </c>
      <c r="H2326" t="str">
        <f>IF(ISNUMBER(FIND(",", E2326)), TRIM(MID(E2326, FIND(",", E2326) + 1, LEN(E2326))), E2326)</f>
        <v>Prince Edward Islands region</v>
      </c>
    </row>
    <row r="2327" spans="1:8" x14ac:dyDescent="0.25">
      <c r="A2327" s="2">
        <v>35936</v>
      </c>
      <c r="B2327">
        <v>0.192</v>
      </c>
      <c r="C2327">
        <v>119.53</v>
      </c>
      <c r="D2327" t="s">
        <v>14</v>
      </c>
      <c r="E2327" t="s">
        <v>263</v>
      </c>
      <c r="F2327">
        <f t="shared" si="72"/>
        <v>1998</v>
      </c>
      <c r="G2327">
        <f t="shared" si="73"/>
        <v>5</v>
      </c>
      <c r="H2327" t="str">
        <f>IF(ISNUMBER(FIND(",", E2327)), TRIM(MID(E2327, FIND(",", E2327) + 1, LEN(E2327))), E2327)</f>
        <v>Sulawesi, Indonesia</v>
      </c>
    </row>
    <row r="2328" spans="1:8" x14ac:dyDescent="0.25">
      <c r="A2328" s="2">
        <v>35931</v>
      </c>
      <c r="B2328">
        <v>-22.274999999999999</v>
      </c>
      <c r="C2328">
        <v>-179.42099999999999</v>
      </c>
      <c r="D2328" t="s">
        <v>14</v>
      </c>
      <c r="E2328" t="s">
        <v>256</v>
      </c>
      <c r="F2328">
        <f t="shared" si="72"/>
        <v>1998</v>
      </c>
      <c r="G2328">
        <f t="shared" si="73"/>
        <v>5</v>
      </c>
      <c r="H2328" t="str">
        <f>IF(ISNUMBER(FIND(",", E2328)), TRIM(MID(E2328, FIND(",", E2328) + 1, LEN(E2328))), E2328)</f>
        <v>south of the Fiji Islands</v>
      </c>
    </row>
    <row r="2329" spans="1:8" x14ac:dyDescent="0.25">
      <c r="A2329" s="2">
        <v>35928</v>
      </c>
      <c r="B2329">
        <v>-5.1609999999999996</v>
      </c>
      <c r="C2329">
        <v>151.86699999999999</v>
      </c>
      <c r="D2329" t="s">
        <v>14</v>
      </c>
      <c r="E2329" t="s">
        <v>190</v>
      </c>
      <c r="F2329">
        <f t="shared" si="72"/>
        <v>1998</v>
      </c>
      <c r="G2329">
        <f t="shared" si="73"/>
        <v>5</v>
      </c>
      <c r="H2329" t="str">
        <f>IF(ISNUMBER(FIND(",", E2329)), TRIM(MID(E2329, FIND(",", E2329) + 1, LEN(E2329))), E2329)</f>
        <v>Papua New Guinea</v>
      </c>
    </row>
    <row r="2330" spans="1:8" x14ac:dyDescent="0.25">
      <c r="A2330" s="2">
        <v>35925</v>
      </c>
      <c r="B2330">
        <v>13.72</v>
      </c>
      <c r="C2330">
        <v>-90.808000000000007</v>
      </c>
      <c r="D2330" t="s">
        <v>14</v>
      </c>
      <c r="E2330" t="s">
        <v>196</v>
      </c>
      <c r="F2330">
        <f t="shared" si="72"/>
        <v>1998</v>
      </c>
      <c r="G2330">
        <f t="shared" si="73"/>
        <v>5</v>
      </c>
      <c r="H2330" t="str">
        <f>IF(ISNUMBER(FIND(",", E2330)), TRIM(MID(E2330, FIND(",", E2330) + 1, LEN(E2330))), E2330)</f>
        <v>offshore Guatemala</v>
      </c>
    </row>
    <row r="2331" spans="1:8" x14ac:dyDescent="0.25">
      <c r="A2331" s="2">
        <v>35918</v>
      </c>
      <c r="B2331">
        <v>22.431999999999999</v>
      </c>
      <c r="C2331">
        <v>125.373</v>
      </c>
      <c r="D2331" t="s">
        <v>14</v>
      </c>
      <c r="E2331" t="s">
        <v>329</v>
      </c>
      <c r="F2331">
        <f t="shared" si="72"/>
        <v>1998</v>
      </c>
      <c r="G2331">
        <f t="shared" si="73"/>
        <v>5</v>
      </c>
      <c r="H2331" t="str">
        <f>IF(ISNUMBER(FIND(",", E2331)), TRIM(MID(E2331, FIND(",", E2331) + 1, LEN(E2331))), E2331)</f>
        <v>southeast of Taiwan</v>
      </c>
    </row>
    <row r="2332" spans="1:8" x14ac:dyDescent="0.25">
      <c r="A2332" s="2">
        <v>35912</v>
      </c>
      <c r="B2332">
        <v>-2.9689999999999999</v>
      </c>
      <c r="C2332">
        <v>136.26599999999999</v>
      </c>
      <c r="D2332" t="s">
        <v>14</v>
      </c>
      <c r="E2332" t="s">
        <v>241</v>
      </c>
      <c r="F2332">
        <f t="shared" si="72"/>
        <v>1998</v>
      </c>
      <c r="G2332">
        <f t="shared" si="73"/>
        <v>4</v>
      </c>
      <c r="H2332" t="str">
        <f>IF(ISNUMBER(FIND(",", E2332)), TRIM(MID(E2332, FIND(",", E2332) + 1, LEN(E2332))), E2332)</f>
        <v>Indonesia</v>
      </c>
    </row>
    <row r="2333" spans="1:8" x14ac:dyDescent="0.25">
      <c r="A2333" s="2">
        <v>35910</v>
      </c>
      <c r="B2333">
        <v>-35.252000000000002</v>
      </c>
      <c r="C2333">
        <v>-17.558</v>
      </c>
      <c r="D2333" t="s">
        <v>14</v>
      </c>
      <c r="E2333" t="s">
        <v>422</v>
      </c>
      <c r="F2333">
        <f t="shared" si="72"/>
        <v>1998</v>
      </c>
      <c r="G2333">
        <f t="shared" si="73"/>
        <v>4</v>
      </c>
      <c r="H2333" t="str">
        <f>IF(ISNUMBER(FIND(",", E2333)), TRIM(MID(E2333, FIND(",", E2333) + 1, LEN(E2333))), E2333)</f>
        <v>southern Mid-Atlantic Ridge</v>
      </c>
    </row>
    <row r="2334" spans="1:8" x14ac:dyDescent="0.25">
      <c r="A2334" s="2">
        <v>35899</v>
      </c>
      <c r="B2334">
        <v>-23.859000000000002</v>
      </c>
      <c r="C2334">
        <v>-179.767</v>
      </c>
      <c r="D2334" t="s">
        <v>14</v>
      </c>
      <c r="E2334" t="s">
        <v>256</v>
      </c>
      <c r="F2334">
        <f t="shared" si="72"/>
        <v>1998</v>
      </c>
      <c r="G2334">
        <f t="shared" si="73"/>
        <v>4</v>
      </c>
      <c r="H2334" t="str">
        <f>IF(ISNUMBER(FIND(",", E2334)), TRIM(MID(E2334, FIND(",", E2334) + 1, LEN(E2334))), E2334)</f>
        <v>south of the Fiji Islands</v>
      </c>
    </row>
    <row r="2335" spans="1:8" x14ac:dyDescent="0.25">
      <c r="A2335" s="2">
        <v>35896</v>
      </c>
      <c r="B2335">
        <v>-23.741</v>
      </c>
      <c r="C2335">
        <v>-175.92099999999999</v>
      </c>
      <c r="D2335" t="s">
        <v>14</v>
      </c>
      <c r="E2335" t="s">
        <v>304</v>
      </c>
      <c r="F2335">
        <f t="shared" si="72"/>
        <v>1998</v>
      </c>
      <c r="G2335">
        <f t="shared" si="73"/>
        <v>4</v>
      </c>
      <c r="H2335" t="str">
        <f>IF(ISNUMBER(FIND(",", E2335)), TRIM(MID(E2335, FIND(",", E2335) + 1, LEN(E2335))), E2335)</f>
        <v>Tonga region</v>
      </c>
    </row>
    <row r="2336" spans="1:8" x14ac:dyDescent="0.25">
      <c r="A2336" s="2">
        <v>35895</v>
      </c>
      <c r="B2336">
        <v>-1.44</v>
      </c>
      <c r="C2336">
        <v>-15.548999999999999</v>
      </c>
      <c r="D2336" t="s">
        <v>14</v>
      </c>
      <c r="E2336" t="s">
        <v>378</v>
      </c>
      <c r="F2336">
        <f t="shared" si="72"/>
        <v>1998</v>
      </c>
      <c r="G2336">
        <f t="shared" si="73"/>
        <v>4</v>
      </c>
      <c r="H2336" t="str">
        <f>IF(ISNUMBER(FIND(",", E2336)), TRIM(MID(E2336, FIND(",", E2336) + 1, LEN(E2336))), E2336)</f>
        <v>north of Ascension Island</v>
      </c>
    </row>
    <row r="2337" spans="1:8" x14ac:dyDescent="0.25">
      <c r="A2337" s="2">
        <v>35888</v>
      </c>
      <c r="B2337">
        <v>-8.1280000000000001</v>
      </c>
      <c r="C2337">
        <v>-74.33</v>
      </c>
      <c r="D2337" t="s">
        <v>14</v>
      </c>
      <c r="E2337" t="s">
        <v>198</v>
      </c>
      <c r="F2337">
        <f t="shared" si="72"/>
        <v>1998</v>
      </c>
      <c r="G2337">
        <f t="shared" si="73"/>
        <v>4</v>
      </c>
      <c r="H2337" t="str">
        <f>IF(ISNUMBER(FIND(",", E2337)), TRIM(MID(E2337, FIND(",", E2337) + 1, LEN(E2337))), E2337)</f>
        <v>central Peru</v>
      </c>
    </row>
    <row r="2338" spans="1:8" x14ac:dyDescent="0.25">
      <c r="A2338" s="2">
        <v>35886</v>
      </c>
      <c r="B2338">
        <v>-40.409999999999997</v>
      </c>
      <c r="C2338">
        <v>-75.046999999999997</v>
      </c>
      <c r="D2338" t="s">
        <v>14</v>
      </c>
      <c r="E2338" t="s">
        <v>508</v>
      </c>
      <c r="F2338">
        <f t="shared" si="72"/>
        <v>1998</v>
      </c>
      <c r="G2338">
        <f t="shared" si="73"/>
        <v>4</v>
      </c>
      <c r="H2338" t="str">
        <f>IF(ISNUMBER(FIND(",", E2338)), TRIM(MID(E2338, FIND(",", E2338) + 1, LEN(E2338))), E2338)</f>
        <v>Chile</v>
      </c>
    </row>
    <row r="2339" spans="1:8" x14ac:dyDescent="0.25">
      <c r="A2339" s="2">
        <v>35886</v>
      </c>
      <c r="B2339">
        <v>-0.56399999999999995</v>
      </c>
      <c r="C2339">
        <v>99.194999999999993</v>
      </c>
      <c r="D2339" t="s">
        <v>14</v>
      </c>
      <c r="E2339" t="s">
        <v>308</v>
      </c>
      <c r="F2339">
        <f t="shared" si="72"/>
        <v>1998</v>
      </c>
      <c r="G2339">
        <f t="shared" si="73"/>
        <v>4</v>
      </c>
      <c r="H2339" t="str">
        <f>IF(ISNUMBER(FIND(",", E2339)), TRIM(MID(E2339, FIND(",", E2339) + 1, LEN(E2339))), E2339)</f>
        <v>Indonesia</v>
      </c>
    </row>
    <row r="2340" spans="1:8" x14ac:dyDescent="0.25">
      <c r="A2340" s="2">
        <v>35883</v>
      </c>
      <c r="B2340">
        <v>-17.713999999999999</v>
      </c>
      <c r="C2340">
        <v>-178.91200000000001</v>
      </c>
      <c r="D2340" t="s">
        <v>14</v>
      </c>
      <c r="E2340" t="s">
        <v>53</v>
      </c>
      <c r="F2340">
        <f t="shared" si="72"/>
        <v>1998</v>
      </c>
      <c r="G2340">
        <f t="shared" si="73"/>
        <v>3</v>
      </c>
      <c r="H2340" t="str">
        <f>IF(ISNUMBER(FIND(",", E2340)), TRIM(MID(E2340, FIND(",", E2340) + 1, LEN(E2340))), E2340)</f>
        <v>Fiji region</v>
      </c>
    </row>
    <row r="2341" spans="1:8" x14ac:dyDescent="0.25">
      <c r="A2341" s="2">
        <v>35883</v>
      </c>
      <c r="B2341">
        <v>-7.9000000000000001E-2</v>
      </c>
      <c r="C2341">
        <v>-17.968</v>
      </c>
      <c r="D2341" t="s">
        <v>14</v>
      </c>
      <c r="E2341" t="s">
        <v>378</v>
      </c>
      <c r="F2341">
        <f t="shared" si="72"/>
        <v>1998</v>
      </c>
      <c r="G2341">
        <f t="shared" si="73"/>
        <v>3</v>
      </c>
      <c r="H2341" t="str">
        <f>IF(ISNUMBER(FIND(",", E2341)), TRIM(MID(E2341, FIND(",", E2341) + 1, LEN(E2341))), E2341)</f>
        <v>north of Ascension Island</v>
      </c>
    </row>
    <row r="2342" spans="1:8" x14ac:dyDescent="0.25">
      <c r="A2342" s="2">
        <v>35879</v>
      </c>
      <c r="B2342">
        <v>-63.658999999999999</v>
      </c>
      <c r="C2342">
        <v>147.86699999999999</v>
      </c>
      <c r="D2342" t="s">
        <v>14</v>
      </c>
      <c r="E2342" t="s">
        <v>495</v>
      </c>
      <c r="F2342">
        <f t="shared" si="72"/>
        <v>1998</v>
      </c>
      <c r="G2342">
        <f t="shared" si="73"/>
        <v>3</v>
      </c>
      <c r="H2342" t="str">
        <f>IF(ISNUMBER(FIND(",", E2342)), TRIM(MID(E2342, FIND(",", E2342) + 1, LEN(E2342))), E2342)</f>
        <v>south of Australia</v>
      </c>
    </row>
    <row r="2343" spans="1:8" x14ac:dyDescent="0.25">
      <c r="A2343" s="2">
        <v>35879</v>
      </c>
      <c r="B2343">
        <v>-62.901000000000003</v>
      </c>
      <c r="C2343">
        <v>149.607</v>
      </c>
      <c r="D2343" t="s">
        <v>14</v>
      </c>
      <c r="E2343" t="s">
        <v>283</v>
      </c>
      <c r="F2343">
        <f t="shared" si="72"/>
        <v>1998</v>
      </c>
      <c r="G2343">
        <f t="shared" si="73"/>
        <v>3</v>
      </c>
      <c r="H2343" t="str">
        <f>IF(ISNUMBER(FIND(",", E2343)), TRIM(MID(E2343, FIND(",", E2343) + 1, LEN(E2343))), E2343)</f>
        <v>Balleny Islands region</v>
      </c>
    </row>
    <row r="2344" spans="1:8" x14ac:dyDescent="0.25">
      <c r="A2344" s="2">
        <v>35875</v>
      </c>
      <c r="B2344">
        <v>80.08</v>
      </c>
      <c r="C2344">
        <v>2.8250000000000002</v>
      </c>
      <c r="D2344" t="s">
        <v>14</v>
      </c>
      <c r="E2344" t="s">
        <v>375</v>
      </c>
      <c r="F2344">
        <f t="shared" si="72"/>
        <v>1998</v>
      </c>
      <c r="G2344">
        <f t="shared" si="73"/>
        <v>3</v>
      </c>
      <c r="H2344" t="str">
        <f>IF(ISNUMBER(FIND(",", E2344)), TRIM(MID(E2344, FIND(",", E2344) + 1, LEN(E2344))), E2344)</f>
        <v>north of Svalbard</v>
      </c>
    </row>
    <row r="2345" spans="1:8" x14ac:dyDescent="0.25">
      <c r="A2345" s="2">
        <v>35874</v>
      </c>
      <c r="B2345">
        <v>-49.871000000000002</v>
      </c>
      <c r="C2345">
        <v>163.59299999999999</v>
      </c>
      <c r="D2345" t="s">
        <v>14</v>
      </c>
      <c r="E2345" t="s">
        <v>404</v>
      </c>
      <c r="F2345">
        <f t="shared" si="72"/>
        <v>1998</v>
      </c>
      <c r="G2345">
        <f t="shared" si="73"/>
        <v>3</v>
      </c>
      <c r="H2345" t="str">
        <f>IF(ISNUMBER(FIND(",", E2345)), TRIM(MID(E2345, FIND(",", E2345) + 1, LEN(E2345))), E2345)</f>
        <v>New Zealand region</v>
      </c>
    </row>
    <row r="2346" spans="1:8" x14ac:dyDescent="0.25">
      <c r="A2346" s="2">
        <v>35868</v>
      </c>
      <c r="B2346">
        <v>30.128</v>
      </c>
      <c r="C2346">
        <v>57.584000000000003</v>
      </c>
      <c r="D2346" t="s">
        <v>14</v>
      </c>
      <c r="E2346" t="s">
        <v>528</v>
      </c>
      <c r="F2346">
        <f t="shared" si="72"/>
        <v>1998</v>
      </c>
      <c r="G2346">
        <f t="shared" si="73"/>
        <v>3</v>
      </c>
      <c r="H2346" t="str">
        <f>IF(ISNUMBER(FIND(",", E2346)), TRIM(MID(E2346, FIND(",", E2346) + 1, LEN(E2346))), E2346)</f>
        <v>eastern Iran</v>
      </c>
    </row>
    <row r="2347" spans="1:8" x14ac:dyDescent="0.25">
      <c r="A2347" s="2">
        <v>35857</v>
      </c>
      <c r="B2347">
        <v>14.446999999999999</v>
      </c>
      <c r="C2347">
        <v>-91.35</v>
      </c>
      <c r="D2347" t="s">
        <v>14</v>
      </c>
      <c r="E2347" t="s">
        <v>371</v>
      </c>
      <c r="F2347">
        <f t="shared" si="72"/>
        <v>1998</v>
      </c>
      <c r="G2347">
        <f t="shared" si="73"/>
        <v>3</v>
      </c>
      <c r="H2347" t="str">
        <f>IF(ISNUMBER(FIND(",", E2347)), TRIM(MID(E2347, FIND(",", E2347) + 1, LEN(E2347))), E2347)</f>
        <v>Guatemala</v>
      </c>
    </row>
    <row r="2348" spans="1:8" x14ac:dyDescent="0.25">
      <c r="A2348" s="2">
        <v>35846</v>
      </c>
      <c r="B2348">
        <v>36.454999999999998</v>
      </c>
      <c r="C2348">
        <v>71.073999999999998</v>
      </c>
      <c r="D2348" t="s">
        <v>14</v>
      </c>
      <c r="E2348" t="s">
        <v>314</v>
      </c>
      <c r="F2348">
        <f t="shared" si="72"/>
        <v>1998</v>
      </c>
      <c r="G2348">
        <f t="shared" si="73"/>
        <v>2</v>
      </c>
      <c r="H2348" t="str">
        <f>IF(ISNUMBER(FIND(",", E2348)), TRIM(MID(E2348, FIND(",", E2348) + 1, LEN(E2348))), E2348)</f>
        <v>Afghanistan</v>
      </c>
    </row>
    <row r="2349" spans="1:8" x14ac:dyDescent="0.25">
      <c r="A2349" s="2">
        <v>35845</v>
      </c>
      <c r="B2349">
        <v>-4.5229999999999997</v>
      </c>
      <c r="C2349">
        <v>129.005</v>
      </c>
      <c r="D2349" t="s">
        <v>14</v>
      </c>
      <c r="E2349" t="s">
        <v>187</v>
      </c>
      <c r="F2349">
        <f t="shared" si="72"/>
        <v>1998</v>
      </c>
      <c r="G2349">
        <f t="shared" si="73"/>
        <v>2</v>
      </c>
      <c r="H2349" t="str">
        <f>IF(ISNUMBER(FIND(",", E2349)), TRIM(MID(E2349, FIND(",", E2349) + 1, LEN(E2349))), E2349)</f>
        <v>Banda Sea</v>
      </c>
    </row>
    <row r="2350" spans="1:8" x14ac:dyDescent="0.25">
      <c r="A2350" s="2">
        <v>35842</v>
      </c>
      <c r="B2350">
        <v>52.680999999999997</v>
      </c>
      <c r="C2350">
        <v>-33.661000000000001</v>
      </c>
      <c r="D2350" t="s">
        <v>14</v>
      </c>
      <c r="E2350" t="s">
        <v>529</v>
      </c>
      <c r="F2350">
        <f t="shared" si="72"/>
        <v>1998</v>
      </c>
      <c r="G2350">
        <f t="shared" si="73"/>
        <v>2</v>
      </c>
      <c r="H2350" t="str">
        <f>IF(ISNUMBER(FIND(",", E2350)), TRIM(MID(E2350, FIND(",", E2350) + 1, LEN(E2350))), E2350)</f>
        <v>Reykjanes Ridge</v>
      </c>
    </row>
    <row r="2351" spans="1:8" x14ac:dyDescent="0.25">
      <c r="A2351" s="2">
        <v>35833</v>
      </c>
      <c r="B2351">
        <v>24.786000000000001</v>
      </c>
      <c r="C2351">
        <v>141.922</v>
      </c>
      <c r="D2351" t="s">
        <v>14</v>
      </c>
      <c r="E2351" t="s">
        <v>519</v>
      </c>
      <c r="F2351">
        <f t="shared" si="72"/>
        <v>1998</v>
      </c>
      <c r="G2351">
        <f t="shared" si="73"/>
        <v>2</v>
      </c>
      <c r="H2351" t="str">
        <f>IF(ISNUMBER(FIND(",", E2351)), TRIM(MID(E2351, FIND(",", E2351) + 1, LEN(E2351))), E2351)</f>
        <v>Japan region</v>
      </c>
    </row>
    <row r="2352" spans="1:8" x14ac:dyDescent="0.25">
      <c r="A2352" s="2">
        <v>35829</v>
      </c>
      <c r="B2352">
        <v>15.896000000000001</v>
      </c>
      <c r="C2352">
        <v>-96.253</v>
      </c>
      <c r="D2352" t="s">
        <v>14</v>
      </c>
      <c r="E2352" t="s">
        <v>251</v>
      </c>
      <c r="F2352">
        <f t="shared" si="72"/>
        <v>1998</v>
      </c>
      <c r="G2352">
        <f t="shared" si="73"/>
        <v>2</v>
      </c>
      <c r="H2352" t="str">
        <f>IF(ISNUMBER(FIND(",", E2352)), TRIM(MID(E2352, FIND(",", E2352) + 1, LEN(E2352))), E2352)</f>
        <v>Mexico</v>
      </c>
    </row>
    <row r="2353" spans="1:8" x14ac:dyDescent="0.25">
      <c r="A2353" s="2">
        <v>35825</v>
      </c>
      <c r="B2353">
        <v>-23.846</v>
      </c>
      <c r="C2353">
        <v>-70.149000000000001</v>
      </c>
      <c r="D2353" t="s">
        <v>14</v>
      </c>
      <c r="E2353" t="s">
        <v>289</v>
      </c>
      <c r="F2353">
        <f t="shared" si="72"/>
        <v>1998</v>
      </c>
      <c r="G2353">
        <f t="shared" si="73"/>
        <v>1</v>
      </c>
      <c r="H2353" t="str">
        <f>IF(ISNUMBER(FIND(",", E2353)), TRIM(MID(E2353, FIND(",", E2353) + 1, LEN(E2353))), E2353)</f>
        <v>Chile</v>
      </c>
    </row>
    <row r="2354" spans="1:8" x14ac:dyDescent="0.25">
      <c r="A2354" s="2">
        <v>35822</v>
      </c>
      <c r="B2354">
        <v>-22.489000000000001</v>
      </c>
      <c r="C2354">
        <v>179.227</v>
      </c>
      <c r="D2354" t="s">
        <v>14</v>
      </c>
      <c r="E2354" t="s">
        <v>256</v>
      </c>
      <c r="F2354">
        <f t="shared" si="72"/>
        <v>1998</v>
      </c>
      <c r="G2354">
        <f t="shared" si="73"/>
        <v>1</v>
      </c>
      <c r="H2354" t="str">
        <f>IF(ISNUMBER(FIND(",", E2354)), TRIM(MID(E2354, FIND(",", E2354) + 1, LEN(E2354))), E2354)</f>
        <v>south of the Fiji Islands</v>
      </c>
    </row>
    <row r="2355" spans="1:8" x14ac:dyDescent="0.25">
      <c r="A2355" s="2">
        <v>35822</v>
      </c>
      <c r="B2355">
        <v>-22.672000000000001</v>
      </c>
      <c r="C2355">
        <v>179.18600000000001</v>
      </c>
      <c r="D2355" t="s">
        <v>14</v>
      </c>
      <c r="E2355" t="s">
        <v>256</v>
      </c>
      <c r="F2355">
        <f t="shared" si="72"/>
        <v>1998</v>
      </c>
      <c r="G2355">
        <f t="shared" si="73"/>
        <v>1</v>
      </c>
      <c r="H2355" t="str">
        <f>IF(ISNUMBER(FIND(",", E2355)), TRIM(MID(E2355, FIND(",", E2355) + 1, LEN(E2355))), E2355)</f>
        <v>south of the Fiji Islands</v>
      </c>
    </row>
    <row r="2356" spans="1:8" x14ac:dyDescent="0.25">
      <c r="A2356" s="2">
        <v>35814</v>
      </c>
      <c r="B2356">
        <v>-44.869</v>
      </c>
      <c r="C2356">
        <v>-79.843000000000004</v>
      </c>
      <c r="D2356" t="s">
        <v>14</v>
      </c>
      <c r="E2356" t="s">
        <v>194</v>
      </c>
      <c r="F2356">
        <f t="shared" si="72"/>
        <v>1998</v>
      </c>
      <c r="G2356">
        <f t="shared" si="73"/>
        <v>1</v>
      </c>
      <c r="H2356" t="str">
        <f>IF(ISNUMBER(FIND(",", E2356)), TRIM(MID(E2356, FIND(",", E2356) + 1, LEN(E2356))), E2356)</f>
        <v>Chile</v>
      </c>
    </row>
    <row r="2357" spans="1:8" x14ac:dyDescent="0.25">
      <c r="A2357" s="2">
        <v>35809</v>
      </c>
      <c r="B2357">
        <v>-15.773</v>
      </c>
      <c r="C2357">
        <v>-179.166</v>
      </c>
      <c r="D2357" t="s">
        <v>14</v>
      </c>
      <c r="E2357" t="s">
        <v>53</v>
      </c>
      <c r="F2357">
        <f t="shared" si="72"/>
        <v>1998</v>
      </c>
      <c r="G2357">
        <f t="shared" si="73"/>
        <v>1</v>
      </c>
      <c r="H2357" t="str">
        <f>IF(ISNUMBER(FIND(",", E2357)), TRIM(MID(E2357, FIND(",", E2357) + 1, LEN(E2357))), E2357)</f>
        <v>Fiji region</v>
      </c>
    </row>
    <row r="2358" spans="1:8" x14ac:dyDescent="0.25">
      <c r="A2358" s="2">
        <v>35807</v>
      </c>
      <c r="B2358">
        <v>-15.878</v>
      </c>
      <c r="C2358">
        <v>-179.238</v>
      </c>
      <c r="D2358" t="s">
        <v>14</v>
      </c>
      <c r="E2358" t="s">
        <v>53</v>
      </c>
      <c r="F2358">
        <f t="shared" si="72"/>
        <v>1998</v>
      </c>
      <c r="G2358">
        <f t="shared" si="73"/>
        <v>1</v>
      </c>
      <c r="H2358" t="str">
        <f>IF(ISNUMBER(FIND(",", E2358)), TRIM(MID(E2358, FIND(",", E2358) + 1, LEN(E2358))), E2358)</f>
        <v>Fiji region</v>
      </c>
    </row>
    <row r="2359" spans="1:8" x14ac:dyDescent="0.25">
      <c r="A2359" s="2">
        <v>35807</v>
      </c>
      <c r="B2359">
        <v>-31.065999999999999</v>
      </c>
      <c r="C2359">
        <v>-71.498000000000005</v>
      </c>
      <c r="D2359" t="s">
        <v>14</v>
      </c>
      <c r="E2359" t="s">
        <v>193</v>
      </c>
      <c r="F2359">
        <f t="shared" si="72"/>
        <v>1998</v>
      </c>
      <c r="G2359">
        <f t="shared" si="73"/>
        <v>1</v>
      </c>
      <c r="H2359" t="str">
        <f>IF(ISNUMBER(FIND(",", E2359)), TRIM(MID(E2359, FIND(",", E2359) + 1, LEN(E2359))), E2359)</f>
        <v>Chile</v>
      </c>
    </row>
    <row r="2360" spans="1:8" x14ac:dyDescent="0.25">
      <c r="A2360" s="2">
        <v>35805</v>
      </c>
      <c r="B2360">
        <v>14.452999999999999</v>
      </c>
      <c r="C2360">
        <v>-91.516999999999996</v>
      </c>
      <c r="D2360" t="s">
        <v>14</v>
      </c>
      <c r="E2360" t="s">
        <v>371</v>
      </c>
      <c r="F2360">
        <f t="shared" si="72"/>
        <v>1998</v>
      </c>
      <c r="G2360">
        <f t="shared" si="73"/>
        <v>1</v>
      </c>
      <c r="H2360" t="str">
        <f>IF(ISNUMBER(FIND(",", E2360)), TRIM(MID(E2360, FIND(",", E2360) + 1, LEN(E2360))), E2360)</f>
        <v>Guatemala</v>
      </c>
    </row>
    <row r="2361" spans="1:8" x14ac:dyDescent="0.25">
      <c r="A2361" s="2">
        <v>35805</v>
      </c>
      <c r="B2361">
        <v>-11.988</v>
      </c>
      <c r="C2361">
        <v>-72.03</v>
      </c>
      <c r="D2361" t="s">
        <v>14</v>
      </c>
      <c r="E2361" t="s">
        <v>198</v>
      </c>
      <c r="F2361">
        <f t="shared" si="72"/>
        <v>1998</v>
      </c>
      <c r="G2361">
        <f t="shared" si="73"/>
        <v>1</v>
      </c>
      <c r="H2361" t="str">
        <f>IF(ISNUMBER(FIND(",", E2361)), TRIM(MID(E2361, FIND(",", E2361) + 1, LEN(E2361))), E2361)</f>
        <v>central Peru</v>
      </c>
    </row>
    <row r="2362" spans="1:8" x14ac:dyDescent="0.25">
      <c r="A2362" s="2">
        <v>35799</v>
      </c>
      <c r="B2362">
        <v>-22.247</v>
      </c>
      <c r="C2362">
        <v>171.01400000000001</v>
      </c>
      <c r="D2362" t="s">
        <v>14</v>
      </c>
      <c r="E2362" t="s">
        <v>254</v>
      </c>
      <c r="F2362">
        <f t="shared" si="72"/>
        <v>1998</v>
      </c>
      <c r="G2362">
        <f t="shared" si="73"/>
        <v>1</v>
      </c>
      <c r="H2362" t="str">
        <f>IF(ISNUMBER(FIND(",", E2362)), TRIM(MID(E2362, FIND(",", E2362) + 1, LEN(E2362))), E2362)</f>
        <v>southeast of the Loyalty Islands</v>
      </c>
    </row>
    <row r="2363" spans="1:8" x14ac:dyDescent="0.25">
      <c r="A2363" s="2">
        <v>35798</v>
      </c>
      <c r="B2363">
        <v>-35.520000000000003</v>
      </c>
      <c r="C2363">
        <v>-15.962999999999999</v>
      </c>
      <c r="D2363" t="s">
        <v>14</v>
      </c>
      <c r="E2363" t="s">
        <v>530</v>
      </c>
      <c r="F2363">
        <f t="shared" si="72"/>
        <v>1998</v>
      </c>
      <c r="G2363">
        <f t="shared" si="73"/>
        <v>1</v>
      </c>
      <c r="H2363" t="str">
        <f>IF(ISNUMBER(FIND(",", E2363)), TRIM(MID(E2363, FIND(",", E2363) + 1, LEN(E2363))), E2363)</f>
        <v>Tristan da Cunha region</v>
      </c>
    </row>
    <row r="2364" spans="1:8" x14ac:dyDescent="0.25">
      <c r="A2364" s="2">
        <v>35796</v>
      </c>
      <c r="B2364">
        <v>23.952000000000002</v>
      </c>
      <c r="C2364">
        <v>142.054</v>
      </c>
      <c r="D2364" t="s">
        <v>14</v>
      </c>
      <c r="E2364" t="s">
        <v>519</v>
      </c>
      <c r="F2364">
        <f t="shared" si="72"/>
        <v>1998</v>
      </c>
      <c r="G2364">
        <f t="shared" si="73"/>
        <v>1</v>
      </c>
      <c r="H2364" t="str">
        <f>IF(ISNUMBER(FIND(",", E2364)), TRIM(MID(E2364, FIND(",", E2364) + 1, LEN(E2364))), E2364)</f>
        <v>Japan region</v>
      </c>
    </row>
    <row r="2365" spans="1:8" x14ac:dyDescent="0.25">
      <c r="A2365" s="2">
        <v>35791</v>
      </c>
      <c r="B2365">
        <v>-55.884</v>
      </c>
      <c r="C2365">
        <v>-4.407</v>
      </c>
      <c r="D2365" t="s">
        <v>14</v>
      </c>
      <c r="E2365" t="s">
        <v>422</v>
      </c>
      <c r="F2365">
        <f t="shared" si="72"/>
        <v>1997</v>
      </c>
      <c r="G2365">
        <f t="shared" si="73"/>
        <v>12</v>
      </c>
      <c r="H2365" t="str">
        <f>IF(ISNUMBER(FIND(",", E2365)), TRIM(MID(E2365, FIND(",", E2365) + 1, LEN(E2365))), E2365)</f>
        <v>southern Mid-Atlantic Ridge</v>
      </c>
    </row>
    <row r="2366" spans="1:8" x14ac:dyDescent="0.25">
      <c r="A2366" s="2">
        <v>35786</v>
      </c>
      <c r="B2366">
        <v>-5.5579999999999998</v>
      </c>
      <c r="C2366">
        <v>147.87700000000001</v>
      </c>
      <c r="D2366" t="s">
        <v>14</v>
      </c>
      <c r="E2366" t="s">
        <v>243</v>
      </c>
      <c r="F2366">
        <f t="shared" si="72"/>
        <v>1997</v>
      </c>
      <c r="G2366">
        <f t="shared" si="73"/>
        <v>12</v>
      </c>
      <c r="H2366" t="str">
        <f>IF(ISNUMBER(FIND(",", E2366)), TRIM(MID(E2366, FIND(",", E2366) + 1, LEN(E2366))), E2366)</f>
        <v>Papua New Guinea</v>
      </c>
    </row>
    <row r="2367" spans="1:8" x14ac:dyDescent="0.25">
      <c r="A2367" s="2">
        <v>35781</v>
      </c>
      <c r="B2367">
        <v>36.377000000000002</v>
      </c>
      <c r="C2367">
        <v>70.781999999999996</v>
      </c>
      <c r="D2367" t="s">
        <v>14</v>
      </c>
      <c r="E2367" t="s">
        <v>314</v>
      </c>
      <c r="F2367">
        <f t="shared" si="72"/>
        <v>1997</v>
      </c>
      <c r="G2367">
        <f t="shared" si="73"/>
        <v>12</v>
      </c>
      <c r="H2367" t="str">
        <f>IF(ISNUMBER(FIND(",", E2367)), TRIM(MID(E2367, FIND(",", E2367) + 1, LEN(E2367))), E2367)</f>
        <v>Afghanistan</v>
      </c>
    </row>
    <row r="2368" spans="1:8" x14ac:dyDescent="0.25">
      <c r="A2368" s="2">
        <v>35781</v>
      </c>
      <c r="B2368">
        <v>51.195</v>
      </c>
      <c r="C2368">
        <v>178.846</v>
      </c>
      <c r="D2368" t="s">
        <v>14</v>
      </c>
      <c r="E2368" t="s">
        <v>366</v>
      </c>
      <c r="F2368">
        <f t="shared" si="72"/>
        <v>1997</v>
      </c>
      <c r="G2368">
        <f t="shared" si="73"/>
        <v>12</v>
      </c>
      <c r="H2368" t="str">
        <f>IF(ISNUMBER(FIND(",", E2368)), TRIM(MID(E2368, FIND(",", E2368) + 1, LEN(E2368))), E2368)</f>
        <v>Aleutian Islands, Alaska</v>
      </c>
    </row>
    <row r="2369" spans="1:8" x14ac:dyDescent="0.25">
      <c r="A2369" s="2">
        <v>35775</v>
      </c>
      <c r="B2369">
        <v>3.9009999999999998</v>
      </c>
      <c r="C2369">
        <v>-75.790999999999997</v>
      </c>
      <c r="D2369" t="s">
        <v>14</v>
      </c>
      <c r="E2369" t="s">
        <v>206</v>
      </c>
      <c r="F2369">
        <f t="shared" si="72"/>
        <v>1997</v>
      </c>
      <c r="G2369">
        <f t="shared" si="73"/>
        <v>12</v>
      </c>
      <c r="H2369" t="str">
        <f>IF(ISNUMBER(FIND(",", E2369)), TRIM(MID(E2369, FIND(",", E2369) + 1, LEN(E2369))), E2369)</f>
        <v>Colombia</v>
      </c>
    </row>
    <row r="2370" spans="1:8" x14ac:dyDescent="0.25">
      <c r="A2370" s="2">
        <v>35771</v>
      </c>
      <c r="B2370">
        <v>54.673000000000002</v>
      </c>
      <c r="C2370">
        <v>162.804</v>
      </c>
      <c r="D2370" t="s">
        <v>14</v>
      </c>
      <c r="E2370" t="s">
        <v>225</v>
      </c>
      <c r="F2370">
        <f t="shared" ref="F2370:F2433" si="74">YEAR(A2370)</f>
        <v>1997</v>
      </c>
      <c r="G2370">
        <f t="shared" si="73"/>
        <v>12</v>
      </c>
      <c r="H2370" t="str">
        <f>IF(ISNUMBER(FIND(",", E2370)), TRIM(MID(E2370, FIND(",", E2370) + 1, LEN(E2370))), E2370)</f>
        <v>Russia</v>
      </c>
    </row>
    <row r="2371" spans="1:8" x14ac:dyDescent="0.25">
      <c r="A2371" s="2">
        <v>35770</v>
      </c>
      <c r="B2371">
        <v>53.987000000000002</v>
      </c>
      <c r="C2371">
        <v>161.82900000000001</v>
      </c>
      <c r="D2371" t="s">
        <v>14</v>
      </c>
      <c r="E2371" t="s">
        <v>318</v>
      </c>
      <c r="F2371">
        <f t="shared" si="74"/>
        <v>1997</v>
      </c>
      <c r="G2371">
        <f t="shared" ref="G2371:G2434" si="75">MONTH(A2371)</f>
        <v>12</v>
      </c>
      <c r="H2371" t="str">
        <f>IF(ISNUMBER(FIND(",", E2371)), TRIM(MID(E2371, FIND(",", E2371) + 1, LEN(E2371))), E2371)</f>
        <v>Russia</v>
      </c>
    </row>
    <row r="2372" spans="1:8" x14ac:dyDescent="0.25">
      <c r="A2372" s="2">
        <v>35769</v>
      </c>
      <c r="B2372">
        <v>53.779000000000003</v>
      </c>
      <c r="C2372">
        <v>161.51300000000001</v>
      </c>
      <c r="D2372" t="s">
        <v>14</v>
      </c>
      <c r="E2372" t="s">
        <v>318</v>
      </c>
      <c r="F2372">
        <f t="shared" si="74"/>
        <v>1997</v>
      </c>
      <c r="G2372">
        <f t="shared" si="75"/>
        <v>12</v>
      </c>
      <c r="H2372" t="str">
        <f>IF(ISNUMBER(FIND(",", E2372)), TRIM(MID(E2372, FIND(",", E2372) + 1, LEN(E2372))), E2372)</f>
        <v>Russia</v>
      </c>
    </row>
    <row r="2373" spans="1:8" x14ac:dyDescent="0.25">
      <c r="A2373" s="2">
        <v>35769</v>
      </c>
      <c r="B2373">
        <v>53.78</v>
      </c>
      <c r="C2373">
        <v>161.666</v>
      </c>
      <c r="D2373" t="s">
        <v>14</v>
      </c>
      <c r="E2373" t="s">
        <v>318</v>
      </c>
      <c r="F2373">
        <f t="shared" si="74"/>
        <v>1997</v>
      </c>
      <c r="G2373">
        <f t="shared" si="75"/>
        <v>12</v>
      </c>
      <c r="H2373" t="str">
        <f>IF(ISNUMBER(FIND(",", E2373)), TRIM(MID(E2373, FIND(",", E2373) + 1, LEN(E2373))), E2373)</f>
        <v>Russia</v>
      </c>
    </row>
    <row r="2374" spans="1:8" x14ac:dyDescent="0.25">
      <c r="A2374" s="2">
        <v>35769</v>
      </c>
      <c r="B2374">
        <v>54.417000000000002</v>
      </c>
      <c r="C2374">
        <v>162.26</v>
      </c>
      <c r="D2374" t="s">
        <v>14</v>
      </c>
      <c r="E2374" t="s">
        <v>225</v>
      </c>
      <c r="F2374">
        <f t="shared" si="74"/>
        <v>1997</v>
      </c>
      <c r="G2374">
        <f t="shared" si="75"/>
        <v>12</v>
      </c>
      <c r="H2374" t="str">
        <f>IF(ISNUMBER(FIND(",", E2374)), TRIM(MID(E2374, FIND(",", E2374) + 1, LEN(E2374))), E2374)</f>
        <v>Russia</v>
      </c>
    </row>
    <row r="2375" spans="1:8" x14ac:dyDescent="0.25">
      <c r="A2375" s="2">
        <v>35769</v>
      </c>
      <c r="B2375">
        <v>54.796999999999997</v>
      </c>
      <c r="C2375">
        <v>162.00299999999999</v>
      </c>
      <c r="D2375" t="s">
        <v>14</v>
      </c>
      <c r="E2375" t="s">
        <v>225</v>
      </c>
      <c r="F2375">
        <f t="shared" si="74"/>
        <v>1997</v>
      </c>
      <c r="G2375">
        <f t="shared" si="75"/>
        <v>12</v>
      </c>
      <c r="H2375" t="str">
        <f>IF(ISNUMBER(FIND(",", E2375)), TRIM(MID(E2375, FIND(",", E2375) + 1, LEN(E2375))), E2375)</f>
        <v>Russia</v>
      </c>
    </row>
    <row r="2376" spans="1:8" x14ac:dyDescent="0.25">
      <c r="A2376" s="2">
        <v>35762</v>
      </c>
      <c r="B2376">
        <v>-13.81</v>
      </c>
      <c r="C2376">
        <v>-68.805000000000007</v>
      </c>
      <c r="D2376" t="s">
        <v>14</v>
      </c>
      <c r="E2376" t="s">
        <v>531</v>
      </c>
      <c r="F2376">
        <f t="shared" si="74"/>
        <v>1997</v>
      </c>
      <c r="G2376">
        <f t="shared" si="75"/>
        <v>11</v>
      </c>
      <c r="H2376" t="str">
        <f>IF(ISNUMBER(FIND(",", E2376)), TRIM(MID(E2376, FIND(",", E2376) + 1, LEN(E2376))), E2376)</f>
        <v>Bolivia</v>
      </c>
    </row>
    <row r="2377" spans="1:8" x14ac:dyDescent="0.25">
      <c r="A2377" s="2">
        <v>35759</v>
      </c>
      <c r="B2377">
        <v>1.204</v>
      </c>
      <c r="C2377">
        <v>122.485</v>
      </c>
      <c r="D2377" t="s">
        <v>14</v>
      </c>
      <c r="E2377" t="s">
        <v>263</v>
      </c>
      <c r="F2377">
        <f t="shared" si="74"/>
        <v>1997</v>
      </c>
      <c r="G2377">
        <f t="shared" si="75"/>
        <v>11</v>
      </c>
      <c r="H2377" t="str">
        <f>IF(ISNUMBER(FIND(",", E2377)), TRIM(MID(E2377, FIND(",", E2377) + 1, LEN(E2377))), E2377)</f>
        <v>Sulawesi, Indonesia</v>
      </c>
    </row>
    <row r="2378" spans="1:8" x14ac:dyDescent="0.25">
      <c r="A2378" s="2">
        <v>35755</v>
      </c>
      <c r="B2378">
        <v>22.239000000000001</v>
      </c>
      <c r="C2378">
        <v>92.677999999999997</v>
      </c>
      <c r="D2378" t="s">
        <v>14</v>
      </c>
      <c r="E2378" t="s">
        <v>532</v>
      </c>
      <c r="F2378">
        <f t="shared" si="74"/>
        <v>1997</v>
      </c>
      <c r="G2378">
        <f t="shared" si="75"/>
        <v>11</v>
      </c>
      <c r="H2378" t="str">
        <f>IF(ISNUMBER(FIND(",", E2378)), TRIM(MID(E2378, FIND(",", E2378) + 1, LEN(E2378))), E2378)</f>
        <v>India-Bangladesh border region</v>
      </c>
    </row>
    <row r="2379" spans="1:8" x14ac:dyDescent="0.25">
      <c r="A2379" s="2">
        <v>35752</v>
      </c>
      <c r="B2379">
        <v>37.481000000000002</v>
      </c>
      <c r="C2379">
        <v>20.777000000000001</v>
      </c>
      <c r="D2379" t="s">
        <v>14</v>
      </c>
      <c r="E2379" t="s">
        <v>533</v>
      </c>
      <c r="F2379">
        <f t="shared" si="74"/>
        <v>1997</v>
      </c>
      <c r="G2379">
        <f t="shared" si="75"/>
        <v>11</v>
      </c>
      <c r="H2379" t="str">
        <f>IF(ISNUMBER(FIND(",", E2379)), TRIM(MID(E2379, FIND(",", E2379) + 1, LEN(E2379))), E2379)</f>
        <v>Ionian Sea</v>
      </c>
    </row>
    <row r="2380" spans="1:8" x14ac:dyDescent="0.25">
      <c r="A2380" s="2">
        <v>35749</v>
      </c>
      <c r="B2380">
        <v>-15.113</v>
      </c>
      <c r="C2380">
        <v>167.43799999999999</v>
      </c>
      <c r="D2380" t="s">
        <v>14</v>
      </c>
      <c r="E2380" t="s">
        <v>181</v>
      </c>
      <c r="F2380">
        <f t="shared" si="74"/>
        <v>1997</v>
      </c>
      <c r="G2380">
        <f t="shared" si="75"/>
        <v>11</v>
      </c>
      <c r="H2380" t="str">
        <f>IF(ISNUMBER(FIND(",", E2380)), TRIM(MID(E2380, FIND(",", E2380) + 1, LEN(E2380))), E2380)</f>
        <v>Vanuatu</v>
      </c>
    </row>
    <row r="2381" spans="1:8" x14ac:dyDescent="0.25">
      <c r="A2381" s="2">
        <v>35744</v>
      </c>
      <c r="B2381">
        <v>31.207999999999998</v>
      </c>
      <c r="C2381">
        <v>140.46700000000001</v>
      </c>
      <c r="D2381" t="s">
        <v>14</v>
      </c>
      <c r="E2381" t="s">
        <v>88</v>
      </c>
      <c r="F2381">
        <f t="shared" si="74"/>
        <v>1997</v>
      </c>
      <c r="G2381">
        <f t="shared" si="75"/>
        <v>11</v>
      </c>
      <c r="H2381" t="str">
        <f>IF(ISNUMBER(FIND(",", E2381)), TRIM(MID(E2381, FIND(",", E2381) + 1, LEN(E2381))), E2381)</f>
        <v>Japan region</v>
      </c>
    </row>
    <row r="2382" spans="1:8" x14ac:dyDescent="0.25">
      <c r="A2382" s="2">
        <v>35743</v>
      </c>
      <c r="B2382">
        <v>13.853999999999999</v>
      </c>
      <c r="C2382">
        <v>-88.811000000000007</v>
      </c>
      <c r="D2382" t="s">
        <v>14</v>
      </c>
      <c r="E2382" t="s">
        <v>504</v>
      </c>
      <c r="F2382">
        <f t="shared" si="74"/>
        <v>1997</v>
      </c>
      <c r="G2382">
        <f t="shared" si="75"/>
        <v>11</v>
      </c>
      <c r="H2382" t="str">
        <f>IF(ISNUMBER(FIND(",", E2382)), TRIM(MID(E2382, FIND(",", E2382) + 1, LEN(E2382))), E2382)</f>
        <v>El Salvador</v>
      </c>
    </row>
    <row r="2383" spans="1:8" x14ac:dyDescent="0.25">
      <c r="A2383" s="2">
        <v>35742</v>
      </c>
      <c r="B2383">
        <v>35.106000000000002</v>
      </c>
      <c r="C2383">
        <v>87.369</v>
      </c>
      <c r="D2383" t="s">
        <v>14</v>
      </c>
      <c r="E2383" t="s">
        <v>388</v>
      </c>
      <c r="F2383">
        <f t="shared" si="74"/>
        <v>1997</v>
      </c>
      <c r="G2383">
        <f t="shared" si="75"/>
        <v>11</v>
      </c>
      <c r="H2383" t="str">
        <f>IF(ISNUMBER(FIND(",", E2383)), TRIM(MID(E2383, FIND(",", E2383) + 1, LEN(E2383))), E2383)</f>
        <v>western Xizang</v>
      </c>
    </row>
    <row r="2384" spans="1:8" x14ac:dyDescent="0.25">
      <c r="A2384" s="2">
        <v>35737</v>
      </c>
      <c r="B2384">
        <v>-6.7279999999999998</v>
      </c>
      <c r="C2384">
        <v>128.97800000000001</v>
      </c>
      <c r="D2384" t="s">
        <v>14</v>
      </c>
      <c r="E2384" t="s">
        <v>187</v>
      </c>
      <c r="F2384">
        <f t="shared" si="74"/>
        <v>1997</v>
      </c>
      <c r="G2384">
        <f t="shared" si="75"/>
        <v>11</v>
      </c>
      <c r="H2384" t="str">
        <f>IF(ISNUMBER(FIND(",", E2384)), TRIM(MID(E2384, FIND(",", E2384) + 1, LEN(E2384))), E2384)</f>
        <v>Banda Sea</v>
      </c>
    </row>
    <row r="2385" spans="1:8" x14ac:dyDescent="0.25">
      <c r="A2385" s="2">
        <v>35737</v>
      </c>
      <c r="B2385">
        <v>-30.768999999999998</v>
      </c>
      <c r="C2385">
        <v>-71.248999999999995</v>
      </c>
      <c r="D2385" t="s">
        <v>14</v>
      </c>
      <c r="E2385" t="s">
        <v>193</v>
      </c>
      <c r="F2385">
        <f t="shared" si="74"/>
        <v>1997</v>
      </c>
      <c r="G2385">
        <f t="shared" si="75"/>
        <v>11</v>
      </c>
      <c r="H2385" t="str">
        <f>IF(ISNUMBER(FIND(",", E2385)), TRIM(MID(E2385, FIND(",", E2385) + 1, LEN(E2385))), E2385)</f>
        <v>Chile</v>
      </c>
    </row>
    <row r="2386" spans="1:8" x14ac:dyDescent="0.25">
      <c r="A2386" s="2">
        <v>35731</v>
      </c>
      <c r="B2386">
        <v>-4.3550000000000004</v>
      </c>
      <c r="C2386">
        <v>-76.599000000000004</v>
      </c>
      <c r="D2386" t="s">
        <v>14</v>
      </c>
      <c r="E2386" t="s">
        <v>277</v>
      </c>
      <c r="F2386">
        <f t="shared" si="74"/>
        <v>1997</v>
      </c>
      <c r="G2386">
        <f t="shared" si="75"/>
        <v>10</v>
      </c>
      <c r="H2386" t="str">
        <f>IF(ISNUMBER(FIND(",", E2386)), TRIM(MID(E2386, FIND(",", E2386) + 1, LEN(E2386))), E2386)</f>
        <v>northern Peru</v>
      </c>
    </row>
    <row r="2387" spans="1:8" x14ac:dyDescent="0.25">
      <c r="A2387" s="2">
        <v>35720</v>
      </c>
      <c r="B2387">
        <v>-57.536999999999999</v>
      </c>
      <c r="C2387">
        <v>147.989</v>
      </c>
      <c r="D2387" t="s">
        <v>14</v>
      </c>
      <c r="E2387" t="s">
        <v>205</v>
      </c>
      <c r="F2387">
        <f t="shared" si="74"/>
        <v>1997</v>
      </c>
      <c r="G2387">
        <f t="shared" si="75"/>
        <v>10</v>
      </c>
      <c r="H2387" t="str">
        <f>IF(ISNUMBER(FIND(",", E2387)), TRIM(MID(E2387, FIND(",", E2387) + 1, LEN(E2387))), E2387)</f>
        <v>west of Macquarie Island</v>
      </c>
    </row>
    <row r="2388" spans="1:8" x14ac:dyDescent="0.25">
      <c r="A2388" s="2">
        <v>35718</v>
      </c>
      <c r="B2388">
        <v>51.436999999999998</v>
      </c>
      <c r="C2388">
        <v>-177.864</v>
      </c>
      <c r="D2388" t="s">
        <v>14</v>
      </c>
      <c r="E2388" t="s">
        <v>207</v>
      </c>
      <c r="F2388">
        <f t="shared" si="74"/>
        <v>1997</v>
      </c>
      <c r="G2388">
        <f t="shared" si="75"/>
        <v>10</v>
      </c>
      <c r="H2388" t="str">
        <f>IF(ISNUMBER(FIND(",", E2388)), TRIM(MID(E2388, FIND(",", E2388) + 1, LEN(E2388))), E2388)</f>
        <v>Aleutian Islands, Alaska</v>
      </c>
    </row>
    <row r="2389" spans="1:8" x14ac:dyDescent="0.25">
      <c r="A2389" s="2">
        <v>35718</v>
      </c>
      <c r="B2389">
        <v>-30.890999999999998</v>
      </c>
      <c r="C2389">
        <v>-71.153999999999996</v>
      </c>
      <c r="D2389" t="s">
        <v>14</v>
      </c>
      <c r="E2389" t="s">
        <v>193</v>
      </c>
      <c r="F2389">
        <f t="shared" si="74"/>
        <v>1997</v>
      </c>
      <c r="G2389">
        <f t="shared" si="75"/>
        <v>10</v>
      </c>
      <c r="H2389" t="str">
        <f>IF(ISNUMBER(FIND(",", E2389)), TRIM(MID(E2389, FIND(",", E2389) + 1, LEN(E2389))), E2389)</f>
        <v>Chile</v>
      </c>
    </row>
    <row r="2390" spans="1:8" x14ac:dyDescent="0.25">
      <c r="A2390" s="2">
        <v>35717</v>
      </c>
      <c r="B2390">
        <v>-22.256</v>
      </c>
      <c r="C2390">
        <v>-176.62700000000001</v>
      </c>
      <c r="D2390" t="s">
        <v>14</v>
      </c>
      <c r="E2390" t="s">
        <v>256</v>
      </c>
      <c r="F2390">
        <f t="shared" si="74"/>
        <v>1997</v>
      </c>
      <c r="G2390">
        <f t="shared" si="75"/>
        <v>10</v>
      </c>
      <c r="H2390" t="str">
        <f>IF(ISNUMBER(FIND(",", E2390)), TRIM(MID(E2390, FIND(",", E2390) + 1, LEN(E2390))), E2390)</f>
        <v>south of the Fiji Islands</v>
      </c>
    </row>
    <row r="2391" spans="1:8" x14ac:dyDescent="0.25">
      <c r="A2391" s="2">
        <v>35716</v>
      </c>
      <c r="B2391">
        <v>36.392000000000003</v>
      </c>
      <c r="C2391">
        <v>22.161999999999999</v>
      </c>
      <c r="D2391" t="s">
        <v>14</v>
      </c>
      <c r="E2391" t="s">
        <v>398</v>
      </c>
      <c r="F2391">
        <f t="shared" si="74"/>
        <v>1997</v>
      </c>
      <c r="G2391">
        <f t="shared" si="75"/>
        <v>10</v>
      </c>
      <c r="H2391" t="str">
        <f>IF(ISNUMBER(FIND(",", E2391)), TRIM(MID(E2391, FIND(",", E2391) + 1, LEN(E2391))), E2391)</f>
        <v>southern Greece</v>
      </c>
    </row>
    <row r="2392" spans="1:8" x14ac:dyDescent="0.25">
      <c r="A2392" s="2">
        <v>35709</v>
      </c>
      <c r="B2392">
        <v>-9.3469999999999995</v>
      </c>
      <c r="C2392">
        <v>158.82900000000001</v>
      </c>
      <c r="D2392" t="s">
        <v>14</v>
      </c>
      <c r="E2392" t="s">
        <v>221</v>
      </c>
      <c r="F2392">
        <f t="shared" si="74"/>
        <v>1997</v>
      </c>
      <c r="G2392">
        <f t="shared" si="75"/>
        <v>10</v>
      </c>
      <c r="H2392" t="str">
        <f>IF(ISNUMBER(FIND(",", E2392)), TRIM(MID(E2392, FIND(",", E2392) + 1, LEN(E2392))), E2392)</f>
        <v>Solomon Islands</v>
      </c>
    </row>
    <row r="2393" spans="1:8" x14ac:dyDescent="0.25">
      <c r="A2393" s="2">
        <v>35709</v>
      </c>
      <c r="B2393">
        <v>9.7970000000000006</v>
      </c>
      <c r="C2393">
        <v>125.736</v>
      </c>
      <c r="D2393" t="s">
        <v>14</v>
      </c>
      <c r="E2393" t="s">
        <v>200</v>
      </c>
      <c r="F2393">
        <f t="shared" si="74"/>
        <v>1997</v>
      </c>
      <c r="G2393">
        <f t="shared" si="75"/>
        <v>10</v>
      </c>
      <c r="H2393" t="str">
        <f>IF(ISNUMBER(FIND(",", E2393)), TRIM(MID(E2393, FIND(",", E2393) + 1, LEN(E2393))), E2393)</f>
        <v>Philippines</v>
      </c>
    </row>
    <row r="2394" spans="1:8" x14ac:dyDescent="0.25">
      <c r="A2394" s="2">
        <v>35708</v>
      </c>
      <c r="B2394">
        <v>-59.704000000000001</v>
      </c>
      <c r="C2394">
        <v>-29.274000000000001</v>
      </c>
      <c r="D2394" t="s">
        <v>14</v>
      </c>
      <c r="E2394" t="s">
        <v>260</v>
      </c>
      <c r="F2394">
        <f t="shared" si="74"/>
        <v>1997</v>
      </c>
      <c r="G2394">
        <f t="shared" si="75"/>
        <v>10</v>
      </c>
      <c r="H2394" t="str">
        <f>IF(ISNUMBER(FIND(",", E2394)), TRIM(MID(E2394, FIND(",", E2394) + 1, LEN(E2394))), E2394)</f>
        <v>South Sandwich Islands region</v>
      </c>
    </row>
    <row r="2395" spans="1:8" x14ac:dyDescent="0.25">
      <c r="A2395" s="2">
        <v>35703</v>
      </c>
      <c r="B2395">
        <v>31.957999999999998</v>
      </c>
      <c r="C2395">
        <v>141.946</v>
      </c>
      <c r="D2395" t="s">
        <v>14</v>
      </c>
      <c r="E2395" t="s">
        <v>88</v>
      </c>
      <c r="F2395">
        <f t="shared" si="74"/>
        <v>1997</v>
      </c>
      <c r="G2395">
        <f t="shared" si="75"/>
        <v>9</v>
      </c>
      <c r="H2395" t="str">
        <f>IF(ISNUMBER(FIND(",", E2395)), TRIM(MID(E2395, FIND(",", E2395) + 1, LEN(E2395))), E2395)</f>
        <v>Japan region</v>
      </c>
    </row>
    <row r="2396" spans="1:8" x14ac:dyDescent="0.25">
      <c r="A2396" s="2">
        <v>35693</v>
      </c>
      <c r="B2396">
        <v>-28.795000000000002</v>
      </c>
      <c r="C2396">
        <v>-177.43700000000001</v>
      </c>
      <c r="D2396" t="s">
        <v>14</v>
      </c>
      <c r="E2396" t="s">
        <v>240</v>
      </c>
      <c r="F2396">
        <f t="shared" si="74"/>
        <v>1997</v>
      </c>
      <c r="G2396">
        <f t="shared" si="75"/>
        <v>9</v>
      </c>
      <c r="H2396" t="str">
        <f>IF(ISNUMBER(FIND(",", E2396)), TRIM(MID(E2396, FIND(",", E2396) + 1, LEN(E2396))), E2396)</f>
        <v>Kermadec Islands region</v>
      </c>
    </row>
    <row r="2397" spans="1:8" x14ac:dyDescent="0.25">
      <c r="A2397" s="2">
        <v>35677</v>
      </c>
      <c r="B2397">
        <v>-26.51</v>
      </c>
      <c r="C2397">
        <v>178.44300000000001</v>
      </c>
      <c r="D2397" t="s">
        <v>14</v>
      </c>
      <c r="E2397" t="s">
        <v>256</v>
      </c>
      <c r="F2397">
        <f t="shared" si="74"/>
        <v>1997</v>
      </c>
      <c r="G2397">
        <f t="shared" si="75"/>
        <v>9</v>
      </c>
      <c r="H2397" t="str">
        <f>IF(ISNUMBER(FIND(",", E2397)), TRIM(MID(E2397, FIND(",", E2397) + 1, LEN(E2397))), E2397)</f>
        <v>south of the Fiji Islands</v>
      </c>
    </row>
    <row r="2398" spans="1:8" x14ac:dyDescent="0.25">
      <c r="A2398" s="2">
        <v>35676</v>
      </c>
      <c r="B2398">
        <v>-55.185000000000002</v>
      </c>
      <c r="C2398">
        <v>-128.89699999999999</v>
      </c>
      <c r="D2398" t="s">
        <v>14</v>
      </c>
      <c r="E2398" t="s">
        <v>179</v>
      </c>
      <c r="F2398">
        <f t="shared" si="74"/>
        <v>1997</v>
      </c>
      <c r="G2398">
        <f t="shared" si="75"/>
        <v>9</v>
      </c>
      <c r="H2398" t="str">
        <f>IF(ISNUMBER(FIND(",", E2398)), TRIM(MID(E2398, FIND(",", E2398) + 1, LEN(E2398))), E2398)</f>
        <v>Pacific-Antarctic Ridge</v>
      </c>
    </row>
    <row r="2399" spans="1:8" x14ac:dyDescent="0.25">
      <c r="A2399" s="2">
        <v>35675</v>
      </c>
      <c r="B2399">
        <v>3.823</v>
      </c>
      <c r="C2399">
        <v>-75.697000000000003</v>
      </c>
      <c r="D2399" t="s">
        <v>14</v>
      </c>
      <c r="E2399" t="s">
        <v>206</v>
      </c>
      <c r="F2399">
        <f t="shared" si="74"/>
        <v>1997</v>
      </c>
      <c r="G2399">
        <f t="shared" si="75"/>
        <v>9</v>
      </c>
      <c r="H2399" t="str">
        <f>IF(ISNUMBER(FIND(",", E2399)), TRIM(MID(E2399, FIND(",", E2399) + 1, LEN(E2399))), E2399)</f>
        <v>Colombia</v>
      </c>
    </row>
    <row r="2400" spans="1:8" x14ac:dyDescent="0.25">
      <c r="A2400" s="2">
        <v>35671</v>
      </c>
      <c r="B2400">
        <v>-3.5209999999999999</v>
      </c>
      <c r="C2400">
        <v>144.417</v>
      </c>
      <c r="D2400" t="s">
        <v>14</v>
      </c>
      <c r="E2400" t="s">
        <v>216</v>
      </c>
      <c r="F2400">
        <f t="shared" si="74"/>
        <v>1997</v>
      </c>
      <c r="G2400">
        <f t="shared" si="75"/>
        <v>8</v>
      </c>
      <c r="H2400" t="str">
        <f>IF(ISNUMBER(FIND(",", E2400)), TRIM(MID(E2400, FIND(",", E2400) + 1, LEN(E2400))), E2400)</f>
        <v>Papua New Guinea</v>
      </c>
    </row>
    <row r="2401" spans="1:8" x14ac:dyDescent="0.25">
      <c r="A2401" s="2">
        <v>35671</v>
      </c>
      <c r="B2401">
        <v>-15.242000000000001</v>
      </c>
      <c r="C2401">
        <v>-175.40600000000001</v>
      </c>
      <c r="D2401" t="s">
        <v>14</v>
      </c>
      <c r="E2401" t="s">
        <v>239</v>
      </c>
      <c r="F2401">
        <f t="shared" si="74"/>
        <v>1997</v>
      </c>
      <c r="G2401">
        <f t="shared" si="75"/>
        <v>8</v>
      </c>
      <c r="H2401" t="str">
        <f>IF(ISNUMBER(FIND(",", E2401)), TRIM(MID(E2401, FIND(",", E2401) + 1, LEN(E2401))), E2401)</f>
        <v>Tonga</v>
      </c>
    </row>
    <row r="2402" spans="1:8" x14ac:dyDescent="0.25">
      <c r="A2402" s="2">
        <v>35662</v>
      </c>
      <c r="B2402">
        <v>-41.701999999999998</v>
      </c>
      <c r="C2402">
        <v>80.073999999999998</v>
      </c>
      <c r="D2402" t="s">
        <v>14</v>
      </c>
      <c r="E2402" t="s">
        <v>377</v>
      </c>
      <c r="F2402">
        <f t="shared" si="74"/>
        <v>1997</v>
      </c>
      <c r="G2402">
        <f t="shared" si="75"/>
        <v>8</v>
      </c>
      <c r="H2402" t="str">
        <f>IF(ISNUMBER(FIND(",", E2402)), TRIM(MID(E2402, FIND(",", E2402) + 1, LEN(E2402))), E2402)</f>
        <v>Mid-Indian Ridge</v>
      </c>
    </row>
    <row r="2403" spans="1:8" x14ac:dyDescent="0.25">
      <c r="A2403" s="2">
        <v>35657</v>
      </c>
      <c r="B2403">
        <v>-4.3819999999999997</v>
      </c>
      <c r="C2403">
        <v>-105.786</v>
      </c>
      <c r="D2403" t="s">
        <v>14</v>
      </c>
      <c r="E2403" t="s">
        <v>381</v>
      </c>
      <c r="F2403">
        <f t="shared" si="74"/>
        <v>1997</v>
      </c>
      <c r="G2403">
        <f t="shared" si="75"/>
        <v>8</v>
      </c>
      <c r="H2403" t="str">
        <f>IF(ISNUMBER(FIND(",", E2403)), TRIM(MID(E2403, FIND(",", E2403) + 1, LEN(E2403))), E2403)</f>
        <v>central East Pacific Rise</v>
      </c>
    </row>
    <row r="2404" spans="1:8" x14ac:dyDescent="0.25">
      <c r="A2404" s="2">
        <v>35655</v>
      </c>
      <c r="B2404">
        <v>25.167000000000002</v>
      </c>
      <c r="C2404">
        <v>125.85299999999999</v>
      </c>
      <c r="D2404" t="s">
        <v>14</v>
      </c>
      <c r="E2404" t="s">
        <v>312</v>
      </c>
      <c r="F2404">
        <f t="shared" si="74"/>
        <v>1997</v>
      </c>
      <c r="G2404">
        <f t="shared" si="75"/>
        <v>8</v>
      </c>
      <c r="H2404" t="str">
        <f>IF(ISNUMBER(FIND(",", E2404)), TRIM(MID(E2404, FIND(",", E2404) + 1, LEN(E2404))), E2404)</f>
        <v>Japan</v>
      </c>
    </row>
    <row r="2405" spans="1:8" x14ac:dyDescent="0.25">
      <c r="A2405" s="2">
        <v>35652</v>
      </c>
      <c r="B2405">
        <v>-16.154</v>
      </c>
      <c r="C2405">
        <v>124.33799999999999</v>
      </c>
      <c r="D2405" t="s">
        <v>14</v>
      </c>
      <c r="E2405" t="s">
        <v>534</v>
      </c>
      <c r="F2405">
        <f t="shared" si="74"/>
        <v>1997</v>
      </c>
      <c r="G2405">
        <f t="shared" si="75"/>
        <v>8</v>
      </c>
      <c r="H2405" t="str">
        <f>IF(ISNUMBER(FIND(",", E2405)), TRIM(MID(E2405, FIND(",", E2405) + 1, LEN(E2405))), E2405)</f>
        <v>Western Australia</v>
      </c>
    </row>
    <row r="2406" spans="1:8" x14ac:dyDescent="0.25">
      <c r="A2406" s="2">
        <v>35650</v>
      </c>
      <c r="B2406">
        <v>-15.656000000000001</v>
      </c>
      <c r="C2406">
        <v>-178.98400000000001</v>
      </c>
      <c r="D2406" t="s">
        <v>14</v>
      </c>
      <c r="E2406" t="s">
        <v>53</v>
      </c>
      <c r="F2406">
        <f t="shared" si="74"/>
        <v>1997</v>
      </c>
      <c r="G2406">
        <f t="shared" si="75"/>
        <v>8</v>
      </c>
      <c r="H2406" t="str">
        <f>IF(ISNUMBER(FIND(",", E2406)), TRIM(MID(E2406, FIND(",", E2406) + 1, LEN(E2406))), E2406)</f>
        <v>Fiji region</v>
      </c>
    </row>
    <row r="2407" spans="1:8" x14ac:dyDescent="0.25">
      <c r="A2407" s="2">
        <v>35638</v>
      </c>
      <c r="B2407">
        <v>-30.533000000000001</v>
      </c>
      <c r="C2407">
        <v>-71.977000000000004</v>
      </c>
      <c r="D2407" t="s">
        <v>14</v>
      </c>
      <c r="E2407" t="s">
        <v>442</v>
      </c>
      <c r="F2407">
        <f t="shared" si="74"/>
        <v>1997</v>
      </c>
      <c r="G2407">
        <f t="shared" si="75"/>
        <v>7</v>
      </c>
      <c r="H2407" t="str">
        <f>IF(ISNUMBER(FIND(",", E2407)), TRIM(MID(E2407, FIND(",", E2407) + 1, LEN(E2407))), E2407)</f>
        <v>Chile</v>
      </c>
    </row>
    <row r="2408" spans="1:8" x14ac:dyDescent="0.25">
      <c r="A2408" s="2">
        <v>35631</v>
      </c>
      <c r="B2408">
        <v>-22.905999999999999</v>
      </c>
      <c r="C2408">
        <v>-66.236000000000004</v>
      </c>
      <c r="D2408" t="s">
        <v>14</v>
      </c>
      <c r="E2408" t="s">
        <v>347</v>
      </c>
      <c r="F2408">
        <f t="shared" si="74"/>
        <v>1997</v>
      </c>
      <c r="G2408">
        <f t="shared" si="75"/>
        <v>7</v>
      </c>
      <c r="H2408" t="str">
        <f>IF(ISNUMBER(FIND(",", E2408)), TRIM(MID(E2408, FIND(",", E2408) + 1, LEN(E2408))), E2408)</f>
        <v>Argentina</v>
      </c>
    </row>
    <row r="2409" spans="1:8" x14ac:dyDescent="0.25">
      <c r="A2409" s="2">
        <v>35630</v>
      </c>
      <c r="B2409">
        <v>16.202000000000002</v>
      </c>
      <c r="C2409">
        <v>-98.156000000000006</v>
      </c>
      <c r="D2409" t="s">
        <v>14</v>
      </c>
      <c r="E2409" t="s">
        <v>535</v>
      </c>
      <c r="F2409">
        <f t="shared" si="74"/>
        <v>1997</v>
      </c>
      <c r="G2409">
        <f t="shared" si="75"/>
        <v>7</v>
      </c>
      <c r="H2409" t="str">
        <f>IF(ISNUMBER(FIND(",", E2409)), TRIM(MID(E2409, FIND(",", E2409) + 1, LEN(E2409))), E2409)</f>
        <v>Mexico</v>
      </c>
    </row>
    <row r="2410" spans="1:8" x14ac:dyDescent="0.25">
      <c r="A2410" s="2">
        <v>35625</v>
      </c>
      <c r="B2410">
        <v>43.253999999999998</v>
      </c>
      <c r="C2410">
        <v>146.35400000000001</v>
      </c>
      <c r="D2410" t="s">
        <v>14</v>
      </c>
      <c r="E2410" t="s">
        <v>191</v>
      </c>
      <c r="F2410">
        <f t="shared" si="74"/>
        <v>1997</v>
      </c>
      <c r="G2410">
        <f t="shared" si="75"/>
        <v>7</v>
      </c>
      <c r="H2410" t="str">
        <f>IF(ISNUMBER(FIND(",", E2410)), TRIM(MID(E2410, FIND(",", E2410) + 1, LEN(E2410))), E2410)</f>
        <v>Kuril Islands</v>
      </c>
    </row>
    <row r="2411" spans="1:8" x14ac:dyDescent="0.25">
      <c r="A2411" s="2">
        <v>35620</v>
      </c>
      <c r="B2411">
        <v>10.465</v>
      </c>
      <c r="C2411">
        <v>-63.531999999999996</v>
      </c>
      <c r="D2411" t="s">
        <v>14</v>
      </c>
      <c r="E2411" t="s">
        <v>536</v>
      </c>
      <c r="F2411">
        <f t="shared" si="74"/>
        <v>1997</v>
      </c>
      <c r="G2411">
        <f t="shared" si="75"/>
        <v>7</v>
      </c>
      <c r="H2411" t="str">
        <f>IF(ISNUMBER(FIND(",", E2411)), TRIM(MID(E2411, FIND(",", E2411) + 1, LEN(E2411))), E2411)</f>
        <v>Venezuela</v>
      </c>
    </row>
    <row r="2412" spans="1:8" x14ac:dyDescent="0.25">
      <c r="A2412" s="2">
        <v>35617</v>
      </c>
      <c r="B2412">
        <v>-30.117999999999999</v>
      </c>
      <c r="C2412">
        <v>-71.924999999999997</v>
      </c>
      <c r="D2412" t="s">
        <v>14</v>
      </c>
      <c r="E2412" t="s">
        <v>442</v>
      </c>
      <c r="F2412">
        <f t="shared" si="74"/>
        <v>1997</v>
      </c>
      <c r="G2412">
        <f t="shared" si="75"/>
        <v>7</v>
      </c>
      <c r="H2412" t="str">
        <f>IF(ISNUMBER(FIND(",", E2412)), TRIM(MID(E2412, FIND(",", E2412) + 1, LEN(E2412))), E2412)</f>
        <v>Chile</v>
      </c>
    </row>
    <row r="2413" spans="1:8" x14ac:dyDescent="0.25">
      <c r="A2413" s="2">
        <v>35607</v>
      </c>
      <c r="B2413">
        <v>-49.713999999999999</v>
      </c>
      <c r="C2413">
        <v>-114.73099999999999</v>
      </c>
      <c r="D2413" t="s">
        <v>14</v>
      </c>
      <c r="E2413" t="s">
        <v>268</v>
      </c>
      <c r="F2413">
        <f t="shared" si="74"/>
        <v>1997</v>
      </c>
      <c r="G2413">
        <f t="shared" si="75"/>
        <v>6</v>
      </c>
      <c r="H2413" t="str">
        <f>IF(ISNUMBER(FIND(",", E2413)), TRIM(MID(E2413, FIND(",", E2413) + 1, LEN(E2413))), E2413)</f>
        <v>southern East Pacific Rise</v>
      </c>
    </row>
    <row r="2414" spans="1:8" x14ac:dyDescent="0.25">
      <c r="A2414" s="2">
        <v>35605</v>
      </c>
      <c r="B2414">
        <v>-1.873</v>
      </c>
      <c r="C2414">
        <v>127.913</v>
      </c>
      <c r="D2414" t="s">
        <v>14</v>
      </c>
      <c r="E2414" t="s">
        <v>330</v>
      </c>
      <c r="F2414">
        <f t="shared" si="74"/>
        <v>1997</v>
      </c>
      <c r="G2414">
        <f t="shared" si="75"/>
        <v>6</v>
      </c>
      <c r="H2414" t="str">
        <f>IF(ISNUMBER(FIND(",", E2414)), TRIM(MID(E2414, FIND(",", E2414) + 1, LEN(E2414))), E2414)</f>
        <v>Indonesia</v>
      </c>
    </row>
    <row r="2415" spans="1:8" x14ac:dyDescent="0.25">
      <c r="A2415" s="2">
        <v>35598</v>
      </c>
      <c r="B2415">
        <v>51.343000000000004</v>
      </c>
      <c r="C2415">
        <v>-179.304</v>
      </c>
      <c r="D2415" t="s">
        <v>14</v>
      </c>
      <c r="E2415" t="s">
        <v>207</v>
      </c>
      <c r="F2415">
        <f t="shared" si="74"/>
        <v>1997</v>
      </c>
      <c r="G2415">
        <f t="shared" si="75"/>
        <v>6</v>
      </c>
      <c r="H2415" t="str">
        <f>IF(ISNUMBER(FIND(",", E2415)), TRIM(MID(E2415, FIND(",", E2415) + 1, LEN(E2415))), E2415)</f>
        <v>Aleutian Islands, Alaska</v>
      </c>
    </row>
    <row r="2416" spans="1:8" x14ac:dyDescent="0.25">
      <c r="A2416" s="2">
        <v>35593</v>
      </c>
      <c r="B2416">
        <v>-5.9660000000000002</v>
      </c>
      <c r="C2416">
        <v>147.06399999999999</v>
      </c>
      <c r="D2416" t="s">
        <v>14</v>
      </c>
      <c r="E2416" t="s">
        <v>243</v>
      </c>
      <c r="F2416">
        <f t="shared" si="74"/>
        <v>1997</v>
      </c>
      <c r="G2416">
        <f t="shared" si="75"/>
        <v>6</v>
      </c>
      <c r="H2416" t="str">
        <f>IF(ISNUMBER(FIND(",", E2416)), TRIM(MID(E2416, FIND(",", E2416) + 1, LEN(E2416))), E2416)</f>
        <v>Papua New Guinea</v>
      </c>
    </row>
    <row r="2417" spans="1:8" x14ac:dyDescent="0.25">
      <c r="A2417" s="2">
        <v>35591</v>
      </c>
      <c r="B2417">
        <v>-35.744999999999997</v>
      </c>
      <c r="C2417">
        <v>-108.129</v>
      </c>
      <c r="D2417" t="s">
        <v>14</v>
      </c>
      <c r="E2417" t="s">
        <v>268</v>
      </c>
      <c r="F2417">
        <f t="shared" si="74"/>
        <v>1997</v>
      </c>
      <c r="G2417">
        <f t="shared" si="75"/>
        <v>6</v>
      </c>
      <c r="H2417" t="str">
        <f>IF(ISNUMBER(FIND(",", E2417)), TRIM(MID(E2417, FIND(",", E2417) + 1, LEN(E2417))), E2417)</f>
        <v>southern East Pacific Rise</v>
      </c>
    </row>
    <row r="2418" spans="1:8" x14ac:dyDescent="0.25">
      <c r="A2418" s="2">
        <v>35583</v>
      </c>
      <c r="B2418">
        <v>-57.84</v>
      </c>
      <c r="C2418">
        <v>-25.536000000000001</v>
      </c>
      <c r="D2418" t="s">
        <v>14</v>
      </c>
      <c r="E2418" t="s">
        <v>260</v>
      </c>
      <c r="F2418">
        <f t="shared" si="74"/>
        <v>1997</v>
      </c>
      <c r="G2418">
        <f t="shared" si="75"/>
        <v>6</v>
      </c>
      <c r="H2418" t="str">
        <f>IF(ISNUMBER(FIND(",", E2418)), TRIM(MID(E2418, FIND(",", E2418) + 1, LEN(E2418))), E2418)</f>
        <v>South Sandwich Islands region</v>
      </c>
    </row>
    <row r="2419" spans="1:8" x14ac:dyDescent="0.25">
      <c r="A2419" s="2">
        <v>35579</v>
      </c>
      <c r="B2419">
        <v>-35.905999999999999</v>
      </c>
      <c r="C2419">
        <v>-102.509</v>
      </c>
      <c r="D2419" t="s">
        <v>14</v>
      </c>
      <c r="E2419" t="s">
        <v>364</v>
      </c>
      <c r="F2419">
        <f t="shared" si="74"/>
        <v>1997</v>
      </c>
      <c r="G2419">
        <f t="shared" si="75"/>
        <v>5</v>
      </c>
      <c r="H2419" t="str">
        <f>IF(ISNUMBER(FIND(",", E2419)), TRIM(MID(E2419, FIND(",", E2419) + 1, LEN(E2419))), E2419)</f>
        <v>southeast of Easter Island</v>
      </c>
    </row>
    <row r="2420" spans="1:8" x14ac:dyDescent="0.25">
      <c r="A2420" s="2">
        <v>35577</v>
      </c>
      <c r="B2420">
        <v>-15.37</v>
      </c>
      <c r="C2420">
        <v>-173.09</v>
      </c>
      <c r="D2420" t="s">
        <v>14</v>
      </c>
      <c r="E2420" t="s">
        <v>239</v>
      </c>
      <c r="F2420">
        <f t="shared" si="74"/>
        <v>1997</v>
      </c>
      <c r="G2420">
        <f t="shared" si="75"/>
        <v>5</v>
      </c>
      <c r="H2420" t="str">
        <f>IF(ISNUMBER(FIND(",", E2420)), TRIM(MID(E2420, FIND(",", E2420) + 1, LEN(E2420))), E2420)</f>
        <v>Tonga</v>
      </c>
    </row>
    <row r="2421" spans="1:8" x14ac:dyDescent="0.25">
      <c r="A2421" s="2">
        <v>35575</v>
      </c>
      <c r="B2421">
        <v>-32.255000000000003</v>
      </c>
      <c r="C2421">
        <v>179.928</v>
      </c>
      <c r="D2421" t="s">
        <v>14</v>
      </c>
      <c r="E2421" t="s">
        <v>262</v>
      </c>
      <c r="F2421">
        <f t="shared" si="74"/>
        <v>1997</v>
      </c>
      <c r="G2421">
        <f t="shared" si="75"/>
        <v>5</v>
      </c>
      <c r="H2421" t="str">
        <f>IF(ISNUMBER(FIND(",", E2421)), TRIM(MID(E2421, FIND(",", E2421) + 1, LEN(E2421))), E2421)</f>
        <v>south of the Kermadec Islands</v>
      </c>
    </row>
    <row r="2422" spans="1:8" x14ac:dyDescent="0.25">
      <c r="A2422" s="2">
        <v>35572</v>
      </c>
      <c r="B2422">
        <v>18.651</v>
      </c>
      <c r="C2422">
        <v>-101.64100000000001</v>
      </c>
      <c r="D2422" t="s">
        <v>14</v>
      </c>
      <c r="E2422" t="s">
        <v>248</v>
      </c>
      <c r="F2422">
        <f t="shared" si="74"/>
        <v>1997</v>
      </c>
      <c r="G2422">
        <f t="shared" si="75"/>
        <v>5</v>
      </c>
      <c r="H2422" t="str">
        <f>IF(ISNUMBER(FIND(",", E2422)), TRIM(MID(E2422, FIND(",", E2422) + 1, LEN(E2422))), E2422)</f>
        <v>Mexico</v>
      </c>
    </row>
    <row r="2423" spans="1:8" x14ac:dyDescent="0.25">
      <c r="A2423" s="2">
        <v>35571</v>
      </c>
      <c r="B2423">
        <v>-20.388000000000002</v>
      </c>
      <c r="C2423">
        <v>169.33500000000001</v>
      </c>
      <c r="D2423" t="s">
        <v>14</v>
      </c>
      <c r="E2423" t="s">
        <v>181</v>
      </c>
      <c r="F2423">
        <f t="shared" si="74"/>
        <v>1997</v>
      </c>
      <c r="G2423">
        <f t="shared" si="75"/>
        <v>5</v>
      </c>
      <c r="H2423" t="str">
        <f>IF(ISNUMBER(FIND(",", E2423)), TRIM(MID(E2423, FIND(",", E2423) + 1, LEN(E2423))), E2423)</f>
        <v>Vanuatu</v>
      </c>
    </row>
    <row r="2424" spans="1:8" x14ac:dyDescent="0.25">
      <c r="A2424" s="2">
        <v>35563</v>
      </c>
      <c r="B2424">
        <v>36.454000000000001</v>
      </c>
      <c r="C2424">
        <v>71.007000000000005</v>
      </c>
      <c r="D2424" t="s">
        <v>14</v>
      </c>
      <c r="E2424" t="s">
        <v>314</v>
      </c>
      <c r="F2424">
        <f t="shared" si="74"/>
        <v>1997</v>
      </c>
      <c r="G2424">
        <f t="shared" si="75"/>
        <v>5</v>
      </c>
      <c r="H2424" t="str">
        <f>IF(ISNUMBER(FIND(",", E2424)), TRIM(MID(E2424, FIND(",", E2424) + 1, LEN(E2424))), E2424)</f>
        <v>Afghanistan</v>
      </c>
    </row>
    <row r="2425" spans="1:8" x14ac:dyDescent="0.25">
      <c r="A2425" s="2">
        <v>35561</v>
      </c>
      <c r="B2425">
        <v>-36.487000000000002</v>
      </c>
      <c r="C2425">
        <v>-97.873999999999995</v>
      </c>
      <c r="D2425" t="s">
        <v>14</v>
      </c>
      <c r="E2425" t="s">
        <v>71</v>
      </c>
      <c r="F2425">
        <f t="shared" si="74"/>
        <v>1997</v>
      </c>
      <c r="G2425">
        <f t="shared" si="75"/>
        <v>5</v>
      </c>
      <c r="H2425" t="str">
        <f>IF(ISNUMBER(FIND(",", E2425)), TRIM(MID(E2425, FIND(",", E2425) + 1, LEN(E2425))), E2425)</f>
        <v>West Chile Rise</v>
      </c>
    </row>
    <row r="2426" spans="1:8" x14ac:dyDescent="0.25">
      <c r="A2426" s="2">
        <v>35560</v>
      </c>
      <c r="B2426">
        <v>33.832999999999998</v>
      </c>
      <c r="C2426">
        <v>59.796999999999997</v>
      </c>
      <c r="D2426" t="s">
        <v>14</v>
      </c>
      <c r="E2426" t="s">
        <v>528</v>
      </c>
      <c r="F2426">
        <f t="shared" si="74"/>
        <v>1997</v>
      </c>
      <c r="G2426">
        <f t="shared" si="75"/>
        <v>5</v>
      </c>
      <c r="H2426" t="str">
        <f>IF(ISNUMBER(FIND(",", E2426)), TRIM(MID(E2426, FIND(",", E2426) + 1, LEN(E2426))), E2426)</f>
        <v>eastern Iran</v>
      </c>
    </row>
    <row r="2427" spans="1:8" x14ac:dyDescent="0.25">
      <c r="A2427" s="2">
        <v>35553</v>
      </c>
      <c r="B2427">
        <v>-31.832999999999998</v>
      </c>
      <c r="C2427">
        <v>-179.22200000000001</v>
      </c>
      <c r="D2427" t="s">
        <v>14</v>
      </c>
      <c r="E2427" t="s">
        <v>240</v>
      </c>
      <c r="F2427">
        <f t="shared" si="74"/>
        <v>1997</v>
      </c>
      <c r="G2427">
        <f t="shared" si="75"/>
        <v>5</v>
      </c>
      <c r="H2427" t="str">
        <f>IF(ISNUMBER(FIND(",", E2427)), TRIM(MID(E2427, FIND(",", E2427) + 1, LEN(E2427))), E2427)</f>
        <v>Kermadec Islands region</v>
      </c>
    </row>
    <row r="2428" spans="1:8" x14ac:dyDescent="0.25">
      <c r="A2428" s="2">
        <v>35551</v>
      </c>
      <c r="B2428">
        <v>18.858000000000001</v>
      </c>
      <c r="C2428">
        <v>-107.369</v>
      </c>
      <c r="D2428" t="s">
        <v>14</v>
      </c>
      <c r="E2428" t="s">
        <v>315</v>
      </c>
      <c r="F2428">
        <f t="shared" si="74"/>
        <v>1997</v>
      </c>
      <c r="G2428">
        <f t="shared" si="75"/>
        <v>5</v>
      </c>
      <c r="H2428" t="str">
        <f>IF(ISNUMBER(FIND(",", E2428)), TRIM(MID(E2428, FIND(",", E2428) + 1, LEN(E2428))), E2428)</f>
        <v>Mexico</v>
      </c>
    </row>
    <row r="2429" spans="1:8" x14ac:dyDescent="0.25">
      <c r="A2429" s="2">
        <v>35548</v>
      </c>
      <c r="B2429">
        <v>-42.374000000000002</v>
      </c>
      <c r="C2429">
        <v>42.518999999999998</v>
      </c>
      <c r="D2429" t="s">
        <v>14</v>
      </c>
      <c r="E2429" t="s">
        <v>369</v>
      </c>
      <c r="F2429">
        <f t="shared" si="74"/>
        <v>1997</v>
      </c>
      <c r="G2429">
        <f t="shared" si="75"/>
        <v>4</v>
      </c>
      <c r="H2429" t="str">
        <f>IF(ISNUMBER(FIND(",", E2429)), TRIM(MID(E2429, FIND(",", E2429) + 1, LEN(E2429))), E2429)</f>
        <v>Prince Edward Islands region</v>
      </c>
    </row>
    <row r="2430" spans="1:8" x14ac:dyDescent="0.25">
      <c r="A2430" s="2">
        <v>35543</v>
      </c>
      <c r="B2430">
        <v>13.991</v>
      </c>
      <c r="C2430">
        <v>145.03</v>
      </c>
      <c r="D2430" t="s">
        <v>14</v>
      </c>
      <c r="E2430" t="s">
        <v>403</v>
      </c>
      <c r="F2430">
        <f t="shared" si="74"/>
        <v>1997</v>
      </c>
      <c r="G2430">
        <f t="shared" si="75"/>
        <v>4</v>
      </c>
      <c r="H2430" t="str">
        <f>IF(ISNUMBER(FIND(",", E2430)), TRIM(MID(E2430, FIND(",", E2430) + 1, LEN(E2430))), E2430)</f>
        <v>Guam region</v>
      </c>
    </row>
    <row r="2431" spans="1:8" x14ac:dyDescent="0.25">
      <c r="A2431" s="2">
        <v>35542</v>
      </c>
      <c r="B2431">
        <v>11.124000000000001</v>
      </c>
      <c r="C2431">
        <v>-61.061</v>
      </c>
      <c r="D2431" t="s">
        <v>14</v>
      </c>
      <c r="E2431" t="s">
        <v>537</v>
      </c>
      <c r="F2431">
        <f t="shared" si="74"/>
        <v>1997</v>
      </c>
      <c r="G2431">
        <f t="shared" si="75"/>
        <v>4</v>
      </c>
      <c r="H2431" t="str">
        <f>IF(ISNUMBER(FIND(",", E2431)), TRIM(MID(E2431, FIND(",", E2431) + 1, LEN(E2431))), E2431)</f>
        <v>Trinidad and Tobago</v>
      </c>
    </row>
    <row r="2432" spans="1:8" x14ac:dyDescent="0.25">
      <c r="A2432" s="2">
        <v>35541</v>
      </c>
      <c r="B2432">
        <v>-13.406000000000001</v>
      </c>
      <c r="C2432">
        <v>166.34399999999999</v>
      </c>
      <c r="D2432" t="s">
        <v>13</v>
      </c>
      <c r="E2432" t="s">
        <v>181</v>
      </c>
      <c r="F2432">
        <f t="shared" si="74"/>
        <v>1997</v>
      </c>
      <c r="G2432">
        <f t="shared" si="75"/>
        <v>4</v>
      </c>
      <c r="H2432" t="str">
        <f>IF(ISNUMBER(FIND(",", E2432)), TRIM(MID(E2432, FIND(",", E2432) + 1, LEN(E2432))), E2432)</f>
        <v>Vanuatu</v>
      </c>
    </row>
    <row r="2433" spans="1:8" x14ac:dyDescent="0.25">
      <c r="A2433" s="2">
        <v>35541</v>
      </c>
      <c r="B2433">
        <v>-13.513999999999999</v>
      </c>
      <c r="C2433">
        <v>166.68</v>
      </c>
      <c r="D2433" t="s">
        <v>13</v>
      </c>
      <c r="E2433" t="s">
        <v>181</v>
      </c>
      <c r="F2433">
        <f t="shared" si="74"/>
        <v>1997</v>
      </c>
      <c r="G2433">
        <f t="shared" si="75"/>
        <v>4</v>
      </c>
      <c r="H2433" t="str">
        <f>IF(ISNUMBER(FIND(",", E2433)), TRIM(MID(E2433, FIND(",", E2433) + 1, LEN(E2433))), E2433)</f>
        <v>Vanuatu</v>
      </c>
    </row>
    <row r="2434" spans="1:8" x14ac:dyDescent="0.25">
      <c r="A2434" s="2">
        <v>35541</v>
      </c>
      <c r="B2434">
        <v>-12.561999999999999</v>
      </c>
      <c r="C2434">
        <v>166.79599999999999</v>
      </c>
      <c r="D2434" t="s">
        <v>14</v>
      </c>
      <c r="E2434" t="s">
        <v>211</v>
      </c>
      <c r="F2434">
        <f t="shared" ref="F2434:F2497" si="76">YEAR(A2434)</f>
        <v>1997</v>
      </c>
      <c r="G2434">
        <f t="shared" si="75"/>
        <v>4</v>
      </c>
      <c r="H2434" t="str">
        <f>IF(ISNUMBER(FIND(",", E2434)), TRIM(MID(E2434, FIND(",", E2434) + 1, LEN(E2434))), E2434)</f>
        <v>Santa Cruz Islands</v>
      </c>
    </row>
    <row r="2435" spans="1:8" x14ac:dyDescent="0.25">
      <c r="A2435" s="2">
        <v>35531</v>
      </c>
      <c r="B2435">
        <v>39.527999999999999</v>
      </c>
      <c r="C2435">
        <v>76.941999999999993</v>
      </c>
      <c r="D2435" t="s">
        <v>14</v>
      </c>
      <c r="E2435" t="s">
        <v>482</v>
      </c>
      <c r="F2435">
        <f t="shared" si="76"/>
        <v>1997</v>
      </c>
      <c r="G2435">
        <f t="shared" ref="G2435:G2498" si="77">MONTH(A2435)</f>
        <v>4</v>
      </c>
      <c r="H2435" t="str">
        <f>IF(ISNUMBER(FIND(",", E2435)), TRIM(MID(E2435, FIND(",", E2435) + 1, LEN(E2435))), E2435)</f>
        <v>China</v>
      </c>
    </row>
    <row r="2436" spans="1:8" x14ac:dyDescent="0.25">
      <c r="A2436" s="2">
        <v>35525</v>
      </c>
      <c r="B2436">
        <v>-6.5309999999999997</v>
      </c>
      <c r="C2436">
        <v>147.55000000000001</v>
      </c>
      <c r="D2436" t="s">
        <v>14</v>
      </c>
      <c r="E2436" t="s">
        <v>243</v>
      </c>
      <c r="F2436">
        <f t="shared" si="76"/>
        <v>1997</v>
      </c>
      <c r="G2436">
        <f t="shared" si="77"/>
        <v>4</v>
      </c>
      <c r="H2436" t="str">
        <f>IF(ISNUMBER(FIND(",", E2436)), TRIM(MID(E2436, FIND(",", E2436) + 1, LEN(E2436))), E2436)</f>
        <v>Papua New Guinea</v>
      </c>
    </row>
    <row r="2437" spans="1:8" x14ac:dyDescent="0.25">
      <c r="A2437" s="2">
        <v>35522</v>
      </c>
      <c r="B2437">
        <v>11.401</v>
      </c>
      <c r="C2437">
        <v>-61.170999999999999</v>
      </c>
      <c r="D2437" t="s">
        <v>14</v>
      </c>
      <c r="E2437" t="s">
        <v>537</v>
      </c>
      <c r="F2437">
        <f t="shared" si="76"/>
        <v>1997</v>
      </c>
      <c r="G2437">
        <f t="shared" si="77"/>
        <v>4</v>
      </c>
      <c r="H2437" t="str">
        <f>IF(ISNUMBER(FIND(",", E2437)), TRIM(MID(E2437, FIND(",", E2437) + 1, LEN(E2437))), E2437)</f>
        <v>Trinidad and Tobago</v>
      </c>
    </row>
    <row r="2438" spans="1:8" x14ac:dyDescent="0.25">
      <c r="A2438" s="2">
        <v>35521</v>
      </c>
      <c r="B2438">
        <v>-18.331</v>
      </c>
      <c r="C2438">
        <v>-69.290000000000006</v>
      </c>
      <c r="D2438" t="s">
        <v>14</v>
      </c>
      <c r="E2438" t="s">
        <v>237</v>
      </c>
      <c r="F2438">
        <f t="shared" si="76"/>
        <v>1997</v>
      </c>
      <c r="G2438">
        <f t="shared" si="77"/>
        <v>4</v>
      </c>
      <c r="H2438" t="str">
        <f>IF(ISNUMBER(FIND(",", E2438)), TRIM(MID(E2438, FIND(",", E2438) + 1, LEN(E2438))), E2438)</f>
        <v>Chile</v>
      </c>
    </row>
    <row r="2439" spans="1:8" x14ac:dyDescent="0.25">
      <c r="A2439" s="2">
        <v>35521</v>
      </c>
      <c r="B2439">
        <v>-18.215</v>
      </c>
      <c r="C2439">
        <v>-69.444999999999993</v>
      </c>
      <c r="D2439" t="s">
        <v>14</v>
      </c>
      <c r="E2439" t="s">
        <v>237</v>
      </c>
      <c r="F2439">
        <f t="shared" si="76"/>
        <v>1997</v>
      </c>
      <c r="G2439">
        <f t="shared" si="77"/>
        <v>4</v>
      </c>
      <c r="H2439" t="str">
        <f>IF(ISNUMBER(FIND(",", E2439)), TRIM(MID(E2439, FIND(",", E2439) + 1, LEN(E2439))), E2439)</f>
        <v>Chile</v>
      </c>
    </row>
    <row r="2440" spans="1:8" x14ac:dyDescent="0.25">
      <c r="A2440" s="2">
        <v>35521</v>
      </c>
      <c r="B2440">
        <v>7.7679999999999998</v>
      </c>
      <c r="C2440">
        <v>-82.394000000000005</v>
      </c>
      <c r="D2440" t="s">
        <v>14</v>
      </c>
      <c r="E2440" t="s">
        <v>231</v>
      </c>
      <c r="F2440">
        <f t="shared" si="76"/>
        <v>1997</v>
      </c>
      <c r="G2440">
        <f t="shared" si="77"/>
        <v>4</v>
      </c>
      <c r="H2440" t="str">
        <f>IF(ISNUMBER(FIND(",", E2440)), TRIM(MID(E2440, FIND(",", E2440) + 1, LEN(E2440))), E2440)</f>
        <v>south of Panama</v>
      </c>
    </row>
    <row r="2441" spans="1:8" x14ac:dyDescent="0.25">
      <c r="A2441" s="2">
        <v>35515</v>
      </c>
      <c r="B2441">
        <v>31.972999999999999</v>
      </c>
      <c r="C2441">
        <v>130.39599999999999</v>
      </c>
      <c r="D2441" t="s">
        <v>14</v>
      </c>
      <c r="E2441" t="s">
        <v>357</v>
      </c>
      <c r="F2441">
        <f t="shared" si="76"/>
        <v>1997</v>
      </c>
      <c r="G2441">
        <f t="shared" si="77"/>
        <v>3</v>
      </c>
      <c r="H2441" t="str">
        <f>IF(ISNUMBER(FIND(",", E2441)), TRIM(MID(E2441, FIND(",", E2441) + 1, LEN(E2441))), E2441)</f>
        <v>Japan</v>
      </c>
    </row>
    <row r="2442" spans="1:8" x14ac:dyDescent="0.25">
      <c r="A2442" s="2">
        <v>35515</v>
      </c>
      <c r="B2442">
        <v>51.274000000000001</v>
      </c>
      <c r="C2442">
        <v>179.52699999999999</v>
      </c>
      <c r="D2442" t="s">
        <v>14</v>
      </c>
      <c r="E2442" t="s">
        <v>366</v>
      </c>
      <c r="F2442">
        <f t="shared" si="76"/>
        <v>1997</v>
      </c>
      <c r="G2442">
        <f t="shared" si="77"/>
        <v>3</v>
      </c>
      <c r="H2442" t="str">
        <f>IF(ISNUMBER(FIND(",", E2442)), TRIM(MID(E2442, FIND(",", E2442) + 1, LEN(E2442))), E2442)</f>
        <v>Aleutian Islands, Alaska</v>
      </c>
    </row>
    <row r="2443" spans="1:8" x14ac:dyDescent="0.25">
      <c r="A2443" s="2">
        <v>35510</v>
      </c>
      <c r="B2443">
        <v>-31.31</v>
      </c>
      <c r="C2443">
        <v>179.77500000000001</v>
      </c>
      <c r="D2443" t="s">
        <v>14</v>
      </c>
      <c r="E2443" t="s">
        <v>240</v>
      </c>
      <c r="F2443">
        <f t="shared" si="76"/>
        <v>1997</v>
      </c>
      <c r="G2443">
        <f t="shared" si="77"/>
        <v>3</v>
      </c>
      <c r="H2443" t="str">
        <f>IF(ISNUMBER(FIND(",", E2443)), TRIM(MID(E2443, FIND(",", E2443) + 1, LEN(E2443))), E2443)</f>
        <v>Kermadec Islands region</v>
      </c>
    </row>
    <row r="2444" spans="1:8" x14ac:dyDescent="0.25">
      <c r="A2444" s="2">
        <v>35506</v>
      </c>
      <c r="B2444">
        <v>-6.7140000000000004</v>
      </c>
      <c r="C2444">
        <v>105.32899999999999</v>
      </c>
      <c r="D2444" t="s">
        <v>14</v>
      </c>
      <c r="E2444" t="s">
        <v>278</v>
      </c>
      <c r="F2444">
        <f t="shared" si="76"/>
        <v>1997</v>
      </c>
      <c r="G2444">
        <f t="shared" si="77"/>
        <v>3</v>
      </c>
      <c r="H2444" t="str">
        <f>IF(ISNUMBER(FIND(",", E2444)), TRIM(MID(E2444, FIND(",", E2444) + 1, LEN(E2444))), E2444)</f>
        <v>Indonesia</v>
      </c>
    </row>
    <row r="2445" spans="1:8" x14ac:dyDescent="0.25">
      <c r="A2445" s="2">
        <v>35500</v>
      </c>
      <c r="B2445">
        <v>7.7750000000000004</v>
      </c>
      <c r="C2445">
        <v>127.663</v>
      </c>
      <c r="D2445" t="s">
        <v>14</v>
      </c>
      <c r="E2445" t="s">
        <v>213</v>
      </c>
      <c r="F2445">
        <f t="shared" si="76"/>
        <v>1997</v>
      </c>
      <c r="G2445">
        <f t="shared" si="77"/>
        <v>3</v>
      </c>
      <c r="H2445" t="str">
        <f>IF(ISNUMBER(FIND(",", E2445)), TRIM(MID(E2445, FIND(",", E2445) + 1, LEN(E2445))), E2445)</f>
        <v>Philippine Islands region</v>
      </c>
    </row>
    <row r="2446" spans="1:8" x14ac:dyDescent="0.25">
      <c r="A2446" s="2">
        <v>35498</v>
      </c>
      <c r="B2446">
        <v>-29.768999999999998</v>
      </c>
      <c r="C2446">
        <v>-71.176000000000002</v>
      </c>
      <c r="D2446" t="s">
        <v>14</v>
      </c>
      <c r="E2446" t="s">
        <v>193</v>
      </c>
      <c r="F2446">
        <f t="shared" si="76"/>
        <v>1997</v>
      </c>
      <c r="G2446">
        <f t="shared" si="77"/>
        <v>3</v>
      </c>
      <c r="H2446" t="str">
        <f>IF(ISNUMBER(FIND(",", E2446)), TRIM(MID(E2446, FIND(",", E2446) + 1, LEN(E2446))), E2446)</f>
        <v>Chile</v>
      </c>
    </row>
    <row r="2447" spans="1:8" x14ac:dyDescent="0.25">
      <c r="A2447" s="2">
        <v>35489</v>
      </c>
      <c r="B2447">
        <v>38.094999999999999</v>
      </c>
      <c r="C2447">
        <v>48.036999999999999</v>
      </c>
      <c r="D2447" t="s">
        <v>14</v>
      </c>
      <c r="E2447" t="s">
        <v>538</v>
      </c>
      <c r="F2447">
        <f t="shared" si="76"/>
        <v>1997</v>
      </c>
      <c r="G2447">
        <f t="shared" si="77"/>
        <v>2</v>
      </c>
      <c r="H2447" t="str">
        <f>IF(ISNUMBER(FIND(",", E2447)), TRIM(MID(E2447, FIND(",", E2447) + 1, LEN(E2447))), E2447)</f>
        <v>Azerbaijan-Iran border region</v>
      </c>
    </row>
    <row r="2448" spans="1:8" x14ac:dyDescent="0.25">
      <c r="A2448" s="2">
        <v>35488</v>
      </c>
      <c r="B2448">
        <v>29.989000000000001</v>
      </c>
      <c r="C2448">
        <v>67.944999999999993</v>
      </c>
      <c r="D2448" t="s">
        <v>14</v>
      </c>
      <c r="E2448" t="s">
        <v>382</v>
      </c>
      <c r="F2448">
        <f t="shared" si="76"/>
        <v>1997</v>
      </c>
      <c r="G2448">
        <f t="shared" si="77"/>
        <v>2</v>
      </c>
      <c r="H2448" t="str">
        <f>IF(ISNUMBER(FIND(",", E2448)), TRIM(MID(E2448, FIND(",", E2448) + 1, LEN(E2448))), E2448)</f>
        <v>Pakistan</v>
      </c>
    </row>
    <row r="2449" spans="1:8" x14ac:dyDescent="0.25">
      <c r="A2449" s="2">
        <v>35488</v>
      </c>
      <c r="B2449">
        <v>29.945</v>
      </c>
      <c r="C2449">
        <v>68.188999999999993</v>
      </c>
      <c r="D2449" t="s">
        <v>14</v>
      </c>
      <c r="E2449" t="s">
        <v>382</v>
      </c>
      <c r="F2449">
        <f t="shared" si="76"/>
        <v>1997</v>
      </c>
      <c r="G2449">
        <f t="shared" si="77"/>
        <v>2</v>
      </c>
      <c r="H2449" t="str">
        <f>IF(ISNUMBER(FIND(",", E2449)), TRIM(MID(E2449, FIND(",", E2449) + 1, LEN(E2449))), E2449)</f>
        <v>Pakistan</v>
      </c>
    </row>
    <row r="2450" spans="1:8" x14ac:dyDescent="0.25">
      <c r="A2450" s="2">
        <v>35482</v>
      </c>
      <c r="B2450">
        <v>43.860999999999997</v>
      </c>
      <c r="C2450">
        <v>149.10499999999999</v>
      </c>
      <c r="D2450" t="s">
        <v>14</v>
      </c>
      <c r="E2450" t="s">
        <v>317</v>
      </c>
      <c r="F2450">
        <f t="shared" si="76"/>
        <v>1997</v>
      </c>
      <c r="G2450">
        <f t="shared" si="77"/>
        <v>2</v>
      </c>
      <c r="H2450" t="str">
        <f>IF(ISNUMBER(FIND(",", E2450)), TRIM(MID(E2450, FIND(",", E2450) + 1, LEN(E2450))), E2450)</f>
        <v>east of the Kuril Islands</v>
      </c>
    </row>
    <row r="2451" spans="1:8" x14ac:dyDescent="0.25">
      <c r="A2451" s="2">
        <v>35470</v>
      </c>
      <c r="B2451">
        <v>-14.412000000000001</v>
      </c>
      <c r="C2451">
        <v>-76.192999999999998</v>
      </c>
      <c r="D2451" t="s">
        <v>14</v>
      </c>
      <c r="E2451" t="s">
        <v>258</v>
      </c>
      <c r="F2451">
        <f t="shared" si="76"/>
        <v>1997</v>
      </c>
      <c r="G2451">
        <f t="shared" si="77"/>
        <v>2</v>
      </c>
      <c r="H2451" t="str">
        <f>IF(ISNUMBER(FIND(",", E2451)), TRIM(MID(E2451, FIND(",", E2451) + 1, LEN(E2451))), E2451)</f>
        <v>near the coast of central Peru</v>
      </c>
    </row>
    <row r="2452" spans="1:8" x14ac:dyDescent="0.25">
      <c r="A2452" s="2">
        <v>35468</v>
      </c>
      <c r="B2452">
        <v>-19.893999999999998</v>
      </c>
      <c r="C2452">
        <v>-173.10499999999999</v>
      </c>
      <c r="D2452" t="s">
        <v>14</v>
      </c>
      <c r="E2452" t="s">
        <v>239</v>
      </c>
      <c r="F2452">
        <f t="shared" si="76"/>
        <v>1997</v>
      </c>
      <c r="G2452">
        <f t="shared" si="77"/>
        <v>2</v>
      </c>
      <c r="H2452" t="str">
        <f>IF(ISNUMBER(FIND(",", E2452)), TRIM(MID(E2452, FIND(",", E2452) + 1, LEN(E2452))), E2452)</f>
        <v>Tonga</v>
      </c>
    </row>
    <row r="2453" spans="1:8" x14ac:dyDescent="0.25">
      <c r="A2453" s="2">
        <v>35465</v>
      </c>
      <c r="B2453">
        <v>37.712000000000003</v>
      </c>
      <c r="C2453">
        <v>57.304000000000002</v>
      </c>
      <c r="D2453" t="s">
        <v>14</v>
      </c>
      <c r="E2453" t="s">
        <v>539</v>
      </c>
      <c r="F2453">
        <f t="shared" si="76"/>
        <v>1997</v>
      </c>
      <c r="G2453">
        <f t="shared" si="77"/>
        <v>2</v>
      </c>
      <c r="H2453" t="str">
        <f>IF(ISNUMBER(FIND(",", E2453)), TRIM(MID(E2453, FIND(",", E2453) + 1, LEN(E2453))), E2453)</f>
        <v>Turkmenistan-Iran border region</v>
      </c>
    </row>
    <row r="2454" spans="1:8" x14ac:dyDescent="0.25">
      <c r="A2454" s="2">
        <v>35459</v>
      </c>
      <c r="B2454">
        <v>-12.856999999999999</v>
      </c>
      <c r="C2454">
        <v>166.39</v>
      </c>
      <c r="D2454" t="s">
        <v>14</v>
      </c>
      <c r="E2454" t="s">
        <v>211</v>
      </c>
      <c r="F2454">
        <f t="shared" si="76"/>
        <v>1997</v>
      </c>
      <c r="G2454">
        <f t="shared" si="77"/>
        <v>1</v>
      </c>
      <c r="H2454" t="str">
        <f>IF(ISNUMBER(FIND(",", E2454)), TRIM(MID(E2454, FIND(",", E2454) + 1, LEN(E2454))), E2454)</f>
        <v>Santa Cruz Islands</v>
      </c>
    </row>
    <row r="2455" spans="1:8" x14ac:dyDescent="0.25">
      <c r="A2455" s="2">
        <v>35453</v>
      </c>
      <c r="B2455">
        <v>-22.044</v>
      </c>
      <c r="C2455">
        <v>-65.662999999999997</v>
      </c>
      <c r="D2455" t="s">
        <v>14</v>
      </c>
      <c r="E2455" t="s">
        <v>472</v>
      </c>
      <c r="F2455">
        <f t="shared" si="76"/>
        <v>1997</v>
      </c>
      <c r="G2455">
        <f t="shared" si="77"/>
        <v>1</v>
      </c>
      <c r="H2455" t="str">
        <f>IF(ISNUMBER(FIND(",", E2455)), TRIM(MID(E2455, FIND(",", E2455) + 1, LEN(E2455))), E2455)</f>
        <v>Bolivia</v>
      </c>
    </row>
    <row r="2456" spans="1:8" x14ac:dyDescent="0.25">
      <c r="A2456" s="2">
        <v>35447</v>
      </c>
      <c r="B2456">
        <v>28.86</v>
      </c>
      <c r="C2456">
        <v>129.886</v>
      </c>
      <c r="D2456" t="s">
        <v>14</v>
      </c>
      <c r="E2456" t="s">
        <v>340</v>
      </c>
      <c r="F2456">
        <f t="shared" si="76"/>
        <v>1997</v>
      </c>
      <c r="G2456">
        <f t="shared" si="77"/>
        <v>1</v>
      </c>
      <c r="H2456" t="str">
        <f>IF(ISNUMBER(FIND(",", E2456)), TRIM(MID(E2456, FIND(",", E2456) + 1, LEN(E2456))), E2456)</f>
        <v>Japan</v>
      </c>
    </row>
    <row r="2457" spans="1:8" x14ac:dyDescent="0.25">
      <c r="A2457" s="2">
        <v>35447</v>
      </c>
      <c r="B2457">
        <v>-8.89</v>
      </c>
      <c r="C2457">
        <v>123.504</v>
      </c>
      <c r="D2457" t="s">
        <v>14</v>
      </c>
      <c r="E2457" t="s">
        <v>399</v>
      </c>
      <c r="F2457">
        <f t="shared" si="76"/>
        <v>1997</v>
      </c>
      <c r="G2457">
        <f t="shared" si="77"/>
        <v>1</v>
      </c>
      <c r="H2457" t="str">
        <f>IF(ISNUMBER(FIND(",", E2457)), TRIM(MID(E2457, FIND(",", E2457) + 1, LEN(E2457))), E2457)</f>
        <v>Indonesia</v>
      </c>
    </row>
    <row r="2458" spans="1:8" x14ac:dyDescent="0.25">
      <c r="A2458" s="2">
        <v>35441</v>
      </c>
      <c r="B2458">
        <v>18.181000000000001</v>
      </c>
      <c r="C2458">
        <v>-102.81</v>
      </c>
      <c r="D2458" t="s">
        <v>14</v>
      </c>
      <c r="E2458" t="s">
        <v>248</v>
      </c>
      <c r="F2458">
        <f t="shared" si="76"/>
        <v>1997</v>
      </c>
      <c r="G2458">
        <f t="shared" si="77"/>
        <v>1</v>
      </c>
      <c r="H2458" t="str">
        <f>IF(ISNUMBER(FIND(",", E2458)), TRIM(MID(E2458, FIND(",", E2458) + 1, LEN(E2458))), E2458)</f>
        <v>Mexico</v>
      </c>
    </row>
    <row r="2459" spans="1:8" x14ac:dyDescent="0.25">
      <c r="A2459" s="2">
        <v>35430</v>
      </c>
      <c r="B2459">
        <v>15.840999999999999</v>
      </c>
      <c r="C2459">
        <v>-93.043000000000006</v>
      </c>
      <c r="D2459" t="s">
        <v>14</v>
      </c>
      <c r="E2459" t="s">
        <v>421</v>
      </c>
      <c r="F2459">
        <f t="shared" si="76"/>
        <v>1996</v>
      </c>
      <c r="G2459">
        <f t="shared" si="77"/>
        <v>12</v>
      </c>
      <c r="H2459" t="str">
        <f>IF(ISNUMBER(FIND(",", E2459)), TRIM(MID(E2459, FIND(",", E2459) + 1, LEN(E2459))), E2459)</f>
        <v>Mexico</v>
      </c>
    </row>
    <row r="2460" spans="1:8" x14ac:dyDescent="0.25">
      <c r="A2460" s="2">
        <v>35425</v>
      </c>
      <c r="B2460">
        <v>-2.2280000000000002</v>
      </c>
      <c r="C2460">
        <v>138.929</v>
      </c>
      <c r="D2460" t="s">
        <v>14</v>
      </c>
      <c r="E2460" t="s">
        <v>210</v>
      </c>
      <c r="F2460">
        <f t="shared" si="76"/>
        <v>1996</v>
      </c>
      <c r="G2460">
        <f t="shared" si="77"/>
        <v>12</v>
      </c>
      <c r="H2460" t="str">
        <f>IF(ISNUMBER(FIND(",", E2460)), TRIM(MID(E2460, FIND(",", E2460) + 1, LEN(E2460))), E2460)</f>
        <v>Indonesia</v>
      </c>
    </row>
    <row r="2461" spans="1:8" x14ac:dyDescent="0.25">
      <c r="A2461" s="2">
        <v>35421</v>
      </c>
      <c r="B2461">
        <v>43.226999999999997</v>
      </c>
      <c r="C2461">
        <v>138.893</v>
      </c>
      <c r="D2461" t="s">
        <v>14</v>
      </c>
      <c r="E2461" t="s">
        <v>540</v>
      </c>
      <c r="F2461">
        <f t="shared" si="76"/>
        <v>1996</v>
      </c>
      <c r="G2461">
        <f t="shared" si="77"/>
        <v>12</v>
      </c>
      <c r="H2461" t="str">
        <f>IF(ISNUMBER(FIND(",", E2461)), TRIM(MID(E2461, FIND(",", E2461) + 1, LEN(E2461))), E2461)</f>
        <v>eastern Sea of Japan</v>
      </c>
    </row>
    <row r="2462" spans="1:8" x14ac:dyDescent="0.25">
      <c r="A2462" s="2">
        <v>35409</v>
      </c>
      <c r="B2462">
        <v>0.90100000000000002</v>
      </c>
      <c r="C2462">
        <v>-29.959</v>
      </c>
      <c r="D2462" t="s">
        <v>14</v>
      </c>
      <c r="E2462" t="s">
        <v>291</v>
      </c>
      <c r="F2462">
        <f t="shared" si="76"/>
        <v>1996</v>
      </c>
      <c r="G2462">
        <f t="shared" si="77"/>
        <v>12</v>
      </c>
      <c r="H2462" t="str">
        <f>IF(ISNUMBER(FIND(",", E2462)), TRIM(MID(E2462, FIND(",", E2462) + 1, LEN(E2462))), E2462)</f>
        <v>central Mid-Atlantic Ridge</v>
      </c>
    </row>
    <row r="2463" spans="1:8" x14ac:dyDescent="0.25">
      <c r="A2463" s="2">
        <v>35402</v>
      </c>
      <c r="B2463">
        <v>-18.390999999999998</v>
      </c>
      <c r="C2463">
        <v>-172.184</v>
      </c>
      <c r="D2463" t="s">
        <v>14</v>
      </c>
      <c r="E2463" t="s">
        <v>304</v>
      </c>
      <c r="F2463">
        <f t="shared" si="76"/>
        <v>1996</v>
      </c>
      <c r="G2463">
        <f t="shared" si="77"/>
        <v>12</v>
      </c>
      <c r="H2463" t="str">
        <f>IF(ISNUMBER(FIND(",", E2463)), TRIM(MID(E2463, FIND(",", E2463) + 1, LEN(E2463))), E2463)</f>
        <v>Tonga region</v>
      </c>
    </row>
    <row r="2464" spans="1:8" x14ac:dyDescent="0.25">
      <c r="A2464" s="2">
        <v>35401</v>
      </c>
      <c r="B2464">
        <v>31.83</v>
      </c>
      <c r="C2464">
        <v>131.328</v>
      </c>
      <c r="D2464" t="s">
        <v>14</v>
      </c>
      <c r="E2464" t="s">
        <v>357</v>
      </c>
      <c r="F2464">
        <f t="shared" si="76"/>
        <v>1996</v>
      </c>
      <c r="G2464">
        <f t="shared" si="77"/>
        <v>12</v>
      </c>
      <c r="H2464" t="str">
        <f>IF(ISNUMBER(FIND(",", E2464)), TRIM(MID(E2464, FIND(",", E2464) + 1, LEN(E2464))), E2464)</f>
        <v>Japan</v>
      </c>
    </row>
    <row r="2465" spans="1:8" x14ac:dyDescent="0.25">
      <c r="A2465" s="2">
        <v>35400</v>
      </c>
      <c r="B2465">
        <v>-30.692</v>
      </c>
      <c r="C2465">
        <v>-179.511</v>
      </c>
      <c r="D2465" t="s">
        <v>14</v>
      </c>
      <c r="E2465" t="s">
        <v>240</v>
      </c>
      <c r="F2465">
        <f t="shared" si="76"/>
        <v>1996</v>
      </c>
      <c r="G2465">
        <f t="shared" si="77"/>
        <v>12</v>
      </c>
      <c r="H2465" t="str">
        <f>IF(ISNUMBER(FIND(",", E2465)), TRIM(MID(E2465, FIND(",", E2465) + 1, LEN(E2465))), E2465)</f>
        <v>Kermadec Islands region</v>
      </c>
    </row>
    <row r="2466" spans="1:8" x14ac:dyDescent="0.25">
      <c r="A2466" s="2">
        <v>35397</v>
      </c>
      <c r="B2466">
        <v>-1.2210000000000001</v>
      </c>
      <c r="C2466">
        <v>-24.361000000000001</v>
      </c>
      <c r="D2466" t="s">
        <v>14</v>
      </c>
      <c r="E2466" t="s">
        <v>291</v>
      </c>
      <c r="F2466">
        <f t="shared" si="76"/>
        <v>1996</v>
      </c>
      <c r="G2466">
        <f t="shared" si="77"/>
        <v>11</v>
      </c>
      <c r="H2466" t="str">
        <f>IF(ISNUMBER(FIND(",", E2466)), TRIM(MID(E2466, FIND(",", E2466) + 1, LEN(E2466))), E2466)</f>
        <v>central Mid-Atlantic Ridge</v>
      </c>
    </row>
    <row r="2467" spans="1:8" x14ac:dyDescent="0.25">
      <c r="A2467" s="2">
        <v>35389</v>
      </c>
      <c r="B2467">
        <v>34.390999999999998</v>
      </c>
      <c r="C2467">
        <v>141.21899999999999</v>
      </c>
      <c r="D2467" t="s">
        <v>14</v>
      </c>
      <c r="E2467" t="s">
        <v>189</v>
      </c>
      <c r="F2467">
        <f t="shared" si="76"/>
        <v>1996</v>
      </c>
      <c r="G2467">
        <f t="shared" si="77"/>
        <v>11</v>
      </c>
      <c r="H2467" t="str">
        <f>IF(ISNUMBER(FIND(",", E2467)), TRIM(MID(E2467, FIND(",", E2467) + 1, LEN(E2467))), E2467)</f>
        <v>Japan</v>
      </c>
    </row>
    <row r="2468" spans="1:8" x14ac:dyDescent="0.25">
      <c r="A2468" s="2">
        <v>35388</v>
      </c>
      <c r="B2468">
        <v>35.368000000000002</v>
      </c>
      <c r="C2468">
        <v>78.167000000000002</v>
      </c>
      <c r="D2468" t="s">
        <v>14</v>
      </c>
      <c r="E2468" t="s">
        <v>541</v>
      </c>
      <c r="F2468">
        <f t="shared" si="76"/>
        <v>1996</v>
      </c>
      <c r="G2468">
        <f t="shared" si="77"/>
        <v>11</v>
      </c>
      <c r="H2468" t="str">
        <f>IF(ISNUMBER(FIND(",", E2468)), TRIM(MID(E2468, FIND(",", E2468) + 1, LEN(E2468))), E2468)</f>
        <v>Kashmir-Xinjiang border region</v>
      </c>
    </row>
    <row r="2469" spans="1:8" x14ac:dyDescent="0.25">
      <c r="A2469" s="2">
        <v>35383</v>
      </c>
      <c r="B2469">
        <v>-21.332000000000001</v>
      </c>
      <c r="C2469">
        <v>-176.44399999999999</v>
      </c>
      <c r="D2469" t="s">
        <v>14</v>
      </c>
      <c r="E2469" t="s">
        <v>53</v>
      </c>
      <c r="F2469">
        <f t="shared" si="76"/>
        <v>1996</v>
      </c>
      <c r="G2469">
        <f t="shared" si="77"/>
        <v>11</v>
      </c>
      <c r="H2469" t="str">
        <f>IF(ISNUMBER(FIND(",", E2469)), TRIM(MID(E2469, FIND(",", E2469) + 1, LEN(E2469))), E2469)</f>
        <v>Fiji region</v>
      </c>
    </row>
    <row r="2470" spans="1:8" x14ac:dyDescent="0.25">
      <c r="A2470" s="2">
        <v>35383</v>
      </c>
      <c r="B2470">
        <v>-11.384</v>
      </c>
      <c r="C2470">
        <v>166.46100000000001</v>
      </c>
      <c r="D2470" t="s">
        <v>5</v>
      </c>
      <c r="E2470" t="s">
        <v>211</v>
      </c>
      <c r="F2470">
        <f t="shared" si="76"/>
        <v>1996</v>
      </c>
      <c r="G2470">
        <f t="shared" si="77"/>
        <v>11</v>
      </c>
      <c r="H2470" t="str">
        <f>IF(ISNUMBER(FIND(",", E2470)), TRIM(MID(E2470, FIND(",", E2470) + 1, LEN(E2470))), E2470)</f>
        <v>Santa Cruz Islands</v>
      </c>
    </row>
    <row r="2471" spans="1:8" x14ac:dyDescent="0.25">
      <c r="A2471" s="2">
        <v>35382</v>
      </c>
      <c r="B2471">
        <v>-15.395</v>
      </c>
      <c r="C2471">
        <v>-75.582999999999998</v>
      </c>
      <c r="D2471" t="s">
        <v>14</v>
      </c>
      <c r="E2471" t="s">
        <v>258</v>
      </c>
      <c r="F2471">
        <f t="shared" si="76"/>
        <v>1996</v>
      </c>
      <c r="G2471">
        <f t="shared" si="77"/>
        <v>11</v>
      </c>
      <c r="H2471" t="str">
        <f>IF(ISNUMBER(FIND(",", E2471)), TRIM(MID(E2471, FIND(",", E2471) + 1, LEN(E2471))), E2471)</f>
        <v>near the coast of central Peru</v>
      </c>
    </row>
    <row r="2472" spans="1:8" x14ac:dyDescent="0.25">
      <c r="A2472" s="2">
        <v>35382</v>
      </c>
      <c r="B2472">
        <v>-14.845000000000001</v>
      </c>
      <c r="C2472">
        <v>-75.650999999999996</v>
      </c>
      <c r="D2472" t="s">
        <v>14</v>
      </c>
      <c r="E2472" t="s">
        <v>258</v>
      </c>
      <c r="F2472">
        <f t="shared" si="76"/>
        <v>1996</v>
      </c>
      <c r="G2472">
        <f t="shared" si="77"/>
        <v>11</v>
      </c>
      <c r="H2472" t="str">
        <f>IF(ISNUMBER(FIND(",", E2472)), TRIM(MID(E2472, FIND(",", E2472) + 1, LEN(E2472))), E2472)</f>
        <v>near the coast of central Peru</v>
      </c>
    </row>
    <row r="2473" spans="1:8" x14ac:dyDescent="0.25">
      <c r="A2473" s="2">
        <v>35381</v>
      </c>
      <c r="B2473">
        <v>-14.96</v>
      </c>
      <c r="C2473">
        <v>-75.563000000000002</v>
      </c>
      <c r="D2473" t="s">
        <v>14</v>
      </c>
      <c r="E2473" t="s">
        <v>258</v>
      </c>
      <c r="F2473">
        <f t="shared" si="76"/>
        <v>1996</v>
      </c>
      <c r="G2473">
        <f t="shared" si="77"/>
        <v>11</v>
      </c>
      <c r="H2473" t="str">
        <f>IF(ISNUMBER(FIND(",", E2473)), TRIM(MID(E2473, FIND(",", E2473) + 1, LEN(E2473))), E2473)</f>
        <v>near the coast of central Peru</v>
      </c>
    </row>
    <row r="2474" spans="1:8" x14ac:dyDescent="0.25">
      <c r="A2474" s="2">
        <v>35380</v>
      </c>
      <c r="B2474">
        <v>-32.585000000000001</v>
      </c>
      <c r="C2474">
        <v>-178.85599999999999</v>
      </c>
      <c r="D2474" t="s">
        <v>14</v>
      </c>
      <c r="E2474" t="s">
        <v>262</v>
      </c>
      <c r="F2474">
        <f t="shared" si="76"/>
        <v>1996</v>
      </c>
      <c r="G2474">
        <f t="shared" si="77"/>
        <v>11</v>
      </c>
      <c r="H2474" t="str">
        <f>IF(ISNUMBER(FIND(",", E2474)), TRIM(MID(E2474, FIND(",", E2474) + 1, LEN(E2474))), E2474)</f>
        <v>south of the Kermadec Islands</v>
      </c>
    </row>
    <row r="2475" spans="1:8" x14ac:dyDescent="0.25">
      <c r="A2475" s="2">
        <v>35376</v>
      </c>
      <c r="B2475">
        <v>9.8620000000000001</v>
      </c>
      <c r="C2475">
        <v>126.238</v>
      </c>
      <c r="D2475" t="s">
        <v>14</v>
      </c>
      <c r="E2475" t="s">
        <v>200</v>
      </c>
      <c r="F2475">
        <f t="shared" si="76"/>
        <v>1996</v>
      </c>
      <c r="G2475">
        <f t="shared" si="77"/>
        <v>11</v>
      </c>
      <c r="H2475" t="str">
        <f>IF(ISNUMBER(FIND(",", E2475)), TRIM(MID(E2475, FIND(",", E2475) + 1, LEN(E2475))), E2475)</f>
        <v>Philippines</v>
      </c>
    </row>
    <row r="2476" spans="1:8" x14ac:dyDescent="0.25">
      <c r="A2476" s="2">
        <v>35375</v>
      </c>
      <c r="B2476">
        <v>28.033999999999999</v>
      </c>
      <c r="C2476">
        <v>143.61099999999999</v>
      </c>
      <c r="D2476" t="s">
        <v>14</v>
      </c>
      <c r="E2476" t="s">
        <v>233</v>
      </c>
      <c r="F2476">
        <f t="shared" si="76"/>
        <v>1996</v>
      </c>
      <c r="G2476">
        <f t="shared" si="77"/>
        <v>11</v>
      </c>
      <c r="H2476" t="str">
        <f>IF(ISNUMBER(FIND(",", E2476)), TRIM(MID(E2476, FIND(",", E2476) + 1, LEN(E2476))), E2476)</f>
        <v>Japan region</v>
      </c>
    </row>
    <row r="2477" spans="1:8" x14ac:dyDescent="0.25">
      <c r="A2477" s="2">
        <v>35374</v>
      </c>
      <c r="B2477">
        <v>-31.16</v>
      </c>
      <c r="C2477">
        <v>179.99799999999999</v>
      </c>
      <c r="D2477" t="s">
        <v>5</v>
      </c>
      <c r="E2477" t="s">
        <v>240</v>
      </c>
      <c r="F2477">
        <f t="shared" si="76"/>
        <v>1996</v>
      </c>
      <c r="G2477">
        <f t="shared" si="77"/>
        <v>11</v>
      </c>
      <c r="H2477" t="str">
        <f>IF(ISNUMBER(FIND(",", E2477)), TRIM(MID(E2477, FIND(",", E2477) + 1, LEN(E2477))), E2477)</f>
        <v>Kermadec Islands region</v>
      </c>
    </row>
    <row r="2478" spans="1:8" x14ac:dyDescent="0.25">
      <c r="A2478" s="2">
        <v>35374</v>
      </c>
      <c r="B2478">
        <v>-31.33</v>
      </c>
      <c r="C2478">
        <v>-179.84899999999999</v>
      </c>
      <c r="D2478" t="s">
        <v>14</v>
      </c>
      <c r="E2478" t="s">
        <v>240</v>
      </c>
      <c r="F2478">
        <f t="shared" si="76"/>
        <v>1996</v>
      </c>
      <c r="G2478">
        <f t="shared" si="77"/>
        <v>11</v>
      </c>
      <c r="H2478" t="str">
        <f>IF(ISNUMBER(FIND(",", E2478)), TRIM(MID(E2478, FIND(",", E2478) + 1, LEN(E2478))), E2478)</f>
        <v>Kermadec Islands region</v>
      </c>
    </row>
    <row r="2479" spans="1:8" x14ac:dyDescent="0.25">
      <c r="A2479" s="2">
        <v>35373</v>
      </c>
      <c r="B2479">
        <v>7.37</v>
      </c>
      <c r="C2479">
        <v>-77.367000000000004</v>
      </c>
      <c r="D2479" t="s">
        <v>14</v>
      </c>
      <c r="E2479" t="s">
        <v>512</v>
      </c>
      <c r="F2479">
        <f t="shared" si="76"/>
        <v>1996</v>
      </c>
      <c r="G2479">
        <f t="shared" si="77"/>
        <v>11</v>
      </c>
      <c r="H2479" t="str">
        <f>IF(ISNUMBER(FIND(",", E2479)), TRIM(MID(E2479, FIND(",", E2479) + 1, LEN(E2479))), E2479)</f>
        <v>Panama-Colombia border region</v>
      </c>
    </row>
    <row r="2480" spans="1:8" x14ac:dyDescent="0.25">
      <c r="A2480" s="2">
        <v>35362</v>
      </c>
      <c r="B2480">
        <v>66.945999999999998</v>
      </c>
      <c r="C2480">
        <v>-173.19800000000001</v>
      </c>
      <c r="D2480" t="s">
        <v>14</v>
      </c>
      <c r="E2480" t="s">
        <v>542</v>
      </c>
      <c r="F2480">
        <f t="shared" si="76"/>
        <v>1996</v>
      </c>
      <c r="G2480">
        <f t="shared" si="77"/>
        <v>10</v>
      </c>
      <c r="H2480" t="str">
        <f>IF(ISNUMBER(FIND(",", E2480)), TRIM(MID(E2480, FIND(",", E2480) + 1, LEN(E2480))), E2480)</f>
        <v>Russia</v>
      </c>
    </row>
    <row r="2481" spans="1:8" x14ac:dyDescent="0.25">
      <c r="A2481" s="2">
        <v>35357</v>
      </c>
      <c r="B2481">
        <v>-20.48</v>
      </c>
      <c r="C2481">
        <v>-178.34899999999999</v>
      </c>
      <c r="D2481" t="s">
        <v>14</v>
      </c>
      <c r="E2481" t="s">
        <v>53</v>
      </c>
      <c r="F2481">
        <f t="shared" si="76"/>
        <v>1996</v>
      </c>
      <c r="G2481">
        <f t="shared" si="77"/>
        <v>10</v>
      </c>
      <c r="H2481" t="str">
        <f>IF(ISNUMBER(FIND(",", E2481)), TRIM(MID(E2481, FIND(",", E2481) + 1, LEN(E2481))), E2481)</f>
        <v>Fiji region</v>
      </c>
    </row>
    <row r="2482" spans="1:8" x14ac:dyDescent="0.25">
      <c r="A2482" s="2">
        <v>35357</v>
      </c>
      <c r="B2482">
        <v>31.911000000000001</v>
      </c>
      <c r="C2482">
        <v>131.57300000000001</v>
      </c>
      <c r="D2482" t="s">
        <v>14</v>
      </c>
      <c r="E2482" t="s">
        <v>357</v>
      </c>
      <c r="F2482">
        <f t="shared" si="76"/>
        <v>1996</v>
      </c>
      <c r="G2482">
        <f t="shared" si="77"/>
        <v>10</v>
      </c>
      <c r="H2482" t="str">
        <f>IF(ISNUMBER(FIND(",", E2482)), TRIM(MID(E2482, FIND(",", E2482) + 1, LEN(E2482))), E2482)</f>
        <v>Japan</v>
      </c>
    </row>
    <row r="2483" spans="1:8" x14ac:dyDescent="0.25">
      <c r="A2483" s="2">
        <v>35356</v>
      </c>
      <c r="B2483">
        <v>30.606000000000002</v>
      </c>
      <c r="C2483">
        <v>131.066</v>
      </c>
      <c r="D2483" t="s">
        <v>14</v>
      </c>
      <c r="E2483" t="s">
        <v>357</v>
      </c>
      <c r="F2483">
        <f t="shared" si="76"/>
        <v>1996</v>
      </c>
      <c r="G2483">
        <f t="shared" si="77"/>
        <v>10</v>
      </c>
      <c r="H2483" t="str">
        <f>IF(ISNUMBER(FIND(",", E2483)), TRIM(MID(E2483, FIND(",", E2483) + 1, LEN(E2483))), E2483)</f>
        <v>Japan</v>
      </c>
    </row>
    <row r="2484" spans="1:8" x14ac:dyDescent="0.25">
      <c r="A2484" s="2">
        <v>35352</v>
      </c>
      <c r="B2484">
        <v>-7.1760000000000002</v>
      </c>
      <c r="C2484">
        <v>155.57300000000001</v>
      </c>
      <c r="D2484" t="s">
        <v>14</v>
      </c>
      <c r="E2484" t="s">
        <v>221</v>
      </c>
      <c r="F2484">
        <f t="shared" si="76"/>
        <v>1996</v>
      </c>
      <c r="G2484">
        <f t="shared" si="77"/>
        <v>10</v>
      </c>
      <c r="H2484" t="str">
        <f>IF(ISNUMBER(FIND(",", E2484)), TRIM(MID(E2484, FIND(",", E2484) + 1, LEN(E2484))), E2484)</f>
        <v>Solomon Islands</v>
      </c>
    </row>
    <row r="2485" spans="1:8" x14ac:dyDescent="0.25">
      <c r="A2485" s="2">
        <v>35350</v>
      </c>
      <c r="B2485">
        <v>-7.2430000000000003</v>
      </c>
      <c r="C2485">
        <v>155.56299999999999</v>
      </c>
      <c r="D2485" t="s">
        <v>14</v>
      </c>
      <c r="E2485" t="s">
        <v>221</v>
      </c>
      <c r="F2485">
        <f t="shared" si="76"/>
        <v>1996</v>
      </c>
      <c r="G2485">
        <f t="shared" si="77"/>
        <v>10</v>
      </c>
      <c r="H2485" t="str">
        <f>IF(ISNUMBER(FIND(",", E2485)), TRIM(MID(E2485, FIND(",", E2485) + 1, LEN(E2485))), E2485)</f>
        <v>Solomon Islands</v>
      </c>
    </row>
    <row r="2486" spans="1:8" x14ac:dyDescent="0.25">
      <c r="A2486" s="2">
        <v>35348</v>
      </c>
      <c r="B2486">
        <v>3.516</v>
      </c>
      <c r="C2486">
        <v>97.846000000000004</v>
      </c>
      <c r="D2486" t="s">
        <v>14</v>
      </c>
      <c r="E2486" t="s">
        <v>226</v>
      </c>
      <c r="F2486">
        <f t="shared" si="76"/>
        <v>1996</v>
      </c>
      <c r="G2486">
        <f t="shared" si="77"/>
        <v>10</v>
      </c>
      <c r="H2486" t="str">
        <f>IF(ISNUMBER(FIND(",", E2486)), TRIM(MID(E2486, FIND(",", E2486) + 1, LEN(E2486))), E2486)</f>
        <v>Indonesia</v>
      </c>
    </row>
    <row r="2487" spans="1:8" x14ac:dyDescent="0.25">
      <c r="A2487" s="2">
        <v>35347</v>
      </c>
      <c r="B2487">
        <v>34.558999999999997</v>
      </c>
      <c r="C2487">
        <v>32.136000000000003</v>
      </c>
      <c r="D2487" t="s">
        <v>14</v>
      </c>
      <c r="E2487" t="s">
        <v>543</v>
      </c>
      <c r="F2487">
        <f t="shared" si="76"/>
        <v>1996</v>
      </c>
      <c r="G2487">
        <f t="shared" si="77"/>
        <v>10</v>
      </c>
      <c r="H2487" t="str">
        <f>IF(ISNUMBER(FIND(",", E2487)), TRIM(MID(E2487, FIND(",", E2487) + 1, LEN(E2487))), E2487)</f>
        <v>Cyprus region</v>
      </c>
    </row>
    <row r="2488" spans="1:8" x14ac:dyDescent="0.25">
      <c r="A2488" s="2">
        <v>35344</v>
      </c>
      <c r="B2488">
        <v>48.978000000000002</v>
      </c>
      <c r="C2488">
        <v>-128.04900000000001</v>
      </c>
      <c r="D2488" t="s">
        <v>14</v>
      </c>
      <c r="E2488" t="s">
        <v>199</v>
      </c>
      <c r="F2488">
        <f t="shared" si="76"/>
        <v>1996</v>
      </c>
      <c r="G2488">
        <f t="shared" si="77"/>
        <v>10</v>
      </c>
      <c r="H2488" t="str">
        <f>IF(ISNUMBER(FIND(",", E2488)), TRIM(MID(E2488, FIND(",", E2488) + 1, LEN(E2488))), E2488)</f>
        <v>Canada region</v>
      </c>
    </row>
    <row r="2489" spans="1:8" x14ac:dyDescent="0.25">
      <c r="A2489" s="2">
        <v>35340</v>
      </c>
      <c r="B2489">
        <v>11.807</v>
      </c>
      <c r="C2489">
        <v>125.46299999999999</v>
      </c>
      <c r="D2489" t="s">
        <v>14</v>
      </c>
      <c r="E2489" t="s">
        <v>394</v>
      </c>
      <c r="F2489">
        <f t="shared" si="76"/>
        <v>1996</v>
      </c>
      <c r="G2489">
        <f t="shared" si="77"/>
        <v>10</v>
      </c>
      <c r="H2489" t="str">
        <f>IF(ISNUMBER(FIND(",", E2489)), TRIM(MID(E2489, FIND(",", E2489) + 1, LEN(E2489))), E2489)</f>
        <v>Philippines</v>
      </c>
    </row>
    <row r="2490" spans="1:8" x14ac:dyDescent="0.25">
      <c r="A2490" s="2">
        <v>35339</v>
      </c>
      <c r="B2490">
        <v>12.385999999999999</v>
      </c>
      <c r="C2490">
        <v>58.100999999999999</v>
      </c>
      <c r="D2490" t="s">
        <v>14</v>
      </c>
      <c r="E2490" t="s">
        <v>544</v>
      </c>
      <c r="F2490">
        <f t="shared" si="76"/>
        <v>1996</v>
      </c>
      <c r="G2490">
        <f t="shared" si="77"/>
        <v>10</v>
      </c>
      <c r="H2490" t="str">
        <f>IF(ISNUMBER(FIND(",", E2490)), TRIM(MID(E2490, FIND(",", E2490) + 1, LEN(E2490))), E2490)</f>
        <v>Owen Fracture Zone region</v>
      </c>
    </row>
    <row r="2491" spans="1:8" x14ac:dyDescent="0.25">
      <c r="A2491" s="2">
        <v>35336</v>
      </c>
      <c r="B2491">
        <v>10.090999999999999</v>
      </c>
      <c r="C2491">
        <v>125.34699999999999</v>
      </c>
      <c r="D2491" t="s">
        <v>14</v>
      </c>
      <c r="E2491" t="s">
        <v>545</v>
      </c>
      <c r="F2491">
        <f t="shared" si="76"/>
        <v>1996</v>
      </c>
      <c r="G2491">
        <f t="shared" si="77"/>
        <v>9</v>
      </c>
      <c r="H2491" t="str">
        <f>IF(ISNUMBER(FIND(",", E2491)), TRIM(MID(E2491, FIND(",", E2491) + 1, LEN(E2491))), E2491)</f>
        <v>Philippines</v>
      </c>
    </row>
    <row r="2492" spans="1:8" x14ac:dyDescent="0.25">
      <c r="A2492" s="2">
        <v>35328</v>
      </c>
      <c r="B2492">
        <v>9.48</v>
      </c>
      <c r="C2492">
        <v>126.322</v>
      </c>
      <c r="D2492" t="s">
        <v>14</v>
      </c>
      <c r="E2492" t="s">
        <v>200</v>
      </c>
      <c r="F2492">
        <f t="shared" si="76"/>
        <v>1996</v>
      </c>
      <c r="G2492">
        <f t="shared" si="77"/>
        <v>9</v>
      </c>
      <c r="H2492" t="str">
        <f>IF(ISNUMBER(FIND(",", E2492)), TRIM(MID(E2492, FIND(",", E2492) + 1, LEN(E2492))), E2492)</f>
        <v>Philippines</v>
      </c>
    </row>
    <row r="2493" spans="1:8" x14ac:dyDescent="0.25">
      <c r="A2493" s="2">
        <v>35328</v>
      </c>
      <c r="B2493">
        <v>9.4830000000000005</v>
      </c>
      <c r="C2493">
        <v>126.22499999999999</v>
      </c>
      <c r="D2493" t="s">
        <v>14</v>
      </c>
      <c r="E2493" t="s">
        <v>200</v>
      </c>
      <c r="F2493">
        <f t="shared" si="76"/>
        <v>1996</v>
      </c>
      <c r="G2493">
        <f t="shared" si="77"/>
        <v>9</v>
      </c>
      <c r="H2493" t="str">
        <f>IF(ISNUMBER(FIND(",", E2493)), TRIM(MID(E2493, FIND(",", E2493) + 1, LEN(E2493))), E2493)</f>
        <v>Philippines</v>
      </c>
    </row>
    <row r="2494" spans="1:8" x14ac:dyDescent="0.25">
      <c r="A2494" s="2">
        <v>35328</v>
      </c>
      <c r="B2494">
        <v>9.5809999999999995</v>
      </c>
      <c r="C2494">
        <v>126.227</v>
      </c>
      <c r="D2494" t="s">
        <v>14</v>
      </c>
      <c r="E2494" t="s">
        <v>200</v>
      </c>
      <c r="F2494">
        <f t="shared" si="76"/>
        <v>1996</v>
      </c>
      <c r="G2494">
        <f t="shared" si="77"/>
        <v>9</v>
      </c>
      <c r="H2494" t="str">
        <f>IF(ISNUMBER(FIND(",", E2494)), TRIM(MID(E2494, FIND(",", E2494) + 1, LEN(E2494))), E2494)</f>
        <v>Philippines</v>
      </c>
    </row>
    <row r="2495" spans="1:8" x14ac:dyDescent="0.25">
      <c r="A2495" s="2">
        <v>35322</v>
      </c>
      <c r="B2495">
        <v>-10.916</v>
      </c>
      <c r="C2495">
        <v>166.12299999999999</v>
      </c>
      <c r="D2495" t="s">
        <v>14</v>
      </c>
      <c r="E2495" t="s">
        <v>211</v>
      </c>
      <c r="F2495">
        <f t="shared" si="76"/>
        <v>1996</v>
      </c>
      <c r="G2495">
        <f t="shared" si="77"/>
        <v>9</v>
      </c>
      <c r="H2495" t="str">
        <f>IF(ISNUMBER(FIND(",", E2495)), TRIM(MID(E2495, FIND(",", E2495) + 1, LEN(E2495))), E2495)</f>
        <v>Santa Cruz Islands</v>
      </c>
    </row>
    <row r="2496" spans="1:8" x14ac:dyDescent="0.25">
      <c r="A2496" s="2">
        <v>35319</v>
      </c>
      <c r="B2496">
        <v>35.595999999999997</v>
      </c>
      <c r="C2496">
        <v>140.958</v>
      </c>
      <c r="D2496" t="s">
        <v>14</v>
      </c>
      <c r="E2496" t="s">
        <v>227</v>
      </c>
      <c r="F2496">
        <f t="shared" si="76"/>
        <v>1996</v>
      </c>
      <c r="G2496">
        <f t="shared" si="77"/>
        <v>9</v>
      </c>
      <c r="H2496" t="str">
        <f>IF(ISNUMBER(FIND(",", E2496)), TRIM(MID(E2496, FIND(",", E2496) + 1, LEN(E2496))), E2496)</f>
        <v>Japan</v>
      </c>
    </row>
    <row r="2497" spans="1:8" x14ac:dyDescent="0.25">
      <c r="A2497" s="2">
        <v>35314</v>
      </c>
      <c r="B2497">
        <v>-7.31</v>
      </c>
      <c r="C2497">
        <v>155.91300000000001</v>
      </c>
      <c r="D2497" t="s">
        <v>14</v>
      </c>
      <c r="E2497" t="s">
        <v>221</v>
      </c>
      <c r="F2497">
        <f t="shared" si="76"/>
        <v>1996</v>
      </c>
      <c r="G2497">
        <f t="shared" si="77"/>
        <v>9</v>
      </c>
      <c r="H2497" t="str">
        <f>IF(ISNUMBER(FIND(",", E2497)), TRIM(MID(E2497, FIND(",", E2497) + 1, LEN(E2497))), E2497)</f>
        <v>Solomon Islands</v>
      </c>
    </row>
    <row r="2498" spans="1:8" x14ac:dyDescent="0.25">
      <c r="A2498" s="2">
        <v>35313</v>
      </c>
      <c r="B2498">
        <v>21.978000000000002</v>
      </c>
      <c r="C2498">
        <v>121.515</v>
      </c>
      <c r="D2498" t="s">
        <v>14</v>
      </c>
      <c r="E2498" t="s">
        <v>363</v>
      </c>
      <c r="F2498">
        <f t="shared" ref="F2498:F2561" si="78">YEAR(A2498)</f>
        <v>1996</v>
      </c>
      <c r="G2498">
        <f t="shared" si="77"/>
        <v>9</v>
      </c>
      <c r="H2498" t="str">
        <f>IF(ISNUMBER(FIND(",", E2498)), TRIM(MID(E2498, FIND(",", E2498) + 1, LEN(E2498))), E2498)</f>
        <v>Taiwan region</v>
      </c>
    </row>
    <row r="2499" spans="1:8" x14ac:dyDescent="0.25">
      <c r="A2499" s="2">
        <v>35313</v>
      </c>
      <c r="B2499">
        <v>-22.088000000000001</v>
      </c>
      <c r="C2499">
        <v>-113.098</v>
      </c>
      <c r="D2499" t="s">
        <v>14</v>
      </c>
      <c r="E2499" t="s">
        <v>59</v>
      </c>
      <c r="F2499">
        <f t="shared" si="78"/>
        <v>1996</v>
      </c>
      <c r="G2499">
        <f t="shared" ref="G2499:G2562" si="79">MONTH(A2499)</f>
        <v>9</v>
      </c>
      <c r="H2499" t="str">
        <f>IF(ISNUMBER(FIND(",", E2499)), TRIM(MID(E2499, FIND(",", E2499) + 1, LEN(E2499))), E2499)</f>
        <v>Easter Island region</v>
      </c>
    </row>
    <row r="2500" spans="1:8" x14ac:dyDescent="0.25">
      <c r="A2500" s="2">
        <v>35313</v>
      </c>
      <c r="B2500">
        <v>-22.137</v>
      </c>
      <c r="C2500">
        <v>-113.21599999999999</v>
      </c>
      <c r="D2500" t="s">
        <v>14</v>
      </c>
      <c r="E2500" t="s">
        <v>59</v>
      </c>
      <c r="F2500">
        <f t="shared" si="78"/>
        <v>1996</v>
      </c>
      <c r="G2500">
        <f t="shared" si="79"/>
        <v>9</v>
      </c>
      <c r="H2500" t="str">
        <f>IF(ISNUMBER(FIND(",", E2500)), TRIM(MID(E2500, FIND(",", E2500) + 1, LEN(E2500))), E2500)</f>
        <v>Easter Island region</v>
      </c>
    </row>
    <row r="2501" spans="1:8" x14ac:dyDescent="0.25">
      <c r="A2501" s="2">
        <v>35313</v>
      </c>
      <c r="B2501">
        <v>-22.181999999999999</v>
      </c>
      <c r="C2501">
        <v>-113.458</v>
      </c>
      <c r="D2501" t="s">
        <v>14</v>
      </c>
      <c r="E2501" t="s">
        <v>59</v>
      </c>
      <c r="F2501">
        <f t="shared" si="78"/>
        <v>1996</v>
      </c>
      <c r="G2501">
        <f t="shared" si="79"/>
        <v>9</v>
      </c>
      <c r="H2501" t="str">
        <f>IF(ISNUMBER(FIND(",", E2501)), TRIM(MID(E2501, FIND(",", E2501) + 1, LEN(E2501))), E2501)</f>
        <v>Easter Island region</v>
      </c>
    </row>
    <row r="2502" spans="1:8" x14ac:dyDescent="0.25">
      <c r="A2502" s="2">
        <v>35312</v>
      </c>
      <c r="B2502">
        <v>9.4209999999999994</v>
      </c>
      <c r="C2502">
        <v>-84.201999999999998</v>
      </c>
      <c r="D2502" t="s">
        <v>14</v>
      </c>
      <c r="E2502" t="s">
        <v>202</v>
      </c>
      <c r="F2502">
        <f t="shared" si="78"/>
        <v>1996</v>
      </c>
      <c r="G2502">
        <f t="shared" si="79"/>
        <v>9</v>
      </c>
      <c r="H2502" t="str">
        <f>IF(ISNUMBER(FIND(",", E2502)), TRIM(MID(E2502, FIND(",", E2502) + 1, LEN(E2502))), E2502)</f>
        <v>Costa Rica</v>
      </c>
    </row>
    <row r="2503" spans="1:8" x14ac:dyDescent="0.25">
      <c r="A2503" s="2">
        <v>35292</v>
      </c>
      <c r="B2503">
        <v>-13.342000000000001</v>
      </c>
      <c r="C2503">
        <v>166.96600000000001</v>
      </c>
      <c r="D2503" t="s">
        <v>14</v>
      </c>
      <c r="E2503" t="s">
        <v>181</v>
      </c>
      <c r="F2503">
        <f t="shared" si="78"/>
        <v>1996</v>
      </c>
      <c r="G2503">
        <f t="shared" si="79"/>
        <v>8</v>
      </c>
      <c r="H2503" t="str">
        <f>IF(ISNUMBER(FIND(",", E2503)), TRIM(MID(E2503, FIND(",", E2503) + 1, LEN(E2503))), E2503)</f>
        <v>Vanuatu</v>
      </c>
    </row>
    <row r="2504" spans="1:8" x14ac:dyDescent="0.25">
      <c r="A2504" s="2">
        <v>35287</v>
      </c>
      <c r="B2504">
        <v>-4.9429999999999996</v>
      </c>
      <c r="C2504">
        <v>152.221</v>
      </c>
      <c r="D2504" t="s">
        <v>14</v>
      </c>
      <c r="E2504" t="s">
        <v>190</v>
      </c>
      <c r="F2504">
        <f t="shared" si="78"/>
        <v>1996</v>
      </c>
      <c r="G2504">
        <f t="shared" si="79"/>
        <v>8</v>
      </c>
      <c r="H2504" t="str">
        <f>IF(ISNUMBER(FIND(",", E2504)), TRIM(MID(E2504, FIND(",", E2504) + 1, LEN(E2504))), E2504)</f>
        <v>Papua New Guinea</v>
      </c>
    </row>
    <row r="2505" spans="1:8" x14ac:dyDescent="0.25">
      <c r="A2505" s="2">
        <v>35282</v>
      </c>
      <c r="B2505">
        <v>-20.8</v>
      </c>
      <c r="C2505">
        <v>-178.232</v>
      </c>
      <c r="D2505" t="s">
        <v>14</v>
      </c>
      <c r="E2505" t="s">
        <v>53</v>
      </c>
      <c r="F2505">
        <f t="shared" si="78"/>
        <v>1996</v>
      </c>
      <c r="G2505">
        <f t="shared" si="79"/>
        <v>8</v>
      </c>
      <c r="H2505" t="str">
        <f>IF(ISNUMBER(FIND(",", E2505)), TRIM(MID(E2505, FIND(",", E2505) + 1, LEN(E2505))), E2505)</f>
        <v>Fiji region</v>
      </c>
    </row>
    <row r="2506" spans="1:8" x14ac:dyDescent="0.25">
      <c r="A2506" s="2">
        <v>35282</v>
      </c>
      <c r="B2506">
        <v>-1.9350000000000001</v>
      </c>
      <c r="C2506">
        <v>-80.918000000000006</v>
      </c>
      <c r="D2506" t="s">
        <v>14</v>
      </c>
      <c r="E2506" t="s">
        <v>457</v>
      </c>
      <c r="F2506">
        <f t="shared" si="78"/>
        <v>1996</v>
      </c>
      <c r="G2506">
        <f t="shared" si="79"/>
        <v>8</v>
      </c>
      <c r="H2506" t="str">
        <f>IF(ISNUMBER(FIND(",", E2506)), TRIM(MID(E2506, FIND(",", E2506) + 1, LEN(E2506))), E2506)</f>
        <v>near the coast of Ecuador</v>
      </c>
    </row>
    <row r="2507" spans="1:8" x14ac:dyDescent="0.25">
      <c r="A2507" s="2">
        <v>35282</v>
      </c>
      <c r="B2507">
        <v>-15.348000000000001</v>
      </c>
      <c r="C2507">
        <v>-172.95400000000001</v>
      </c>
      <c r="D2507" t="s">
        <v>14</v>
      </c>
      <c r="E2507" t="s">
        <v>352</v>
      </c>
      <c r="F2507">
        <f t="shared" si="78"/>
        <v>1996</v>
      </c>
      <c r="G2507">
        <f t="shared" si="79"/>
        <v>8</v>
      </c>
      <c r="H2507" t="str">
        <f>IF(ISNUMBER(FIND(",", E2507)), TRIM(MID(E2507, FIND(",", E2507) + 1, LEN(E2507))), E2507)</f>
        <v>Samoa Islands region</v>
      </c>
    </row>
    <row r="2508" spans="1:8" x14ac:dyDescent="0.25">
      <c r="A2508" s="2">
        <v>35279</v>
      </c>
      <c r="B2508">
        <v>-10.754</v>
      </c>
      <c r="C2508">
        <v>161.51300000000001</v>
      </c>
      <c r="D2508" t="s">
        <v>14</v>
      </c>
      <c r="E2508" t="s">
        <v>221</v>
      </c>
      <c r="F2508">
        <f t="shared" si="78"/>
        <v>1996</v>
      </c>
      <c r="G2508">
        <f t="shared" si="79"/>
        <v>8</v>
      </c>
      <c r="H2508" t="str">
        <f>IF(ISNUMBER(FIND(",", E2508)), TRIM(MID(E2508, FIND(",", E2508) + 1, LEN(E2508))), E2508)</f>
        <v>Solomon Islands</v>
      </c>
    </row>
    <row r="2509" spans="1:8" x14ac:dyDescent="0.25">
      <c r="A2509" s="2">
        <v>35269</v>
      </c>
      <c r="B2509">
        <v>-26.94</v>
      </c>
      <c r="C2509">
        <v>-177.071</v>
      </c>
      <c r="D2509" t="s">
        <v>14</v>
      </c>
      <c r="E2509" t="s">
        <v>256</v>
      </c>
      <c r="F2509">
        <f t="shared" si="78"/>
        <v>1996</v>
      </c>
      <c r="G2509">
        <f t="shared" si="79"/>
        <v>7</v>
      </c>
      <c r="H2509" t="str">
        <f>IF(ISNUMBER(FIND(",", E2509)), TRIM(MID(E2509, FIND(",", E2509) + 1, LEN(E2509))), E2509)</f>
        <v>south of the Fiji Islands</v>
      </c>
    </row>
    <row r="2510" spans="1:8" x14ac:dyDescent="0.25">
      <c r="A2510" s="2">
        <v>35269</v>
      </c>
      <c r="B2510">
        <v>-26.975999999999999</v>
      </c>
      <c r="C2510">
        <v>-177.035</v>
      </c>
      <c r="D2510" t="s">
        <v>14</v>
      </c>
      <c r="E2510" t="s">
        <v>256</v>
      </c>
      <c r="F2510">
        <f t="shared" si="78"/>
        <v>1996</v>
      </c>
      <c r="G2510">
        <f t="shared" si="79"/>
        <v>7</v>
      </c>
      <c r="H2510" t="str">
        <f>IF(ISNUMBER(FIND(",", E2510)), TRIM(MID(E2510, FIND(",", E2510) + 1, LEN(E2510))), E2510)</f>
        <v>south of the Fiji Islands</v>
      </c>
    </row>
    <row r="2511" spans="1:8" x14ac:dyDescent="0.25">
      <c r="A2511" s="2">
        <v>35268</v>
      </c>
      <c r="B2511">
        <v>1.02</v>
      </c>
      <c r="C2511">
        <v>120.407</v>
      </c>
      <c r="D2511" t="s">
        <v>14</v>
      </c>
      <c r="E2511" t="s">
        <v>263</v>
      </c>
      <c r="F2511">
        <f t="shared" si="78"/>
        <v>1996</v>
      </c>
      <c r="G2511">
        <f t="shared" si="79"/>
        <v>7</v>
      </c>
      <c r="H2511" t="str">
        <f>IF(ISNUMBER(FIND(",", E2511)), TRIM(MID(E2511, FIND(",", E2511) + 1, LEN(E2511))), E2511)</f>
        <v>Sulawesi, Indonesia</v>
      </c>
    </row>
    <row r="2512" spans="1:8" x14ac:dyDescent="0.25">
      <c r="A2512" s="2">
        <v>35266</v>
      </c>
      <c r="B2512">
        <v>36.204000000000001</v>
      </c>
      <c r="C2512">
        <v>27.068000000000001</v>
      </c>
      <c r="D2512" t="s">
        <v>14</v>
      </c>
      <c r="E2512" t="s">
        <v>228</v>
      </c>
      <c r="F2512">
        <f t="shared" si="78"/>
        <v>1996</v>
      </c>
      <c r="G2512">
        <f t="shared" si="79"/>
        <v>7</v>
      </c>
      <c r="H2512" t="str">
        <f>IF(ISNUMBER(FIND(",", E2512)), TRIM(MID(E2512, FIND(",", E2512) + 1, LEN(E2512))), E2512)</f>
        <v>Greece</v>
      </c>
    </row>
    <row r="2513" spans="1:8" x14ac:dyDescent="0.25">
      <c r="A2513" s="2">
        <v>35262</v>
      </c>
      <c r="B2513">
        <v>1.0189999999999999</v>
      </c>
      <c r="C2513">
        <v>120.28</v>
      </c>
      <c r="D2513" t="s">
        <v>14</v>
      </c>
      <c r="E2513" t="s">
        <v>263</v>
      </c>
      <c r="F2513">
        <f t="shared" si="78"/>
        <v>1996</v>
      </c>
      <c r="G2513">
        <f t="shared" si="79"/>
        <v>7</v>
      </c>
      <c r="H2513" t="str">
        <f>IF(ISNUMBER(FIND(",", E2513)), TRIM(MID(E2513, FIND(",", E2513) + 1, LEN(E2513))), E2513)</f>
        <v>Sulawesi, Indonesia</v>
      </c>
    </row>
    <row r="2514" spans="1:8" x14ac:dyDescent="0.25">
      <c r="A2514" s="2">
        <v>35262</v>
      </c>
      <c r="B2514">
        <v>56.066000000000003</v>
      </c>
      <c r="C2514">
        <v>164.982</v>
      </c>
      <c r="D2514" t="s">
        <v>14</v>
      </c>
      <c r="E2514" t="s">
        <v>443</v>
      </c>
      <c r="F2514">
        <f t="shared" si="78"/>
        <v>1996</v>
      </c>
      <c r="G2514">
        <f t="shared" si="79"/>
        <v>7</v>
      </c>
      <c r="H2514" t="str">
        <f>IF(ISNUMBER(FIND(",", E2514)), TRIM(MID(E2514, FIND(",", E2514) + 1, LEN(E2514))), E2514)</f>
        <v>Russia region</v>
      </c>
    </row>
    <row r="2515" spans="1:8" x14ac:dyDescent="0.25">
      <c r="A2515" s="2">
        <v>35261</v>
      </c>
      <c r="B2515">
        <v>17.512</v>
      </c>
      <c r="C2515">
        <v>-101.021</v>
      </c>
      <c r="D2515" t="s">
        <v>14</v>
      </c>
      <c r="E2515" t="s">
        <v>192</v>
      </c>
      <c r="F2515">
        <f t="shared" si="78"/>
        <v>1996</v>
      </c>
      <c r="G2515">
        <f t="shared" si="79"/>
        <v>7</v>
      </c>
      <c r="H2515" t="str">
        <f>IF(ISNUMBER(FIND(",", E2515)), TRIM(MID(E2515, FIND(",", E2515) + 1, LEN(E2515))), E2515)</f>
        <v>Mexico</v>
      </c>
    </row>
    <row r="2516" spans="1:8" x14ac:dyDescent="0.25">
      <c r="A2516" s="2">
        <v>35261</v>
      </c>
      <c r="B2516">
        <v>18.707999999999998</v>
      </c>
      <c r="C2516">
        <v>145.65600000000001</v>
      </c>
      <c r="D2516" t="s">
        <v>14</v>
      </c>
      <c r="E2516" t="s">
        <v>416</v>
      </c>
      <c r="F2516">
        <f t="shared" si="78"/>
        <v>1996</v>
      </c>
      <c r="G2516">
        <f t="shared" si="79"/>
        <v>7</v>
      </c>
      <c r="H2516" t="str">
        <f>IF(ISNUMBER(FIND(",", E2516)), TRIM(MID(E2516, FIND(",", E2516) + 1, LEN(E2516))), E2516)</f>
        <v>Northern Mariana Islands</v>
      </c>
    </row>
    <row r="2517" spans="1:8" x14ac:dyDescent="0.25">
      <c r="A2517" s="2">
        <v>35252</v>
      </c>
      <c r="B2517">
        <v>21.966999999999999</v>
      </c>
      <c r="C2517">
        <v>142.96899999999999</v>
      </c>
      <c r="D2517" t="s">
        <v>14</v>
      </c>
      <c r="E2517" t="s">
        <v>72</v>
      </c>
      <c r="F2517">
        <f t="shared" si="78"/>
        <v>1996</v>
      </c>
      <c r="G2517">
        <f t="shared" si="79"/>
        <v>7</v>
      </c>
      <c r="H2517" t="str">
        <f>IF(ISNUMBER(FIND(",", E2517)), TRIM(MID(E2517, FIND(",", E2517) + 1, LEN(E2517))), E2517)</f>
        <v>Mariana Islands region</v>
      </c>
    </row>
    <row r="2518" spans="1:8" x14ac:dyDescent="0.25">
      <c r="A2518" s="2">
        <v>35242</v>
      </c>
      <c r="B2518">
        <v>27.725000000000001</v>
      </c>
      <c r="C2518">
        <v>139.88900000000001</v>
      </c>
      <c r="D2518" t="s">
        <v>14</v>
      </c>
      <c r="E2518" t="s">
        <v>233</v>
      </c>
      <c r="F2518">
        <f t="shared" si="78"/>
        <v>1996</v>
      </c>
      <c r="G2518">
        <f t="shared" si="79"/>
        <v>6</v>
      </c>
      <c r="H2518" t="str">
        <f>IF(ISNUMBER(FIND(",", E2518)), TRIM(MID(E2518, FIND(",", E2518) + 1, LEN(E2518))), E2518)</f>
        <v>Japan region</v>
      </c>
    </row>
    <row r="2519" spans="1:8" x14ac:dyDescent="0.25">
      <c r="A2519" s="2">
        <v>35238</v>
      </c>
      <c r="B2519">
        <v>51.454000000000001</v>
      </c>
      <c r="C2519">
        <v>159.09200000000001</v>
      </c>
      <c r="D2519" t="s">
        <v>14</v>
      </c>
      <c r="E2519" t="s">
        <v>318</v>
      </c>
      <c r="F2519">
        <f t="shared" si="78"/>
        <v>1996</v>
      </c>
      <c r="G2519">
        <f t="shared" si="79"/>
        <v>6</v>
      </c>
      <c r="H2519" t="str">
        <f>IF(ISNUMBER(FIND(",", E2519)), TRIM(MID(E2519, FIND(",", E2519) + 1, LEN(E2519))), E2519)</f>
        <v>Russia</v>
      </c>
    </row>
    <row r="2520" spans="1:8" x14ac:dyDescent="0.25">
      <c r="A2520" s="2">
        <v>35238</v>
      </c>
      <c r="B2520">
        <v>-53.63</v>
      </c>
      <c r="C2520">
        <v>8.8819999999999997</v>
      </c>
      <c r="D2520" t="s">
        <v>14</v>
      </c>
      <c r="E2520" t="s">
        <v>368</v>
      </c>
      <c r="F2520">
        <f t="shared" si="78"/>
        <v>1996</v>
      </c>
      <c r="G2520">
        <f t="shared" si="79"/>
        <v>6</v>
      </c>
      <c r="H2520" t="str">
        <f>IF(ISNUMBER(FIND(",", E2520)), TRIM(MID(E2520, FIND(",", E2520) + 1, LEN(E2520))), E2520)</f>
        <v>Bouvet Island region</v>
      </c>
    </row>
    <row r="2521" spans="1:8" x14ac:dyDescent="0.25">
      <c r="A2521" s="2">
        <v>35237</v>
      </c>
      <c r="B2521">
        <v>51.646999999999998</v>
      </c>
      <c r="C2521">
        <v>159.03800000000001</v>
      </c>
      <c r="D2521" t="s">
        <v>14</v>
      </c>
      <c r="E2521" t="s">
        <v>318</v>
      </c>
      <c r="F2521">
        <f t="shared" si="78"/>
        <v>1996</v>
      </c>
      <c r="G2521">
        <f t="shared" si="79"/>
        <v>6</v>
      </c>
      <c r="H2521" t="str">
        <f>IF(ISNUMBER(FIND(",", E2521)), TRIM(MID(E2521, FIND(",", E2521) + 1, LEN(E2521))), E2521)</f>
        <v>Russia</v>
      </c>
    </row>
    <row r="2522" spans="1:8" x14ac:dyDescent="0.25">
      <c r="A2522" s="2">
        <v>35233</v>
      </c>
      <c r="B2522">
        <v>-7.1459999999999999</v>
      </c>
      <c r="C2522">
        <v>122.512</v>
      </c>
      <c r="D2522" t="s">
        <v>14</v>
      </c>
      <c r="E2522" t="s">
        <v>438</v>
      </c>
      <c r="F2522">
        <f t="shared" si="78"/>
        <v>1996</v>
      </c>
      <c r="G2522">
        <f t="shared" si="79"/>
        <v>6</v>
      </c>
      <c r="H2522" t="str">
        <f>IF(ISNUMBER(FIND(",", E2522)), TRIM(MID(E2522, FIND(",", E2522) + 1, LEN(E2522))), E2522)</f>
        <v>Flores Sea</v>
      </c>
    </row>
    <row r="2523" spans="1:8" x14ac:dyDescent="0.25">
      <c r="A2523" s="2">
        <v>35230</v>
      </c>
      <c r="B2523">
        <v>12.861000000000001</v>
      </c>
      <c r="C2523">
        <v>124.962</v>
      </c>
      <c r="D2523" t="s">
        <v>14</v>
      </c>
      <c r="E2523" t="s">
        <v>394</v>
      </c>
      <c r="F2523">
        <f t="shared" si="78"/>
        <v>1996</v>
      </c>
      <c r="G2523">
        <f t="shared" si="79"/>
        <v>6</v>
      </c>
      <c r="H2523" t="str">
        <f>IF(ISNUMBER(FIND(",", E2523)), TRIM(MID(E2523, FIND(",", E2523) + 1, LEN(E2523))), E2523)</f>
        <v>Philippines</v>
      </c>
    </row>
    <row r="2524" spans="1:8" x14ac:dyDescent="0.25">
      <c r="A2524" s="2">
        <v>35227</v>
      </c>
      <c r="B2524">
        <v>12.68</v>
      </c>
      <c r="C2524">
        <v>125.124</v>
      </c>
      <c r="D2524" t="s">
        <v>14</v>
      </c>
      <c r="E2524" t="s">
        <v>394</v>
      </c>
      <c r="F2524">
        <f t="shared" si="78"/>
        <v>1996</v>
      </c>
      <c r="G2524">
        <f t="shared" si="79"/>
        <v>6</v>
      </c>
      <c r="H2524" t="str">
        <f>IF(ISNUMBER(FIND(",", E2524)), TRIM(MID(E2524, FIND(",", E2524) + 1, LEN(E2524))), E2524)</f>
        <v>Philippines</v>
      </c>
    </row>
    <row r="2525" spans="1:8" x14ac:dyDescent="0.25">
      <c r="A2525" s="2">
        <v>35226</v>
      </c>
      <c r="B2525">
        <v>51.167999999999999</v>
      </c>
      <c r="C2525">
        <v>-176.72499999999999</v>
      </c>
      <c r="D2525" t="s">
        <v>14</v>
      </c>
      <c r="E2525" t="s">
        <v>207</v>
      </c>
      <c r="F2525">
        <f t="shared" si="78"/>
        <v>1996</v>
      </c>
      <c r="G2525">
        <f t="shared" si="79"/>
        <v>6</v>
      </c>
      <c r="H2525" t="str">
        <f>IF(ISNUMBER(FIND(",", E2525)), TRIM(MID(E2525, FIND(",", E2525) + 1, LEN(E2525))), E2525)</f>
        <v>Aleutian Islands, Alaska</v>
      </c>
    </row>
    <row r="2526" spans="1:8" x14ac:dyDescent="0.25">
      <c r="A2526" s="2">
        <v>35226</v>
      </c>
      <c r="B2526">
        <v>51.433</v>
      </c>
      <c r="C2526">
        <v>-176.84100000000001</v>
      </c>
      <c r="D2526" t="s">
        <v>14</v>
      </c>
      <c r="E2526" t="s">
        <v>207</v>
      </c>
      <c r="F2526">
        <f t="shared" si="78"/>
        <v>1996</v>
      </c>
      <c r="G2526">
        <f t="shared" si="79"/>
        <v>6</v>
      </c>
      <c r="H2526" t="str">
        <f>IF(ISNUMBER(FIND(",", E2526)), TRIM(MID(E2526, FIND(",", E2526) + 1, LEN(E2526))), E2526)</f>
        <v>Aleutian Islands, Alaska</v>
      </c>
    </row>
    <row r="2527" spans="1:8" x14ac:dyDescent="0.25">
      <c r="A2527" s="2">
        <v>35226</v>
      </c>
      <c r="B2527">
        <v>51.593000000000004</v>
      </c>
      <c r="C2527">
        <v>-177.58799999999999</v>
      </c>
      <c r="D2527" t="s">
        <v>14</v>
      </c>
      <c r="E2527" t="s">
        <v>207</v>
      </c>
      <c r="F2527">
        <f t="shared" si="78"/>
        <v>1996</v>
      </c>
      <c r="G2527">
        <f t="shared" si="79"/>
        <v>6</v>
      </c>
      <c r="H2527" t="str">
        <f>IF(ISNUMBER(FIND(",", E2527)), TRIM(MID(E2527, FIND(",", E2527) + 1, LEN(E2527))), E2527)</f>
        <v>Aleutian Islands, Alaska</v>
      </c>
    </row>
    <row r="2528" spans="1:8" x14ac:dyDescent="0.25">
      <c r="A2528" s="2">
        <v>35226</v>
      </c>
      <c r="B2528">
        <v>-13.488</v>
      </c>
      <c r="C2528">
        <v>167.23</v>
      </c>
      <c r="D2528" t="s">
        <v>14</v>
      </c>
      <c r="E2528" t="s">
        <v>181</v>
      </c>
      <c r="F2528">
        <f t="shared" si="78"/>
        <v>1996</v>
      </c>
      <c r="G2528">
        <f t="shared" si="79"/>
        <v>6</v>
      </c>
      <c r="H2528" t="str">
        <f>IF(ISNUMBER(FIND(",", E2528)), TRIM(MID(E2528, FIND(",", E2528) + 1, LEN(E2528))), E2528)</f>
        <v>Vanuatu</v>
      </c>
    </row>
    <row r="2529" spans="1:8" x14ac:dyDescent="0.25">
      <c r="A2529" s="2">
        <v>35225</v>
      </c>
      <c r="B2529">
        <v>17.37</v>
      </c>
      <c r="C2529">
        <v>145.827</v>
      </c>
      <c r="D2529" t="s">
        <v>14</v>
      </c>
      <c r="E2529" t="s">
        <v>546</v>
      </c>
      <c r="F2529">
        <f t="shared" si="78"/>
        <v>1996</v>
      </c>
      <c r="G2529">
        <f t="shared" si="79"/>
        <v>6</v>
      </c>
      <c r="H2529" t="str">
        <f>IF(ISNUMBER(FIND(",", E2529)), TRIM(MID(E2529, FIND(",", E2529) + 1, LEN(E2529))), E2529)</f>
        <v>Northern Mariana Islands</v>
      </c>
    </row>
    <row r="2530" spans="1:8" x14ac:dyDescent="0.25">
      <c r="A2530" s="2">
        <v>35224</v>
      </c>
      <c r="B2530">
        <v>51.448999999999998</v>
      </c>
      <c r="C2530">
        <v>-178.08500000000001</v>
      </c>
      <c r="D2530" t="s">
        <v>14</v>
      </c>
      <c r="E2530" t="s">
        <v>207</v>
      </c>
      <c r="F2530">
        <f t="shared" si="78"/>
        <v>1996</v>
      </c>
      <c r="G2530">
        <f t="shared" si="79"/>
        <v>6</v>
      </c>
      <c r="H2530" t="str">
        <f>IF(ISNUMBER(FIND(",", E2530)), TRIM(MID(E2530, FIND(",", E2530) + 1, LEN(E2530))), E2530)</f>
        <v>Aleutian Islands, Alaska</v>
      </c>
    </row>
    <row r="2531" spans="1:8" x14ac:dyDescent="0.25">
      <c r="A2531" s="2">
        <v>35222</v>
      </c>
      <c r="B2531">
        <v>-41.243000000000002</v>
      </c>
      <c r="C2531">
        <v>80.605000000000004</v>
      </c>
      <c r="D2531" t="s">
        <v>14</v>
      </c>
      <c r="E2531" t="s">
        <v>377</v>
      </c>
      <c r="F2531">
        <f t="shared" si="78"/>
        <v>1996</v>
      </c>
      <c r="G2531">
        <f t="shared" si="79"/>
        <v>6</v>
      </c>
      <c r="H2531" t="str">
        <f>IF(ISNUMBER(FIND(",", E2531)), TRIM(MID(E2531, FIND(",", E2531) + 1, LEN(E2531))), E2531)</f>
        <v>Mid-Indian Ridge</v>
      </c>
    </row>
    <row r="2532" spans="1:8" x14ac:dyDescent="0.25">
      <c r="A2532" s="2">
        <v>35219</v>
      </c>
      <c r="B2532">
        <v>-9.3829999999999991</v>
      </c>
      <c r="C2532">
        <v>157.376</v>
      </c>
      <c r="D2532" t="s">
        <v>16</v>
      </c>
      <c r="E2532" t="s">
        <v>221</v>
      </c>
      <c r="F2532">
        <f t="shared" si="78"/>
        <v>1996</v>
      </c>
      <c r="G2532">
        <f t="shared" si="79"/>
        <v>6</v>
      </c>
      <c r="H2532" t="str">
        <f>IF(ISNUMBER(FIND(",", E2532)), TRIM(MID(E2532, FIND(",", E2532) + 1, LEN(E2532))), E2532)</f>
        <v>Solomon Islands</v>
      </c>
    </row>
    <row r="2533" spans="1:8" x14ac:dyDescent="0.25">
      <c r="A2533" s="2">
        <v>35218</v>
      </c>
      <c r="B2533">
        <v>10.791</v>
      </c>
      <c r="C2533">
        <v>-42.302999999999997</v>
      </c>
      <c r="D2533" t="s">
        <v>14</v>
      </c>
      <c r="E2533" t="s">
        <v>325</v>
      </c>
      <c r="F2533">
        <f t="shared" si="78"/>
        <v>1996</v>
      </c>
      <c r="G2533">
        <f t="shared" si="79"/>
        <v>6</v>
      </c>
      <c r="H2533" t="str">
        <f>IF(ISNUMBER(FIND(",", E2533)), TRIM(MID(E2533, FIND(",", E2533) + 1, LEN(E2533))), E2533)</f>
        <v>northern Mid-Atlantic Ridge</v>
      </c>
    </row>
    <row r="2534" spans="1:8" x14ac:dyDescent="0.25">
      <c r="A2534" s="2">
        <v>35196</v>
      </c>
      <c r="B2534">
        <v>-6.63</v>
      </c>
      <c r="C2534">
        <v>155.16300000000001</v>
      </c>
      <c r="D2534" t="s">
        <v>14</v>
      </c>
      <c r="E2534" t="s">
        <v>290</v>
      </c>
      <c r="F2534">
        <f t="shared" si="78"/>
        <v>1996</v>
      </c>
      <c r="G2534">
        <f t="shared" si="79"/>
        <v>5</v>
      </c>
      <c r="H2534" t="str">
        <f>IF(ISNUMBER(FIND(",", E2534)), TRIM(MID(E2534, FIND(",", E2534) + 1, LEN(E2534))), E2534)</f>
        <v>Papua New Guinea</v>
      </c>
    </row>
    <row r="2535" spans="1:8" x14ac:dyDescent="0.25">
      <c r="A2535" s="2">
        <v>35192</v>
      </c>
      <c r="B2535">
        <v>43.749000000000002</v>
      </c>
      <c r="C2535">
        <v>147.57900000000001</v>
      </c>
      <c r="D2535" t="s">
        <v>14</v>
      </c>
      <c r="E2535" t="s">
        <v>191</v>
      </c>
      <c r="F2535">
        <f t="shared" si="78"/>
        <v>1996</v>
      </c>
      <c r="G2535">
        <f t="shared" si="79"/>
        <v>5</v>
      </c>
      <c r="H2535" t="str">
        <f>IF(ISNUMBER(FIND(",", E2535)), TRIM(MID(E2535, FIND(",", E2535) + 1, LEN(E2535))), E2535)</f>
        <v>Kuril Islands</v>
      </c>
    </row>
    <row r="2536" spans="1:8" x14ac:dyDescent="0.25">
      <c r="A2536" s="2">
        <v>35187</v>
      </c>
      <c r="B2536">
        <v>-4.5519999999999996</v>
      </c>
      <c r="C2536">
        <v>154.94</v>
      </c>
      <c r="D2536" t="s">
        <v>14</v>
      </c>
      <c r="E2536" t="s">
        <v>290</v>
      </c>
      <c r="F2536">
        <f t="shared" si="78"/>
        <v>1996</v>
      </c>
      <c r="G2536">
        <f t="shared" si="79"/>
        <v>5</v>
      </c>
      <c r="H2536" t="str">
        <f>IF(ISNUMBER(FIND(",", E2536)), TRIM(MID(E2536, FIND(",", E2536) + 1, LEN(E2536))), E2536)</f>
        <v>Papua New Guinea</v>
      </c>
    </row>
    <row r="2537" spans="1:8" x14ac:dyDescent="0.25">
      <c r="A2537" s="2">
        <v>35186</v>
      </c>
      <c r="B2537">
        <v>-6.7590000000000003</v>
      </c>
      <c r="C2537">
        <v>155.04599999999999</v>
      </c>
      <c r="D2537" t="s">
        <v>14</v>
      </c>
      <c r="E2537" t="s">
        <v>290</v>
      </c>
      <c r="F2537">
        <f t="shared" si="78"/>
        <v>1996</v>
      </c>
      <c r="G2537">
        <f t="shared" si="79"/>
        <v>5</v>
      </c>
      <c r="H2537" t="str">
        <f>IF(ISNUMBER(FIND(",", E2537)), TRIM(MID(E2537, FIND(",", E2537) + 1, LEN(E2537))), E2537)</f>
        <v>Papua New Guinea</v>
      </c>
    </row>
    <row r="2538" spans="1:8" x14ac:dyDescent="0.25">
      <c r="A2538" s="2">
        <v>35184</v>
      </c>
      <c r="B2538">
        <v>-6.5380000000000003</v>
      </c>
      <c r="C2538">
        <v>155.10400000000001</v>
      </c>
      <c r="D2538" t="s">
        <v>14</v>
      </c>
      <c r="E2538" t="s">
        <v>290</v>
      </c>
      <c r="F2538">
        <f t="shared" si="78"/>
        <v>1996</v>
      </c>
      <c r="G2538">
        <f t="shared" si="79"/>
        <v>4</v>
      </c>
      <c r="H2538" t="str">
        <f>IF(ISNUMBER(FIND(",", E2538)), TRIM(MID(E2538, FIND(",", E2538) + 1, LEN(E2538))), E2538)</f>
        <v>Papua New Guinea</v>
      </c>
    </row>
    <row r="2539" spans="1:8" x14ac:dyDescent="0.25">
      <c r="A2539" s="2">
        <v>35182</v>
      </c>
      <c r="B2539">
        <v>2.3450000000000002</v>
      </c>
      <c r="C2539">
        <v>-79.384</v>
      </c>
      <c r="D2539" t="s">
        <v>14</v>
      </c>
      <c r="E2539" t="s">
        <v>231</v>
      </c>
      <c r="F2539">
        <f t="shared" si="78"/>
        <v>1996</v>
      </c>
      <c r="G2539">
        <f t="shared" si="79"/>
        <v>4</v>
      </c>
      <c r="H2539" t="str">
        <f>IF(ISNUMBER(FIND(",", E2539)), TRIM(MID(E2539, FIND(",", E2539) + 1, LEN(E2539))), E2539)</f>
        <v>south of Panama</v>
      </c>
    </row>
    <row r="2540" spans="1:8" x14ac:dyDescent="0.25">
      <c r="A2540" s="2">
        <v>35174</v>
      </c>
      <c r="B2540">
        <v>-23.855</v>
      </c>
      <c r="C2540">
        <v>-69.962999999999994</v>
      </c>
      <c r="D2540" t="s">
        <v>14</v>
      </c>
      <c r="E2540" t="s">
        <v>289</v>
      </c>
      <c r="F2540">
        <f t="shared" si="78"/>
        <v>1996</v>
      </c>
      <c r="G2540">
        <f t="shared" si="79"/>
        <v>4</v>
      </c>
      <c r="H2540" t="str">
        <f>IF(ISNUMBER(FIND(",", E2540)), TRIM(MID(E2540, FIND(",", E2540) + 1, LEN(E2540))), E2540)</f>
        <v>Chile</v>
      </c>
    </row>
    <row r="2541" spans="1:8" x14ac:dyDescent="0.25">
      <c r="A2541" s="2">
        <v>35171</v>
      </c>
      <c r="B2541">
        <v>-24.277000000000001</v>
      </c>
      <c r="C2541">
        <v>-176.904</v>
      </c>
      <c r="D2541" t="s">
        <v>14</v>
      </c>
      <c r="E2541" t="s">
        <v>256</v>
      </c>
      <c r="F2541">
        <f t="shared" si="78"/>
        <v>1996</v>
      </c>
      <c r="G2541">
        <f t="shared" si="79"/>
        <v>4</v>
      </c>
      <c r="H2541" t="str">
        <f>IF(ISNUMBER(FIND(",", E2541)), TRIM(MID(E2541, FIND(",", E2541) + 1, LEN(E2541))), E2541)</f>
        <v>south of the Fiji Islands</v>
      </c>
    </row>
    <row r="2542" spans="1:8" x14ac:dyDescent="0.25">
      <c r="A2542" s="2">
        <v>35154</v>
      </c>
      <c r="B2542">
        <v>52.253999999999998</v>
      </c>
      <c r="C2542">
        <v>-168.75200000000001</v>
      </c>
      <c r="D2542" t="s">
        <v>14</v>
      </c>
      <c r="E2542" t="s">
        <v>219</v>
      </c>
      <c r="F2542">
        <f t="shared" si="78"/>
        <v>1996</v>
      </c>
      <c r="G2542">
        <f t="shared" si="79"/>
        <v>3</v>
      </c>
      <c r="H2542" t="str">
        <f>IF(ISNUMBER(FIND(",", E2542)), TRIM(MID(E2542, FIND(",", E2542) + 1, LEN(E2542))), E2542)</f>
        <v>Aleutian Islands, Alaska</v>
      </c>
    </row>
    <row r="2543" spans="1:8" x14ac:dyDescent="0.25">
      <c r="A2543" s="2">
        <v>35154</v>
      </c>
      <c r="B2543">
        <v>-55.622999999999998</v>
      </c>
      <c r="C2543">
        <v>-125.85299999999999</v>
      </c>
      <c r="D2543" t="s">
        <v>14</v>
      </c>
      <c r="E2543" t="s">
        <v>268</v>
      </c>
      <c r="F2543">
        <f t="shared" si="78"/>
        <v>1996</v>
      </c>
      <c r="G2543">
        <f t="shared" si="79"/>
        <v>3</v>
      </c>
      <c r="H2543" t="str">
        <f>IF(ISNUMBER(FIND(",", E2543)), TRIM(MID(E2543, FIND(",", E2543) + 1, LEN(E2543))), E2543)</f>
        <v>southern East Pacific Rise</v>
      </c>
    </row>
    <row r="2544" spans="1:8" x14ac:dyDescent="0.25">
      <c r="A2544" s="2">
        <v>35152</v>
      </c>
      <c r="B2544">
        <v>11.917</v>
      </c>
      <c r="C2544">
        <v>57.88</v>
      </c>
      <c r="D2544" t="s">
        <v>14</v>
      </c>
      <c r="E2544" t="s">
        <v>544</v>
      </c>
      <c r="F2544">
        <f t="shared" si="78"/>
        <v>1996</v>
      </c>
      <c r="G2544">
        <f t="shared" si="79"/>
        <v>3</v>
      </c>
      <c r="H2544" t="str">
        <f>IF(ISNUMBER(FIND(",", E2544)), TRIM(MID(E2544, FIND(",", E2544) + 1, LEN(E2544))), E2544)</f>
        <v>Owen Fracture Zone region</v>
      </c>
    </row>
    <row r="2545" spans="1:8" x14ac:dyDescent="0.25">
      <c r="A2545" s="2">
        <v>35146</v>
      </c>
      <c r="B2545">
        <v>51.164999999999999</v>
      </c>
      <c r="C2545">
        <v>178.864</v>
      </c>
      <c r="D2545" t="s">
        <v>14</v>
      </c>
      <c r="E2545" t="s">
        <v>366</v>
      </c>
      <c r="F2545">
        <f t="shared" si="78"/>
        <v>1996</v>
      </c>
      <c r="G2545">
        <f t="shared" si="79"/>
        <v>3</v>
      </c>
      <c r="H2545" t="str">
        <f>IF(ISNUMBER(FIND(",", E2545)), TRIM(MID(E2545, FIND(",", E2545) + 1, LEN(E2545))), E2545)</f>
        <v>Aleutian Islands, Alaska</v>
      </c>
    </row>
    <row r="2546" spans="1:8" x14ac:dyDescent="0.25">
      <c r="A2546" s="2">
        <v>35146</v>
      </c>
      <c r="B2546">
        <v>51.317</v>
      </c>
      <c r="C2546">
        <v>178.661</v>
      </c>
      <c r="D2546" t="s">
        <v>14</v>
      </c>
      <c r="E2546" t="s">
        <v>366</v>
      </c>
      <c r="F2546">
        <f t="shared" si="78"/>
        <v>1996</v>
      </c>
      <c r="G2546">
        <f t="shared" si="79"/>
        <v>3</v>
      </c>
      <c r="H2546" t="str">
        <f>IF(ISNUMBER(FIND(",", E2546)), TRIM(MID(E2546, FIND(",", E2546) + 1, LEN(E2546))), E2546)</f>
        <v>Aleutian Islands, Alaska</v>
      </c>
    </row>
    <row r="2547" spans="1:8" x14ac:dyDescent="0.25">
      <c r="A2547" s="2">
        <v>35143</v>
      </c>
      <c r="B2547">
        <v>39.979999999999997</v>
      </c>
      <c r="C2547">
        <v>76.662999999999997</v>
      </c>
      <c r="D2547" t="s">
        <v>14</v>
      </c>
      <c r="E2547" t="s">
        <v>482</v>
      </c>
      <c r="F2547">
        <f t="shared" si="78"/>
        <v>1996</v>
      </c>
      <c r="G2547">
        <f t="shared" si="79"/>
        <v>3</v>
      </c>
      <c r="H2547" t="str">
        <f>IF(ISNUMBER(FIND(",", E2547)), TRIM(MID(E2547, FIND(",", E2547) + 1, LEN(E2547))), E2547)</f>
        <v>China</v>
      </c>
    </row>
    <row r="2548" spans="1:8" x14ac:dyDescent="0.25">
      <c r="A2548" s="2">
        <v>35141</v>
      </c>
      <c r="B2548">
        <v>-6.1529999999999996</v>
      </c>
      <c r="C2548">
        <v>147.76900000000001</v>
      </c>
      <c r="D2548" t="s">
        <v>14</v>
      </c>
      <c r="E2548" t="s">
        <v>243</v>
      </c>
      <c r="F2548">
        <f t="shared" si="78"/>
        <v>1996</v>
      </c>
      <c r="G2548">
        <f t="shared" si="79"/>
        <v>3</v>
      </c>
      <c r="H2548" t="str">
        <f>IF(ISNUMBER(FIND(",", E2548)), TRIM(MID(E2548, FIND(",", E2548) + 1, LEN(E2548))), E2548)</f>
        <v>Papua New Guinea</v>
      </c>
    </row>
    <row r="2549" spans="1:8" x14ac:dyDescent="0.25">
      <c r="A2549" s="2">
        <v>35141</v>
      </c>
      <c r="B2549">
        <v>-14.673</v>
      </c>
      <c r="C2549">
        <v>167.422</v>
      </c>
      <c r="D2549" t="s">
        <v>14</v>
      </c>
      <c r="E2549" t="s">
        <v>181</v>
      </c>
      <c r="F2549">
        <f t="shared" si="78"/>
        <v>1996</v>
      </c>
      <c r="G2549">
        <f t="shared" si="79"/>
        <v>3</v>
      </c>
      <c r="H2549" t="str">
        <f>IF(ISNUMBER(FIND(",", E2549)), TRIM(MID(E2549, FIND(",", E2549) + 1, LEN(E2549))), E2549)</f>
        <v>Vanuatu</v>
      </c>
    </row>
    <row r="2550" spans="1:8" x14ac:dyDescent="0.25">
      <c r="A2550" s="2">
        <v>35140</v>
      </c>
      <c r="B2550">
        <v>28.989000000000001</v>
      </c>
      <c r="C2550">
        <v>138.96299999999999</v>
      </c>
      <c r="D2550" t="s">
        <v>14</v>
      </c>
      <c r="E2550" t="s">
        <v>233</v>
      </c>
      <c r="F2550">
        <f t="shared" si="78"/>
        <v>1996</v>
      </c>
      <c r="G2550">
        <f t="shared" si="79"/>
        <v>3</v>
      </c>
      <c r="H2550" t="str">
        <f>IF(ISNUMBER(FIND(",", E2550)), TRIM(MID(E2550, FIND(",", E2550) + 1, LEN(E2550))), E2550)</f>
        <v>Japan region</v>
      </c>
    </row>
    <row r="2551" spans="1:8" x14ac:dyDescent="0.25">
      <c r="A2551" s="2">
        <v>35133</v>
      </c>
      <c r="B2551">
        <v>43.701999999999998</v>
      </c>
      <c r="C2551">
        <v>147.876</v>
      </c>
      <c r="D2551" t="s">
        <v>14</v>
      </c>
      <c r="E2551" t="s">
        <v>191</v>
      </c>
      <c r="F2551">
        <f t="shared" si="78"/>
        <v>1996</v>
      </c>
      <c r="G2551">
        <f t="shared" si="79"/>
        <v>3</v>
      </c>
      <c r="H2551" t="str">
        <f>IF(ISNUMBER(FIND(",", E2551)), TRIM(MID(E2551, FIND(",", E2551) + 1, LEN(E2551))), E2551)</f>
        <v>Kuril Islands</v>
      </c>
    </row>
    <row r="2552" spans="1:8" x14ac:dyDescent="0.25">
      <c r="A2552" s="2">
        <v>35133</v>
      </c>
      <c r="B2552">
        <v>43.545000000000002</v>
      </c>
      <c r="C2552">
        <v>147.97300000000001</v>
      </c>
      <c r="D2552" t="s">
        <v>14</v>
      </c>
      <c r="E2552" t="s">
        <v>191</v>
      </c>
      <c r="F2552">
        <f t="shared" si="78"/>
        <v>1996</v>
      </c>
      <c r="G2552">
        <f t="shared" si="79"/>
        <v>3</v>
      </c>
      <c r="H2552" t="str">
        <f>IF(ISNUMBER(FIND(",", E2552)), TRIM(MID(E2552, FIND(",", E2552) + 1, LEN(E2552))), E2552)</f>
        <v>Kuril Islands</v>
      </c>
    </row>
    <row r="2553" spans="1:8" x14ac:dyDescent="0.25">
      <c r="A2553" s="2">
        <v>35129</v>
      </c>
      <c r="B2553">
        <v>24.132000000000001</v>
      </c>
      <c r="C2553">
        <v>122.226</v>
      </c>
      <c r="D2553" t="s">
        <v>14</v>
      </c>
      <c r="E2553" t="s">
        <v>363</v>
      </c>
      <c r="F2553">
        <f t="shared" si="78"/>
        <v>1996</v>
      </c>
      <c r="G2553">
        <f t="shared" si="79"/>
        <v>3</v>
      </c>
      <c r="H2553" t="str">
        <f>IF(ISNUMBER(FIND(",", E2553)), TRIM(MID(E2553, FIND(",", E2553) + 1, LEN(E2553))), E2553)</f>
        <v>Taiwan region</v>
      </c>
    </row>
    <row r="2554" spans="1:8" x14ac:dyDescent="0.25">
      <c r="A2554" s="2">
        <v>35127</v>
      </c>
      <c r="B2554">
        <v>11.973000000000001</v>
      </c>
      <c r="C2554">
        <v>-86.727000000000004</v>
      </c>
      <c r="D2554" t="s">
        <v>14</v>
      </c>
      <c r="E2554" t="s">
        <v>448</v>
      </c>
      <c r="F2554">
        <f t="shared" si="78"/>
        <v>1996</v>
      </c>
      <c r="G2554">
        <f t="shared" si="79"/>
        <v>3</v>
      </c>
      <c r="H2554" t="str">
        <f>IF(ISNUMBER(FIND(",", E2554)), TRIM(MID(E2554, FIND(",", E2554) + 1, LEN(E2554))), E2554)</f>
        <v>near the coast of Nicaragua</v>
      </c>
    </row>
    <row r="2555" spans="1:8" x14ac:dyDescent="0.25">
      <c r="A2555" s="2">
        <v>35127</v>
      </c>
      <c r="B2555">
        <v>11.728</v>
      </c>
      <c r="C2555">
        <v>-86.872</v>
      </c>
      <c r="D2555" t="s">
        <v>14</v>
      </c>
      <c r="E2555" t="s">
        <v>448</v>
      </c>
      <c r="F2555">
        <f t="shared" si="78"/>
        <v>1996</v>
      </c>
      <c r="G2555">
        <f t="shared" si="79"/>
        <v>3</v>
      </c>
      <c r="H2555" t="str">
        <f>IF(ISNUMBER(FIND(",", E2555)), TRIM(MID(E2555, FIND(",", E2555) + 1, LEN(E2555))), E2555)</f>
        <v>near the coast of Nicaragua</v>
      </c>
    </row>
    <row r="2556" spans="1:8" x14ac:dyDescent="0.25">
      <c r="A2556" s="2">
        <v>35126</v>
      </c>
      <c r="B2556">
        <v>-5.891</v>
      </c>
      <c r="C2556">
        <v>146.661</v>
      </c>
      <c r="D2556" t="s">
        <v>14</v>
      </c>
      <c r="E2556" t="s">
        <v>243</v>
      </c>
      <c r="F2556">
        <f t="shared" si="78"/>
        <v>1996</v>
      </c>
      <c r="G2556">
        <f t="shared" si="79"/>
        <v>3</v>
      </c>
      <c r="H2556" t="str">
        <f>IF(ISNUMBER(FIND(",", E2556)), TRIM(MID(E2556, FIND(",", E2556) + 1, LEN(E2556))), E2556)</f>
        <v>Papua New Guinea</v>
      </c>
    </row>
    <row r="2557" spans="1:8" x14ac:dyDescent="0.25">
      <c r="A2557" s="2">
        <v>35123</v>
      </c>
      <c r="B2557">
        <v>1.726</v>
      </c>
      <c r="C2557">
        <v>126.08499999999999</v>
      </c>
      <c r="D2557" t="s">
        <v>14</v>
      </c>
      <c r="E2557" t="s">
        <v>186</v>
      </c>
      <c r="F2557">
        <f t="shared" si="78"/>
        <v>1996</v>
      </c>
      <c r="G2557">
        <f t="shared" si="79"/>
        <v>2</v>
      </c>
      <c r="H2557" t="str">
        <f>IF(ISNUMBER(FIND(",", E2557)), TRIM(MID(E2557, FIND(",", E2557) + 1, LEN(E2557))), E2557)</f>
        <v>Molucca Sea</v>
      </c>
    </row>
    <row r="2558" spans="1:8" x14ac:dyDescent="0.25">
      <c r="A2558" s="2">
        <v>35120</v>
      </c>
      <c r="B2558">
        <v>-22.338999999999999</v>
      </c>
      <c r="C2558">
        <v>-175.70400000000001</v>
      </c>
      <c r="D2558" t="s">
        <v>14</v>
      </c>
      <c r="E2558" t="s">
        <v>304</v>
      </c>
      <c r="F2558">
        <f t="shared" si="78"/>
        <v>1996</v>
      </c>
      <c r="G2558">
        <f t="shared" si="79"/>
        <v>2</v>
      </c>
      <c r="H2558" t="str">
        <f>IF(ISNUMBER(FIND(",", E2558)), TRIM(MID(E2558, FIND(",", E2558) + 1, LEN(E2558))), E2558)</f>
        <v>Tonga region</v>
      </c>
    </row>
    <row r="2559" spans="1:8" x14ac:dyDescent="0.25">
      <c r="A2559" s="2">
        <v>35120</v>
      </c>
      <c r="B2559">
        <v>15.933999999999999</v>
      </c>
      <c r="C2559">
        <v>-98.11</v>
      </c>
      <c r="D2559" t="s">
        <v>14</v>
      </c>
      <c r="E2559" t="s">
        <v>535</v>
      </c>
      <c r="F2559">
        <f t="shared" si="78"/>
        <v>1996</v>
      </c>
      <c r="G2559">
        <f t="shared" si="79"/>
        <v>2</v>
      </c>
      <c r="H2559" t="str">
        <f>IF(ISNUMBER(FIND(",", E2559)), TRIM(MID(E2559, FIND(",", E2559) + 1, LEN(E2559))), E2559)</f>
        <v>Mexico</v>
      </c>
    </row>
    <row r="2560" spans="1:8" x14ac:dyDescent="0.25">
      <c r="A2560" s="2">
        <v>35119</v>
      </c>
      <c r="B2560">
        <v>-0.83199999999999996</v>
      </c>
      <c r="C2560">
        <v>137.38399999999999</v>
      </c>
      <c r="D2560" t="s">
        <v>14</v>
      </c>
      <c r="E2560" t="s">
        <v>513</v>
      </c>
      <c r="F2560">
        <f t="shared" si="78"/>
        <v>1996</v>
      </c>
      <c r="G2560">
        <f t="shared" si="79"/>
        <v>2</v>
      </c>
      <c r="H2560" t="str">
        <f>IF(ISNUMBER(FIND(",", E2560)), TRIM(MID(E2560, FIND(",", E2560) + 1, LEN(E2560))), E2560)</f>
        <v>Indonesia</v>
      </c>
    </row>
    <row r="2561" spans="1:8" x14ac:dyDescent="0.25">
      <c r="A2561" s="2">
        <v>35117</v>
      </c>
      <c r="B2561">
        <v>45.271000000000001</v>
      </c>
      <c r="C2561">
        <v>148.517</v>
      </c>
      <c r="D2561" t="s">
        <v>14</v>
      </c>
      <c r="E2561" t="s">
        <v>191</v>
      </c>
      <c r="F2561">
        <f t="shared" si="78"/>
        <v>1996</v>
      </c>
      <c r="G2561">
        <f t="shared" si="79"/>
        <v>2</v>
      </c>
      <c r="H2561" t="str">
        <f>IF(ISNUMBER(FIND(",", E2561)), TRIM(MID(E2561, FIND(",", E2561) + 1, LEN(E2561))), E2561)</f>
        <v>Kuril Islands</v>
      </c>
    </row>
    <row r="2562" spans="1:8" x14ac:dyDescent="0.25">
      <c r="A2562" s="2">
        <v>35116</v>
      </c>
      <c r="B2562">
        <v>-9.7080000000000002</v>
      </c>
      <c r="C2562">
        <v>-79.844999999999999</v>
      </c>
      <c r="D2562" t="s">
        <v>14</v>
      </c>
      <c r="E2562" t="s">
        <v>428</v>
      </c>
      <c r="F2562">
        <f t="shared" ref="F2562:F2625" si="80">YEAR(A2562)</f>
        <v>1996</v>
      </c>
      <c r="G2562">
        <f t="shared" si="79"/>
        <v>2</v>
      </c>
      <c r="H2562" t="str">
        <f>IF(ISNUMBER(FIND(",", E2562)), TRIM(MID(E2562, FIND(",", E2562) + 1, LEN(E2562))), E2562)</f>
        <v>off the coast of northern Peru</v>
      </c>
    </row>
    <row r="2563" spans="1:8" x14ac:dyDescent="0.25">
      <c r="A2563" s="2">
        <v>35113</v>
      </c>
      <c r="B2563">
        <v>-1.276</v>
      </c>
      <c r="C2563">
        <v>-14.279</v>
      </c>
      <c r="D2563" t="s">
        <v>14</v>
      </c>
      <c r="E2563" t="s">
        <v>378</v>
      </c>
      <c r="F2563">
        <f t="shared" si="80"/>
        <v>1996</v>
      </c>
      <c r="G2563">
        <f t="shared" ref="G2563:G2626" si="81">MONTH(A2563)</f>
        <v>2</v>
      </c>
      <c r="H2563" t="str">
        <f>IF(ISNUMBER(FIND(",", E2563)), TRIM(MID(E2563, FIND(",", E2563) + 1, LEN(E2563))), E2563)</f>
        <v>north of Ascension Island</v>
      </c>
    </row>
    <row r="2564" spans="1:8" x14ac:dyDescent="0.25">
      <c r="A2564" s="2">
        <v>35113</v>
      </c>
      <c r="B2564">
        <v>-1.363</v>
      </c>
      <c r="C2564">
        <v>136.49100000000001</v>
      </c>
      <c r="D2564" t="s">
        <v>14</v>
      </c>
      <c r="E2564" t="s">
        <v>547</v>
      </c>
      <c r="F2564">
        <f t="shared" si="80"/>
        <v>1996</v>
      </c>
      <c r="G2564">
        <f t="shared" si="81"/>
        <v>2</v>
      </c>
      <c r="H2564" t="str">
        <f>IF(ISNUMBER(FIND(",", E2564)), TRIM(MID(E2564, FIND(",", E2564) + 1, LEN(E2564))), E2564)</f>
        <v>Indonesia</v>
      </c>
    </row>
    <row r="2565" spans="1:8" x14ac:dyDescent="0.25">
      <c r="A2565" s="2">
        <v>35113</v>
      </c>
      <c r="B2565">
        <v>-0.66400000000000003</v>
      </c>
      <c r="C2565">
        <v>136.553</v>
      </c>
      <c r="D2565" t="s">
        <v>14</v>
      </c>
      <c r="E2565" t="s">
        <v>547</v>
      </c>
      <c r="F2565">
        <f t="shared" si="80"/>
        <v>1996</v>
      </c>
      <c r="G2565">
        <f t="shared" si="81"/>
        <v>2</v>
      </c>
      <c r="H2565" t="str">
        <f>IF(ISNUMBER(FIND(",", E2565)), TRIM(MID(E2565, FIND(",", E2565) + 1, LEN(E2565))), E2565)</f>
        <v>Indonesia</v>
      </c>
    </row>
    <row r="2566" spans="1:8" x14ac:dyDescent="0.25">
      <c r="A2566" s="2">
        <v>35112</v>
      </c>
      <c r="B2566">
        <v>-0.84099999999999997</v>
      </c>
      <c r="C2566">
        <v>136.07400000000001</v>
      </c>
      <c r="D2566" t="s">
        <v>14</v>
      </c>
      <c r="E2566" t="s">
        <v>547</v>
      </c>
      <c r="F2566">
        <f t="shared" si="80"/>
        <v>1996</v>
      </c>
      <c r="G2566">
        <f t="shared" si="81"/>
        <v>2</v>
      </c>
      <c r="H2566" t="str">
        <f>IF(ISNUMBER(FIND(",", E2566)), TRIM(MID(E2566, FIND(",", E2566) + 1, LEN(E2566))), E2566)</f>
        <v>Indonesia</v>
      </c>
    </row>
    <row r="2567" spans="1:8" x14ac:dyDescent="0.25">
      <c r="A2567" s="2">
        <v>35112</v>
      </c>
      <c r="B2567">
        <v>-0.88300000000000001</v>
      </c>
      <c r="C2567">
        <v>136.119</v>
      </c>
      <c r="D2567" t="s">
        <v>14</v>
      </c>
      <c r="E2567" t="s">
        <v>547</v>
      </c>
      <c r="F2567">
        <f t="shared" si="80"/>
        <v>1996</v>
      </c>
      <c r="G2567">
        <f t="shared" si="81"/>
        <v>2</v>
      </c>
      <c r="H2567" t="str">
        <f>IF(ISNUMBER(FIND(",", E2567)), TRIM(MID(E2567, FIND(",", E2567) + 1, LEN(E2567))), E2567)</f>
        <v>Indonesia</v>
      </c>
    </row>
    <row r="2568" spans="1:8" x14ac:dyDescent="0.25">
      <c r="A2568" s="2">
        <v>35112</v>
      </c>
      <c r="B2568">
        <v>-0.55700000000000005</v>
      </c>
      <c r="C2568">
        <v>135.80500000000001</v>
      </c>
      <c r="D2568" t="s">
        <v>14</v>
      </c>
      <c r="E2568" t="s">
        <v>547</v>
      </c>
      <c r="F2568">
        <f t="shared" si="80"/>
        <v>1996</v>
      </c>
      <c r="G2568">
        <f t="shared" si="81"/>
        <v>2</v>
      </c>
      <c r="H2568" t="str">
        <f>IF(ISNUMBER(FIND(",", E2568)), TRIM(MID(E2568, FIND(",", E2568) + 1, LEN(E2568))), E2568)</f>
        <v>Indonesia</v>
      </c>
    </row>
    <row r="2569" spans="1:8" x14ac:dyDescent="0.25">
      <c r="A2569" s="2">
        <v>35112</v>
      </c>
      <c r="B2569">
        <v>-0.83699999999999997</v>
      </c>
      <c r="C2569">
        <v>136.58799999999999</v>
      </c>
      <c r="D2569" t="s">
        <v>14</v>
      </c>
      <c r="E2569" t="s">
        <v>547</v>
      </c>
      <c r="F2569">
        <f t="shared" si="80"/>
        <v>1996</v>
      </c>
      <c r="G2569">
        <f t="shared" si="81"/>
        <v>2</v>
      </c>
      <c r="H2569" t="str">
        <f>IF(ISNUMBER(FIND(",", E2569)), TRIM(MID(E2569, FIND(",", E2569) + 1, LEN(E2569))), E2569)</f>
        <v>Indonesia</v>
      </c>
    </row>
    <row r="2570" spans="1:8" x14ac:dyDescent="0.25">
      <c r="A2570" s="2">
        <v>35112</v>
      </c>
      <c r="B2570">
        <v>-0.90900000000000003</v>
      </c>
      <c r="C2570">
        <v>137.274</v>
      </c>
      <c r="D2570" t="s">
        <v>14</v>
      </c>
      <c r="E2570" t="s">
        <v>513</v>
      </c>
      <c r="F2570">
        <f t="shared" si="80"/>
        <v>1996</v>
      </c>
      <c r="G2570">
        <f t="shared" si="81"/>
        <v>2</v>
      </c>
      <c r="H2570" t="str">
        <f>IF(ISNUMBER(FIND(",", E2570)), TRIM(MID(E2570, FIND(",", E2570) + 1, LEN(E2570))), E2570)</f>
        <v>Indonesia</v>
      </c>
    </row>
    <row r="2571" spans="1:8" x14ac:dyDescent="0.25">
      <c r="A2571" s="2">
        <v>35112</v>
      </c>
      <c r="B2571">
        <v>-0.91900000000000004</v>
      </c>
      <c r="C2571">
        <v>136.97499999999999</v>
      </c>
      <c r="D2571" t="s">
        <v>14</v>
      </c>
      <c r="E2571" t="s">
        <v>547</v>
      </c>
      <c r="F2571">
        <f t="shared" si="80"/>
        <v>1996</v>
      </c>
      <c r="G2571">
        <f t="shared" si="81"/>
        <v>2</v>
      </c>
      <c r="H2571" t="str">
        <f>IF(ISNUMBER(FIND(",", E2571)), TRIM(MID(E2571, FIND(",", E2571) + 1, LEN(E2571))), E2571)</f>
        <v>Indonesia</v>
      </c>
    </row>
    <row r="2572" spans="1:8" x14ac:dyDescent="0.25">
      <c r="A2572" s="2">
        <v>35111</v>
      </c>
      <c r="B2572">
        <v>37.33</v>
      </c>
      <c r="C2572">
        <v>142.40199999999999</v>
      </c>
      <c r="D2572" t="s">
        <v>14</v>
      </c>
      <c r="E2572" t="s">
        <v>189</v>
      </c>
      <c r="F2572">
        <f t="shared" si="80"/>
        <v>1996</v>
      </c>
      <c r="G2572">
        <f t="shared" si="81"/>
        <v>2</v>
      </c>
      <c r="H2572" t="str">
        <f>IF(ISNUMBER(FIND(",", E2572)), TRIM(MID(E2572, FIND(",", E2572) + 1, LEN(E2572))), E2572)</f>
        <v>Japan</v>
      </c>
    </row>
    <row r="2573" spans="1:8" x14ac:dyDescent="0.25">
      <c r="A2573" s="2">
        <v>35111</v>
      </c>
      <c r="B2573">
        <v>-1.482</v>
      </c>
      <c r="C2573">
        <v>-15.34</v>
      </c>
      <c r="D2573" t="s">
        <v>14</v>
      </c>
      <c r="E2573" t="s">
        <v>378</v>
      </c>
      <c r="F2573">
        <f t="shared" si="80"/>
        <v>1996</v>
      </c>
      <c r="G2573">
        <f t="shared" si="81"/>
        <v>2</v>
      </c>
      <c r="H2573" t="str">
        <f>IF(ISNUMBER(FIND(",", E2573)), TRIM(MID(E2573, FIND(",", E2573) + 1, LEN(E2573))), E2573)</f>
        <v>north of Ascension Island</v>
      </c>
    </row>
    <row r="2574" spans="1:8" x14ac:dyDescent="0.25">
      <c r="A2574" s="2">
        <v>35104</v>
      </c>
      <c r="B2574">
        <v>-5.9560000000000004</v>
      </c>
      <c r="C2574">
        <v>146.714</v>
      </c>
      <c r="D2574" t="s">
        <v>14</v>
      </c>
      <c r="E2574" t="s">
        <v>243</v>
      </c>
      <c r="F2574">
        <f t="shared" si="80"/>
        <v>1996</v>
      </c>
      <c r="G2574">
        <f t="shared" si="81"/>
        <v>2</v>
      </c>
      <c r="H2574" t="str">
        <f>IF(ISNUMBER(FIND(",", E2574)), TRIM(MID(E2574, FIND(",", E2574) + 1, LEN(E2574))), E2574)</f>
        <v>Papua New Guinea</v>
      </c>
    </row>
    <row r="2575" spans="1:8" x14ac:dyDescent="0.25">
      <c r="A2575" s="2">
        <v>35102</v>
      </c>
      <c r="B2575">
        <v>45.371000000000002</v>
      </c>
      <c r="C2575">
        <v>149.89699999999999</v>
      </c>
      <c r="D2575" t="s">
        <v>14</v>
      </c>
      <c r="E2575" t="s">
        <v>191</v>
      </c>
      <c r="F2575">
        <f t="shared" si="80"/>
        <v>1996</v>
      </c>
      <c r="G2575">
        <f t="shared" si="81"/>
        <v>2</v>
      </c>
      <c r="H2575" t="str">
        <f>IF(ISNUMBER(FIND(",", E2575)), TRIM(MID(E2575, FIND(",", E2575) + 1, LEN(E2575))), E2575)</f>
        <v>Kuril Islands</v>
      </c>
    </row>
    <row r="2576" spans="1:8" x14ac:dyDescent="0.25">
      <c r="A2576" s="2">
        <v>35098</v>
      </c>
      <c r="B2576">
        <v>27.303000000000001</v>
      </c>
      <c r="C2576">
        <v>100.288</v>
      </c>
      <c r="D2576" t="s">
        <v>14</v>
      </c>
      <c r="E2576" t="s">
        <v>391</v>
      </c>
      <c r="F2576">
        <f t="shared" si="80"/>
        <v>1996</v>
      </c>
      <c r="G2576">
        <f t="shared" si="81"/>
        <v>2</v>
      </c>
      <c r="H2576" t="str">
        <f>IF(ISNUMBER(FIND(",", E2576)), TRIM(MID(E2576, FIND(",", E2576) + 1, LEN(E2576))), E2576)</f>
        <v>China</v>
      </c>
    </row>
    <row r="2577" spans="1:8" x14ac:dyDescent="0.25">
      <c r="A2577" s="2">
        <v>35096</v>
      </c>
      <c r="B2577">
        <v>44.835000000000001</v>
      </c>
      <c r="C2577">
        <v>146.273</v>
      </c>
      <c r="D2577" t="s">
        <v>14</v>
      </c>
      <c r="E2577" t="s">
        <v>191</v>
      </c>
      <c r="F2577">
        <f t="shared" si="80"/>
        <v>1996</v>
      </c>
      <c r="G2577">
        <f t="shared" si="81"/>
        <v>2</v>
      </c>
      <c r="H2577" t="str">
        <f>IF(ISNUMBER(FIND(",", E2577)), TRIM(MID(E2577, FIND(",", E2577) + 1, LEN(E2577))), E2577)</f>
        <v>Kuril Islands</v>
      </c>
    </row>
    <row r="2578" spans="1:8" x14ac:dyDescent="0.25">
      <c r="A2578" s="2">
        <v>35094</v>
      </c>
      <c r="B2578">
        <v>-32.945</v>
      </c>
      <c r="C2578">
        <v>-178.10599999999999</v>
      </c>
      <c r="D2578" t="s">
        <v>14</v>
      </c>
      <c r="E2578" t="s">
        <v>262</v>
      </c>
      <c r="F2578">
        <f t="shared" si="80"/>
        <v>1996</v>
      </c>
      <c r="G2578">
        <f t="shared" si="81"/>
        <v>1</v>
      </c>
      <c r="H2578" t="str">
        <f>IF(ISNUMBER(FIND(",", E2578)), TRIM(MID(E2578, FIND(",", E2578) + 1, LEN(E2578))), E2578)</f>
        <v>south of the Kermadec Islands</v>
      </c>
    </row>
    <row r="2579" spans="1:8" x14ac:dyDescent="0.25">
      <c r="A2579" s="2">
        <v>35086</v>
      </c>
      <c r="B2579">
        <v>-60.685000000000002</v>
      </c>
      <c r="C2579">
        <v>-25.981999999999999</v>
      </c>
      <c r="D2579" t="s">
        <v>14</v>
      </c>
      <c r="E2579" t="s">
        <v>260</v>
      </c>
      <c r="F2579">
        <f t="shared" si="80"/>
        <v>1996</v>
      </c>
      <c r="G2579">
        <f t="shared" si="81"/>
        <v>1</v>
      </c>
      <c r="H2579" t="str">
        <f>IF(ISNUMBER(FIND(",", E2579)), TRIM(MID(E2579, FIND(",", E2579) + 1, LEN(E2579))), E2579)</f>
        <v>South Sandwich Islands region</v>
      </c>
    </row>
    <row r="2580" spans="1:8" x14ac:dyDescent="0.25">
      <c r="A2580" s="2">
        <v>35081</v>
      </c>
      <c r="B2580">
        <v>-4.4000000000000004</v>
      </c>
      <c r="C2580">
        <v>140.114</v>
      </c>
      <c r="D2580" t="s">
        <v>14</v>
      </c>
      <c r="E2580" t="s">
        <v>210</v>
      </c>
      <c r="F2580">
        <f t="shared" si="80"/>
        <v>1996</v>
      </c>
      <c r="G2580">
        <f t="shared" si="81"/>
        <v>1</v>
      </c>
      <c r="H2580" t="str">
        <f>IF(ISNUMBER(FIND(",", E2580)), TRIM(MID(E2580, FIND(",", E2580) + 1, LEN(E2580))), E2580)</f>
        <v>Indonesia</v>
      </c>
    </row>
    <row r="2581" spans="1:8" x14ac:dyDescent="0.25">
      <c r="A2581" s="2">
        <v>35065</v>
      </c>
      <c r="B2581">
        <v>53.935000000000002</v>
      </c>
      <c r="C2581">
        <v>159.44900000000001</v>
      </c>
      <c r="D2581" t="s">
        <v>14</v>
      </c>
      <c r="E2581" t="s">
        <v>225</v>
      </c>
      <c r="F2581">
        <f t="shared" si="80"/>
        <v>1996</v>
      </c>
      <c r="G2581">
        <f t="shared" si="81"/>
        <v>1</v>
      </c>
      <c r="H2581" t="str">
        <f>IF(ISNUMBER(FIND(",", E2581)), TRIM(MID(E2581, FIND(",", E2581) + 1, LEN(E2581))), E2581)</f>
        <v>Russia</v>
      </c>
    </row>
    <row r="2582" spans="1:8" x14ac:dyDescent="0.25">
      <c r="A2582" s="2">
        <v>35065</v>
      </c>
      <c r="B2582">
        <v>0.54400000000000004</v>
      </c>
      <c r="C2582">
        <v>119.788</v>
      </c>
      <c r="D2582" t="s">
        <v>14</v>
      </c>
      <c r="E2582" t="s">
        <v>263</v>
      </c>
      <c r="F2582">
        <f t="shared" si="80"/>
        <v>1996</v>
      </c>
      <c r="G2582">
        <f t="shared" si="81"/>
        <v>1</v>
      </c>
      <c r="H2582" t="str">
        <f>IF(ISNUMBER(FIND(",", E2582)), TRIM(MID(E2582, FIND(",", E2582) + 1, LEN(E2582))), E2582)</f>
        <v>Sulawesi, Indonesia</v>
      </c>
    </row>
    <row r="2583" spans="1:8" x14ac:dyDescent="0.25">
      <c r="A2583" s="2">
        <v>35065</v>
      </c>
      <c r="B2583">
        <v>0.70699999999999996</v>
      </c>
      <c r="C2583">
        <v>119.902</v>
      </c>
      <c r="D2583" t="s">
        <v>14</v>
      </c>
      <c r="E2583" t="s">
        <v>263</v>
      </c>
      <c r="F2583">
        <f t="shared" si="80"/>
        <v>1996</v>
      </c>
      <c r="G2583">
        <f t="shared" si="81"/>
        <v>1</v>
      </c>
      <c r="H2583" t="str">
        <f>IF(ISNUMBER(FIND(",", E2583)), TRIM(MID(E2583, FIND(",", E2583) + 1, LEN(E2583))), E2583)</f>
        <v>Sulawesi, Indonesia</v>
      </c>
    </row>
    <row r="2584" spans="1:8" x14ac:dyDescent="0.25">
      <c r="A2584" s="2">
        <v>35063</v>
      </c>
      <c r="B2584">
        <v>40.814999999999998</v>
      </c>
      <c r="C2584">
        <v>143.39599999999999</v>
      </c>
      <c r="D2584" t="s">
        <v>14</v>
      </c>
      <c r="E2584" t="s">
        <v>189</v>
      </c>
      <c r="F2584">
        <f t="shared" si="80"/>
        <v>1995</v>
      </c>
      <c r="G2584">
        <f t="shared" si="81"/>
        <v>12</v>
      </c>
      <c r="H2584" t="str">
        <f>IF(ISNUMBER(FIND(",", E2584)), TRIM(MID(E2584, FIND(",", E2584) + 1, LEN(E2584))), E2584)</f>
        <v>Japan</v>
      </c>
    </row>
    <row r="2585" spans="1:8" x14ac:dyDescent="0.25">
      <c r="A2585" s="2">
        <v>35063</v>
      </c>
      <c r="B2585">
        <v>-4.4980000000000002</v>
      </c>
      <c r="C2585">
        <v>-104.81399999999999</v>
      </c>
      <c r="D2585" t="s">
        <v>14</v>
      </c>
      <c r="E2585" t="s">
        <v>381</v>
      </c>
      <c r="F2585">
        <f t="shared" si="80"/>
        <v>1995</v>
      </c>
      <c r="G2585">
        <f t="shared" si="81"/>
        <v>12</v>
      </c>
      <c r="H2585" t="str">
        <f>IF(ISNUMBER(FIND(",", E2585)), TRIM(MID(E2585, FIND(",", E2585) + 1, LEN(E2585))), E2585)</f>
        <v>central East Pacific Rise</v>
      </c>
    </row>
    <row r="2586" spans="1:8" x14ac:dyDescent="0.25">
      <c r="A2586" s="2">
        <v>35058</v>
      </c>
      <c r="B2586">
        <v>-6.92</v>
      </c>
      <c r="C2586">
        <v>129.202</v>
      </c>
      <c r="D2586" t="s">
        <v>14</v>
      </c>
      <c r="E2586" t="s">
        <v>187</v>
      </c>
      <c r="F2586">
        <f t="shared" si="80"/>
        <v>1995</v>
      </c>
      <c r="G2586">
        <f t="shared" si="81"/>
        <v>12</v>
      </c>
      <c r="H2586" t="str">
        <f>IF(ISNUMBER(FIND(",", E2586)), TRIM(MID(E2586, FIND(",", E2586) + 1, LEN(E2586))), E2586)</f>
        <v>Banda Sea</v>
      </c>
    </row>
    <row r="2587" spans="1:8" x14ac:dyDescent="0.25">
      <c r="A2587" s="2">
        <v>35052</v>
      </c>
      <c r="B2587">
        <v>-3.6709999999999998</v>
      </c>
      <c r="C2587">
        <v>140.262</v>
      </c>
      <c r="D2587" t="s">
        <v>14</v>
      </c>
      <c r="E2587" t="s">
        <v>210</v>
      </c>
      <c r="F2587">
        <f t="shared" si="80"/>
        <v>1995</v>
      </c>
      <c r="G2587">
        <f t="shared" si="81"/>
        <v>12</v>
      </c>
      <c r="H2587" t="str">
        <f>IF(ISNUMBER(FIND(",", E2587)), TRIM(MID(E2587, FIND(",", E2587) + 1, LEN(E2587))), E2587)</f>
        <v>Indonesia</v>
      </c>
    </row>
    <row r="2588" spans="1:8" x14ac:dyDescent="0.25">
      <c r="A2588" s="2">
        <v>35044</v>
      </c>
      <c r="B2588">
        <v>18.512</v>
      </c>
      <c r="C2588">
        <v>-105.575</v>
      </c>
      <c r="D2588" t="s">
        <v>14</v>
      </c>
      <c r="E2588" t="s">
        <v>315</v>
      </c>
      <c r="F2588">
        <f t="shared" si="80"/>
        <v>1995</v>
      </c>
      <c r="G2588">
        <f t="shared" si="81"/>
        <v>12</v>
      </c>
      <c r="H2588" t="str">
        <f>IF(ISNUMBER(FIND(",", E2588)), TRIM(MID(E2588, FIND(",", E2588) + 1, LEN(E2588))), E2588)</f>
        <v>Mexico</v>
      </c>
    </row>
    <row r="2589" spans="1:8" x14ac:dyDescent="0.25">
      <c r="A2589" s="2">
        <v>35044</v>
      </c>
      <c r="B2589">
        <v>18.782</v>
      </c>
      <c r="C2589">
        <v>-105.56399999999999</v>
      </c>
      <c r="D2589" t="s">
        <v>14</v>
      </c>
      <c r="E2589" t="s">
        <v>548</v>
      </c>
      <c r="F2589">
        <f t="shared" si="80"/>
        <v>1995</v>
      </c>
      <c r="G2589">
        <f t="shared" si="81"/>
        <v>12</v>
      </c>
      <c r="H2589" t="str">
        <f>IF(ISNUMBER(FIND(",", E2589)), TRIM(MID(E2589, FIND(",", E2589) + 1, LEN(E2589))), E2589)</f>
        <v>Mexico</v>
      </c>
    </row>
    <row r="2590" spans="1:8" x14ac:dyDescent="0.25">
      <c r="A2590" s="2">
        <v>35043</v>
      </c>
      <c r="B2590">
        <v>-21.533999999999999</v>
      </c>
      <c r="C2590">
        <v>-177.988</v>
      </c>
      <c r="D2590" t="s">
        <v>14</v>
      </c>
      <c r="E2590" t="s">
        <v>53</v>
      </c>
      <c r="F2590">
        <f t="shared" si="80"/>
        <v>1995</v>
      </c>
      <c r="G2590">
        <f t="shared" si="81"/>
        <v>12</v>
      </c>
      <c r="H2590" t="str">
        <f>IF(ISNUMBER(FIND(",", E2590)), TRIM(MID(E2590, FIND(",", E2590) + 1, LEN(E2590))), E2590)</f>
        <v>Fiji region</v>
      </c>
    </row>
    <row r="2591" spans="1:8" x14ac:dyDescent="0.25">
      <c r="A2591" s="2">
        <v>35043</v>
      </c>
      <c r="B2591">
        <v>44.316000000000003</v>
      </c>
      <c r="C2591">
        <v>149.75200000000001</v>
      </c>
      <c r="D2591" t="s">
        <v>14</v>
      </c>
      <c r="E2591" t="s">
        <v>191</v>
      </c>
      <c r="F2591">
        <f t="shared" si="80"/>
        <v>1995</v>
      </c>
      <c r="G2591">
        <f t="shared" si="81"/>
        <v>12</v>
      </c>
      <c r="H2591" t="str">
        <f>IF(ISNUMBER(FIND(",", E2591)), TRIM(MID(E2591, FIND(",", E2591) + 1, LEN(E2591))), E2591)</f>
        <v>Kuril Islands</v>
      </c>
    </row>
    <row r="2592" spans="1:8" x14ac:dyDescent="0.25">
      <c r="A2592" s="2">
        <v>35043</v>
      </c>
      <c r="B2592">
        <v>44.378</v>
      </c>
      <c r="C2592">
        <v>149.76499999999999</v>
      </c>
      <c r="D2592" t="s">
        <v>14</v>
      </c>
      <c r="E2592" t="s">
        <v>191</v>
      </c>
      <c r="F2592">
        <f t="shared" si="80"/>
        <v>1995</v>
      </c>
      <c r="G2592">
        <f t="shared" si="81"/>
        <v>12</v>
      </c>
      <c r="H2592" t="str">
        <f>IF(ISNUMBER(FIND(",", E2592)), TRIM(MID(E2592, FIND(",", E2592) + 1, LEN(E2592))), E2592)</f>
        <v>Kuril Islands</v>
      </c>
    </row>
    <row r="2593" spans="1:8" x14ac:dyDescent="0.25">
      <c r="A2593" s="2">
        <v>35038</v>
      </c>
      <c r="B2593">
        <v>-9.0009999999999994</v>
      </c>
      <c r="C2593">
        <v>124.66500000000001</v>
      </c>
      <c r="D2593" t="s">
        <v>14</v>
      </c>
      <c r="E2593" t="s">
        <v>549</v>
      </c>
      <c r="F2593">
        <f t="shared" si="80"/>
        <v>1995</v>
      </c>
      <c r="G2593">
        <f t="shared" si="81"/>
        <v>12</v>
      </c>
      <c r="H2593" t="str">
        <f>IF(ISNUMBER(FIND(",", E2593)), TRIM(MID(E2593, FIND(",", E2593) + 1, LEN(E2593))), E2593)</f>
        <v>Timor region</v>
      </c>
    </row>
    <row r="2594" spans="1:8" x14ac:dyDescent="0.25">
      <c r="A2594" s="2">
        <v>35036</v>
      </c>
      <c r="B2594">
        <v>44.764000000000003</v>
      </c>
      <c r="C2594">
        <v>150.227</v>
      </c>
      <c r="D2594" t="s">
        <v>14</v>
      </c>
      <c r="E2594" t="s">
        <v>317</v>
      </c>
      <c r="F2594">
        <f t="shared" si="80"/>
        <v>1995</v>
      </c>
      <c r="G2594">
        <f t="shared" si="81"/>
        <v>12</v>
      </c>
      <c r="H2594" t="str">
        <f>IF(ISNUMBER(FIND(",", E2594)), TRIM(MID(E2594, FIND(",", E2594) + 1, LEN(E2594))), E2594)</f>
        <v>east of the Kuril Islands</v>
      </c>
    </row>
    <row r="2595" spans="1:8" x14ac:dyDescent="0.25">
      <c r="A2595" s="2">
        <v>35036</v>
      </c>
      <c r="B2595">
        <v>44.85</v>
      </c>
      <c r="C2595">
        <v>149.62700000000001</v>
      </c>
      <c r="D2595" t="s">
        <v>14</v>
      </c>
      <c r="E2595" t="s">
        <v>191</v>
      </c>
      <c r="F2595">
        <f t="shared" si="80"/>
        <v>1995</v>
      </c>
      <c r="G2595">
        <f t="shared" si="81"/>
        <v>12</v>
      </c>
      <c r="H2595" t="str">
        <f>IF(ISNUMBER(FIND(",", E2595)), TRIM(MID(E2595, FIND(",", E2595) + 1, LEN(E2595))), E2595)</f>
        <v>Kuril Islands</v>
      </c>
    </row>
    <row r="2596" spans="1:8" x14ac:dyDescent="0.25">
      <c r="A2596" s="2">
        <v>35036</v>
      </c>
      <c r="B2596">
        <v>44.472999999999999</v>
      </c>
      <c r="C2596">
        <v>149.71600000000001</v>
      </c>
      <c r="D2596" t="s">
        <v>14</v>
      </c>
      <c r="E2596" t="s">
        <v>191</v>
      </c>
      <c r="F2596">
        <f t="shared" si="80"/>
        <v>1995</v>
      </c>
      <c r="G2596">
        <f t="shared" si="81"/>
        <v>12</v>
      </c>
      <c r="H2596" t="str">
        <f>IF(ISNUMBER(FIND(",", E2596)), TRIM(MID(E2596, FIND(",", E2596) + 1, LEN(E2596))), E2596)</f>
        <v>Kuril Islands</v>
      </c>
    </row>
    <row r="2597" spans="1:8" x14ac:dyDescent="0.25">
      <c r="A2597" s="2">
        <v>35036</v>
      </c>
      <c r="B2597">
        <v>44.738</v>
      </c>
      <c r="C2597">
        <v>150.29900000000001</v>
      </c>
      <c r="D2597" t="s">
        <v>14</v>
      </c>
      <c r="E2597" t="s">
        <v>317</v>
      </c>
      <c r="F2597">
        <f t="shared" si="80"/>
        <v>1995</v>
      </c>
      <c r="G2597">
        <f t="shared" si="81"/>
        <v>12</v>
      </c>
      <c r="H2597" t="str">
        <f>IF(ISNUMBER(FIND(",", E2597)), TRIM(MID(E2597, FIND(",", E2597) + 1, LEN(E2597))), E2597)</f>
        <v>east of the Kuril Islands</v>
      </c>
    </row>
    <row r="2598" spans="1:8" x14ac:dyDescent="0.25">
      <c r="A2598" s="2">
        <v>35036</v>
      </c>
      <c r="B2598">
        <v>44.404000000000003</v>
      </c>
      <c r="C2598">
        <v>149.828</v>
      </c>
      <c r="D2598" t="s">
        <v>14</v>
      </c>
      <c r="E2598" t="s">
        <v>191</v>
      </c>
      <c r="F2598">
        <f t="shared" si="80"/>
        <v>1995</v>
      </c>
      <c r="G2598">
        <f t="shared" si="81"/>
        <v>12</v>
      </c>
      <c r="H2598" t="str">
        <f>IF(ISNUMBER(FIND(",", E2598)), TRIM(MID(E2598, FIND(",", E2598) + 1, LEN(E2598))), E2598)</f>
        <v>Kuril Islands</v>
      </c>
    </row>
    <row r="2599" spans="1:8" x14ac:dyDescent="0.25">
      <c r="A2599" s="2">
        <v>35036</v>
      </c>
      <c r="B2599">
        <v>44.654000000000003</v>
      </c>
      <c r="C2599">
        <v>149.48699999999999</v>
      </c>
      <c r="D2599" t="s">
        <v>14</v>
      </c>
      <c r="E2599" t="s">
        <v>191</v>
      </c>
      <c r="F2599">
        <f t="shared" si="80"/>
        <v>1995</v>
      </c>
      <c r="G2599">
        <f t="shared" si="81"/>
        <v>12</v>
      </c>
      <c r="H2599" t="str">
        <f>IF(ISNUMBER(FIND(",", E2599)), TRIM(MID(E2599, FIND(",", E2599) + 1, LEN(E2599))), E2599)</f>
        <v>Kuril Islands</v>
      </c>
    </row>
    <row r="2600" spans="1:8" x14ac:dyDescent="0.25">
      <c r="A2600" s="2">
        <v>35036</v>
      </c>
      <c r="B2600">
        <v>44.715000000000003</v>
      </c>
      <c r="C2600">
        <v>150.119</v>
      </c>
      <c r="D2600" t="s">
        <v>14</v>
      </c>
      <c r="E2600" t="s">
        <v>317</v>
      </c>
      <c r="F2600">
        <f t="shared" si="80"/>
        <v>1995</v>
      </c>
      <c r="G2600">
        <f t="shared" si="81"/>
        <v>12</v>
      </c>
      <c r="H2600" t="str">
        <f>IF(ISNUMBER(FIND(",", E2600)), TRIM(MID(E2600, FIND(",", E2600) + 1, LEN(E2600))), E2600)</f>
        <v>east of the Kuril Islands</v>
      </c>
    </row>
    <row r="2601" spans="1:8" x14ac:dyDescent="0.25">
      <c r="A2601" s="2">
        <v>35036</v>
      </c>
      <c r="B2601">
        <v>45.015999999999998</v>
      </c>
      <c r="C2601">
        <v>150.678</v>
      </c>
      <c r="D2601" t="s">
        <v>14</v>
      </c>
      <c r="E2601" t="s">
        <v>191</v>
      </c>
      <c r="F2601">
        <f t="shared" si="80"/>
        <v>1995</v>
      </c>
      <c r="G2601">
        <f t="shared" si="81"/>
        <v>12</v>
      </c>
      <c r="H2601" t="str">
        <f>IF(ISNUMBER(FIND(",", E2601)), TRIM(MID(E2601, FIND(",", E2601) + 1, LEN(E2601))), E2601)</f>
        <v>Kuril Islands</v>
      </c>
    </row>
    <row r="2602" spans="1:8" x14ac:dyDescent="0.25">
      <c r="A2602" s="2">
        <v>35036</v>
      </c>
      <c r="B2602">
        <v>44.706000000000003</v>
      </c>
      <c r="C2602">
        <v>149.26</v>
      </c>
      <c r="D2602" t="s">
        <v>14</v>
      </c>
      <c r="E2602" t="s">
        <v>191</v>
      </c>
      <c r="F2602">
        <f t="shared" si="80"/>
        <v>1995</v>
      </c>
      <c r="G2602">
        <f t="shared" si="81"/>
        <v>12</v>
      </c>
      <c r="H2602" t="str">
        <f>IF(ISNUMBER(FIND(",", E2602)), TRIM(MID(E2602, FIND(",", E2602) + 1, LEN(E2602))), E2602)</f>
        <v>Kuril Islands</v>
      </c>
    </row>
    <row r="2603" spans="1:8" x14ac:dyDescent="0.25">
      <c r="A2603" s="2">
        <v>35035</v>
      </c>
      <c r="B2603">
        <v>44.537999999999997</v>
      </c>
      <c r="C2603">
        <v>149.27699999999999</v>
      </c>
      <c r="D2603" t="s">
        <v>14</v>
      </c>
      <c r="E2603" t="s">
        <v>191</v>
      </c>
      <c r="F2603">
        <f t="shared" si="80"/>
        <v>1995</v>
      </c>
      <c r="G2603">
        <f t="shared" si="81"/>
        <v>12</v>
      </c>
      <c r="H2603" t="str">
        <f>IF(ISNUMBER(FIND(",", E2603)), TRIM(MID(E2603, FIND(",", E2603) + 1, LEN(E2603))), E2603)</f>
        <v>Kuril Islands</v>
      </c>
    </row>
    <row r="2604" spans="1:8" x14ac:dyDescent="0.25">
      <c r="A2604" s="2">
        <v>35034</v>
      </c>
      <c r="B2604">
        <v>10.145</v>
      </c>
      <c r="C2604">
        <v>-104.05200000000001</v>
      </c>
      <c r="D2604" t="s">
        <v>14</v>
      </c>
      <c r="E2604" t="s">
        <v>252</v>
      </c>
      <c r="F2604">
        <f t="shared" si="80"/>
        <v>1995</v>
      </c>
      <c r="G2604">
        <f t="shared" si="81"/>
        <v>12</v>
      </c>
      <c r="H2604" t="str">
        <f>IF(ISNUMBER(FIND(",", E2604)), TRIM(MID(E2604, FIND(",", E2604) + 1, LEN(E2604))), E2604)</f>
        <v>northern East Pacific Rise</v>
      </c>
    </row>
    <row r="2605" spans="1:8" x14ac:dyDescent="0.25">
      <c r="A2605" s="2">
        <v>35033</v>
      </c>
      <c r="B2605">
        <v>44.552</v>
      </c>
      <c r="C2605">
        <v>149.34700000000001</v>
      </c>
      <c r="D2605" t="s">
        <v>14</v>
      </c>
      <c r="E2605" t="s">
        <v>191</v>
      </c>
      <c r="F2605">
        <f t="shared" si="80"/>
        <v>1995</v>
      </c>
      <c r="G2605">
        <f t="shared" si="81"/>
        <v>11</v>
      </c>
      <c r="H2605" t="str">
        <f>IF(ISNUMBER(FIND(",", E2605)), TRIM(MID(E2605, FIND(",", E2605) + 1, LEN(E2605))), E2605)</f>
        <v>Kuril Islands</v>
      </c>
    </row>
    <row r="2606" spans="1:8" x14ac:dyDescent="0.25">
      <c r="A2606" s="2">
        <v>35030</v>
      </c>
      <c r="B2606">
        <v>44.59</v>
      </c>
      <c r="C2606">
        <v>149.17099999999999</v>
      </c>
      <c r="D2606" t="s">
        <v>14</v>
      </c>
      <c r="E2606" t="s">
        <v>191</v>
      </c>
      <c r="F2606">
        <f t="shared" si="80"/>
        <v>1995</v>
      </c>
      <c r="G2606">
        <f t="shared" si="81"/>
        <v>11</v>
      </c>
      <c r="H2606" t="str">
        <f>IF(ISNUMBER(FIND(",", E2606)), TRIM(MID(E2606, FIND(",", E2606) + 1, LEN(E2606))), E2606)</f>
        <v>Kuril Islands</v>
      </c>
    </row>
    <row r="2607" spans="1:8" x14ac:dyDescent="0.25">
      <c r="A2607" s="2">
        <v>35027</v>
      </c>
      <c r="B2607">
        <v>44.588000000000001</v>
      </c>
      <c r="C2607">
        <v>149.07599999999999</v>
      </c>
      <c r="D2607" t="s">
        <v>14</v>
      </c>
      <c r="E2607" t="s">
        <v>191</v>
      </c>
      <c r="F2607">
        <f t="shared" si="80"/>
        <v>1995</v>
      </c>
      <c r="G2607">
        <f t="shared" si="81"/>
        <v>11</v>
      </c>
      <c r="H2607" t="str">
        <f>IF(ISNUMBER(FIND(",", E2607)), TRIM(MID(E2607, FIND(",", E2607) + 1, LEN(E2607))), E2607)</f>
        <v>Kuril Islands</v>
      </c>
    </row>
    <row r="2608" spans="1:8" x14ac:dyDescent="0.25">
      <c r="A2608" s="2">
        <v>35027</v>
      </c>
      <c r="B2608">
        <v>-42.984999999999999</v>
      </c>
      <c r="C2608">
        <v>171.839</v>
      </c>
      <c r="D2608" t="s">
        <v>14</v>
      </c>
      <c r="E2608" t="s">
        <v>300</v>
      </c>
      <c r="F2608">
        <f t="shared" si="80"/>
        <v>1995</v>
      </c>
      <c r="G2608">
        <f t="shared" si="81"/>
        <v>11</v>
      </c>
      <c r="H2608" t="str">
        <f>IF(ISNUMBER(FIND(",", E2608)), TRIM(MID(E2608, FIND(",", E2608) + 1, LEN(E2608))), E2608)</f>
        <v>South Island of New Zealand</v>
      </c>
    </row>
    <row r="2609" spans="1:8" x14ac:dyDescent="0.25">
      <c r="A2609" s="2">
        <v>35025</v>
      </c>
      <c r="B2609">
        <v>28.760999999999999</v>
      </c>
      <c r="C2609">
        <v>34.805999999999997</v>
      </c>
      <c r="D2609" t="s">
        <v>14</v>
      </c>
      <c r="E2609" t="s">
        <v>550</v>
      </c>
      <c r="F2609">
        <f t="shared" si="80"/>
        <v>1995</v>
      </c>
      <c r="G2609">
        <f t="shared" si="81"/>
        <v>11</v>
      </c>
      <c r="H2609" t="str">
        <f>IF(ISNUMBER(FIND(",", E2609)), TRIM(MID(E2609, FIND(",", E2609) + 1, LEN(E2609))), E2609)</f>
        <v>Egypt</v>
      </c>
    </row>
    <row r="2610" spans="1:8" x14ac:dyDescent="0.25">
      <c r="A2610" s="2">
        <v>35016</v>
      </c>
      <c r="B2610">
        <v>3.5950000000000002</v>
      </c>
      <c r="C2610">
        <v>126.691</v>
      </c>
      <c r="D2610" t="s">
        <v>14</v>
      </c>
      <c r="E2610" t="s">
        <v>372</v>
      </c>
      <c r="F2610">
        <f t="shared" si="80"/>
        <v>1995</v>
      </c>
      <c r="G2610">
        <f t="shared" si="81"/>
        <v>11</v>
      </c>
      <c r="H2610" t="str">
        <f>IF(ISNUMBER(FIND(",", E2610)), TRIM(MID(E2610, FIND(",", E2610) + 1, LEN(E2610))), E2610)</f>
        <v>Indonesia</v>
      </c>
    </row>
    <row r="2611" spans="1:8" x14ac:dyDescent="0.25">
      <c r="A2611" s="2">
        <v>35011</v>
      </c>
      <c r="B2611">
        <v>1.8220000000000001</v>
      </c>
      <c r="C2611">
        <v>95.015000000000001</v>
      </c>
      <c r="D2611" t="s">
        <v>14</v>
      </c>
      <c r="E2611" t="s">
        <v>245</v>
      </c>
      <c r="F2611">
        <f t="shared" si="80"/>
        <v>1995</v>
      </c>
      <c r="G2611">
        <f t="shared" si="81"/>
        <v>11</v>
      </c>
      <c r="H2611" t="str">
        <f>IF(ISNUMBER(FIND(",", E2611)), TRIM(MID(E2611, FIND(",", E2611) + 1, LEN(E2611))), E2611)</f>
        <v>off the west coast of northern Sumatra</v>
      </c>
    </row>
    <row r="2612" spans="1:8" x14ac:dyDescent="0.25">
      <c r="A2612" s="2">
        <v>35008</v>
      </c>
      <c r="B2612">
        <v>-4.9740000000000002</v>
      </c>
      <c r="C2612">
        <v>103.149</v>
      </c>
      <c r="D2612" t="s">
        <v>14</v>
      </c>
      <c r="E2612" t="s">
        <v>308</v>
      </c>
      <c r="F2612">
        <f t="shared" si="80"/>
        <v>1995</v>
      </c>
      <c r="G2612">
        <f t="shared" si="81"/>
        <v>11</v>
      </c>
      <c r="H2612" t="str">
        <f>IF(ISNUMBER(FIND(",", E2612)), TRIM(MID(E2612, FIND(",", E2612) + 1, LEN(E2612))), E2612)</f>
        <v>Indonesia</v>
      </c>
    </row>
    <row r="2613" spans="1:8" x14ac:dyDescent="0.25">
      <c r="A2613" s="2">
        <v>35004</v>
      </c>
      <c r="B2613">
        <v>-28.895</v>
      </c>
      <c r="C2613">
        <v>-71.409000000000006</v>
      </c>
      <c r="D2613" t="s">
        <v>14</v>
      </c>
      <c r="E2613" t="s">
        <v>264</v>
      </c>
      <c r="F2613">
        <f t="shared" si="80"/>
        <v>1995</v>
      </c>
      <c r="G2613">
        <f t="shared" si="81"/>
        <v>11</v>
      </c>
      <c r="H2613" t="str">
        <f>IF(ISNUMBER(FIND(",", E2613)), TRIM(MID(E2613, FIND(",", E2613) + 1, LEN(E2613))), E2613)</f>
        <v>Chile</v>
      </c>
    </row>
    <row r="2614" spans="1:8" x14ac:dyDescent="0.25">
      <c r="A2614" s="2">
        <v>35001</v>
      </c>
      <c r="B2614">
        <v>-21.79</v>
      </c>
      <c r="C2614">
        <v>-179.3</v>
      </c>
      <c r="D2614" t="s">
        <v>14</v>
      </c>
      <c r="E2614" t="s">
        <v>53</v>
      </c>
      <c r="F2614">
        <f t="shared" si="80"/>
        <v>1995</v>
      </c>
      <c r="G2614">
        <f t="shared" si="81"/>
        <v>10</v>
      </c>
      <c r="H2614" t="str">
        <f>IF(ISNUMBER(FIND(",", E2614)), TRIM(MID(E2614, FIND(",", E2614) + 1, LEN(E2614))), E2614)</f>
        <v>Fiji region</v>
      </c>
    </row>
    <row r="2615" spans="1:8" x14ac:dyDescent="0.25">
      <c r="A2615" s="2">
        <v>34995</v>
      </c>
      <c r="B2615">
        <v>25.978000000000002</v>
      </c>
      <c r="C2615">
        <v>102.187</v>
      </c>
      <c r="D2615" t="s">
        <v>14</v>
      </c>
      <c r="E2615" t="s">
        <v>423</v>
      </c>
      <c r="F2615">
        <f t="shared" si="80"/>
        <v>1995</v>
      </c>
      <c r="G2615">
        <f t="shared" si="81"/>
        <v>10</v>
      </c>
      <c r="H2615" t="str">
        <f>IF(ISNUMBER(FIND(",", E2615)), TRIM(MID(E2615, FIND(",", E2615) + 1, LEN(E2615))), E2615)</f>
        <v>China</v>
      </c>
    </row>
    <row r="2616" spans="1:8" x14ac:dyDescent="0.25">
      <c r="A2616" s="2">
        <v>34993</v>
      </c>
      <c r="B2616">
        <v>16.829000000000001</v>
      </c>
      <c r="C2616">
        <v>-93.465999999999994</v>
      </c>
      <c r="D2616" t="s">
        <v>14</v>
      </c>
      <c r="E2616" t="s">
        <v>421</v>
      </c>
      <c r="F2616">
        <f t="shared" si="80"/>
        <v>1995</v>
      </c>
      <c r="G2616">
        <f t="shared" si="81"/>
        <v>10</v>
      </c>
      <c r="H2616" t="str">
        <f>IF(ISNUMBER(FIND(",", E2616)), TRIM(MID(E2616, FIND(",", E2616) + 1, LEN(E2616))), E2616)</f>
        <v>Mexico</v>
      </c>
    </row>
    <row r="2617" spans="1:8" x14ac:dyDescent="0.25">
      <c r="A2617" s="2">
        <v>34991</v>
      </c>
      <c r="B2617">
        <v>28.140999999999998</v>
      </c>
      <c r="C2617">
        <v>130.15700000000001</v>
      </c>
      <c r="D2617" t="s">
        <v>14</v>
      </c>
      <c r="E2617" t="s">
        <v>340</v>
      </c>
      <c r="F2617">
        <f t="shared" si="80"/>
        <v>1995</v>
      </c>
      <c r="G2617">
        <f t="shared" si="81"/>
        <v>10</v>
      </c>
      <c r="H2617" t="str">
        <f>IF(ISNUMBER(FIND(",", E2617)), TRIM(MID(E2617, FIND(",", E2617) + 1, LEN(E2617))), E2617)</f>
        <v>Japan</v>
      </c>
    </row>
    <row r="2618" spans="1:8" x14ac:dyDescent="0.25">
      <c r="A2618" s="2">
        <v>34991</v>
      </c>
      <c r="B2618">
        <v>28.227</v>
      </c>
      <c r="C2618">
        <v>130.20099999999999</v>
      </c>
      <c r="D2618" t="s">
        <v>14</v>
      </c>
      <c r="E2618" t="s">
        <v>340</v>
      </c>
      <c r="F2618">
        <f t="shared" si="80"/>
        <v>1995</v>
      </c>
      <c r="G2618">
        <f t="shared" si="81"/>
        <v>10</v>
      </c>
      <c r="H2618" t="str">
        <f>IF(ISNUMBER(FIND(",", E2618)), TRIM(MID(E2618, FIND(",", E2618) + 1, LEN(E2618))), E2618)</f>
        <v>Japan</v>
      </c>
    </row>
    <row r="2619" spans="1:8" x14ac:dyDescent="0.25">
      <c r="A2619" s="2">
        <v>34990</v>
      </c>
      <c r="B2619">
        <v>28.073</v>
      </c>
      <c r="C2619">
        <v>130.27699999999999</v>
      </c>
      <c r="D2619" t="s">
        <v>14</v>
      </c>
      <c r="E2619" t="s">
        <v>340</v>
      </c>
      <c r="F2619">
        <f t="shared" si="80"/>
        <v>1995</v>
      </c>
      <c r="G2619">
        <f t="shared" si="81"/>
        <v>10</v>
      </c>
      <c r="H2619" t="str">
        <f>IF(ISNUMBER(FIND(",", E2619)), TRIM(MID(E2619, FIND(",", E2619) + 1, LEN(E2619))), E2619)</f>
        <v>Japan</v>
      </c>
    </row>
    <row r="2620" spans="1:8" x14ac:dyDescent="0.25">
      <c r="A2620" s="2">
        <v>34990</v>
      </c>
      <c r="B2620">
        <v>36.432000000000002</v>
      </c>
      <c r="C2620">
        <v>70.388999999999996</v>
      </c>
      <c r="D2620" t="s">
        <v>14</v>
      </c>
      <c r="E2620" t="s">
        <v>314</v>
      </c>
      <c r="F2620">
        <f t="shared" si="80"/>
        <v>1995</v>
      </c>
      <c r="G2620">
        <f t="shared" si="81"/>
        <v>10</v>
      </c>
      <c r="H2620" t="str">
        <f>IF(ISNUMBER(FIND(",", E2620)), TRIM(MID(E2620, FIND(",", E2620) + 1, LEN(E2620))), E2620)</f>
        <v>Afghanistan</v>
      </c>
    </row>
    <row r="2621" spans="1:8" x14ac:dyDescent="0.25">
      <c r="A2621" s="2">
        <v>34987</v>
      </c>
      <c r="B2621">
        <v>-6.4960000000000004</v>
      </c>
      <c r="C2621">
        <v>154.709</v>
      </c>
      <c r="D2621" t="s">
        <v>14</v>
      </c>
      <c r="E2621" t="s">
        <v>290</v>
      </c>
      <c r="F2621">
        <f t="shared" si="80"/>
        <v>1995</v>
      </c>
      <c r="G2621">
        <f t="shared" si="81"/>
        <v>10</v>
      </c>
      <c r="H2621" t="str">
        <f>IF(ISNUMBER(FIND(",", E2621)), TRIM(MID(E2621, FIND(",", E2621) + 1, LEN(E2621))), E2621)</f>
        <v>Papua New Guinea</v>
      </c>
    </row>
    <row r="2622" spans="1:8" x14ac:dyDescent="0.25">
      <c r="A2622" s="2">
        <v>34986</v>
      </c>
      <c r="B2622">
        <v>-6.423</v>
      </c>
      <c r="C2622">
        <v>154.71</v>
      </c>
      <c r="D2622" t="s">
        <v>14</v>
      </c>
      <c r="E2622" t="s">
        <v>290</v>
      </c>
      <c r="F2622">
        <f t="shared" si="80"/>
        <v>1995</v>
      </c>
      <c r="G2622">
        <f t="shared" si="81"/>
        <v>10</v>
      </c>
      <c r="H2622" t="str">
        <f>IF(ISNUMBER(FIND(",", E2622)), TRIM(MID(E2622, FIND(",", E2622) + 1, LEN(E2622))), E2622)</f>
        <v>Papua New Guinea</v>
      </c>
    </row>
    <row r="2623" spans="1:8" x14ac:dyDescent="0.25">
      <c r="A2623" s="2">
        <v>34986</v>
      </c>
      <c r="B2623">
        <v>-25.866</v>
      </c>
      <c r="C2623">
        <v>-177.37700000000001</v>
      </c>
      <c r="D2623" t="s">
        <v>14</v>
      </c>
      <c r="E2623" t="s">
        <v>256</v>
      </c>
      <c r="F2623">
        <f t="shared" si="80"/>
        <v>1995</v>
      </c>
      <c r="G2623">
        <f t="shared" si="81"/>
        <v>10</v>
      </c>
      <c r="H2623" t="str">
        <f>IF(ISNUMBER(FIND(",", E2623)), TRIM(MID(E2623, FIND(",", E2623) + 1, LEN(E2623))), E2623)</f>
        <v>south of the Fiji Islands</v>
      </c>
    </row>
    <row r="2624" spans="1:8" x14ac:dyDescent="0.25">
      <c r="A2624" s="2">
        <v>34985</v>
      </c>
      <c r="B2624">
        <v>-59.066000000000003</v>
      </c>
      <c r="C2624">
        <v>158.273</v>
      </c>
      <c r="D2624" t="s">
        <v>14</v>
      </c>
      <c r="E2624" t="s">
        <v>350</v>
      </c>
      <c r="F2624">
        <f t="shared" si="80"/>
        <v>1995</v>
      </c>
      <c r="G2624">
        <f t="shared" si="81"/>
        <v>10</v>
      </c>
      <c r="H2624" t="str">
        <f>IF(ISNUMBER(FIND(",", E2624)), TRIM(MID(E2624, FIND(",", E2624) + 1, LEN(E2624))), E2624)</f>
        <v>Macquarie Island region</v>
      </c>
    </row>
    <row r="2625" spans="1:8" x14ac:dyDescent="0.25">
      <c r="A2625" s="2">
        <v>34981</v>
      </c>
      <c r="B2625">
        <v>19.052</v>
      </c>
      <c r="C2625">
        <v>-104.208</v>
      </c>
      <c r="D2625" t="s">
        <v>14</v>
      </c>
      <c r="E2625" t="s">
        <v>551</v>
      </c>
      <c r="F2625">
        <f t="shared" si="80"/>
        <v>1995</v>
      </c>
      <c r="G2625">
        <f t="shared" si="81"/>
        <v>10</v>
      </c>
      <c r="H2625" t="str">
        <f>IF(ISNUMBER(FIND(",", E2625)), TRIM(MID(E2625, FIND(",", E2625) + 1, LEN(E2625))), E2625)</f>
        <v>Mexico</v>
      </c>
    </row>
    <row r="2626" spans="1:8" x14ac:dyDescent="0.25">
      <c r="A2626" s="2">
        <v>34981</v>
      </c>
      <c r="B2626">
        <v>-21.42</v>
      </c>
      <c r="C2626">
        <v>170.23500000000001</v>
      </c>
      <c r="D2626" t="s">
        <v>14</v>
      </c>
      <c r="E2626" t="s">
        <v>254</v>
      </c>
      <c r="F2626">
        <f t="shared" ref="F2626:F2689" si="82">YEAR(A2626)</f>
        <v>1995</v>
      </c>
      <c r="G2626">
        <f t="shared" si="81"/>
        <v>10</v>
      </c>
      <c r="H2626" t="str">
        <f>IF(ISNUMBER(FIND(",", E2626)), TRIM(MID(E2626, FIND(",", E2626) + 1, LEN(E2626))), E2626)</f>
        <v>southeast of the Loyalty Islands</v>
      </c>
    </row>
    <row r="2627" spans="1:8" x14ac:dyDescent="0.25">
      <c r="A2627" s="2">
        <v>34978</v>
      </c>
      <c r="B2627">
        <v>-2.0089999999999999</v>
      </c>
      <c r="C2627">
        <v>101.447</v>
      </c>
      <c r="D2627" t="s">
        <v>14</v>
      </c>
      <c r="E2627" t="s">
        <v>308</v>
      </c>
      <c r="F2627">
        <f t="shared" si="82"/>
        <v>1995</v>
      </c>
      <c r="G2627">
        <f t="shared" ref="G2627:G2690" si="83">MONTH(A2627)</f>
        <v>10</v>
      </c>
      <c r="H2627" t="str">
        <f>IF(ISNUMBER(FIND(",", E2627)), TRIM(MID(E2627, FIND(",", E2627) + 1, LEN(E2627))), E2627)</f>
        <v>Indonesia</v>
      </c>
    </row>
    <row r="2628" spans="1:8" x14ac:dyDescent="0.25">
      <c r="A2628" s="2">
        <v>34978</v>
      </c>
      <c r="B2628">
        <v>-20.041</v>
      </c>
      <c r="C2628">
        <v>-175.84399999999999</v>
      </c>
      <c r="D2628" t="s">
        <v>14</v>
      </c>
      <c r="E2628" t="s">
        <v>239</v>
      </c>
      <c r="F2628">
        <f t="shared" si="82"/>
        <v>1995</v>
      </c>
      <c r="G2628">
        <f t="shared" si="83"/>
        <v>10</v>
      </c>
      <c r="H2628" t="str">
        <f>IF(ISNUMBER(FIND(",", E2628)), TRIM(MID(E2628, FIND(",", E2628) + 1, LEN(E2628))), E2628)</f>
        <v>Tonga</v>
      </c>
    </row>
    <row r="2629" spans="1:8" x14ac:dyDescent="0.25">
      <c r="A2629" s="2">
        <v>34975</v>
      </c>
      <c r="B2629">
        <v>-2.7930000000000001</v>
      </c>
      <c r="C2629">
        <v>-77.808999999999997</v>
      </c>
      <c r="D2629" t="s">
        <v>14</v>
      </c>
      <c r="E2629" t="s">
        <v>414</v>
      </c>
      <c r="F2629">
        <f t="shared" si="82"/>
        <v>1995</v>
      </c>
      <c r="G2629">
        <f t="shared" si="83"/>
        <v>10</v>
      </c>
      <c r="H2629" t="str">
        <f>IF(ISNUMBER(FIND(",", E2629)), TRIM(MID(E2629, FIND(",", E2629) + 1, LEN(E2629))), E2629)</f>
        <v>Peru-Ecuador border region</v>
      </c>
    </row>
    <row r="2630" spans="1:8" x14ac:dyDescent="0.25">
      <c r="A2630" s="2">
        <v>34975</v>
      </c>
      <c r="B2630">
        <v>-2.7850000000000001</v>
      </c>
      <c r="C2630">
        <v>-77.822000000000003</v>
      </c>
      <c r="D2630" t="s">
        <v>14</v>
      </c>
      <c r="E2630" t="s">
        <v>414</v>
      </c>
      <c r="F2630">
        <f t="shared" si="82"/>
        <v>1995</v>
      </c>
      <c r="G2630">
        <f t="shared" si="83"/>
        <v>10</v>
      </c>
      <c r="H2630" t="str">
        <f>IF(ISNUMBER(FIND(",", E2630)), TRIM(MID(E2630, FIND(",", E2630) + 1, LEN(E2630))), E2630)</f>
        <v>Peru-Ecuador border region</v>
      </c>
    </row>
    <row r="2631" spans="1:8" x14ac:dyDescent="0.25">
      <c r="A2631" s="2">
        <v>34973</v>
      </c>
      <c r="B2631">
        <v>29.244</v>
      </c>
      <c r="C2631">
        <v>139.108</v>
      </c>
      <c r="D2631" t="s">
        <v>14</v>
      </c>
      <c r="E2631" t="s">
        <v>88</v>
      </c>
      <c r="F2631">
        <f t="shared" si="82"/>
        <v>1995</v>
      </c>
      <c r="G2631">
        <f t="shared" si="83"/>
        <v>10</v>
      </c>
      <c r="H2631" t="str">
        <f>IF(ISNUMBER(FIND(",", E2631)), TRIM(MID(E2631, FIND(",", E2631) + 1, LEN(E2631))), E2631)</f>
        <v>Japan region</v>
      </c>
    </row>
    <row r="2632" spans="1:8" x14ac:dyDescent="0.25">
      <c r="A2632" s="2">
        <v>34973</v>
      </c>
      <c r="B2632">
        <v>38.078000000000003</v>
      </c>
      <c r="C2632">
        <v>30.141999999999999</v>
      </c>
      <c r="D2632" t="s">
        <v>14</v>
      </c>
      <c r="E2632" t="s">
        <v>494</v>
      </c>
      <c r="F2632">
        <f t="shared" si="82"/>
        <v>1995</v>
      </c>
      <c r="G2632">
        <f t="shared" si="83"/>
        <v>10</v>
      </c>
      <c r="H2632" t="str">
        <f>IF(ISNUMBER(FIND(",", E2632)), TRIM(MID(E2632, FIND(",", E2632) + 1, LEN(E2632))), E2632)</f>
        <v>western Turkey</v>
      </c>
    </row>
    <row r="2633" spans="1:8" x14ac:dyDescent="0.25">
      <c r="A2633" s="2">
        <v>34965</v>
      </c>
      <c r="B2633">
        <v>-10.726000000000001</v>
      </c>
      <c r="C2633">
        <v>-78.537000000000006</v>
      </c>
      <c r="D2633" t="s">
        <v>14</v>
      </c>
      <c r="E2633" t="s">
        <v>258</v>
      </c>
      <c r="F2633">
        <f t="shared" si="82"/>
        <v>1995</v>
      </c>
      <c r="G2633">
        <f t="shared" si="83"/>
        <v>9</v>
      </c>
      <c r="H2633" t="str">
        <f>IF(ISNUMBER(FIND(",", E2633)), TRIM(MID(E2633, FIND(",", E2633) + 1, LEN(E2633))), E2633)</f>
        <v>near the coast of central Peru</v>
      </c>
    </row>
    <row r="2634" spans="1:8" x14ac:dyDescent="0.25">
      <c r="A2634" s="2">
        <v>34964</v>
      </c>
      <c r="B2634">
        <v>-6.0060000000000002</v>
      </c>
      <c r="C2634">
        <v>146.636</v>
      </c>
      <c r="D2634" t="s">
        <v>14</v>
      </c>
      <c r="E2634" t="s">
        <v>243</v>
      </c>
      <c r="F2634">
        <f t="shared" si="82"/>
        <v>1995</v>
      </c>
      <c r="G2634">
        <f t="shared" si="83"/>
        <v>9</v>
      </c>
      <c r="H2634" t="str">
        <f>IF(ISNUMBER(FIND(",", E2634)), TRIM(MID(E2634, FIND(",", E2634) + 1, LEN(E2634))), E2634)</f>
        <v>Papua New Guinea</v>
      </c>
    </row>
    <row r="2635" spans="1:8" x14ac:dyDescent="0.25">
      <c r="A2635" s="2">
        <v>34959</v>
      </c>
      <c r="B2635">
        <v>-17.128</v>
      </c>
      <c r="C2635">
        <v>66.650999999999996</v>
      </c>
      <c r="D2635" t="s">
        <v>14</v>
      </c>
      <c r="E2635" t="s">
        <v>220</v>
      </c>
      <c r="F2635">
        <f t="shared" si="82"/>
        <v>1995</v>
      </c>
      <c r="G2635">
        <f t="shared" si="83"/>
        <v>9</v>
      </c>
      <c r="H2635" t="str">
        <f>IF(ISNUMBER(FIND(",", E2635)), TRIM(MID(E2635, FIND(",", E2635) + 1, LEN(E2635))), E2635)</f>
        <v>Mauritius - Reunion region</v>
      </c>
    </row>
    <row r="2636" spans="1:8" x14ac:dyDescent="0.25">
      <c r="A2636" s="2">
        <v>34958</v>
      </c>
      <c r="B2636">
        <v>-6.3239999999999998</v>
      </c>
      <c r="C2636">
        <v>155.291</v>
      </c>
      <c r="D2636" t="s">
        <v>14</v>
      </c>
      <c r="E2636" t="s">
        <v>290</v>
      </c>
      <c r="F2636">
        <f t="shared" si="82"/>
        <v>1995</v>
      </c>
      <c r="G2636">
        <f t="shared" si="83"/>
        <v>9</v>
      </c>
      <c r="H2636" t="str">
        <f>IF(ISNUMBER(FIND(",", E2636)), TRIM(MID(E2636, FIND(",", E2636) + 1, LEN(E2636))), E2636)</f>
        <v>Papua New Guinea</v>
      </c>
    </row>
    <row r="2637" spans="1:8" x14ac:dyDescent="0.25">
      <c r="A2637" s="2">
        <v>34956</v>
      </c>
      <c r="B2637">
        <v>16.852</v>
      </c>
      <c r="C2637">
        <v>-98.614000000000004</v>
      </c>
      <c r="D2637" t="s">
        <v>14</v>
      </c>
      <c r="E2637" t="s">
        <v>192</v>
      </c>
      <c r="F2637">
        <f t="shared" si="82"/>
        <v>1995</v>
      </c>
      <c r="G2637">
        <f t="shared" si="83"/>
        <v>9</v>
      </c>
      <c r="H2637" t="str">
        <f>IF(ISNUMBER(FIND(",", E2637)), TRIM(MID(E2637, FIND(",", E2637) + 1, LEN(E2637))), E2637)</f>
        <v>Mexico</v>
      </c>
    </row>
    <row r="2638" spans="1:8" x14ac:dyDescent="0.25">
      <c r="A2638" s="2">
        <v>34950</v>
      </c>
      <c r="B2638">
        <v>-56.042999999999999</v>
      </c>
      <c r="C2638">
        <v>-122.497</v>
      </c>
      <c r="D2638" t="s">
        <v>14</v>
      </c>
      <c r="E2638" t="s">
        <v>268</v>
      </c>
      <c r="F2638">
        <f t="shared" si="82"/>
        <v>1995</v>
      </c>
      <c r="G2638">
        <f t="shared" si="83"/>
        <v>9</v>
      </c>
      <c r="H2638" t="str">
        <f>IF(ISNUMBER(FIND(",", E2638)), TRIM(MID(E2638, FIND(",", E2638) + 1, LEN(E2638))), E2638)</f>
        <v>southern East Pacific Rise</v>
      </c>
    </row>
    <row r="2639" spans="1:8" x14ac:dyDescent="0.25">
      <c r="A2639" s="2">
        <v>34942</v>
      </c>
      <c r="B2639">
        <v>-15.782</v>
      </c>
      <c r="C2639">
        <v>166.53800000000001</v>
      </c>
      <c r="D2639" t="s">
        <v>14</v>
      </c>
      <c r="E2639" t="s">
        <v>181</v>
      </c>
      <c r="F2639">
        <f t="shared" si="82"/>
        <v>1995</v>
      </c>
      <c r="G2639">
        <f t="shared" si="83"/>
        <v>8</v>
      </c>
      <c r="H2639" t="str">
        <f>IF(ISNUMBER(FIND(",", E2639)), TRIM(MID(E2639, FIND(",", E2639) + 1, LEN(E2639))), E2639)</f>
        <v>Vanuatu</v>
      </c>
    </row>
    <row r="2640" spans="1:8" x14ac:dyDescent="0.25">
      <c r="A2640" s="2">
        <v>34940</v>
      </c>
      <c r="B2640">
        <v>-21.140999999999998</v>
      </c>
      <c r="C2640">
        <v>-174.21799999999999</v>
      </c>
      <c r="D2640" t="s">
        <v>14</v>
      </c>
      <c r="E2640" t="s">
        <v>239</v>
      </c>
      <c r="F2640">
        <f t="shared" si="82"/>
        <v>1995</v>
      </c>
      <c r="G2640">
        <f t="shared" si="83"/>
        <v>8</v>
      </c>
      <c r="H2640" t="str">
        <f>IF(ISNUMBER(FIND(",", E2640)), TRIM(MID(E2640, FIND(",", E2640) + 1, LEN(E2640))), E2640)</f>
        <v>Tonga</v>
      </c>
    </row>
    <row r="2641" spans="1:8" x14ac:dyDescent="0.25">
      <c r="A2641" s="2">
        <v>34940</v>
      </c>
      <c r="B2641">
        <v>-47.999000000000002</v>
      </c>
      <c r="C2641">
        <v>99.465999999999994</v>
      </c>
      <c r="D2641" t="s">
        <v>14</v>
      </c>
      <c r="E2641" t="s">
        <v>310</v>
      </c>
      <c r="F2641">
        <f t="shared" si="82"/>
        <v>1995</v>
      </c>
      <c r="G2641">
        <f t="shared" si="83"/>
        <v>8</v>
      </c>
      <c r="H2641" t="str">
        <f>IF(ISNUMBER(FIND(",", E2641)), TRIM(MID(E2641, FIND(",", E2641) + 1, LEN(E2641))), E2641)</f>
        <v>southeast Indian Ridge</v>
      </c>
    </row>
    <row r="2642" spans="1:8" x14ac:dyDescent="0.25">
      <c r="A2642" s="2">
        <v>34939</v>
      </c>
      <c r="B2642">
        <v>26.05</v>
      </c>
      <c r="C2642">
        <v>-110.429</v>
      </c>
      <c r="D2642" t="s">
        <v>14</v>
      </c>
      <c r="E2642" t="s">
        <v>282</v>
      </c>
      <c r="F2642">
        <f t="shared" si="82"/>
        <v>1995</v>
      </c>
      <c r="G2642">
        <f t="shared" si="83"/>
        <v>8</v>
      </c>
      <c r="H2642" t="str">
        <f>IF(ISNUMBER(FIND(",", E2642)), TRIM(MID(E2642, FIND(",", E2642) + 1, LEN(E2642))), E2642)</f>
        <v>Gulf of California</v>
      </c>
    </row>
    <row r="2643" spans="1:8" x14ac:dyDescent="0.25">
      <c r="A2643" s="2">
        <v>34935</v>
      </c>
      <c r="B2643">
        <v>18.800999999999998</v>
      </c>
      <c r="C2643">
        <v>145.16999999999999</v>
      </c>
      <c r="D2643" t="s">
        <v>14</v>
      </c>
      <c r="E2643" t="s">
        <v>416</v>
      </c>
      <c r="F2643">
        <f t="shared" si="82"/>
        <v>1995</v>
      </c>
      <c r="G2643">
        <f t="shared" si="83"/>
        <v>8</v>
      </c>
      <c r="H2643" t="str">
        <f>IF(ISNUMBER(FIND(",", E2643)), TRIM(MID(E2643, FIND(",", E2643) + 1, LEN(E2643))), E2643)</f>
        <v>Northern Mariana Islands</v>
      </c>
    </row>
    <row r="2644" spans="1:8" x14ac:dyDescent="0.25">
      <c r="A2644" s="2">
        <v>34935</v>
      </c>
      <c r="B2644">
        <v>18.844000000000001</v>
      </c>
      <c r="C2644">
        <v>145.10499999999999</v>
      </c>
      <c r="D2644" t="s">
        <v>14</v>
      </c>
      <c r="E2644" t="s">
        <v>416</v>
      </c>
      <c r="F2644">
        <f t="shared" si="82"/>
        <v>1995</v>
      </c>
      <c r="G2644">
        <f t="shared" si="83"/>
        <v>8</v>
      </c>
      <c r="H2644" t="str">
        <f>IF(ISNUMBER(FIND(",", E2644)), TRIM(MID(E2644, FIND(",", E2644) + 1, LEN(E2644))), E2644)</f>
        <v>Northern Mariana Islands</v>
      </c>
    </row>
    <row r="2645" spans="1:8" x14ac:dyDescent="0.25">
      <c r="A2645" s="2">
        <v>34935</v>
      </c>
      <c r="B2645">
        <v>18.885999999999999</v>
      </c>
      <c r="C2645">
        <v>145.149</v>
      </c>
      <c r="D2645" t="s">
        <v>14</v>
      </c>
      <c r="E2645" t="s">
        <v>416</v>
      </c>
      <c r="F2645">
        <f t="shared" si="82"/>
        <v>1995</v>
      </c>
      <c r="G2645">
        <f t="shared" si="83"/>
        <v>8</v>
      </c>
      <c r="H2645" t="str">
        <f>IF(ISNUMBER(FIND(",", E2645)), TRIM(MID(E2645, FIND(",", E2645) + 1, LEN(E2645))), E2645)</f>
        <v>Northern Mariana Islands</v>
      </c>
    </row>
    <row r="2646" spans="1:8" x14ac:dyDescent="0.25">
      <c r="A2646" s="2">
        <v>34934</v>
      </c>
      <c r="B2646">
        <v>-56.76</v>
      </c>
      <c r="C2646">
        <v>-141.39599999999999</v>
      </c>
      <c r="D2646" t="s">
        <v>14</v>
      </c>
      <c r="E2646" t="s">
        <v>179</v>
      </c>
      <c r="F2646">
        <f t="shared" si="82"/>
        <v>1995</v>
      </c>
      <c r="G2646">
        <f t="shared" si="83"/>
        <v>8</v>
      </c>
      <c r="H2646" t="str">
        <f>IF(ISNUMBER(FIND(",", E2646)), TRIM(MID(E2646, FIND(",", E2646) + 1, LEN(E2646))), E2646)</f>
        <v>Pacific-Antarctic Ridge</v>
      </c>
    </row>
    <row r="2647" spans="1:8" x14ac:dyDescent="0.25">
      <c r="A2647" s="2">
        <v>34934</v>
      </c>
      <c r="B2647">
        <v>18.818000000000001</v>
      </c>
      <c r="C2647">
        <v>145.29499999999999</v>
      </c>
      <c r="D2647" t="s">
        <v>14</v>
      </c>
      <c r="E2647" t="s">
        <v>416</v>
      </c>
      <c r="F2647">
        <f t="shared" si="82"/>
        <v>1995</v>
      </c>
      <c r="G2647">
        <f t="shared" si="83"/>
        <v>8</v>
      </c>
      <c r="H2647" t="str">
        <f>IF(ISNUMBER(FIND(",", E2647)), TRIM(MID(E2647, FIND(",", E2647) + 1, LEN(E2647))), E2647)</f>
        <v>Northern Mariana Islands</v>
      </c>
    </row>
    <row r="2648" spans="1:8" x14ac:dyDescent="0.25">
      <c r="A2648" s="2">
        <v>34930</v>
      </c>
      <c r="B2648">
        <v>5.1020000000000003</v>
      </c>
      <c r="C2648">
        <v>-75.588999999999999</v>
      </c>
      <c r="D2648" t="s">
        <v>14</v>
      </c>
      <c r="E2648" t="s">
        <v>206</v>
      </c>
      <c r="F2648">
        <f t="shared" si="82"/>
        <v>1995</v>
      </c>
      <c r="G2648">
        <f t="shared" si="83"/>
        <v>8</v>
      </c>
      <c r="H2648" t="str">
        <f>IF(ISNUMBER(FIND(",", E2648)), TRIM(MID(E2648, FIND(",", E2648) + 1, LEN(E2648))), E2648)</f>
        <v>Colombia</v>
      </c>
    </row>
    <row r="2649" spans="1:8" x14ac:dyDescent="0.25">
      <c r="A2649" s="2">
        <v>34929</v>
      </c>
      <c r="B2649">
        <v>-55.850999999999999</v>
      </c>
      <c r="C2649">
        <v>-28.881</v>
      </c>
      <c r="D2649" t="s">
        <v>14</v>
      </c>
      <c r="E2649" t="s">
        <v>260</v>
      </c>
      <c r="F2649">
        <f t="shared" si="82"/>
        <v>1995</v>
      </c>
      <c r="G2649">
        <f t="shared" si="83"/>
        <v>8</v>
      </c>
      <c r="H2649" t="str">
        <f>IF(ISNUMBER(FIND(",", E2649)), TRIM(MID(E2649, FIND(",", E2649) + 1, LEN(E2649))), E2649)</f>
        <v>South Sandwich Islands region</v>
      </c>
    </row>
    <row r="2650" spans="1:8" x14ac:dyDescent="0.25">
      <c r="A2650" s="2">
        <v>34928</v>
      </c>
      <c r="B2650">
        <v>-5.1849999999999996</v>
      </c>
      <c r="C2650">
        <v>153.56100000000001</v>
      </c>
      <c r="D2650" t="s">
        <v>14</v>
      </c>
      <c r="E2650" t="s">
        <v>183</v>
      </c>
      <c r="F2650">
        <f t="shared" si="82"/>
        <v>1995</v>
      </c>
      <c r="G2650">
        <f t="shared" si="83"/>
        <v>8</v>
      </c>
      <c r="H2650" t="str">
        <f>IF(ISNUMBER(FIND(",", E2650)), TRIM(MID(E2650, FIND(",", E2650) + 1, LEN(E2650))), E2650)</f>
        <v>Papua New Guinea</v>
      </c>
    </row>
    <row r="2651" spans="1:8" x14ac:dyDescent="0.25">
      <c r="A2651" s="2">
        <v>34928</v>
      </c>
      <c r="B2651">
        <v>41.558999999999997</v>
      </c>
      <c r="C2651">
        <v>88.8</v>
      </c>
      <c r="D2651" t="s">
        <v>13</v>
      </c>
      <c r="E2651" t="s">
        <v>482</v>
      </c>
      <c r="F2651">
        <f t="shared" si="82"/>
        <v>1995</v>
      </c>
      <c r="G2651">
        <f t="shared" si="83"/>
        <v>8</v>
      </c>
      <c r="H2651" t="str">
        <f>IF(ISNUMBER(FIND(",", E2651)), TRIM(MID(E2651, FIND(",", E2651) + 1, LEN(E2651))), E2651)</f>
        <v>China</v>
      </c>
    </row>
    <row r="2652" spans="1:8" x14ac:dyDescent="0.25">
      <c r="A2652" s="2">
        <v>34928</v>
      </c>
      <c r="B2652">
        <v>-5.9509999999999996</v>
      </c>
      <c r="C2652">
        <v>154.279</v>
      </c>
      <c r="D2652" t="s">
        <v>14</v>
      </c>
      <c r="E2652" t="s">
        <v>290</v>
      </c>
      <c r="F2652">
        <f t="shared" si="82"/>
        <v>1995</v>
      </c>
      <c r="G2652">
        <f t="shared" si="83"/>
        <v>8</v>
      </c>
      <c r="H2652" t="str">
        <f>IF(ISNUMBER(FIND(",", E2652)), TRIM(MID(E2652, FIND(",", E2652) + 1, LEN(E2652))), E2652)</f>
        <v>Papua New Guinea</v>
      </c>
    </row>
    <row r="2653" spans="1:8" x14ac:dyDescent="0.25">
      <c r="A2653" s="2">
        <v>34927</v>
      </c>
      <c r="B2653">
        <v>-5.7709999999999999</v>
      </c>
      <c r="C2653">
        <v>154.35400000000001</v>
      </c>
      <c r="D2653" t="s">
        <v>14</v>
      </c>
      <c r="E2653" t="s">
        <v>290</v>
      </c>
      <c r="F2653">
        <f t="shared" si="82"/>
        <v>1995</v>
      </c>
      <c r="G2653">
        <f t="shared" si="83"/>
        <v>8</v>
      </c>
      <c r="H2653" t="str">
        <f>IF(ISNUMBER(FIND(",", E2653)), TRIM(MID(E2653, FIND(",", E2653) + 1, LEN(E2653))), E2653)</f>
        <v>Papua New Guinea</v>
      </c>
    </row>
    <row r="2654" spans="1:8" x14ac:dyDescent="0.25">
      <c r="A2654" s="2">
        <v>34927</v>
      </c>
      <c r="B2654">
        <v>-5.4020000000000001</v>
      </c>
      <c r="C2654">
        <v>153.798</v>
      </c>
      <c r="D2654" t="s">
        <v>14</v>
      </c>
      <c r="E2654" t="s">
        <v>183</v>
      </c>
      <c r="F2654">
        <f t="shared" si="82"/>
        <v>1995</v>
      </c>
      <c r="G2654">
        <f t="shared" si="83"/>
        <v>8</v>
      </c>
      <c r="H2654" t="str">
        <f>IF(ISNUMBER(FIND(",", E2654)), TRIM(MID(E2654, FIND(",", E2654) + 1, LEN(E2654))), E2654)</f>
        <v>Papua New Guinea</v>
      </c>
    </row>
    <row r="2655" spans="1:8" x14ac:dyDescent="0.25">
      <c r="A2655" s="2">
        <v>34927</v>
      </c>
      <c r="B2655">
        <v>-5.7839999999999998</v>
      </c>
      <c r="C2655">
        <v>154.286</v>
      </c>
      <c r="D2655" t="s">
        <v>14</v>
      </c>
      <c r="E2655" t="s">
        <v>290</v>
      </c>
      <c r="F2655">
        <f t="shared" si="82"/>
        <v>1995</v>
      </c>
      <c r="G2655">
        <f t="shared" si="83"/>
        <v>8</v>
      </c>
      <c r="H2655" t="str">
        <f>IF(ISNUMBER(FIND(",", E2655)), TRIM(MID(E2655, FIND(",", E2655) + 1, LEN(E2655))), E2655)</f>
        <v>Papua New Guinea</v>
      </c>
    </row>
    <row r="2656" spans="1:8" x14ac:dyDescent="0.25">
      <c r="A2656" s="2">
        <v>34925</v>
      </c>
      <c r="B2656">
        <v>-4.8380000000000001</v>
      </c>
      <c r="C2656">
        <v>151.601</v>
      </c>
      <c r="D2656" t="s">
        <v>14</v>
      </c>
      <c r="E2656" t="s">
        <v>190</v>
      </c>
      <c r="F2656">
        <f t="shared" si="82"/>
        <v>1995</v>
      </c>
      <c r="G2656">
        <f t="shared" si="83"/>
        <v>8</v>
      </c>
      <c r="H2656" t="str">
        <f>IF(ISNUMBER(FIND(",", E2656)), TRIM(MID(E2656, FIND(",", E2656) + 1, LEN(E2656))), E2656)</f>
        <v>Papua New Guinea</v>
      </c>
    </row>
    <row r="2657" spans="1:8" x14ac:dyDescent="0.25">
      <c r="A2657" s="2">
        <v>34918</v>
      </c>
      <c r="B2657">
        <v>4.0129999999999999</v>
      </c>
      <c r="C2657">
        <v>143.83699999999999</v>
      </c>
      <c r="D2657" t="s">
        <v>14</v>
      </c>
      <c r="E2657" t="s">
        <v>552</v>
      </c>
      <c r="F2657">
        <f t="shared" si="82"/>
        <v>1995</v>
      </c>
      <c r="G2657">
        <f t="shared" si="83"/>
        <v>8</v>
      </c>
      <c r="H2657" t="str">
        <f>IF(ISNUMBER(FIND(",", E2657)), TRIM(MID(E2657, FIND(",", E2657) + 1, LEN(E2657))), E2657)</f>
        <v>Federated States of Micronesia region</v>
      </c>
    </row>
    <row r="2658" spans="1:8" x14ac:dyDescent="0.25">
      <c r="A2658" s="2">
        <v>34914</v>
      </c>
      <c r="B2658">
        <v>-23.155999999999999</v>
      </c>
      <c r="C2658">
        <v>-70.602000000000004</v>
      </c>
      <c r="D2658" t="s">
        <v>14</v>
      </c>
      <c r="E2658" t="s">
        <v>413</v>
      </c>
      <c r="F2658">
        <f t="shared" si="82"/>
        <v>1995</v>
      </c>
      <c r="G2658">
        <f t="shared" si="83"/>
        <v>8</v>
      </c>
      <c r="H2658" t="str">
        <f>IF(ISNUMBER(FIND(",", E2658)), TRIM(MID(E2658, FIND(",", E2658) + 1, LEN(E2658))), E2658)</f>
        <v>Chile</v>
      </c>
    </row>
    <row r="2659" spans="1:8" x14ac:dyDescent="0.25">
      <c r="A2659" s="2">
        <v>34910</v>
      </c>
      <c r="B2659">
        <v>-23.419</v>
      </c>
      <c r="C2659">
        <v>-70.647000000000006</v>
      </c>
      <c r="D2659" t="s">
        <v>14</v>
      </c>
      <c r="E2659" t="s">
        <v>413</v>
      </c>
      <c r="F2659">
        <f t="shared" si="82"/>
        <v>1995</v>
      </c>
      <c r="G2659">
        <f t="shared" si="83"/>
        <v>7</v>
      </c>
      <c r="H2659" t="str">
        <f>IF(ISNUMBER(FIND(",", E2659)), TRIM(MID(E2659, FIND(",", E2659) + 1, LEN(E2659))), E2659)</f>
        <v>Chile</v>
      </c>
    </row>
    <row r="2660" spans="1:8" x14ac:dyDescent="0.25">
      <c r="A2660" s="2">
        <v>34910</v>
      </c>
      <c r="B2660">
        <v>-23.95</v>
      </c>
      <c r="C2660">
        <v>-70.334000000000003</v>
      </c>
      <c r="D2660" t="s">
        <v>14</v>
      </c>
      <c r="E2660" t="s">
        <v>289</v>
      </c>
      <c r="F2660">
        <f t="shared" si="82"/>
        <v>1995</v>
      </c>
      <c r="G2660">
        <f t="shared" si="83"/>
        <v>7</v>
      </c>
      <c r="H2660" t="str">
        <f>IF(ISNUMBER(FIND(",", E2660)), TRIM(MID(E2660, FIND(",", E2660) + 1, LEN(E2660))), E2660)</f>
        <v>Chile</v>
      </c>
    </row>
    <row r="2661" spans="1:8" x14ac:dyDescent="0.25">
      <c r="A2661" s="2">
        <v>34910</v>
      </c>
      <c r="B2661">
        <v>-23.335999999999999</v>
      </c>
      <c r="C2661">
        <v>-70.265000000000001</v>
      </c>
      <c r="D2661" t="s">
        <v>14</v>
      </c>
      <c r="E2661" t="s">
        <v>289</v>
      </c>
      <c r="F2661">
        <f t="shared" si="82"/>
        <v>1995</v>
      </c>
      <c r="G2661">
        <f t="shared" si="83"/>
        <v>7</v>
      </c>
      <c r="H2661" t="str">
        <f>IF(ISNUMBER(FIND(",", E2661)), TRIM(MID(E2661, FIND(",", E2661) + 1, LEN(E2661))), E2661)</f>
        <v>Chile</v>
      </c>
    </row>
    <row r="2662" spans="1:8" x14ac:dyDescent="0.25">
      <c r="A2662" s="2">
        <v>34908</v>
      </c>
      <c r="B2662">
        <v>-21.268999999999998</v>
      </c>
      <c r="C2662">
        <v>-175.244</v>
      </c>
      <c r="D2662" t="s">
        <v>14</v>
      </c>
      <c r="E2662" t="s">
        <v>239</v>
      </c>
      <c r="F2662">
        <f t="shared" si="82"/>
        <v>1995</v>
      </c>
      <c r="G2662">
        <f t="shared" si="83"/>
        <v>7</v>
      </c>
      <c r="H2662" t="str">
        <f>IF(ISNUMBER(FIND(",", E2662)), TRIM(MID(E2662, FIND(",", E2662) + 1, LEN(E2662))), E2662)</f>
        <v>Tonga</v>
      </c>
    </row>
    <row r="2663" spans="1:8" x14ac:dyDescent="0.25">
      <c r="A2663" s="2">
        <v>34906</v>
      </c>
      <c r="B2663">
        <v>2.5259999999999998</v>
      </c>
      <c r="C2663">
        <v>127.631</v>
      </c>
      <c r="D2663" t="s">
        <v>14</v>
      </c>
      <c r="E2663" t="s">
        <v>186</v>
      </c>
      <c r="F2663">
        <f t="shared" si="82"/>
        <v>1995</v>
      </c>
      <c r="G2663">
        <f t="shared" si="83"/>
        <v>7</v>
      </c>
      <c r="H2663" t="str">
        <f>IF(ISNUMBER(FIND(",", E2663)), TRIM(MID(E2663, FIND(",", E2663) + 1, LEN(E2663))), E2663)</f>
        <v>Molucca Sea</v>
      </c>
    </row>
    <row r="2664" spans="1:8" x14ac:dyDescent="0.25">
      <c r="A2664" s="2">
        <v>34892</v>
      </c>
      <c r="B2664">
        <v>-23.206</v>
      </c>
      <c r="C2664">
        <v>170.92599999999999</v>
      </c>
      <c r="D2664" t="s">
        <v>14</v>
      </c>
      <c r="E2664" t="s">
        <v>254</v>
      </c>
      <c r="F2664">
        <f t="shared" si="82"/>
        <v>1995</v>
      </c>
      <c r="G2664">
        <f t="shared" si="83"/>
        <v>7</v>
      </c>
      <c r="H2664" t="str">
        <f>IF(ISNUMBER(FIND(",", E2664)), TRIM(MID(E2664, FIND(",", E2664) + 1, LEN(E2664))), E2664)</f>
        <v>southeast of the Loyalty Islands</v>
      </c>
    </row>
    <row r="2665" spans="1:8" x14ac:dyDescent="0.25">
      <c r="A2665" s="2">
        <v>34891</v>
      </c>
      <c r="B2665">
        <v>21.963000000000001</v>
      </c>
      <c r="C2665">
        <v>99.119</v>
      </c>
      <c r="D2665" t="s">
        <v>14</v>
      </c>
      <c r="E2665" t="s">
        <v>197</v>
      </c>
      <c r="F2665">
        <f t="shared" si="82"/>
        <v>1995</v>
      </c>
      <c r="G2665">
        <f t="shared" si="83"/>
        <v>7</v>
      </c>
      <c r="H2665" t="str">
        <f>IF(ISNUMBER(FIND(",", E2665)), TRIM(MID(E2665, FIND(",", E2665) + 1, LEN(E2665))), E2665)</f>
        <v>Myanmar</v>
      </c>
    </row>
    <row r="2666" spans="1:8" x14ac:dyDescent="0.25">
      <c r="A2666" s="2">
        <v>34883</v>
      </c>
      <c r="B2666">
        <v>-29.19</v>
      </c>
      <c r="C2666">
        <v>-177.46899999999999</v>
      </c>
      <c r="D2666" t="s">
        <v>13</v>
      </c>
      <c r="E2666" t="s">
        <v>288</v>
      </c>
      <c r="F2666">
        <f t="shared" si="82"/>
        <v>1995</v>
      </c>
      <c r="G2666">
        <f t="shared" si="83"/>
        <v>7</v>
      </c>
      <c r="H2666" t="str">
        <f>IF(ISNUMBER(FIND(",", E2666)), TRIM(MID(E2666, FIND(",", E2666) + 1, LEN(E2666))), E2666)</f>
        <v>New Zealand</v>
      </c>
    </row>
    <row r="2667" spans="1:8" x14ac:dyDescent="0.25">
      <c r="A2667" s="2">
        <v>34883</v>
      </c>
      <c r="B2667">
        <v>-29.4</v>
      </c>
      <c r="C2667">
        <v>-177.44499999999999</v>
      </c>
      <c r="D2667" t="s">
        <v>14</v>
      </c>
      <c r="E2667" t="s">
        <v>288</v>
      </c>
      <c r="F2667">
        <f t="shared" si="82"/>
        <v>1995</v>
      </c>
      <c r="G2667">
        <f t="shared" si="83"/>
        <v>7</v>
      </c>
      <c r="H2667" t="str">
        <f>IF(ISNUMBER(FIND(",", E2667)), TRIM(MID(E2667, FIND(",", E2667) + 1, LEN(E2667))), E2667)</f>
        <v>New Zealand</v>
      </c>
    </row>
    <row r="2668" spans="1:8" x14ac:dyDescent="0.25">
      <c r="A2668" s="2">
        <v>34880</v>
      </c>
      <c r="B2668">
        <v>24.699000000000002</v>
      </c>
      <c r="C2668">
        <v>-110.191</v>
      </c>
      <c r="D2668" t="s">
        <v>14</v>
      </c>
      <c r="E2668" t="s">
        <v>208</v>
      </c>
      <c r="F2668">
        <f t="shared" si="82"/>
        <v>1995</v>
      </c>
      <c r="G2668">
        <f t="shared" si="83"/>
        <v>6</v>
      </c>
      <c r="H2668" t="str">
        <f>IF(ISNUMBER(FIND(",", E2668)), TRIM(MID(E2668, FIND(",", E2668) + 1, LEN(E2668))), E2668)</f>
        <v>Mexico</v>
      </c>
    </row>
    <row r="2669" spans="1:8" x14ac:dyDescent="0.25">
      <c r="A2669" s="2">
        <v>34879</v>
      </c>
      <c r="B2669">
        <v>-19.513999999999999</v>
      </c>
      <c r="C2669">
        <v>169.351</v>
      </c>
      <c r="D2669" t="s">
        <v>14</v>
      </c>
      <c r="E2669" t="s">
        <v>181</v>
      </c>
      <c r="F2669">
        <f t="shared" si="82"/>
        <v>1995</v>
      </c>
      <c r="G2669">
        <f t="shared" si="83"/>
        <v>6</v>
      </c>
      <c r="H2669" t="str">
        <f>IF(ISNUMBER(FIND(",", E2669)), TRIM(MID(E2669, FIND(",", E2669) + 1, LEN(E2669))), E2669)</f>
        <v>Vanuatu</v>
      </c>
    </row>
    <row r="2670" spans="1:8" x14ac:dyDescent="0.25">
      <c r="A2670" s="2">
        <v>34875</v>
      </c>
      <c r="B2670">
        <v>-3.3210000000000002</v>
      </c>
      <c r="C2670">
        <v>150.547</v>
      </c>
      <c r="D2670" t="s">
        <v>14</v>
      </c>
      <c r="E2670" t="s">
        <v>183</v>
      </c>
      <c r="F2670">
        <f t="shared" si="82"/>
        <v>1995</v>
      </c>
      <c r="G2670">
        <f t="shared" si="83"/>
        <v>6</v>
      </c>
      <c r="H2670" t="str">
        <f>IF(ISNUMBER(FIND(",", E2670)), TRIM(MID(E2670, FIND(",", E2670) + 1, LEN(E2670))), E2670)</f>
        <v>Papua New Guinea</v>
      </c>
    </row>
    <row r="2671" spans="1:8" x14ac:dyDescent="0.25">
      <c r="A2671" s="2">
        <v>34874</v>
      </c>
      <c r="B2671">
        <v>-3.915</v>
      </c>
      <c r="C2671">
        <v>153.988</v>
      </c>
      <c r="D2671" t="s">
        <v>14</v>
      </c>
      <c r="E2671" t="s">
        <v>183</v>
      </c>
      <c r="F2671">
        <f t="shared" si="82"/>
        <v>1995</v>
      </c>
      <c r="G2671">
        <f t="shared" si="83"/>
        <v>6</v>
      </c>
      <c r="H2671" t="str">
        <f>IF(ISNUMBER(FIND(",", E2671)), TRIM(MID(E2671, FIND(",", E2671) + 1, LEN(E2671))), E2671)</f>
        <v>Papua New Guinea</v>
      </c>
    </row>
    <row r="2672" spans="1:8" x14ac:dyDescent="0.25">
      <c r="A2672" s="2">
        <v>34871</v>
      </c>
      <c r="B2672">
        <v>-61.749000000000002</v>
      </c>
      <c r="C2672">
        <v>154.73599999999999</v>
      </c>
      <c r="D2672" t="s">
        <v>14</v>
      </c>
      <c r="E2672" t="s">
        <v>283</v>
      </c>
      <c r="F2672">
        <f t="shared" si="82"/>
        <v>1995</v>
      </c>
      <c r="G2672">
        <f t="shared" si="83"/>
        <v>6</v>
      </c>
      <c r="H2672" t="str">
        <f>IF(ISNUMBER(FIND(",", E2672)), TRIM(MID(E2672, FIND(",", E2672) + 1, LEN(E2672))), E2672)</f>
        <v>Balleny Islands region</v>
      </c>
    </row>
    <row r="2673" spans="1:8" x14ac:dyDescent="0.25">
      <c r="A2673" s="2">
        <v>34865</v>
      </c>
      <c r="B2673">
        <v>38.406999999999996</v>
      </c>
      <c r="C2673">
        <v>22.402999999999999</v>
      </c>
      <c r="D2673" t="s">
        <v>14</v>
      </c>
      <c r="E2673" t="s">
        <v>478</v>
      </c>
      <c r="F2673">
        <f t="shared" si="82"/>
        <v>1995</v>
      </c>
      <c r="G2673">
        <f t="shared" si="83"/>
        <v>6</v>
      </c>
      <c r="H2673" t="str">
        <f>IF(ISNUMBER(FIND(",", E2673)), TRIM(MID(E2673, FIND(",", E2673) + 1, LEN(E2673))), E2673)</f>
        <v>Greece</v>
      </c>
    </row>
    <row r="2674" spans="1:8" x14ac:dyDescent="0.25">
      <c r="A2674" s="2">
        <v>34865</v>
      </c>
      <c r="B2674">
        <v>38.454999999999998</v>
      </c>
      <c r="C2674">
        <v>22.298999999999999</v>
      </c>
      <c r="D2674" t="s">
        <v>14</v>
      </c>
      <c r="E2674" t="s">
        <v>478</v>
      </c>
      <c r="F2674">
        <f t="shared" si="82"/>
        <v>1995</v>
      </c>
      <c r="G2674">
        <f t="shared" si="83"/>
        <v>6</v>
      </c>
      <c r="H2674" t="str">
        <f>IF(ISNUMBER(FIND(",", E2674)), TRIM(MID(E2674, FIND(",", E2674) + 1, LEN(E2674))), E2674)</f>
        <v>Greece</v>
      </c>
    </row>
    <row r="2675" spans="1:8" x14ac:dyDescent="0.25">
      <c r="A2675" s="2">
        <v>34864</v>
      </c>
      <c r="B2675">
        <v>12.167999999999999</v>
      </c>
      <c r="C2675">
        <v>-88.34</v>
      </c>
      <c r="D2675" t="s">
        <v>14</v>
      </c>
      <c r="E2675" t="s">
        <v>215</v>
      </c>
      <c r="F2675">
        <f t="shared" si="82"/>
        <v>1995</v>
      </c>
      <c r="G2675">
        <f t="shared" si="83"/>
        <v>6</v>
      </c>
      <c r="H2675" t="str">
        <f>IF(ISNUMBER(FIND(",", E2675)), TRIM(MID(E2675, FIND(",", E2675) + 1, LEN(E2675))), E2675)</f>
        <v>off the coast of El Salvador</v>
      </c>
    </row>
    <row r="2676" spans="1:8" x14ac:dyDescent="0.25">
      <c r="A2676" s="2">
        <v>34850</v>
      </c>
      <c r="B2676">
        <v>18.905999999999999</v>
      </c>
      <c r="C2676">
        <v>-107.52500000000001</v>
      </c>
      <c r="D2676" t="s">
        <v>14</v>
      </c>
      <c r="E2676" t="s">
        <v>315</v>
      </c>
      <c r="F2676">
        <f t="shared" si="82"/>
        <v>1995</v>
      </c>
      <c r="G2676">
        <f t="shared" si="83"/>
        <v>5</v>
      </c>
      <c r="H2676" t="str">
        <f>IF(ISNUMBER(FIND(",", E2676)), TRIM(MID(E2676, FIND(",", E2676) + 1, LEN(E2676))), E2676)</f>
        <v>Mexico</v>
      </c>
    </row>
    <row r="2677" spans="1:8" x14ac:dyDescent="0.25">
      <c r="A2677" s="2">
        <v>34848</v>
      </c>
      <c r="B2677">
        <v>-10.369</v>
      </c>
      <c r="C2677">
        <v>163.84899999999999</v>
      </c>
      <c r="D2677" t="s">
        <v>14</v>
      </c>
      <c r="E2677" t="s">
        <v>221</v>
      </c>
      <c r="F2677">
        <f t="shared" si="82"/>
        <v>1995</v>
      </c>
      <c r="G2677">
        <f t="shared" si="83"/>
        <v>5</v>
      </c>
      <c r="H2677" t="str">
        <f>IF(ISNUMBER(FIND(",", E2677)), TRIM(MID(E2677, FIND(",", E2677) + 1, LEN(E2677))), E2677)</f>
        <v>Solomon Islands</v>
      </c>
    </row>
    <row r="2678" spans="1:8" x14ac:dyDescent="0.25">
      <c r="A2678" s="2">
        <v>34848</v>
      </c>
      <c r="B2678">
        <v>-10.45</v>
      </c>
      <c r="C2678">
        <v>164.197</v>
      </c>
      <c r="D2678" t="s">
        <v>14</v>
      </c>
      <c r="E2678" t="s">
        <v>396</v>
      </c>
      <c r="F2678">
        <f t="shared" si="82"/>
        <v>1995</v>
      </c>
      <c r="G2678">
        <f t="shared" si="83"/>
        <v>5</v>
      </c>
      <c r="H2678" t="str">
        <f>IF(ISNUMBER(FIND(",", E2678)), TRIM(MID(E2678, FIND(",", E2678) + 1, LEN(E2678))), E2678)</f>
        <v>Santa Cruz Islands region</v>
      </c>
    </row>
    <row r="2679" spans="1:8" x14ac:dyDescent="0.25">
      <c r="A2679" s="2">
        <v>34846</v>
      </c>
      <c r="B2679">
        <v>52.601999999999997</v>
      </c>
      <c r="C2679">
        <v>142.82499999999999</v>
      </c>
      <c r="D2679" t="s">
        <v>14</v>
      </c>
      <c r="E2679" t="s">
        <v>514</v>
      </c>
      <c r="F2679">
        <f t="shared" si="82"/>
        <v>1995</v>
      </c>
      <c r="G2679">
        <f t="shared" si="83"/>
        <v>5</v>
      </c>
      <c r="H2679" t="str">
        <f>IF(ISNUMBER(FIND(",", E2679)), TRIM(MID(E2679, FIND(",", E2679) + 1, LEN(E2679))), E2679)</f>
        <v>Russia</v>
      </c>
    </row>
    <row r="2680" spans="1:8" x14ac:dyDescent="0.25">
      <c r="A2680" s="2">
        <v>34845</v>
      </c>
      <c r="B2680">
        <v>12.108000000000001</v>
      </c>
      <c r="C2680">
        <v>57.969000000000001</v>
      </c>
      <c r="D2680" t="s">
        <v>14</v>
      </c>
      <c r="E2680" t="s">
        <v>544</v>
      </c>
      <c r="F2680">
        <f t="shared" si="82"/>
        <v>1995</v>
      </c>
      <c r="G2680">
        <f t="shared" si="83"/>
        <v>5</v>
      </c>
      <c r="H2680" t="str">
        <f>IF(ISNUMBER(FIND(",", E2680)), TRIM(MID(E2680, FIND(",", E2680) + 1, LEN(E2680))), E2680)</f>
        <v>Owen Fracture Zone region</v>
      </c>
    </row>
    <row r="2681" spans="1:8" x14ac:dyDescent="0.25">
      <c r="A2681" s="2">
        <v>34842</v>
      </c>
      <c r="B2681">
        <v>-55.750999999999998</v>
      </c>
      <c r="C2681">
        <v>-3.4409999999999998</v>
      </c>
      <c r="D2681" t="s">
        <v>14</v>
      </c>
      <c r="E2681" t="s">
        <v>422</v>
      </c>
      <c r="F2681">
        <f t="shared" si="82"/>
        <v>1995</v>
      </c>
      <c r="G2681">
        <f t="shared" si="83"/>
        <v>5</v>
      </c>
      <c r="H2681" t="str">
        <f>IF(ISNUMBER(FIND(",", E2681)), TRIM(MID(E2681, FIND(",", E2681) + 1, LEN(E2681))), E2681)</f>
        <v>southern Mid-Atlantic Ridge</v>
      </c>
    </row>
    <row r="2682" spans="1:8" x14ac:dyDescent="0.25">
      <c r="A2682" s="2">
        <v>34841</v>
      </c>
      <c r="B2682">
        <v>-9.657</v>
      </c>
      <c r="C2682">
        <v>151.578</v>
      </c>
      <c r="D2682" t="s">
        <v>14</v>
      </c>
      <c r="E2682" t="s">
        <v>507</v>
      </c>
      <c r="F2682">
        <f t="shared" si="82"/>
        <v>1995</v>
      </c>
      <c r="G2682">
        <f t="shared" si="83"/>
        <v>5</v>
      </c>
      <c r="H2682" t="str">
        <f>IF(ISNUMBER(FIND(",", E2682)), TRIM(MID(E2682, FIND(",", E2682) + 1, LEN(E2682))), E2682)</f>
        <v>D'Entrecasteaux Islands region</v>
      </c>
    </row>
    <row r="2683" spans="1:8" x14ac:dyDescent="0.25">
      <c r="A2683" s="2">
        <v>34841</v>
      </c>
      <c r="B2683">
        <v>-22.7</v>
      </c>
      <c r="C2683">
        <v>170.126</v>
      </c>
      <c r="D2683" t="s">
        <v>14</v>
      </c>
      <c r="E2683" t="s">
        <v>254</v>
      </c>
      <c r="F2683">
        <f t="shared" si="82"/>
        <v>1995</v>
      </c>
      <c r="G2683">
        <f t="shared" si="83"/>
        <v>5</v>
      </c>
      <c r="H2683" t="str">
        <f>IF(ISNUMBER(FIND(",", E2683)), TRIM(MID(E2683, FIND(",", E2683) + 1, LEN(E2683))), E2683)</f>
        <v>southeast of the Loyalty Islands</v>
      </c>
    </row>
    <row r="2684" spans="1:8" x14ac:dyDescent="0.25">
      <c r="A2684" s="2">
        <v>34837</v>
      </c>
      <c r="B2684">
        <v>-0.88200000000000001</v>
      </c>
      <c r="C2684">
        <v>-22.04</v>
      </c>
      <c r="D2684" t="s">
        <v>14</v>
      </c>
      <c r="E2684" t="s">
        <v>291</v>
      </c>
      <c r="F2684">
        <f t="shared" si="82"/>
        <v>1995</v>
      </c>
      <c r="G2684">
        <f t="shared" si="83"/>
        <v>5</v>
      </c>
      <c r="H2684" t="str">
        <f>IF(ISNUMBER(FIND(",", E2684)), TRIM(MID(E2684, FIND(",", E2684) + 1, LEN(E2684))), E2684)</f>
        <v>central Mid-Atlantic Ridge</v>
      </c>
    </row>
    <row r="2685" spans="1:8" x14ac:dyDescent="0.25">
      <c r="A2685" s="2">
        <v>34836</v>
      </c>
      <c r="B2685">
        <v>-23.003</v>
      </c>
      <c r="C2685">
        <v>170.19200000000001</v>
      </c>
      <c r="D2685" t="s">
        <v>14</v>
      </c>
      <c r="E2685" t="s">
        <v>254</v>
      </c>
      <c r="F2685">
        <f t="shared" si="82"/>
        <v>1995</v>
      </c>
      <c r="G2685">
        <f t="shared" si="83"/>
        <v>5</v>
      </c>
      <c r="H2685" t="str">
        <f>IF(ISNUMBER(FIND(",", E2685)), TRIM(MID(E2685, FIND(",", E2685) + 1, LEN(E2685))), E2685)</f>
        <v>southeast of the Loyalty Islands</v>
      </c>
    </row>
    <row r="2686" spans="1:8" x14ac:dyDescent="0.25">
      <c r="A2686" s="2">
        <v>34835</v>
      </c>
      <c r="B2686">
        <v>17.850000000000001</v>
      </c>
      <c r="C2686">
        <v>96.465000000000003</v>
      </c>
      <c r="D2686" t="s">
        <v>14</v>
      </c>
      <c r="E2686" t="s">
        <v>197</v>
      </c>
      <c r="F2686">
        <f t="shared" si="82"/>
        <v>1995</v>
      </c>
      <c r="G2686">
        <f t="shared" si="83"/>
        <v>5</v>
      </c>
      <c r="H2686" t="str">
        <f>IF(ISNUMBER(FIND(",", E2686)), TRIM(MID(E2686, FIND(",", E2686) + 1, LEN(E2686))), E2686)</f>
        <v>Myanmar</v>
      </c>
    </row>
    <row r="2687" spans="1:8" x14ac:dyDescent="0.25">
      <c r="A2687" s="2">
        <v>34835</v>
      </c>
      <c r="B2687">
        <v>-22.937999999999999</v>
      </c>
      <c r="C2687">
        <v>169.995</v>
      </c>
      <c r="D2687" t="s">
        <v>14</v>
      </c>
      <c r="E2687" t="s">
        <v>254</v>
      </c>
      <c r="F2687">
        <f t="shared" si="82"/>
        <v>1995</v>
      </c>
      <c r="G2687">
        <f t="shared" si="83"/>
        <v>5</v>
      </c>
      <c r="H2687" t="str">
        <f>IF(ISNUMBER(FIND(",", E2687)), TRIM(MID(E2687, FIND(",", E2687) + 1, LEN(E2687))), E2687)</f>
        <v>southeast of the Loyalty Islands</v>
      </c>
    </row>
    <row r="2688" spans="1:8" x14ac:dyDescent="0.25">
      <c r="A2688" s="2">
        <v>34834</v>
      </c>
      <c r="B2688">
        <v>41.603000000000002</v>
      </c>
      <c r="C2688">
        <v>88.82</v>
      </c>
      <c r="D2688" t="s">
        <v>13</v>
      </c>
      <c r="E2688" t="s">
        <v>482</v>
      </c>
      <c r="F2688">
        <f t="shared" si="82"/>
        <v>1995</v>
      </c>
      <c r="G2688">
        <f t="shared" si="83"/>
        <v>5</v>
      </c>
      <c r="H2688" t="str">
        <f>IF(ISNUMBER(FIND(",", E2688)), TRIM(MID(E2688, FIND(",", E2688) + 1, LEN(E2688))), E2688)</f>
        <v>China</v>
      </c>
    </row>
    <row r="2689" spans="1:8" x14ac:dyDescent="0.25">
      <c r="A2689" s="2">
        <v>34833</v>
      </c>
      <c r="B2689">
        <v>-8.6669999999999998</v>
      </c>
      <c r="C2689">
        <v>125.249</v>
      </c>
      <c r="D2689" t="s">
        <v>14</v>
      </c>
      <c r="E2689" t="s">
        <v>553</v>
      </c>
      <c r="F2689">
        <f t="shared" si="82"/>
        <v>1995</v>
      </c>
      <c r="G2689">
        <f t="shared" si="83"/>
        <v>5</v>
      </c>
      <c r="H2689" t="str">
        <f>IF(ISNUMBER(FIND(",", E2689)), TRIM(MID(E2689, FIND(",", E2689) + 1, LEN(E2689))), E2689)</f>
        <v>East Timor region</v>
      </c>
    </row>
    <row r="2690" spans="1:8" x14ac:dyDescent="0.25">
      <c r="A2690" s="2">
        <v>34833</v>
      </c>
      <c r="B2690">
        <v>-8.4670000000000005</v>
      </c>
      <c r="C2690">
        <v>125.03400000000001</v>
      </c>
      <c r="D2690" t="s">
        <v>14</v>
      </c>
      <c r="E2690" t="s">
        <v>553</v>
      </c>
      <c r="F2690">
        <f t="shared" ref="F2690:F2753" si="84">YEAR(A2690)</f>
        <v>1995</v>
      </c>
      <c r="G2690">
        <f t="shared" si="83"/>
        <v>5</v>
      </c>
      <c r="H2690" t="str">
        <f>IF(ISNUMBER(FIND(",", E2690)), TRIM(MID(E2690, FIND(",", E2690) + 1, LEN(E2690))), E2690)</f>
        <v>East Timor region</v>
      </c>
    </row>
    <row r="2691" spans="1:8" x14ac:dyDescent="0.25">
      <c r="A2691" s="2">
        <v>34832</v>
      </c>
      <c r="B2691">
        <v>40.14</v>
      </c>
      <c r="C2691">
        <v>21.713999999999999</v>
      </c>
      <c r="D2691" t="s">
        <v>14</v>
      </c>
      <c r="E2691" t="s">
        <v>478</v>
      </c>
      <c r="F2691">
        <f t="shared" si="84"/>
        <v>1995</v>
      </c>
      <c r="G2691">
        <f t="shared" ref="G2691:G2754" si="85">MONTH(A2691)</f>
        <v>5</v>
      </c>
      <c r="H2691" t="str">
        <f>IF(ISNUMBER(FIND(",", E2691)), TRIM(MID(E2691, FIND(",", E2691) + 1, LEN(E2691))), E2691)</f>
        <v>Greece</v>
      </c>
    </row>
    <row r="2692" spans="1:8" x14ac:dyDescent="0.25">
      <c r="A2692" s="2">
        <v>34827</v>
      </c>
      <c r="B2692">
        <v>11.456</v>
      </c>
      <c r="C2692">
        <v>125.902</v>
      </c>
      <c r="D2692" t="s">
        <v>14</v>
      </c>
      <c r="E2692" t="s">
        <v>394</v>
      </c>
      <c r="F2692">
        <f t="shared" si="84"/>
        <v>1995</v>
      </c>
      <c r="G2692">
        <f t="shared" si="85"/>
        <v>5</v>
      </c>
      <c r="H2692" t="str">
        <f>IF(ISNUMBER(FIND(",", E2692)), TRIM(MID(E2692, FIND(",", E2692) + 1, LEN(E2692))), E2692)</f>
        <v>Philippines</v>
      </c>
    </row>
    <row r="2693" spans="1:8" x14ac:dyDescent="0.25">
      <c r="A2693" s="2">
        <v>34827</v>
      </c>
      <c r="B2693">
        <v>11.492000000000001</v>
      </c>
      <c r="C2693">
        <v>125.80500000000001</v>
      </c>
      <c r="D2693" t="s">
        <v>14</v>
      </c>
      <c r="E2693" t="s">
        <v>394</v>
      </c>
      <c r="F2693">
        <f t="shared" si="84"/>
        <v>1995</v>
      </c>
      <c r="G2693">
        <f t="shared" si="85"/>
        <v>5</v>
      </c>
      <c r="H2693" t="str">
        <f>IF(ISNUMBER(FIND(",", E2693)), TRIM(MID(E2693, FIND(",", E2693) + 1, LEN(E2693))), E2693)</f>
        <v>Philippines</v>
      </c>
    </row>
    <row r="2694" spans="1:8" x14ac:dyDescent="0.25">
      <c r="A2694" s="2">
        <v>34825</v>
      </c>
      <c r="B2694">
        <v>24.949000000000002</v>
      </c>
      <c r="C2694">
        <v>95.293999999999997</v>
      </c>
      <c r="D2694" t="s">
        <v>14</v>
      </c>
      <c r="E2694" t="s">
        <v>197</v>
      </c>
      <c r="F2694">
        <f t="shared" si="84"/>
        <v>1995</v>
      </c>
      <c r="G2694">
        <f t="shared" si="85"/>
        <v>5</v>
      </c>
      <c r="H2694" t="str">
        <f>IF(ISNUMBER(FIND(",", E2694)), TRIM(MID(E2694, FIND(",", E2694) + 1, LEN(E2694))), E2694)</f>
        <v>Myanmar</v>
      </c>
    </row>
    <row r="2695" spans="1:8" x14ac:dyDescent="0.25">
      <c r="A2695" s="2">
        <v>34824</v>
      </c>
      <c r="B2695">
        <v>12.645</v>
      </c>
      <c r="C2695">
        <v>125.2</v>
      </c>
      <c r="D2695" t="s">
        <v>14</v>
      </c>
      <c r="E2695" t="s">
        <v>394</v>
      </c>
      <c r="F2695">
        <f t="shared" si="84"/>
        <v>1995</v>
      </c>
      <c r="G2695">
        <f t="shared" si="85"/>
        <v>5</v>
      </c>
      <c r="H2695" t="str">
        <f>IF(ISNUMBER(FIND(",", E2695)), TRIM(MID(E2695, FIND(",", E2695) + 1, LEN(E2695))), E2695)</f>
        <v>Philippines</v>
      </c>
    </row>
    <row r="2696" spans="1:8" x14ac:dyDescent="0.25">
      <c r="A2696" s="2">
        <v>34824</v>
      </c>
      <c r="B2696">
        <v>12.657</v>
      </c>
      <c r="C2696">
        <v>125.22199999999999</v>
      </c>
      <c r="D2696" t="s">
        <v>14</v>
      </c>
      <c r="E2696" t="s">
        <v>394</v>
      </c>
      <c r="F2696">
        <f t="shared" si="84"/>
        <v>1995</v>
      </c>
      <c r="G2696">
        <f t="shared" si="85"/>
        <v>5</v>
      </c>
      <c r="H2696" t="str">
        <f>IF(ISNUMBER(FIND(",", E2696)), TRIM(MID(E2696, FIND(",", E2696) + 1, LEN(E2696))), E2696)</f>
        <v>Philippines</v>
      </c>
    </row>
    <row r="2697" spans="1:8" x14ac:dyDescent="0.25">
      <c r="A2697" s="2">
        <v>34823</v>
      </c>
      <c r="B2697">
        <v>1.8939999999999999</v>
      </c>
      <c r="C2697">
        <v>128.5</v>
      </c>
      <c r="D2697" t="s">
        <v>14</v>
      </c>
      <c r="E2697" t="s">
        <v>311</v>
      </c>
      <c r="F2697">
        <f t="shared" si="84"/>
        <v>1995</v>
      </c>
      <c r="G2697">
        <f t="shared" si="85"/>
        <v>5</v>
      </c>
      <c r="H2697" t="str">
        <f>IF(ISNUMBER(FIND(",", E2697)), TRIM(MID(E2697, FIND(",", E2697) + 1, LEN(E2697))), E2697)</f>
        <v>Indonesia</v>
      </c>
    </row>
    <row r="2698" spans="1:8" x14ac:dyDescent="0.25">
      <c r="A2698" s="2">
        <v>34821</v>
      </c>
      <c r="B2698">
        <v>-60.491</v>
      </c>
      <c r="C2698">
        <v>153.85900000000001</v>
      </c>
      <c r="D2698" t="s">
        <v>14</v>
      </c>
      <c r="E2698" t="s">
        <v>205</v>
      </c>
      <c r="F2698">
        <f t="shared" si="84"/>
        <v>1995</v>
      </c>
      <c r="G2698">
        <f t="shared" si="85"/>
        <v>5</v>
      </c>
      <c r="H2698" t="str">
        <f>IF(ISNUMBER(FIND(",", E2698)), TRIM(MID(E2698, FIND(",", E2698) + 1, LEN(E2698))), E2698)</f>
        <v>west of Macquarie Island</v>
      </c>
    </row>
    <row r="2699" spans="1:8" x14ac:dyDescent="0.25">
      <c r="A2699" s="2">
        <v>34821</v>
      </c>
      <c r="B2699">
        <v>-3.8559999999999999</v>
      </c>
      <c r="C2699">
        <v>-76.878</v>
      </c>
      <c r="D2699" t="s">
        <v>14</v>
      </c>
      <c r="E2699" t="s">
        <v>277</v>
      </c>
      <c r="F2699">
        <f t="shared" si="84"/>
        <v>1995</v>
      </c>
      <c r="G2699">
        <f t="shared" si="85"/>
        <v>5</v>
      </c>
      <c r="H2699" t="str">
        <f>IF(ISNUMBER(FIND(",", E2699)), TRIM(MID(E2699, FIND(",", E2699) + 1, LEN(E2699))), E2699)</f>
        <v>northern Peru</v>
      </c>
    </row>
    <row r="2700" spans="1:8" x14ac:dyDescent="0.25">
      <c r="A2700" s="2">
        <v>34817</v>
      </c>
      <c r="B2700">
        <v>44.109000000000002</v>
      </c>
      <c r="C2700">
        <v>148.06200000000001</v>
      </c>
      <c r="D2700" t="s">
        <v>14</v>
      </c>
      <c r="E2700" t="s">
        <v>191</v>
      </c>
      <c r="F2700">
        <f t="shared" si="84"/>
        <v>1995</v>
      </c>
      <c r="G2700">
        <f t="shared" si="85"/>
        <v>4</v>
      </c>
      <c r="H2700" t="str">
        <f>IF(ISNUMBER(FIND(",", E2700)), TRIM(MID(E2700, FIND(",", E2700) + 1, LEN(E2700))), E2700)</f>
        <v>Kuril Islands</v>
      </c>
    </row>
    <row r="2701" spans="1:8" x14ac:dyDescent="0.25">
      <c r="A2701" s="2">
        <v>34817</v>
      </c>
      <c r="B2701">
        <v>44.112000000000002</v>
      </c>
      <c r="C2701">
        <v>147.94800000000001</v>
      </c>
      <c r="D2701" t="s">
        <v>14</v>
      </c>
      <c r="E2701" t="s">
        <v>191</v>
      </c>
      <c r="F2701">
        <f t="shared" si="84"/>
        <v>1995</v>
      </c>
      <c r="G2701">
        <f t="shared" si="85"/>
        <v>4</v>
      </c>
      <c r="H2701" t="str">
        <f>IF(ISNUMBER(FIND(",", E2701)), TRIM(MID(E2701, FIND(",", E2701) + 1, LEN(E2701))), E2701)</f>
        <v>Kuril Islands</v>
      </c>
    </row>
    <row r="2702" spans="1:8" x14ac:dyDescent="0.25">
      <c r="A2702" s="2">
        <v>34816</v>
      </c>
      <c r="B2702">
        <v>1.33</v>
      </c>
      <c r="C2702">
        <v>-85.063999999999993</v>
      </c>
      <c r="D2702" t="s">
        <v>14</v>
      </c>
      <c r="E2702" t="s">
        <v>267</v>
      </c>
      <c r="F2702">
        <f t="shared" si="84"/>
        <v>1995</v>
      </c>
      <c r="G2702">
        <f t="shared" si="85"/>
        <v>4</v>
      </c>
      <c r="H2702" t="str">
        <f>IF(ISNUMBER(FIND(",", E2702)), TRIM(MID(E2702, FIND(",", E2702) + 1, LEN(E2702))), E2702)</f>
        <v>off the coast of Ecuador</v>
      </c>
    </row>
    <row r="2703" spans="1:8" x14ac:dyDescent="0.25">
      <c r="A2703" s="2">
        <v>34812</v>
      </c>
      <c r="B2703">
        <v>5.9420000000000002</v>
      </c>
      <c r="C2703">
        <v>123.824</v>
      </c>
      <c r="D2703" t="s">
        <v>14</v>
      </c>
      <c r="E2703" t="s">
        <v>203</v>
      </c>
      <c r="F2703">
        <f t="shared" si="84"/>
        <v>1995</v>
      </c>
      <c r="G2703">
        <f t="shared" si="85"/>
        <v>4</v>
      </c>
      <c r="H2703" t="str">
        <f>IF(ISNUMBER(FIND(",", E2703)), TRIM(MID(E2703, FIND(",", E2703) + 1, LEN(E2703))), E2703)</f>
        <v>Celebes Sea</v>
      </c>
    </row>
    <row r="2704" spans="1:8" x14ac:dyDescent="0.25">
      <c r="A2704" s="2">
        <v>34812</v>
      </c>
      <c r="B2704">
        <v>12.393000000000001</v>
      </c>
      <c r="C2704">
        <v>125.43600000000001</v>
      </c>
      <c r="D2704" t="s">
        <v>14</v>
      </c>
      <c r="E2704" t="s">
        <v>394</v>
      </c>
      <c r="F2704">
        <f t="shared" si="84"/>
        <v>1995</v>
      </c>
      <c r="G2704">
        <f t="shared" si="85"/>
        <v>4</v>
      </c>
      <c r="H2704" t="str">
        <f>IF(ISNUMBER(FIND(",", E2704)), TRIM(MID(E2704, FIND(",", E2704) + 1, LEN(E2704))), E2704)</f>
        <v>Philippines</v>
      </c>
    </row>
    <row r="2705" spans="1:8" x14ac:dyDescent="0.25">
      <c r="A2705" s="2">
        <v>34812</v>
      </c>
      <c r="B2705">
        <v>51.345999999999997</v>
      </c>
      <c r="C2705">
        <v>179.703</v>
      </c>
      <c r="D2705" t="s">
        <v>14</v>
      </c>
      <c r="E2705" t="s">
        <v>366</v>
      </c>
      <c r="F2705">
        <f t="shared" si="84"/>
        <v>1995</v>
      </c>
      <c r="G2705">
        <f t="shared" si="85"/>
        <v>4</v>
      </c>
      <c r="H2705" t="str">
        <f>IF(ISNUMBER(FIND(",", E2705)), TRIM(MID(E2705, FIND(",", E2705) + 1, LEN(E2705))), E2705)</f>
        <v>Aleutian Islands, Alaska</v>
      </c>
    </row>
    <row r="2706" spans="1:8" x14ac:dyDescent="0.25">
      <c r="A2706" s="2">
        <v>34810</v>
      </c>
      <c r="B2706">
        <v>12.055999999999999</v>
      </c>
      <c r="C2706">
        <v>125.798</v>
      </c>
      <c r="D2706" t="s">
        <v>14</v>
      </c>
      <c r="E2706" t="s">
        <v>394</v>
      </c>
      <c r="F2706">
        <f t="shared" si="84"/>
        <v>1995</v>
      </c>
      <c r="G2706">
        <f t="shared" si="85"/>
        <v>4</v>
      </c>
      <c r="H2706" t="str">
        <f>IF(ISNUMBER(FIND(",", E2706)), TRIM(MID(E2706, FIND(",", E2706) + 1, LEN(E2706))), E2706)</f>
        <v>Philippines</v>
      </c>
    </row>
    <row r="2707" spans="1:8" x14ac:dyDescent="0.25">
      <c r="A2707" s="2">
        <v>34810</v>
      </c>
      <c r="B2707">
        <v>12.1</v>
      </c>
      <c r="C2707">
        <v>125.447</v>
      </c>
      <c r="D2707" t="s">
        <v>14</v>
      </c>
      <c r="E2707" t="s">
        <v>394</v>
      </c>
      <c r="F2707">
        <f t="shared" si="84"/>
        <v>1995</v>
      </c>
      <c r="G2707">
        <f t="shared" si="85"/>
        <v>4</v>
      </c>
      <c r="H2707" t="str">
        <f>IF(ISNUMBER(FIND(",", E2707)), TRIM(MID(E2707, FIND(",", E2707) + 1, LEN(E2707))), E2707)</f>
        <v>Philippines</v>
      </c>
    </row>
    <row r="2708" spans="1:8" x14ac:dyDescent="0.25">
      <c r="A2708" s="2">
        <v>34810</v>
      </c>
      <c r="B2708">
        <v>12.007</v>
      </c>
      <c r="C2708">
        <v>125.542</v>
      </c>
      <c r="D2708" t="s">
        <v>14</v>
      </c>
      <c r="E2708" t="s">
        <v>394</v>
      </c>
      <c r="F2708">
        <f t="shared" si="84"/>
        <v>1995</v>
      </c>
      <c r="G2708">
        <f t="shared" si="85"/>
        <v>4</v>
      </c>
      <c r="H2708" t="str">
        <f>IF(ISNUMBER(FIND(",", E2708)), TRIM(MID(E2708, FIND(",", E2708) + 1, LEN(E2708))), E2708)</f>
        <v>Philippines</v>
      </c>
    </row>
    <row r="2709" spans="1:8" x14ac:dyDescent="0.25">
      <c r="A2709" s="2">
        <v>34810</v>
      </c>
      <c r="B2709">
        <v>12.066000000000001</v>
      </c>
      <c r="C2709">
        <v>125.619</v>
      </c>
      <c r="D2709" t="s">
        <v>14</v>
      </c>
      <c r="E2709" t="s">
        <v>394</v>
      </c>
      <c r="F2709">
        <f t="shared" si="84"/>
        <v>1995</v>
      </c>
      <c r="G2709">
        <f t="shared" si="85"/>
        <v>4</v>
      </c>
      <c r="H2709" t="str">
        <f>IF(ISNUMBER(FIND(",", E2709)), TRIM(MID(E2709, FIND(",", E2709) + 1, LEN(E2709))), E2709)</f>
        <v>Philippines</v>
      </c>
    </row>
    <row r="2710" spans="1:8" x14ac:dyDescent="0.25">
      <c r="A2710" s="2">
        <v>34809</v>
      </c>
      <c r="B2710">
        <v>6.2759999999999998</v>
      </c>
      <c r="C2710">
        <v>126.785</v>
      </c>
      <c r="D2710" t="s">
        <v>14</v>
      </c>
      <c r="E2710" t="s">
        <v>200</v>
      </c>
      <c r="F2710">
        <f t="shared" si="84"/>
        <v>1995</v>
      </c>
      <c r="G2710">
        <f t="shared" si="85"/>
        <v>4</v>
      </c>
      <c r="H2710" t="str">
        <f>IF(ISNUMBER(FIND(",", E2710)), TRIM(MID(E2710, FIND(",", E2710) + 1, LEN(E2710))), E2710)</f>
        <v>Philippines</v>
      </c>
    </row>
    <row r="2711" spans="1:8" x14ac:dyDescent="0.25">
      <c r="A2711" s="2">
        <v>34806</v>
      </c>
      <c r="B2711">
        <v>45.95</v>
      </c>
      <c r="C2711">
        <v>151.26499999999999</v>
      </c>
      <c r="D2711" t="s">
        <v>14</v>
      </c>
      <c r="E2711" t="s">
        <v>191</v>
      </c>
      <c r="F2711">
        <f t="shared" si="84"/>
        <v>1995</v>
      </c>
      <c r="G2711">
        <f t="shared" si="85"/>
        <v>4</v>
      </c>
      <c r="H2711" t="str">
        <f>IF(ISNUMBER(FIND(",", E2711)), TRIM(MID(E2711, FIND(",", E2711) + 1, LEN(E2711))), E2711)</f>
        <v>Kuril Islands</v>
      </c>
    </row>
    <row r="2712" spans="1:8" x14ac:dyDescent="0.25">
      <c r="A2712" s="2">
        <v>34806</v>
      </c>
      <c r="B2712">
        <v>33.734999999999999</v>
      </c>
      <c r="C2712">
        <v>-38.564999999999998</v>
      </c>
      <c r="D2712" t="s">
        <v>14</v>
      </c>
      <c r="E2712" t="s">
        <v>325</v>
      </c>
      <c r="F2712">
        <f t="shared" si="84"/>
        <v>1995</v>
      </c>
      <c r="G2712">
        <f t="shared" si="85"/>
        <v>4</v>
      </c>
      <c r="H2712" t="str">
        <f>IF(ISNUMBER(FIND(",", E2712)), TRIM(MID(E2712, FIND(",", E2712) + 1, LEN(E2712))), E2712)</f>
        <v>northern Mid-Atlantic Ridge</v>
      </c>
    </row>
    <row r="2713" spans="1:8" x14ac:dyDescent="0.25">
      <c r="A2713" s="2">
        <v>34803</v>
      </c>
      <c r="B2713">
        <v>-60.844000000000001</v>
      </c>
      <c r="C2713">
        <v>-20.023</v>
      </c>
      <c r="D2713" t="s">
        <v>14</v>
      </c>
      <c r="E2713" t="s">
        <v>242</v>
      </c>
      <c r="F2713">
        <f t="shared" si="84"/>
        <v>1995</v>
      </c>
      <c r="G2713">
        <f t="shared" si="85"/>
        <v>4</v>
      </c>
      <c r="H2713" t="str">
        <f>IF(ISNUMBER(FIND(",", E2713)), TRIM(MID(E2713, FIND(",", E2713) + 1, LEN(E2713))), E2713)</f>
        <v>east of the South Sandwich Islands</v>
      </c>
    </row>
    <row r="2714" spans="1:8" x14ac:dyDescent="0.25">
      <c r="A2714" s="2">
        <v>34802</v>
      </c>
      <c r="B2714">
        <v>-22.292000000000002</v>
      </c>
      <c r="C2714">
        <v>170.63200000000001</v>
      </c>
      <c r="D2714" t="s">
        <v>14</v>
      </c>
      <c r="E2714" t="s">
        <v>254</v>
      </c>
      <c r="F2714">
        <f t="shared" si="84"/>
        <v>1995</v>
      </c>
      <c r="G2714">
        <f t="shared" si="85"/>
        <v>4</v>
      </c>
      <c r="H2714" t="str">
        <f>IF(ISNUMBER(FIND(",", E2714)), TRIM(MID(E2714, FIND(",", E2714) + 1, LEN(E2714))), E2714)</f>
        <v>southeast of the Loyalty Islands</v>
      </c>
    </row>
    <row r="2715" spans="1:8" x14ac:dyDescent="0.25">
      <c r="A2715" s="2">
        <v>34802</v>
      </c>
      <c r="B2715">
        <v>-13.504</v>
      </c>
      <c r="C2715">
        <v>170.578</v>
      </c>
      <c r="D2715" t="s">
        <v>14</v>
      </c>
      <c r="E2715" t="s">
        <v>281</v>
      </c>
      <c r="F2715">
        <f t="shared" si="84"/>
        <v>1995</v>
      </c>
      <c r="G2715">
        <f t="shared" si="85"/>
        <v>4</v>
      </c>
      <c r="H2715" t="str">
        <f>IF(ISNUMBER(FIND(",", E2715)), TRIM(MID(E2715, FIND(",", E2715) + 1, LEN(E2715))), E2715)</f>
        <v>Vanuatu region</v>
      </c>
    </row>
    <row r="2716" spans="1:8" x14ac:dyDescent="0.25">
      <c r="A2716" s="2">
        <v>34797</v>
      </c>
      <c r="B2716">
        <v>21.754999999999999</v>
      </c>
      <c r="C2716">
        <v>142.785</v>
      </c>
      <c r="D2716" t="s">
        <v>14</v>
      </c>
      <c r="E2716" t="s">
        <v>72</v>
      </c>
      <c r="F2716">
        <f t="shared" si="84"/>
        <v>1995</v>
      </c>
      <c r="G2716">
        <f t="shared" si="85"/>
        <v>4</v>
      </c>
      <c r="H2716" t="str">
        <f>IF(ISNUMBER(FIND(",", E2716)), TRIM(MID(E2716, FIND(",", E2716) + 1, LEN(E2716))), E2716)</f>
        <v>Mariana Islands region</v>
      </c>
    </row>
    <row r="2717" spans="1:8" x14ac:dyDescent="0.25">
      <c r="A2717" s="2">
        <v>34797</v>
      </c>
      <c r="B2717">
        <v>-15.356</v>
      </c>
      <c r="C2717">
        <v>-173.315</v>
      </c>
      <c r="D2717" t="s">
        <v>14</v>
      </c>
      <c r="E2717" t="s">
        <v>239</v>
      </c>
      <c r="F2717">
        <f t="shared" si="84"/>
        <v>1995</v>
      </c>
      <c r="G2717">
        <f t="shared" si="85"/>
        <v>4</v>
      </c>
      <c r="H2717" t="str">
        <f>IF(ISNUMBER(FIND(",", E2717)), TRIM(MID(E2717, FIND(",", E2717) + 1, LEN(E2717))), E2717)</f>
        <v>Tonga</v>
      </c>
    </row>
    <row r="2718" spans="1:8" x14ac:dyDescent="0.25">
      <c r="A2718" s="2">
        <v>34796</v>
      </c>
      <c r="B2718">
        <v>-15.337</v>
      </c>
      <c r="C2718">
        <v>-173.43100000000001</v>
      </c>
      <c r="D2718" t="s">
        <v>14</v>
      </c>
      <c r="E2718" t="s">
        <v>239</v>
      </c>
      <c r="F2718">
        <f t="shared" si="84"/>
        <v>1995</v>
      </c>
      <c r="G2718">
        <f t="shared" si="85"/>
        <v>4</v>
      </c>
      <c r="H2718" t="str">
        <f>IF(ISNUMBER(FIND(",", E2718)), TRIM(MID(E2718, FIND(",", E2718) + 1, LEN(E2718))), E2718)</f>
        <v>Tonga</v>
      </c>
    </row>
    <row r="2719" spans="1:8" x14ac:dyDescent="0.25">
      <c r="A2719" s="2">
        <v>34789</v>
      </c>
      <c r="B2719">
        <v>38.186</v>
      </c>
      <c r="C2719">
        <v>135.07300000000001</v>
      </c>
      <c r="D2719" t="s">
        <v>14</v>
      </c>
      <c r="E2719" t="s">
        <v>420</v>
      </c>
      <c r="F2719">
        <f t="shared" si="84"/>
        <v>1995</v>
      </c>
      <c r="G2719">
        <f t="shared" si="85"/>
        <v>3</v>
      </c>
      <c r="H2719" t="str">
        <f>IF(ISNUMBER(FIND(",", E2719)), TRIM(MID(E2719, FIND(",", E2719) + 1, LEN(E2719))), E2719)</f>
        <v>Sea of Japan</v>
      </c>
    </row>
    <row r="2720" spans="1:8" x14ac:dyDescent="0.25">
      <c r="A2720" s="2">
        <v>34784</v>
      </c>
      <c r="B2720">
        <v>-56.034999999999997</v>
      </c>
      <c r="C2720">
        <v>-28.295000000000002</v>
      </c>
      <c r="D2720" t="s">
        <v>14</v>
      </c>
      <c r="E2720" t="s">
        <v>260</v>
      </c>
      <c r="F2720">
        <f t="shared" si="84"/>
        <v>1995</v>
      </c>
      <c r="G2720">
        <f t="shared" si="85"/>
        <v>3</v>
      </c>
      <c r="H2720" t="str">
        <f>IF(ISNUMBER(FIND(",", E2720)), TRIM(MID(E2720, FIND(",", E2720) + 1, LEN(E2720))), E2720)</f>
        <v>South Sandwich Islands region</v>
      </c>
    </row>
    <row r="2721" spans="1:8" x14ac:dyDescent="0.25">
      <c r="A2721" s="2">
        <v>34783</v>
      </c>
      <c r="B2721">
        <v>-11.031000000000001</v>
      </c>
      <c r="C2721">
        <v>166.221</v>
      </c>
      <c r="D2721" t="s">
        <v>14</v>
      </c>
      <c r="E2721" t="s">
        <v>211</v>
      </c>
      <c r="F2721">
        <f t="shared" si="84"/>
        <v>1995</v>
      </c>
      <c r="G2721">
        <f t="shared" si="85"/>
        <v>3</v>
      </c>
      <c r="H2721" t="str">
        <f>IF(ISNUMBER(FIND(",", E2721)), TRIM(MID(E2721, FIND(",", E2721) + 1, LEN(E2721))), E2721)</f>
        <v>Santa Cruz Islands</v>
      </c>
    </row>
    <row r="2722" spans="1:8" x14ac:dyDescent="0.25">
      <c r="A2722" s="2">
        <v>34777</v>
      </c>
      <c r="B2722">
        <v>-4.1429999999999998</v>
      </c>
      <c r="C2722">
        <v>135.11699999999999</v>
      </c>
      <c r="D2722" t="s">
        <v>14</v>
      </c>
      <c r="E2722" t="s">
        <v>204</v>
      </c>
      <c r="F2722">
        <f t="shared" si="84"/>
        <v>1995</v>
      </c>
      <c r="G2722">
        <f t="shared" si="85"/>
        <v>3</v>
      </c>
      <c r="H2722" t="str">
        <f>IF(ISNUMBER(FIND(",", E2722)), TRIM(MID(E2722, FIND(",", E2722) + 1, LEN(E2722))), E2722)</f>
        <v>Indonesia</v>
      </c>
    </row>
    <row r="2723" spans="1:8" x14ac:dyDescent="0.25">
      <c r="A2723" s="2">
        <v>34777</v>
      </c>
      <c r="B2723">
        <v>-4.2329999999999997</v>
      </c>
      <c r="C2723">
        <v>135.05500000000001</v>
      </c>
      <c r="D2723" t="s">
        <v>14</v>
      </c>
      <c r="E2723" t="s">
        <v>204</v>
      </c>
      <c r="F2723">
        <f t="shared" si="84"/>
        <v>1995</v>
      </c>
      <c r="G2723">
        <f t="shared" si="85"/>
        <v>3</v>
      </c>
      <c r="H2723" t="str">
        <f>IF(ISNUMBER(FIND(",", E2723)), TRIM(MID(E2723, FIND(",", E2723) + 1, LEN(E2723))), E2723)</f>
        <v>Indonesia</v>
      </c>
    </row>
    <row r="2724" spans="1:8" x14ac:dyDescent="0.25">
      <c r="A2724" s="2">
        <v>34772</v>
      </c>
      <c r="B2724">
        <v>54.771999999999998</v>
      </c>
      <c r="C2724">
        <v>-161.36500000000001</v>
      </c>
      <c r="D2724" t="s">
        <v>14</v>
      </c>
      <c r="E2724" t="s">
        <v>285</v>
      </c>
      <c r="F2724">
        <f t="shared" si="84"/>
        <v>1995</v>
      </c>
      <c r="G2724">
        <f t="shared" si="85"/>
        <v>3</v>
      </c>
      <c r="H2724" t="str">
        <f>IF(ISNUMBER(FIND(",", E2724)), TRIM(MID(E2724, FIND(",", E2724) + 1, LEN(E2724))), E2724)</f>
        <v>Alaska Peninsula</v>
      </c>
    </row>
    <row r="2725" spans="1:8" x14ac:dyDescent="0.25">
      <c r="A2725" s="2">
        <v>34766</v>
      </c>
      <c r="B2725">
        <v>16.509</v>
      </c>
      <c r="C2725">
        <v>-59.567</v>
      </c>
      <c r="D2725" t="s">
        <v>14</v>
      </c>
      <c r="E2725" t="s">
        <v>554</v>
      </c>
      <c r="F2725">
        <f t="shared" si="84"/>
        <v>1995</v>
      </c>
      <c r="G2725">
        <f t="shared" si="85"/>
        <v>3</v>
      </c>
      <c r="H2725" t="str">
        <f>IF(ISNUMBER(FIND(",", E2725)), TRIM(MID(E2725, FIND(",", E2725) + 1, LEN(E2725))), E2725)</f>
        <v>Leeward Islands</v>
      </c>
    </row>
    <row r="2726" spans="1:8" x14ac:dyDescent="0.25">
      <c r="A2726" s="2">
        <v>34753</v>
      </c>
      <c r="B2726">
        <v>39.847000000000001</v>
      </c>
      <c r="C2726">
        <v>143.6</v>
      </c>
      <c r="D2726" t="s">
        <v>14</v>
      </c>
      <c r="E2726" t="s">
        <v>189</v>
      </c>
      <c r="F2726">
        <f t="shared" si="84"/>
        <v>1995</v>
      </c>
      <c r="G2726">
        <f t="shared" si="85"/>
        <v>2</v>
      </c>
      <c r="H2726" t="str">
        <f>IF(ISNUMBER(FIND(",", E2726)), TRIM(MID(E2726, FIND(",", E2726) + 1, LEN(E2726))), E2726)</f>
        <v>Japan</v>
      </c>
    </row>
    <row r="2727" spans="1:8" x14ac:dyDescent="0.25">
      <c r="A2727" s="2">
        <v>34753</v>
      </c>
      <c r="B2727">
        <v>24.233000000000001</v>
      </c>
      <c r="C2727">
        <v>121.706</v>
      </c>
      <c r="D2727" t="s">
        <v>14</v>
      </c>
      <c r="E2727" t="s">
        <v>336</v>
      </c>
      <c r="F2727">
        <f t="shared" si="84"/>
        <v>1995</v>
      </c>
      <c r="G2727">
        <f t="shared" si="85"/>
        <v>2</v>
      </c>
      <c r="H2727" t="str">
        <f>IF(ISNUMBER(FIND(",", E2727)), TRIM(MID(E2727, FIND(",", E2727) + 1, LEN(E2727))), E2727)</f>
        <v>Taiwan</v>
      </c>
    </row>
    <row r="2728" spans="1:8" x14ac:dyDescent="0.25">
      <c r="A2728" s="2">
        <v>34753</v>
      </c>
      <c r="B2728">
        <v>39.856999999999999</v>
      </c>
      <c r="C2728">
        <v>143.667</v>
      </c>
      <c r="D2728" t="s">
        <v>14</v>
      </c>
      <c r="E2728" t="s">
        <v>189</v>
      </c>
      <c r="F2728">
        <f t="shared" si="84"/>
        <v>1995</v>
      </c>
      <c r="G2728">
        <f t="shared" si="85"/>
        <v>2</v>
      </c>
      <c r="H2728" t="str">
        <f>IF(ISNUMBER(FIND(",", E2728)), TRIM(MID(E2728, FIND(",", E2728) + 1, LEN(E2728))), E2728)</f>
        <v>Japan</v>
      </c>
    </row>
    <row r="2729" spans="1:8" x14ac:dyDescent="0.25">
      <c r="A2729" s="2">
        <v>34751</v>
      </c>
      <c r="B2729">
        <v>46.113</v>
      </c>
      <c r="C2729">
        <v>151.506</v>
      </c>
      <c r="D2729" t="s">
        <v>14</v>
      </c>
      <c r="E2729" t="s">
        <v>191</v>
      </c>
      <c r="F2729">
        <f t="shared" si="84"/>
        <v>1995</v>
      </c>
      <c r="G2729">
        <f t="shared" si="85"/>
        <v>2</v>
      </c>
      <c r="H2729" t="str">
        <f>IF(ISNUMBER(FIND(",", E2729)), TRIM(MID(E2729, FIND(",", E2729) + 1, LEN(E2729))), E2729)</f>
        <v>Kuril Islands</v>
      </c>
    </row>
    <row r="2730" spans="1:8" x14ac:dyDescent="0.25">
      <c r="A2730" s="2">
        <v>34749</v>
      </c>
      <c r="B2730">
        <v>40.526000000000003</v>
      </c>
      <c r="C2730">
        <v>-125.58199999999999</v>
      </c>
      <c r="D2730" t="s">
        <v>14</v>
      </c>
      <c r="E2730" t="s">
        <v>343</v>
      </c>
      <c r="F2730">
        <f t="shared" si="84"/>
        <v>1995</v>
      </c>
      <c r="G2730">
        <f t="shared" si="85"/>
        <v>2</v>
      </c>
      <c r="H2730" t="str">
        <f>IF(ISNUMBER(FIND(",", E2730)), TRIM(MID(E2730, FIND(",", E2730) + 1, LEN(E2730))), E2730)</f>
        <v>offshore Northern California</v>
      </c>
    </row>
    <row r="2731" spans="1:8" x14ac:dyDescent="0.25">
      <c r="A2731" s="2">
        <v>34743</v>
      </c>
      <c r="B2731">
        <v>-1.325</v>
      </c>
      <c r="C2731">
        <v>127.485</v>
      </c>
      <c r="D2731" t="s">
        <v>14</v>
      </c>
      <c r="E2731" t="s">
        <v>330</v>
      </c>
      <c r="F2731">
        <f t="shared" si="84"/>
        <v>1995</v>
      </c>
      <c r="G2731">
        <f t="shared" si="85"/>
        <v>2</v>
      </c>
      <c r="H2731" t="str">
        <f>IF(ISNUMBER(FIND(",", E2731)), TRIM(MID(E2731, FIND(",", E2731) + 1, LEN(E2731))), E2731)</f>
        <v>Indonesia</v>
      </c>
    </row>
    <row r="2732" spans="1:8" x14ac:dyDescent="0.25">
      <c r="A2732" s="2">
        <v>34743</v>
      </c>
      <c r="B2732">
        <v>-1.3</v>
      </c>
      <c r="C2732">
        <v>127.425</v>
      </c>
      <c r="D2732" t="s">
        <v>14</v>
      </c>
      <c r="E2732" t="s">
        <v>330</v>
      </c>
      <c r="F2732">
        <f t="shared" si="84"/>
        <v>1995</v>
      </c>
      <c r="G2732">
        <f t="shared" si="85"/>
        <v>2</v>
      </c>
      <c r="H2732" t="str">
        <f>IF(ISNUMBER(FIND(",", E2732)), TRIM(MID(E2732, FIND(",", E2732) + 1, LEN(E2732))), E2732)</f>
        <v>Indonesia</v>
      </c>
    </row>
    <row r="2733" spans="1:8" x14ac:dyDescent="0.25">
      <c r="A2733" s="2">
        <v>34743</v>
      </c>
      <c r="B2733">
        <v>-1.28</v>
      </c>
      <c r="C2733">
        <v>127.453</v>
      </c>
      <c r="D2733" t="s">
        <v>14</v>
      </c>
      <c r="E2733" t="s">
        <v>330</v>
      </c>
      <c r="F2733">
        <f t="shared" si="84"/>
        <v>1995</v>
      </c>
      <c r="G2733">
        <f t="shared" si="85"/>
        <v>2</v>
      </c>
      <c r="H2733" t="str">
        <f>IF(ISNUMBER(FIND(",", E2733)), TRIM(MID(E2733, FIND(",", E2733) + 1, LEN(E2733))), E2733)</f>
        <v>Indonesia</v>
      </c>
    </row>
    <row r="2734" spans="1:8" x14ac:dyDescent="0.25">
      <c r="A2734" s="2">
        <v>34740</v>
      </c>
      <c r="B2734">
        <v>-38.084000000000003</v>
      </c>
      <c r="C2734">
        <v>178.68199999999999</v>
      </c>
      <c r="D2734" t="s">
        <v>14</v>
      </c>
      <c r="E2734" t="s">
        <v>410</v>
      </c>
      <c r="F2734">
        <f t="shared" si="84"/>
        <v>1995</v>
      </c>
      <c r="G2734">
        <f t="shared" si="85"/>
        <v>2</v>
      </c>
      <c r="H2734" t="str">
        <f>IF(ISNUMBER(FIND(",", E2734)), TRIM(MID(E2734, FIND(",", E2734) + 1, LEN(E2734))), E2734)</f>
        <v>off the east coast of the North Island of New Zealand</v>
      </c>
    </row>
    <row r="2735" spans="1:8" x14ac:dyDescent="0.25">
      <c r="A2735" s="2">
        <v>34738</v>
      </c>
      <c r="B2735">
        <v>4.0540000000000003</v>
      </c>
      <c r="C2735">
        <v>-76.58</v>
      </c>
      <c r="D2735" t="s">
        <v>14</v>
      </c>
      <c r="E2735" t="s">
        <v>206</v>
      </c>
      <c r="F2735">
        <f t="shared" si="84"/>
        <v>1995</v>
      </c>
      <c r="G2735">
        <f t="shared" si="85"/>
        <v>2</v>
      </c>
      <c r="H2735" t="str">
        <f>IF(ISNUMBER(FIND(",", E2735)), TRIM(MID(E2735, FIND(",", E2735) + 1, LEN(E2735))), E2735)</f>
        <v>Colombia</v>
      </c>
    </row>
    <row r="2736" spans="1:8" x14ac:dyDescent="0.25">
      <c r="A2736" s="2">
        <v>34735</v>
      </c>
      <c r="B2736">
        <v>-37.823999999999998</v>
      </c>
      <c r="C2736">
        <v>178.87899999999999</v>
      </c>
      <c r="D2736" t="s">
        <v>14</v>
      </c>
      <c r="E2736" t="s">
        <v>410</v>
      </c>
      <c r="F2736">
        <f t="shared" si="84"/>
        <v>1995</v>
      </c>
      <c r="G2736">
        <f t="shared" si="85"/>
        <v>2</v>
      </c>
      <c r="H2736" t="str">
        <f>IF(ISNUMBER(FIND(",", E2736)), TRIM(MID(E2736, FIND(",", E2736) + 1, LEN(E2736))), E2736)</f>
        <v>off the east coast of the North Island of New Zealand</v>
      </c>
    </row>
    <row r="2737" spans="1:8" x14ac:dyDescent="0.25">
      <c r="A2737" s="2">
        <v>34733</v>
      </c>
      <c r="B2737">
        <v>-62.74</v>
      </c>
      <c r="C2737">
        <v>155.858</v>
      </c>
      <c r="D2737" t="s">
        <v>14</v>
      </c>
      <c r="E2737" t="s">
        <v>283</v>
      </c>
      <c r="F2737">
        <f t="shared" si="84"/>
        <v>1995</v>
      </c>
      <c r="G2737">
        <f t="shared" si="85"/>
        <v>2</v>
      </c>
      <c r="H2737" t="str">
        <f>IF(ISNUMBER(FIND(",", E2737)), TRIM(MID(E2737, FIND(",", E2737) + 1, LEN(E2737))), E2737)</f>
        <v>Balleny Islands region</v>
      </c>
    </row>
    <row r="2738" spans="1:8" x14ac:dyDescent="0.25">
      <c r="A2738" s="2">
        <v>34726</v>
      </c>
      <c r="B2738">
        <v>-4.4569999999999999</v>
      </c>
      <c r="C2738">
        <v>134.447</v>
      </c>
      <c r="D2738" t="s">
        <v>14</v>
      </c>
      <c r="E2738" t="s">
        <v>204</v>
      </c>
      <c r="F2738">
        <f t="shared" si="84"/>
        <v>1995</v>
      </c>
      <c r="G2738">
        <f t="shared" si="85"/>
        <v>1</v>
      </c>
      <c r="H2738" t="str">
        <f>IF(ISNUMBER(FIND(",", E2738)), TRIM(MID(E2738, FIND(",", E2738) + 1, LEN(E2738))), E2738)</f>
        <v>Indonesia</v>
      </c>
    </row>
    <row r="2739" spans="1:8" x14ac:dyDescent="0.25">
      <c r="A2739" s="2">
        <v>34723</v>
      </c>
      <c r="B2739">
        <v>-5.883</v>
      </c>
      <c r="C2739">
        <v>154.46100000000001</v>
      </c>
      <c r="D2739" t="s">
        <v>14</v>
      </c>
      <c r="E2739" t="s">
        <v>290</v>
      </c>
      <c r="F2739">
        <f t="shared" si="84"/>
        <v>1995</v>
      </c>
      <c r="G2739">
        <f t="shared" si="85"/>
        <v>1</v>
      </c>
      <c r="H2739" t="str">
        <f>IF(ISNUMBER(FIND(",", E2739)), TRIM(MID(E2739, FIND(",", E2739) + 1, LEN(E2739))), E2739)</f>
        <v>Papua New Guinea</v>
      </c>
    </row>
    <row r="2740" spans="1:8" x14ac:dyDescent="0.25">
      <c r="A2740" s="2">
        <v>34720</v>
      </c>
      <c r="B2740">
        <v>43.387</v>
      </c>
      <c r="C2740">
        <v>146.72999999999999</v>
      </c>
      <c r="D2740" t="s">
        <v>14</v>
      </c>
      <c r="E2740" t="s">
        <v>191</v>
      </c>
      <c r="F2740">
        <f t="shared" si="84"/>
        <v>1995</v>
      </c>
      <c r="G2740">
        <f t="shared" si="85"/>
        <v>1</v>
      </c>
      <c r="H2740" t="str">
        <f>IF(ISNUMBER(FIND(",", E2740)), TRIM(MID(E2740, FIND(",", E2740) + 1, LEN(E2740))), E2740)</f>
        <v>Kuril Islands</v>
      </c>
    </row>
    <row r="2741" spans="1:8" x14ac:dyDescent="0.25">
      <c r="A2741" s="2">
        <v>34720</v>
      </c>
      <c r="B2741">
        <v>2.524</v>
      </c>
      <c r="C2741">
        <v>126.95399999999999</v>
      </c>
      <c r="D2741" t="s">
        <v>14</v>
      </c>
      <c r="E2741" t="s">
        <v>186</v>
      </c>
      <c r="F2741">
        <f t="shared" si="84"/>
        <v>1995</v>
      </c>
      <c r="G2741">
        <f t="shared" si="85"/>
        <v>1</v>
      </c>
      <c r="H2741" t="str">
        <f>IF(ISNUMBER(FIND(",", E2741)), TRIM(MID(E2741, FIND(",", E2741) + 1, LEN(E2741))), E2741)</f>
        <v>Molucca Sea</v>
      </c>
    </row>
    <row r="2742" spans="1:8" x14ac:dyDescent="0.25">
      <c r="A2742" s="2">
        <v>34718</v>
      </c>
      <c r="B2742">
        <v>5.0490000000000004</v>
      </c>
      <c r="C2742">
        <v>-72.933999999999997</v>
      </c>
      <c r="D2742" t="s">
        <v>14</v>
      </c>
      <c r="E2742" t="s">
        <v>206</v>
      </c>
      <c r="F2742">
        <f t="shared" si="84"/>
        <v>1995</v>
      </c>
      <c r="G2742">
        <f t="shared" si="85"/>
        <v>1</v>
      </c>
      <c r="H2742" t="str">
        <f>IF(ISNUMBER(FIND(",", E2742)), TRIM(MID(E2742, FIND(",", E2742) + 1, LEN(E2742))), E2742)</f>
        <v>Colombia</v>
      </c>
    </row>
    <row r="2743" spans="1:8" x14ac:dyDescent="0.25">
      <c r="A2743" s="2">
        <v>34716</v>
      </c>
      <c r="B2743">
        <v>-20.863</v>
      </c>
      <c r="C2743">
        <v>-179.10900000000001</v>
      </c>
      <c r="D2743" t="s">
        <v>14</v>
      </c>
      <c r="E2743" t="s">
        <v>53</v>
      </c>
      <c r="F2743">
        <f t="shared" si="84"/>
        <v>1995</v>
      </c>
      <c r="G2743">
        <f t="shared" si="85"/>
        <v>1</v>
      </c>
      <c r="H2743" t="str">
        <f>IF(ISNUMBER(FIND(",", E2743)), TRIM(MID(E2743, FIND(",", E2743) + 1, LEN(E2743))), E2743)</f>
        <v>Fiji region</v>
      </c>
    </row>
    <row r="2744" spans="1:8" x14ac:dyDescent="0.25">
      <c r="A2744" s="2">
        <v>34715</v>
      </c>
      <c r="B2744">
        <v>34.578000000000003</v>
      </c>
      <c r="C2744">
        <v>135.01499999999999</v>
      </c>
      <c r="D2744" t="s">
        <v>14</v>
      </c>
      <c r="E2744" t="s">
        <v>467</v>
      </c>
      <c r="F2744">
        <f t="shared" si="84"/>
        <v>1995</v>
      </c>
      <c r="G2744">
        <f t="shared" si="85"/>
        <v>1</v>
      </c>
      <c r="H2744" t="str">
        <f>IF(ISNUMBER(FIND(",", E2744)), TRIM(MID(E2744, FIND(",", E2744) + 1, LEN(E2744))), E2744)</f>
        <v>Japan</v>
      </c>
    </row>
    <row r="2745" spans="1:8" x14ac:dyDescent="0.25">
      <c r="A2745" s="2">
        <v>34715</v>
      </c>
      <c r="B2745">
        <v>51.268000000000001</v>
      </c>
      <c r="C2745">
        <v>179.17599999999999</v>
      </c>
      <c r="D2745" t="s">
        <v>14</v>
      </c>
      <c r="E2745" t="s">
        <v>366</v>
      </c>
      <c r="F2745">
        <f t="shared" si="84"/>
        <v>1995</v>
      </c>
      <c r="G2745">
        <f t="shared" si="85"/>
        <v>1</v>
      </c>
      <c r="H2745" t="str">
        <f>IF(ISNUMBER(FIND(",", E2745)), TRIM(MID(E2745, FIND(",", E2745) + 1, LEN(E2745))), E2745)</f>
        <v>Aleutian Islands, Alaska</v>
      </c>
    </row>
    <row r="2746" spans="1:8" x14ac:dyDescent="0.25">
      <c r="A2746" s="2">
        <v>34705</v>
      </c>
      <c r="B2746">
        <v>40.345999999999997</v>
      </c>
      <c r="C2746">
        <v>142.21600000000001</v>
      </c>
      <c r="D2746" t="s">
        <v>14</v>
      </c>
      <c r="E2746" t="s">
        <v>227</v>
      </c>
      <c r="F2746">
        <f t="shared" si="84"/>
        <v>1995</v>
      </c>
      <c r="G2746">
        <f t="shared" si="85"/>
        <v>1</v>
      </c>
      <c r="H2746" t="str">
        <f>IF(ISNUMBER(FIND(",", E2746)), TRIM(MID(E2746, FIND(",", E2746) + 1, LEN(E2746))), E2746)</f>
        <v>Japan</v>
      </c>
    </row>
    <row r="2747" spans="1:8" x14ac:dyDescent="0.25">
      <c r="A2747" s="2">
        <v>34700</v>
      </c>
      <c r="B2747">
        <v>40.712000000000003</v>
      </c>
      <c r="C2747">
        <v>143.571</v>
      </c>
      <c r="D2747" t="s">
        <v>14</v>
      </c>
      <c r="E2747" t="s">
        <v>189</v>
      </c>
      <c r="F2747">
        <f t="shared" si="84"/>
        <v>1995</v>
      </c>
      <c r="G2747">
        <f t="shared" si="85"/>
        <v>1</v>
      </c>
      <c r="H2747" t="str">
        <f>IF(ISNUMBER(FIND(",", E2747)), TRIM(MID(E2747, FIND(",", E2747) + 1, LEN(E2747))), E2747)</f>
        <v>Japan</v>
      </c>
    </row>
    <row r="2748" spans="1:8" x14ac:dyDescent="0.25">
      <c r="A2748" s="2">
        <v>34698</v>
      </c>
      <c r="B2748">
        <v>18.507999999999999</v>
      </c>
      <c r="C2748">
        <v>145.446</v>
      </c>
      <c r="D2748" t="s">
        <v>14</v>
      </c>
      <c r="E2748" t="s">
        <v>416</v>
      </c>
      <c r="F2748">
        <f t="shared" si="84"/>
        <v>1994</v>
      </c>
      <c r="G2748">
        <f t="shared" si="85"/>
        <v>12</v>
      </c>
      <c r="H2748" t="str">
        <f>IF(ISNUMBER(FIND(",", E2748)), TRIM(MID(E2748, FIND(",", E2748) + 1, LEN(E2748))), E2748)</f>
        <v>Northern Mariana Islands</v>
      </c>
    </row>
    <row r="2749" spans="1:8" x14ac:dyDescent="0.25">
      <c r="A2749" s="2">
        <v>34696</v>
      </c>
      <c r="B2749">
        <v>40.314999999999998</v>
      </c>
      <c r="C2749">
        <v>143.654</v>
      </c>
      <c r="D2749" t="s">
        <v>14</v>
      </c>
      <c r="E2749" t="s">
        <v>189</v>
      </c>
      <c r="F2749">
        <f t="shared" si="84"/>
        <v>1994</v>
      </c>
      <c r="G2749">
        <f t="shared" si="85"/>
        <v>12</v>
      </c>
      <c r="H2749" t="str">
        <f>IF(ISNUMBER(FIND(",", E2749)), TRIM(MID(E2749, FIND(",", E2749) + 1, LEN(E2749))), E2749)</f>
        <v>Japan</v>
      </c>
    </row>
    <row r="2750" spans="1:8" x14ac:dyDescent="0.25">
      <c r="A2750" s="2">
        <v>34696</v>
      </c>
      <c r="B2750">
        <v>40.347999999999999</v>
      </c>
      <c r="C2750">
        <v>143.66499999999999</v>
      </c>
      <c r="D2750" t="s">
        <v>14</v>
      </c>
      <c r="E2750" t="s">
        <v>189</v>
      </c>
      <c r="F2750">
        <f t="shared" si="84"/>
        <v>1994</v>
      </c>
      <c r="G2750">
        <f t="shared" si="85"/>
        <v>12</v>
      </c>
      <c r="H2750" t="str">
        <f>IF(ISNUMBER(FIND(",", E2750)), TRIM(MID(E2750, FIND(",", E2750) + 1, LEN(E2750))), E2750)</f>
        <v>Japan</v>
      </c>
    </row>
    <row r="2751" spans="1:8" x14ac:dyDescent="0.25">
      <c r="A2751" s="2">
        <v>34696</v>
      </c>
      <c r="B2751">
        <v>40.182000000000002</v>
      </c>
      <c r="C2751">
        <v>142.75200000000001</v>
      </c>
      <c r="D2751" t="s">
        <v>14</v>
      </c>
      <c r="E2751" t="s">
        <v>227</v>
      </c>
      <c r="F2751">
        <f t="shared" si="84"/>
        <v>1994</v>
      </c>
      <c r="G2751">
        <f t="shared" si="85"/>
        <v>12</v>
      </c>
      <c r="H2751" t="str">
        <f>IF(ISNUMBER(FIND(",", E2751)), TRIM(MID(E2751, FIND(",", E2751) + 1, LEN(E2751))), E2751)</f>
        <v>Japan</v>
      </c>
    </row>
    <row r="2752" spans="1:8" x14ac:dyDescent="0.25">
      <c r="A2752" s="2">
        <v>34696</v>
      </c>
      <c r="B2752">
        <v>40.286999999999999</v>
      </c>
      <c r="C2752">
        <v>143.68199999999999</v>
      </c>
      <c r="D2752" t="s">
        <v>14</v>
      </c>
      <c r="E2752" t="s">
        <v>189</v>
      </c>
      <c r="F2752">
        <f t="shared" si="84"/>
        <v>1994</v>
      </c>
      <c r="G2752">
        <f t="shared" si="85"/>
        <v>12</v>
      </c>
      <c r="H2752" t="str">
        <f>IF(ISNUMBER(FIND(",", E2752)), TRIM(MID(E2752, FIND(",", E2752) + 1, LEN(E2752))), E2752)</f>
        <v>Japan</v>
      </c>
    </row>
    <row r="2753" spans="1:8" x14ac:dyDescent="0.25">
      <c r="A2753" s="2">
        <v>34696</v>
      </c>
      <c r="B2753">
        <v>40.375</v>
      </c>
      <c r="C2753">
        <v>143.66999999999999</v>
      </c>
      <c r="D2753" t="s">
        <v>14</v>
      </c>
      <c r="E2753" t="s">
        <v>189</v>
      </c>
      <c r="F2753">
        <f t="shared" si="84"/>
        <v>1994</v>
      </c>
      <c r="G2753">
        <f t="shared" si="85"/>
        <v>12</v>
      </c>
      <c r="H2753" t="str">
        <f>IF(ISNUMBER(FIND(",", E2753)), TRIM(MID(E2753, FIND(",", E2753) + 1, LEN(E2753))), E2753)</f>
        <v>Japan</v>
      </c>
    </row>
    <row r="2754" spans="1:8" x14ac:dyDescent="0.25">
      <c r="A2754" s="2">
        <v>34696</v>
      </c>
      <c r="B2754">
        <v>40.537999999999997</v>
      </c>
      <c r="C2754">
        <v>143.43899999999999</v>
      </c>
      <c r="D2754" t="s">
        <v>14</v>
      </c>
      <c r="E2754" t="s">
        <v>189</v>
      </c>
      <c r="F2754">
        <f t="shared" ref="F2754:F2817" si="86">YEAR(A2754)</f>
        <v>1994</v>
      </c>
      <c r="G2754">
        <f t="shared" si="85"/>
        <v>12</v>
      </c>
      <c r="H2754" t="str">
        <f>IF(ISNUMBER(FIND(",", E2754)), TRIM(MID(E2754, FIND(",", E2754) + 1, LEN(E2754))), E2754)</f>
        <v>Japan</v>
      </c>
    </row>
    <row r="2755" spans="1:8" x14ac:dyDescent="0.25">
      <c r="A2755" s="2">
        <v>34695</v>
      </c>
      <c r="B2755">
        <v>-32.069000000000003</v>
      </c>
      <c r="C2755">
        <v>-179.95699999999999</v>
      </c>
      <c r="D2755" t="s">
        <v>14</v>
      </c>
      <c r="E2755" t="s">
        <v>262</v>
      </c>
      <c r="F2755">
        <f t="shared" si="86"/>
        <v>1994</v>
      </c>
      <c r="G2755">
        <f t="shared" ref="G2755:G2818" si="87">MONTH(A2755)</f>
        <v>12</v>
      </c>
      <c r="H2755" t="str">
        <f>IF(ISNUMBER(FIND(",", E2755)), TRIM(MID(E2755, FIND(",", E2755) + 1, LEN(E2755))), E2755)</f>
        <v>south of the Kermadec Islands</v>
      </c>
    </row>
    <row r="2756" spans="1:8" x14ac:dyDescent="0.25">
      <c r="A2756" s="2">
        <v>34695</v>
      </c>
      <c r="B2756">
        <v>-31.965</v>
      </c>
      <c r="C2756">
        <v>179.86</v>
      </c>
      <c r="D2756" t="s">
        <v>5</v>
      </c>
      <c r="E2756" t="s">
        <v>240</v>
      </c>
      <c r="F2756">
        <f t="shared" si="86"/>
        <v>1994</v>
      </c>
      <c r="G2756">
        <f t="shared" si="87"/>
        <v>12</v>
      </c>
      <c r="H2756" t="str">
        <f>IF(ISNUMBER(FIND(",", E2756)), TRIM(MID(E2756, FIND(",", E2756) + 1, LEN(E2756))), E2756)</f>
        <v>Kermadec Islands region</v>
      </c>
    </row>
    <row r="2757" spans="1:8" x14ac:dyDescent="0.25">
      <c r="A2757" s="2">
        <v>34683</v>
      </c>
      <c r="B2757">
        <v>-37.548000000000002</v>
      </c>
      <c r="C2757">
        <v>177.58600000000001</v>
      </c>
      <c r="D2757" t="s">
        <v>14</v>
      </c>
      <c r="E2757" t="s">
        <v>410</v>
      </c>
      <c r="F2757">
        <f t="shared" si="86"/>
        <v>1994</v>
      </c>
      <c r="G2757">
        <f t="shared" si="87"/>
        <v>12</v>
      </c>
      <c r="H2757" t="str">
        <f>IF(ISNUMBER(FIND(",", E2757)), TRIM(MID(E2757, FIND(",", E2757) + 1, LEN(E2757))), E2757)</f>
        <v>off the east coast of the North Island of New Zealand</v>
      </c>
    </row>
    <row r="2758" spans="1:8" x14ac:dyDescent="0.25">
      <c r="A2758" s="2">
        <v>34682</v>
      </c>
      <c r="B2758">
        <v>-9.5619999999999994</v>
      </c>
      <c r="C2758">
        <v>159.55099999999999</v>
      </c>
      <c r="D2758" t="s">
        <v>14</v>
      </c>
      <c r="E2758" t="s">
        <v>221</v>
      </c>
      <c r="F2758">
        <f t="shared" si="86"/>
        <v>1994</v>
      </c>
      <c r="G2758">
        <f t="shared" si="87"/>
        <v>12</v>
      </c>
      <c r="H2758" t="str">
        <f>IF(ISNUMBER(FIND(",", E2758)), TRIM(MID(E2758, FIND(",", E2758) + 1, LEN(E2758))), E2758)</f>
        <v>Solomon Islands</v>
      </c>
    </row>
    <row r="2759" spans="1:8" x14ac:dyDescent="0.25">
      <c r="A2759" s="2">
        <v>34680</v>
      </c>
      <c r="B2759">
        <v>-17.495000000000001</v>
      </c>
      <c r="C2759">
        <v>-69.567999999999998</v>
      </c>
      <c r="D2759" t="s">
        <v>14</v>
      </c>
      <c r="E2759" t="s">
        <v>555</v>
      </c>
      <c r="F2759">
        <f t="shared" si="86"/>
        <v>1994</v>
      </c>
      <c r="G2759">
        <f t="shared" si="87"/>
        <v>12</v>
      </c>
      <c r="H2759" t="str">
        <f>IF(ISNUMBER(FIND(",", E2759)), TRIM(MID(E2759, FIND(",", E2759) + 1, LEN(E2759))), E2759)</f>
        <v>Peru-Bolivia border region</v>
      </c>
    </row>
    <row r="2760" spans="1:8" x14ac:dyDescent="0.25">
      <c r="A2760" s="2">
        <v>34678</v>
      </c>
      <c r="B2760">
        <v>18.096</v>
      </c>
      <c r="C2760">
        <v>-101.401</v>
      </c>
      <c r="D2760" t="s">
        <v>14</v>
      </c>
      <c r="E2760" t="s">
        <v>192</v>
      </c>
      <c r="F2760">
        <f t="shared" si="86"/>
        <v>1994</v>
      </c>
      <c r="G2760">
        <f t="shared" si="87"/>
        <v>12</v>
      </c>
      <c r="H2760" t="str">
        <f>IF(ISNUMBER(FIND(",", E2760)), TRIM(MID(E2760, FIND(",", E2760) + 1, LEN(E2760))), E2760)</f>
        <v>Mexico</v>
      </c>
    </row>
    <row r="2761" spans="1:8" x14ac:dyDescent="0.25">
      <c r="A2761" s="2">
        <v>34658</v>
      </c>
      <c r="B2761">
        <v>-2.0129999999999999</v>
      </c>
      <c r="C2761">
        <v>135.96199999999999</v>
      </c>
      <c r="D2761" t="s">
        <v>14</v>
      </c>
      <c r="E2761" t="s">
        <v>241</v>
      </c>
      <c r="F2761">
        <f t="shared" si="86"/>
        <v>1994</v>
      </c>
      <c r="G2761">
        <f t="shared" si="87"/>
        <v>11</v>
      </c>
      <c r="H2761" t="str">
        <f>IF(ISNUMBER(FIND(",", E2761)), TRIM(MID(E2761, FIND(",", E2761) + 1, LEN(E2761))), E2761)</f>
        <v>Indonesia</v>
      </c>
    </row>
    <row r="2762" spans="1:8" x14ac:dyDescent="0.25">
      <c r="A2762" s="2">
        <v>34653</v>
      </c>
      <c r="B2762">
        <v>-5.649</v>
      </c>
      <c r="C2762">
        <v>110.176</v>
      </c>
      <c r="D2762" t="s">
        <v>14</v>
      </c>
      <c r="E2762" t="s">
        <v>556</v>
      </c>
      <c r="F2762">
        <f t="shared" si="86"/>
        <v>1994</v>
      </c>
      <c r="G2762">
        <f t="shared" si="87"/>
        <v>11</v>
      </c>
      <c r="H2762" t="str">
        <f>IF(ISNUMBER(FIND(",", E2762)), TRIM(MID(E2762, FIND(",", E2762) + 1, LEN(E2762))), E2762)</f>
        <v>Java Sea</v>
      </c>
    </row>
    <row r="2763" spans="1:8" x14ac:dyDescent="0.25">
      <c r="A2763" s="2">
        <v>34652</v>
      </c>
      <c r="B2763">
        <v>13.54</v>
      </c>
      <c r="C2763">
        <v>121.059</v>
      </c>
      <c r="D2763" t="s">
        <v>14</v>
      </c>
      <c r="E2763" t="s">
        <v>333</v>
      </c>
      <c r="F2763">
        <f t="shared" si="86"/>
        <v>1994</v>
      </c>
      <c r="G2763">
        <f t="shared" si="87"/>
        <v>11</v>
      </c>
      <c r="H2763" t="str">
        <f>IF(ISNUMBER(FIND(",", E2763)), TRIM(MID(E2763, FIND(",", E2763) + 1, LEN(E2763))), E2763)</f>
        <v>Philippines</v>
      </c>
    </row>
    <row r="2764" spans="1:8" x14ac:dyDescent="0.25">
      <c r="A2764" s="2">
        <v>34643</v>
      </c>
      <c r="B2764">
        <v>-57.302</v>
      </c>
      <c r="C2764">
        <v>157.83799999999999</v>
      </c>
      <c r="D2764" t="s">
        <v>14</v>
      </c>
      <c r="E2764" t="s">
        <v>350</v>
      </c>
      <c r="F2764">
        <f t="shared" si="86"/>
        <v>1994</v>
      </c>
      <c r="G2764">
        <f t="shared" si="87"/>
        <v>11</v>
      </c>
      <c r="H2764" t="str">
        <f>IF(ISNUMBER(FIND(",", E2764)), TRIM(MID(E2764, FIND(",", E2764) + 1, LEN(E2764))), E2764)</f>
        <v>Macquarie Island region</v>
      </c>
    </row>
    <row r="2765" spans="1:8" x14ac:dyDescent="0.25">
      <c r="A2765" s="2">
        <v>34642</v>
      </c>
      <c r="B2765">
        <v>-9.43</v>
      </c>
      <c r="C2765">
        <v>-71.260000000000005</v>
      </c>
      <c r="D2765" t="s">
        <v>14</v>
      </c>
      <c r="E2765" t="s">
        <v>557</v>
      </c>
      <c r="F2765">
        <f t="shared" si="86"/>
        <v>1994</v>
      </c>
      <c r="G2765">
        <f t="shared" si="87"/>
        <v>11</v>
      </c>
      <c r="H2765" t="str">
        <f>IF(ISNUMBER(FIND(",", E2765)), TRIM(MID(E2765, FIND(",", E2765) + 1, LEN(E2765))), E2765)</f>
        <v>Peru-Brazil border region</v>
      </c>
    </row>
    <row r="2766" spans="1:8" x14ac:dyDescent="0.25">
      <c r="A2766" s="2">
        <v>34638</v>
      </c>
      <c r="B2766">
        <v>3.036</v>
      </c>
      <c r="C2766">
        <v>96.192999999999998</v>
      </c>
      <c r="D2766" t="s">
        <v>14</v>
      </c>
      <c r="E2766" t="s">
        <v>226</v>
      </c>
      <c r="F2766">
        <f t="shared" si="86"/>
        <v>1994</v>
      </c>
      <c r="G2766">
        <f t="shared" si="87"/>
        <v>10</v>
      </c>
      <c r="H2766" t="str">
        <f>IF(ISNUMBER(FIND(",", E2766)), TRIM(MID(E2766, FIND(",", E2766) + 1, LEN(E2766))), E2766)</f>
        <v>Indonesia</v>
      </c>
    </row>
    <row r="2767" spans="1:8" x14ac:dyDescent="0.25">
      <c r="A2767" s="2">
        <v>34634</v>
      </c>
      <c r="B2767">
        <v>-25.864999999999998</v>
      </c>
      <c r="C2767">
        <v>179.46199999999999</v>
      </c>
      <c r="D2767" t="s">
        <v>14</v>
      </c>
      <c r="E2767" t="s">
        <v>256</v>
      </c>
      <c r="F2767">
        <f t="shared" si="86"/>
        <v>1994</v>
      </c>
      <c r="G2767">
        <f t="shared" si="87"/>
        <v>10</v>
      </c>
      <c r="H2767" t="str">
        <f>IF(ISNUMBER(FIND(",", E2767)), TRIM(MID(E2767, FIND(",", E2767) + 1, LEN(E2767))), E2767)</f>
        <v>south of the Fiji Islands</v>
      </c>
    </row>
    <row r="2768" spans="1:8" x14ac:dyDescent="0.25">
      <c r="A2768" s="2">
        <v>34634</v>
      </c>
      <c r="B2768">
        <v>43.54</v>
      </c>
      <c r="C2768">
        <v>-127.54300000000001</v>
      </c>
      <c r="D2768" t="s">
        <v>14</v>
      </c>
      <c r="E2768" t="s">
        <v>249</v>
      </c>
      <c r="F2768">
        <f t="shared" si="86"/>
        <v>1994</v>
      </c>
      <c r="G2768">
        <f t="shared" si="87"/>
        <v>10</v>
      </c>
      <c r="H2768" t="str">
        <f>IF(ISNUMBER(FIND(",", E2768)), TRIM(MID(E2768, FIND(",", E2768) + 1, LEN(E2768))), E2768)</f>
        <v>off the coast of Oregon</v>
      </c>
    </row>
    <row r="2769" spans="1:8" x14ac:dyDescent="0.25">
      <c r="A2769" s="2">
        <v>34623</v>
      </c>
      <c r="B2769">
        <v>45.750999999999998</v>
      </c>
      <c r="C2769">
        <v>149.126</v>
      </c>
      <c r="D2769" t="s">
        <v>14</v>
      </c>
      <c r="E2769" t="s">
        <v>191</v>
      </c>
      <c r="F2769">
        <f t="shared" si="86"/>
        <v>1994</v>
      </c>
      <c r="G2769">
        <f t="shared" si="87"/>
        <v>10</v>
      </c>
      <c r="H2769" t="str">
        <f>IF(ISNUMBER(FIND(",", E2769)), TRIM(MID(E2769, FIND(",", E2769) + 1, LEN(E2769))), E2769)</f>
        <v>Kuril Islands</v>
      </c>
    </row>
    <row r="2770" spans="1:8" x14ac:dyDescent="0.25">
      <c r="A2770" s="2">
        <v>34622</v>
      </c>
      <c r="B2770">
        <v>-3.81</v>
      </c>
      <c r="C2770">
        <v>152.17500000000001</v>
      </c>
      <c r="D2770" t="s">
        <v>14</v>
      </c>
      <c r="E2770" t="s">
        <v>183</v>
      </c>
      <c r="F2770">
        <f t="shared" si="86"/>
        <v>1994</v>
      </c>
      <c r="G2770">
        <f t="shared" si="87"/>
        <v>10</v>
      </c>
      <c r="H2770" t="str">
        <f>IF(ISNUMBER(FIND(",", E2770)), TRIM(MID(E2770, FIND(",", E2770) + 1, LEN(E2770))), E2770)</f>
        <v>Papua New Guinea</v>
      </c>
    </row>
    <row r="2771" spans="1:8" x14ac:dyDescent="0.25">
      <c r="A2771" s="2">
        <v>34620</v>
      </c>
      <c r="B2771">
        <v>-1.1919999999999999</v>
      </c>
      <c r="C2771">
        <v>127.82899999999999</v>
      </c>
      <c r="D2771" t="s">
        <v>14</v>
      </c>
      <c r="E2771" t="s">
        <v>330</v>
      </c>
      <c r="F2771">
        <f t="shared" si="86"/>
        <v>1994</v>
      </c>
      <c r="G2771">
        <f t="shared" si="87"/>
        <v>10</v>
      </c>
      <c r="H2771" t="str">
        <f>IF(ISNUMBER(FIND(",", E2771)), TRIM(MID(E2771, FIND(",", E2771) + 1, LEN(E2771))), E2771)</f>
        <v>Indonesia</v>
      </c>
    </row>
    <row r="2772" spans="1:8" x14ac:dyDescent="0.25">
      <c r="A2772" s="2">
        <v>34619</v>
      </c>
      <c r="B2772">
        <v>13.808999999999999</v>
      </c>
      <c r="C2772">
        <v>124.48699999999999</v>
      </c>
      <c r="D2772" t="s">
        <v>14</v>
      </c>
      <c r="E2772" t="s">
        <v>558</v>
      </c>
      <c r="F2772">
        <f t="shared" si="86"/>
        <v>1994</v>
      </c>
      <c r="G2772">
        <f t="shared" si="87"/>
        <v>10</v>
      </c>
      <c r="H2772" t="str">
        <f>IF(ISNUMBER(FIND(",", E2772)), TRIM(MID(E2772, FIND(",", E2772) + 1, LEN(E2772))), E2772)</f>
        <v>Philippines</v>
      </c>
    </row>
    <row r="2773" spans="1:8" x14ac:dyDescent="0.25">
      <c r="A2773" s="2">
        <v>34616</v>
      </c>
      <c r="B2773">
        <v>43.988</v>
      </c>
      <c r="C2773">
        <v>148.04499999999999</v>
      </c>
      <c r="D2773" t="s">
        <v>14</v>
      </c>
      <c r="E2773" t="s">
        <v>317</v>
      </c>
      <c r="F2773">
        <f t="shared" si="86"/>
        <v>1994</v>
      </c>
      <c r="G2773">
        <f t="shared" si="87"/>
        <v>10</v>
      </c>
      <c r="H2773" t="str">
        <f>IF(ISNUMBER(FIND(",", E2773)), TRIM(MID(E2773, FIND(",", E2773) + 1, LEN(E2773))), E2773)</f>
        <v>east of the Kuril Islands</v>
      </c>
    </row>
    <row r="2774" spans="1:8" x14ac:dyDescent="0.25">
      <c r="A2774" s="2">
        <v>34616</v>
      </c>
      <c r="B2774">
        <v>43.753999999999998</v>
      </c>
      <c r="C2774">
        <v>148.02699999999999</v>
      </c>
      <c r="D2774" t="s">
        <v>14</v>
      </c>
      <c r="E2774" t="s">
        <v>317</v>
      </c>
      <c r="F2774">
        <f t="shared" si="86"/>
        <v>1994</v>
      </c>
      <c r="G2774">
        <f t="shared" si="87"/>
        <v>10</v>
      </c>
      <c r="H2774" t="str">
        <f>IF(ISNUMBER(FIND(",", E2774)), TRIM(MID(E2774, FIND(",", E2774) + 1, LEN(E2774))), E2774)</f>
        <v>east of the Kuril Islands</v>
      </c>
    </row>
    <row r="2775" spans="1:8" x14ac:dyDescent="0.25">
      <c r="A2775" s="2">
        <v>34616</v>
      </c>
      <c r="B2775">
        <v>43.966999999999999</v>
      </c>
      <c r="C2775">
        <v>147.893</v>
      </c>
      <c r="D2775" t="s">
        <v>14</v>
      </c>
      <c r="E2775" t="s">
        <v>191</v>
      </c>
      <c r="F2775">
        <f t="shared" si="86"/>
        <v>1994</v>
      </c>
      <c r="G2775">
        <f t="shared" si="87"/>
        <v>10</v>
      </c>
      <c r="H2775" t="str">
        <f>IF(ISNUMBER(FIND(",", E2775)), TRIM(MID(E2775, FIND(",", E2775) + 1, LEN(E2775))), E2775)</f>
        <v>Kuril Islands</v>
      </c>
    </row>
    <row r="2776" spans="1:8" x14ac:dyDescent="0.25">
      <c r="A2776" s="2">
        <v>34615</v>
      </c>
      <c r="B2776">
        <v>-1.2050000000000001</v>
      </c>
      <c r="C2776">
        <v>127.979</v>
      </c>
      <c r="D2776" t="s">
        <v>14</v>
      </c>
      <c r="E2776" t="s">
        <v>330</v>
      </c>
      <c r="F2776">
        <f t="shared" si="86"/>
        <v>1994</v>
      </c>
      <c r="G2776">
        <f t="shared" si="87"/>
        <v>10</v>
      </c>
      <c r="H2776" t="str">
        <f>IF(ISNUMBER(FIND(",", E2776)), TRIM(MID(E2776, FIND(",", E2776) + 1, LEN(E2776))), E2776)</f>
        <v>Indonesia</v>
      </c>
    </row>
    <row r="2777" spans="1:8" x14ac:dyDescent="0.25">
      <c r="A2777" s="2">
        <v>34614</v>
      </c>
      <c r="B2777">
        <v>41.661999999999999</v>
      </c>
      <c r="C2777">
        <v>88.753</v>
      </c>
      <c r="D2777" t="s">
        <v>13</v>
      </c>
      <c r="E2777" t="s">
        <v>482</v>
      </c>
      <c r="F2777">
        <f t="shared" si="86"/>
        <v>1994</v>
      </c>
      <c r="G2777">
        <f t="shared" si="87"/>
        <v>10</v>
      </c>
      <c r="H2777" t="str">
        <f>IF(ISNUMBER(FIND(",", E2777)), TRIM(MID(E2777, FIND(",", E2777) + 1, LEN(E2777))), E2777)</f>
        <v>China</v>
      </c>
    </row>
    <row r="2778" spans="1:8" x14ac:dyDescent="0.25">
      <c r="A2778" s="2">
        <v>34612</v>
      </c>
      <c r="B2778">
        <v>43.954000000000001</v>
      </c>
      <c r="C2778">
        <v>147.34899999999999</v>
      </c>
      <c r="D2778" t="s">
        <v>14</v>
      </c>
      <c r="E2778" t="s">
        <v>191</v>
      </c>
      <c r="F2778">
        <f t="shared" si="86"/>
        <v>1994</v>
      </c>
      <c r="G2778">
        <f t="shared" si="87"/>
        <v>10</v>
      </c>
      <c r="H2778" t="str">
        <f>IF(ISNUMBER(FIND(",", E2778)), TRIM(MID(E2778, FIND(",", E2778) + 1, LEN(E2778))), E2778)</f>
        <v>Kuril Islands</v>
      </c>
    </row>
    <row r="2779" spans="1:8" x14ac:dyDescent="0.25">
      <c r="A2779" s="2">
        <v>34611</v>
      </c>
      <c r="B2779">
        <v>43.56</v>
      </c>
      <c r="C2779">
        <v>147.911</v>
      </c>
      <c r="D2779" t="s">
        <v>14</v>
      </c>
      <c r="E2779" t="s">
        <v>191</v>
      </c>
      <c r="F2779">
        <f t="shared" si="86"/>
        <v>1994</v>
      </c>
      <c r="G2779">
        <f t="shared" si="87"/>
        <v>10</v>
      </c>
      <c r="H2779" t="str">
        <f>IF(ISNUMBER(FIND(",", E2779)), TRIM(MID(E2779, FIND(",", E2779) + 1, LEN(E2779))), E2779)</f>
        <v>Kuril Islands</v>
      </c>
    </row>
    <row r="2780" spans="1:8" x14ac:dyDescent="0.25">
      <c r="A2780" s="2">
        <v>34611</v>
      </c>
      <c r="B2780">
        <v>43.78</v>
      </c>
      <c r="C2780">
        <v>148.03200000000001</v>
      </c>
      <c r="D2780" t="s">
        <v>14</v>
      </c>
      <c r="E2780" t="s">
        <v>317</v>
      </c>
      <c r="F2780">
        <f t="shared" si="86"/>
        <v>1994</v>
      </c>
      <c r="G2780">
        <f t="shared" si="87"/>
        <v>10</v>
      </c>
      <c r="H2780" t="str">
        <f>IF(ISNUMBER(FIND(",", E2780)), TRIM(MID(E2780, FIND(",", E2780) + 1, LEN(E2780))), E2780)</f>
        <v>east of the Kuril Islands</v>
      </c>
    </row>
    <row r="2781" spans="1:8" x14ac:dyDescent="0.25">
      <c r="A2781" s="2">
        <v>34611</v>
      </c>
      <c r="B2781">
        <v>43.601999999999997</v>
      </c>
      <c r="C2781">
        <v>147.86500000000001</v>
      </c>
      <c r="D2781" t="s">
        <v>14</v>
      </c>
      <c r="E2781" t="s">
        <v>191</v>
      </c>
      <c r="F2781">
        <f t="shared" si="86"/>
        <v>1994</v>
      </c>
      <c r="G2781">
        <f t="shared" si="87"/>
        <v>10</v>
      </c>
      <c r="H2781" t="str">
        <f>IF(ISNUMBER(FIND(",", E2781)), TRIM(MID(E2781, FIND(",", E2781) + 1, LEN(E2781))), E2781)</f>
        <v>Kuril Islands</v>
      </c>
    </row>
    <row r="2782" spans="1:8" x14ac:dyDescent="0.25">
      <c r="A2782" s="2">
        <v>34611</v>
      </c>
      <c r="B2782">
        <v>43.884999999999998</v>
      </c>
      <c r="C2782">
        <v>147.22800000000001</v>
      </c>
      <c r="D2782" t="s">
        <v>13</v>
      </c>
      <c r="E2782" t="s">
        <v>191</v>
      </c>
      <c r="F2782">
        <f t="shared" si="86"/>
        <v>1994</v>
      </c>
      <c r="G2782">
        <f t="shared" si="87"/>
        <v>10</v>
      </c>
      <c r="H2782" t="str">
        <f>IF(ISNUMBER(FIND(",", E2782)), TRIM(MID(E2782, FIND(",", E2782) + 1, LEN(E2782))), E2782)</f>
        <v>Kuril Islands</v>
      </c>
    </row>
    <row r="2783" spans="1:8" x14ac:dyDescent="0.25">
      <c r="A2783" s="2">
        <v>34611</v>
      </c>
      <c r="B2783">
        <v>43.832000000000001</v>
      </c>
      <c r="C2783">
        <v>147.33199999999999</v>
      </c>
      <c r="D2783" t="s">
        <v>14</v>
      </c>
      <c r="E2783" t="s">
        <v>191</v>
      </c>
      <c r="F2783">
        <f t="shared" si="86"/>
        <v>1994</v>
      </c>
      <c r="G2783">
        <f t="shared" si="87"/>
        <v>10</v>
      </c>
      <c r="H2783" t="str">
        <f>IF(ISNUMBER(FIND(",", E2783)), TRIM(MID(E2783, FIND(",", E2783) + 1, LEN(E2783))), E2783)</f>
        <v>Kuril Islands</v>
      </c>
    </row>
    <row r="2784" spans="1:8" x14ac:dyDescent="0.25">
      <c r="A2784" s="2">
        <v>34608</v>
      </c>
      <c r="B2784">
        <v>-17.774000000000001</v>
      </c>
      <c r="C2784">
        <v>167.92400000000001</v>
      </c>
      <c r="D2784" t="s">
        <v>14</v>
      </c>
      <c r="E2784" t="s">
        <v>181</v>
      </c>
      <c r="F2784">
        <f t="shared" si="86"/>
        <v>1994</v>
      </c>
      <c r="G2784">
        <f t="shared" si="87"/>
        <v>10</v>
      </c>
      <c r="H2784" t="str">
        <f>IF(ISNUMBER(FIND(",", E2784)), TRIM(MID(E2784, FIND(",", E2784) + 1, LEN(E2784))), E2784)</f>
        <v>Vanuatu</v>
      </c>
    </row>
    <row r="2785" spans="1:8" x14ac:dyDescent="0.25">
      <c r="A2785" s="2">
        <v>34608</v>
      </c>
      <c r="B2785">
        <v>-17.731999999999999</v>
      </c>
      <c r="C2785">
        <v>167.779</v>
      </c>
      <c r="D2785" t="s">
        <v>14</v>
      </c>
      <c r="E2785" t="s">
        <v>181</v>
      </c>
      <c r="F2785">
        <f t="shared" si="86"/>
        <v>1994</v>
      </c>
      <c r="G2785">
        <f t="shared" si="87"/>
        <v>10</v>
      </c>
      <c r="H2785" t="str">
        <f>IF(ISNUMBER(FIND(",", E2785)), TRIM(MID(E2785, FIND(",", E2785) + 1, LEN(E2785))), E2785)</f>
        <v>Vanuatu</v>
      </c>
    </row>
    <row r="2786" spans="1:8" x14ac:dyDescent="0.25">
      <c r="A2786" s="2">
        <v>34605</v>
      </c>
      <c r="B2786">
        <v>-5.8010000000000002</v>
      </c>
      <c r="C2786">
        <v>110.301</v>
      </c>
      <c r="D2786" t="s">
        <v>14</v>
      </c>
      <c r="E2786" t="s">
        <v>556</v>
      </c>
      <c r="F2786">
        <f t="shared" si="86"/>
        <v>1994</v>
      </c>
      <c r="G2786">
        <f t="shared" si="87"/>
        <v>9</v>
      </c>
      <c r="H2786" t="str">
        <f>IF(ISNUMBER(FIND(",", E2786)), TRIM(MID(E2786, FIND(",", E2786) + 1, LEN(E2786))), E2786)</f>
        <v>Java Sea</v>
      </c>
    </row>
    <row r="2787" spans="1:8" x14ac:dyDescent="0.25">
      <c r="A2787" s="2">
        <v>34604</v>
      </c>
      <c r="B2787">
        <v>5.7039999999999997</v>
      </c>
      <c r="C2787">
        <v>-79.17</v>
      </c>
      <c r="D2787" t="s">
        <v>14</v>
      </c>
      <c r="E2787" t="s">
        <v>231</v>
      </c>
      <c r="F2787">
        <f t="shared" si="86"/>
        <v>1994</v>
      </c>
      <c r="G2787">
        <f t="shared" si="87"/>
        <v>9</v>
      </c>
      <c r="H2787" t="str">
        <f>IF(ISNUMBER(FIND(",", E2787)), TRIM(MID(E2787, FIND(",", E2787) + 1, LEN(E2787))), E2787)</f>
        <v>south of Panama</v>
      </c>
    </row>
    <row r="2788" spans="1:8" x14ac:dyDescent="0.25">
      <c r="A2788" s="2">
        <v>34593</v>
      </c>
      <c r="B2788">
        <v>22.553000000000001</v>
      </c>
      <c r="C2788">
        <v>118.715</v>
      </c>
      <c r="D2788" t="s">
        <v>14</v>
      </c>
      <c r="E2788" t="s">
        <v>363</v>
      </c>
      <c r="F2788">
        <f t="shared" si="86"/>
        <v>1994</v>
      </c>
      <c r="G2788">
        <f t="shared" si="87"/>
        <v>9</v>
      </c>
      <c r="H2788" t="str">
        <f>IF(ISNUMBER(FIND(",", E2788)), TRIM(MID(E2788, FIND(",", E2788) + 1, LEN(E2788))), E2788)</f>
        <v>Taiwan region</v>
      </c>
    </row>
    <row r="2789" spans="1:8" x14ac:dyDescent="0.25">
      <c r="A2789" s="2">
        <v>34590</v>
      </c>
      <c r="B2789">
        <v>29.236999999999998</v>
      </c>
      <c r="C2789">
        <v>129.90600000000001</v>
      </c>
      <c r="D2789" t="s">
        <v>14</v>
      </c>
      <c r="E2789" t="s">
        <v>340</v>
      </c>
      <c r="F2789">
        <f t="shared" si="86"/>
        <v>1994</v>
      </c>
      <c r="G2789">
        <f t="shared" si="87"/>
        <v>9</v>
      </c>
      <c r="H2789" t="str">
        <f>IF(ISNUMBER(FIND(",", E2789)), TRIM(MID(E2789, FIND(",", E2789) + 1, LEN(E2789))), E2789)</f>
        <v>Japan</v>
      </c>
    </row>
    <row r="2790" spans="1:8" x14ac:dyDescent="0.25">
      <c r="A2790" s="2">
        <v>34580</v>
      </c>
      <c r="B2790">
        <v>-21.117999999999999</v>
      </c>
      <c r="C2790">
        <v>173.75</v>
      </c>
      <c r="D2790" t="s">
        <v>14</v>
      </c>
      <c r="E2790" t="s">
        <v>281</v>
      </c>
      <c r="F2790">
        <f t="shared" si="86"/>
        <v>1994</v>
      </c>
      <c r="G2790">
        <f t="shared" si="87"/>
        <v>9</v>
      </c>
      <c r="H2790" t="str">
        <f>IF(ISNUMBER(FIND(",", E2790)), TRIM(MID(E2790, FIND(",", E2790) + 1, LEN(E2790))), E2790)</f>
        <v>Vanuatu region</v>
      </c>
    </row>
    <row r="2791" spans="1:8" x14ac:dyDescent="0.25">
      <c r="A2791" s="2">
        <v>34578</v>
      </c>
      <c r="B2791">
        <v>40.381</v>
      </c>
      <c r="C2791">
        <v>-125.776</v>
      </c>
      <c r="D2791" t="s">
        <v>14</v>
      </c>
      <c r="E2791" t="s">
        <v>449</v>
      </c>
      <c r="F2791">
        <f t="shared" si="86"/>
        <v>1994</v>
      </c>
      <c r="G2791">
        <f t="shared" si="87"/>
        <v>9</v>
      </c>
      <c r="H2791" t="str">
        <f>IF(ISNUMBER(FIND(",", E2791)), TRIM(MID(E2791, FIND(",", E2791) + 1, LEN(E2791))), E2791)</f>
        <v>off the coast of Northern California</v>
      </c>
    </row>
    <row r="2792" spans="1:8" x14ac:dyDescent="0.25">
      <c r="A2792" s="2">
        <v>34577</v>
      </c>
      <c r="B2792">
        <v>43.695999999999998</v>
      </c>
      <c r="C2792">
        <v>146.00800000000001</v>
      </c>
      <c r="D2792" t="s">
        <v>14</v>
      </c>
      <c r="E2792" t="s">
        <v>191</v>
      </c>
      <c r="F2792">
        <f t="shared" si="86"/>
        <v>1994</v>
      </c>
      <c r="G2792">
        <f t="shared" si="87"/>
        <v>8</v>
      </c>
      <c r="H2792" t="str">
        <f>IF(ISNUMBER(FIND(",", E2792)), TRIM(MID(E2792, FIND(",", E2792) + 1, LEN(E2792))), E2792)</f>
        <v>Kuril Islands</v>
      </c>
    </row>
    <row r="2793" spans="1:8" x14ac:dyDescent="0.25">
      <c r="A2793" s="2">
        <v>34576</v>
      </c>
      <c r="B2793">
        <v>-6.9829999999999997</v>
      </c>
      <c r="C2793">
        <v>124.062</v>
      </c>
      <c r="D2793" t="s">
        <v>14</v>
      </c>
      <c r="E2793" t="s">
        <v>187</v>
      </c>
      <c r="F2793">
        <f t="shared" si="86"/>
        <v>1994</v>
      </c>
      <c r="G2793">
        <f t="shared" si="87"/>
        <v>8</v>
      </c>
      <c r="H2793" t="str">
        <f>IF(ISNUMBER(FIND(",", E2793)), TRIM(MID(E2793, FIND(",", E2793) + 1, LEN(E2793))), E2793)</f>
        <v>Banda Sea</v>
      </c>
    </row>
    <row r="2794" spans="1:8" x14ac:dyDescent="0.25">
      <c r="A2794" s="2">
        <v>34574</v>
      </c>
      <c r="B2794">
        <v>44.875</v>
      </c>
      <c r="C2794">
        <v>150.04300000000001</v>
      </c>
      <c r="D2794" t="s">
        <v>14</v>
      </c>
      <c r="E2794" t="s">
        <v>317</v>
      </c>
      <c r="F2794">
        <f t="shared" si="86"/>
        <v>1994</v>
      </c>
      <c r="G2794">
        <f t="shared" si="87"/>
        <v>8</v>
      </c>
      <c r="H2794" t="str">
        <f>IF(ISNUMBER(FIND(",", E2794)), TRIM(MID(E2794, FIND(",", E2794) + 1, LEN(E2794))), E2794)</f>
        <v>east of the Kuril Islands</v>
      </c>
    </row>
    <row r="2795" spans="1:8" x14ac:dyDescent="0.25">
      <c r="A2795" s="2">
        <v>34568</v>
      </c>
      <c r="B2795">
        <v>-11.539</v>
      </c>
      <c r="C2795">
        <v>166.54900000000001</v>
      </c>
      <c r="D2795" t="s">
        <v>14</v>
      </c>
      <c r="E2795" t="s">
        <v>211</v>
      </c>
      <c r="F2795">
        <f t="shared" si="86"/>
        <v>1994</v>
      </c>
      <c r="G2795">
        <f t="shared" si="87"/>
        <v>8</v>
      </c>
      <c r="H2795" t="str">
        <f>IF(ISNUMBER(FIND(",", E2795)), TRIM(MID(E2795, FIND(",", E2795) + 1, LEN(E2795))), E2795)</f>
        <v>Santa Cruz Islands</v>
      </c>
    </row>
    <row r="2796" spans="1:8" x14ac:dyDescent="0.25">
      <c r="A2796" s="2">
        <v>34566</v>
      </c>
      <c r="B2796">
        <v>44.723999999999997</v>
      </c>
      <c r="C2796">
        <v>149.17400000000001</v>
      </c>
      <c r="D2796" t="s">
        <v>14</v>
      </c>
      <c r="E2796" t="s">
        <v>191</v>
      </c>
      <c r="F2796">
        <f t="shared" si="86"/>
        <v>1994</v>
      </c>
      <c r="G2796">
        <f t="shared" si="87"/>
        <v>8</v>
      </c>
      <c r="H2796" t="str">
        <f>IF(ISNUMBER(FIND(",", E2796)), TRIM(MID(E2796, FIND(",", E2796) + 1, LEN(E2796))), E2796)</f>
        <v>Kuril Islands</v>
      </c>
    </row>
    <row r="2797" spans="1:8" x14ac:dyDescent="0.25">
      <c r="A2797" s="2">
        <v>34565</v>
      </c>
      <c r="B2797">
        <v>-26.626000000000001</v>
      </c>
      <c r="C2797">
        <v>-63.362000000000002</v>
      </c>
      <c r="D2797" t="s">
        <v>14</v>
      </c>
      <c r="E2797" t="s">
        <v>232</v>
      </c>
      <c r="F2797">
        <f t="shared" si="86"/>
        <v>1994</v>
      </c>
      <c r="G2797">
        <f t="shared" si="87"/>
        <v>8</v>
      </c>
      <c r="H2797" t="str">
        <f>IF(ISNUMBER(FIND(",", E2797)), TRIM(MID(E2797, FIND(",", E2797) + 1, LEN(E2797))), E2797)</f>
        <v>Argentina</v>
      </c>
    </row>
    <row r="2798" spans="1:8" x14ac:dyDescent="0.25">
      <c r="A2798" s="2">
        <v>34564</v>
      </c>
      <c r="B2798">
        <v>44.792000000000002</v>
      </c>
      <c r="C2798">
        <v>150.12</v>
      </c>
      <c r="D2798" t="s">
        <v>14</v>
      </c>
      <c r="E2798" t="s">
        <v>317</v>
      </c>
      <c r="F2798">
        <f t="shared" si="86"/>
        <v>1994</v>
      </c>
      <c r="G2798">
        <f t="shared" si="87"/>
        <v>8</v>
      </c>
      <c r="H2798" t="str">
        <f>IF(ISNUMBER(FIND(",", E2798)), TRIM(MID(E2798, FIND(",", E2798) + 1, LEN(E2798))), E2798)</f>
        <v>east of the Kuril Islands</v>
      </c>
    </row>
    <row r="2799" spans="1:8" x14ac:dyDescent="0.25">
      <c r="A2799" s="2">
        <v>34560</v>
      </c>
      <c r="B2799">
        <v>44.716000000000001</v>
      </c>
      <c r="C2799">
        <v>150.00399999999999</v>
      </c>
      <c r="D2799" t="s">
        <v>14</v>
      </c>
      <c r="E2799" t="s">
        <v>317</v>
      </c>
      <c r="F2799">
        <f t="shared" si="86"/>
        <v>1994</v>
      </c>
      <c r="G2799">
        <f t="shared" si="87"/>
        <v>8</v>
      </c>
      <c r="H2799" t="str">
        <f>IF(ISNUMBER(FIND(",", E2799)), TRIM(MID(E2799, FIND(",", E2799) + 1, LEN(E2799))), E2799)</f>
        <v>east of the Kuril Islands</v>
      </c>
    </row>
    <row r="2800" spans="1:8" x14ac:dyDescent="0.25">
      <c r="A2800" s="2">
        <v>34554</v>
      </c>
      <c r="B2800">
        <v>24.704999999999998</v>
      </c>
      <c r="C2800">
        <v>95.218999999999994</v>
      </c>
      <c r="D2800" t="s">
        <v>14</v>
      </c>
      <c r="E2800" t="s">
        <v>197</v>
      </c>
      <c r="F2800">
        <f t="shared" si="86"/>
        <v>1994</v>
      </c>
      <c r="G2800">
        <f t="shared" si="87"/>
        <v>8</v>
      </c>
      <c r="H2800" t="str">
        <f>IF(ISNUMBER(FIND(",", E2800)), TRIM(MID(E2800, FIND(",", E2800) + 1, LEN(E2800))), E2800)</f>
        <v>Myanmar</v>
      </c>
    </row>
    <row r="2801" spans="1:8" x14ac:dyDescent="0.25">
      <c r="A2801" s="2">
        <v>34551</v>
      </c>
      <c r="B2801">
        <v>-54.789000000000001</v>
      </c>
      <c r="C2801">
        <v>-128.089</v>
      </c>
      <c r="D2801" t="s">
        <v>14</v>
      </c>
      <c r="E2801" t="s">
        <v>179</v>
      </c>
      <c r="F2801">
        <f t="shared" si="86"/>
        <v>1994</v>
      </c>
      <c r="G2801">
        <f t="shared" si="87"/>
        <v>8</v>
      </c>
      <c r="H2801" t="str">
        <f>IF(ISNUMBER(FIND(",", E2801)), TRIM(MID(E2801, FIND(",", E2801) + 1, LEN(E2801))), E2801)</f>
        <v>Pacific-Antarctic Ridge</v>
      </c>
    </row>
    <row r="2802" spans="1:8" x14ac:dyDescent="0.25">
      <c r="A2802" s="2">
        <v>34550</v>
      </c>
      <c r="B2802">
        <v>-6.34</v>
      </c>
      <c r="C2802">
        <v>131.554</v>
      </c>
      <c r="D2802" t="s">
        <v>14</v>
      </c>
      <c r="E2802" t="s">
        <v>411</v>
      </c>
      <c r="F2802">
        <f t="shared" si="86"/>
        <v>1994</v>
      </c>
      <c r="G2802">
        <f t="shared" si="87"/>
        <v>8</v>
      </c>
      <c r="H2802" t="str">
        <f>IF(ISNUMBER(FIND(",", E2802)), TRIM(MID(E2802, FIND(",", E2802) + 1, LEN(E2802))), E2802)</f>
        <v>Indonesia</v>
      </c>
    </row>
    <row r="2803" spans="1:8" x14ac:dyDescent="0.25">
      <c r="A2803" s="2">
        <v>34540</v>
      </c>
      <c r="B2803">
        <v>-56.341000000000001</v>
      </c>
      <c r="C2803">
        <v>-27.402999999999999</v>
      </c>
      <c r="D2803" t="s">
        <v>16</v>
      </c>
      <c r="E2803" t="s">
        <v>260</v>
      </c>
      <c r="F2803">
        <f t="shared" si="86"/>
        <v>1994</v>
      </c>
      <c r="G2803">
        <f t="shared" si="87"/>
        <v>7</v>
      </c>
      <c r="H2803" t="str">
        <f>IF(ISNUMBER(FIND(",", E2803)), TRIM(MID(E2803, FIND(",", E2803) + 1, LEN(E2803))), E2803)</f>
        <v>South Sandwich Islands region</v>
      </c>
    </row>
    <row r="2804" spans="1:8" x14ac:dyDescent="0.25">
      <c r="A2804" s="2">
        <v>34539</v>
      </c>
      <c r="B2804">
        <v>-16.984999999999999</v>
      </c>
      <c r="C2804">
        <v>167.69499999999999</v>
      </c>
      <c r="D2804" t="s">
        <v>14</v>
      </c>
      <c r="E2804" t="s">
        <v>181</v>
      </c>
      <c r="F2804">
        <f t="shared" si="86"/>
        <v>1994</v>
      </c>
      <c r="G2804">
        <f t="shared" si="87"/>
        <v>7</v>
      </c>
      <c r="H2804" t="str">
        <f>IF(ISNUMBER(FIND(",", E2804)), TRIM(MID(E2804, FIND(",", E2804) + 1, LEN(E2804))), E2804)</f>
        <v>Vanuatu</v>
      </c>
    </row>
    <row r="2805" spans="1:8" x14ac:dyDescent="0.25">
      <c r="A2805" s="2">
        <v>34536</v>
      </c>
      <c r="B2805">
        <v>42.314</v>
      </c>
      <c r="C2805">
        <v>132.87100000000001</v>
      </c>
      <c r="D2805" t="s">
        <v>14</v>
      </c>
      <c r="E2805" t="s">
        <v>344</v>
      </c>
      <c r="F2805">
        <f t="shared" si="86"/>
        <v>1994</v>
      </c>
      <c r="G2805">
        <f t="shared" si="87"/>
        <v>7</v>
      </c>
      <c r="H2805" t="str">
        <f>IF(ISNUMBER(FIND(",", E2805)), TRIM(MID(E2805, FIND(",", E2805) + 1, LEN(E2805))), E2805)</f>
        <v>Russia</v>
      </c>
    </row>
    <row r="2806" spans="1:8" x14ac:dyDescent="0.25">
      <c r="A2806" s="2">
        <v>34528</v>
      </c>
      <c r="B2806">
        <v>-7.5529999999999999</v>
      </c>
      <c r="C2806">
        <v>127.804</v>
      </c>
      <c r="D2806" t="s">
        <v>14</v>
      </c>
      <c r="E2806" t="s">
        <v>49</v>
      </c>
      <c r="F2806">
        <f t="shared" si="86"/>
        <v>1994</v>
      </c>
      <c r="G2806">
        <f t="shared" si="87"/>
        <v>7</v>
      </c>
      <c r="H2806" t="str">
        <f>IF(ISNUMBER(FIND(",", E2806)), TRIM(MID(E2806, FIND(",", E2806) + 1, LEN(E2806))), E2806)</f>
        <v>Indonesia</v>
      </c>
    </row>
    <row r="2807" spans="1:8" x14ac:dyDescent="0.25">
      <c r="A2807" s="2">
        <v>34528</v>
      </c>
      <c r="B2807">
        <v>-16.782</v>
      </c>
      <c r="C2807">
        <v>167.37200000000001</v>
      </c>
      <c r="D2807" t="s">
        <v>14</v>
      </c>
      <c r="E2807" t="s">
        <v>181</v>
      </c>
      <c r="F2807">
        <f t="shared" si="86"/>
        <v>1994</v>
      </c>
      <c r="G2807">
        <f t="shared" si="87"/>
        <v>7</v>
      </c>
      <c r="H2807" t="str">
        <f>IF(ISNUMBER(FIND(",", E2807)), TRIM(MID(E2807, FIND(",", E2807) + 1, LEN(E2807))), E2807)</f>
        <v>Vanuatu</v>
      </c>
    </row>
    <row r="2808" spans="1:8" x14ac:dyDescent="0.25">
      <c r="A2808" s="2">
        <v>34528</v>
      </c>
      <c r="B2808">
        <v>-16.597000000000001</v>
      </c>
      <c r="C2808">
        <v>167.53700000000001</v>
      </c>
      <c r="D2808" t="s">
        <v>14</v>
      </c>
      <c r="E2808" t="s">
        <v>181</v>
      </c>
      <c r="F2808">
        <f t="shared" si="86"/>
        <v>1994</v>
      </c>
      <c r="G2808">
        <f t="shared" si="87"/>
        <v>7</v>
      </c>
      <c r="H2808" t="str">
        <f>IF(ISNUMBER(FIND(",", E2808)), TRIM(MID(E2808, FIND(",", E2808) + 1, LEN(E2808))), E2808)</f>
        <v>Vanuatu</v>
      </c>
    </row>
    <row r="2809" spans="1:8" x14ac:dyDescent="0.25">
      <c r="A2809" s="2">
        <v>34519</v>
      </c>
      <c r="B2809">
        <v>14.89</v>
      </c>
      <c r="C2809">
        <v>-97.311999999999998</v>
      </c>
      <c r="D2809" t="s">
        <v>14</v>
      </c>
      <c r="E2809" t="s">
        <v>559</v>
      </c>
      <c r="F2809">
        <f t="shared" si="86"/>
        <v>1994</v>
      </c>
      <c r="G2809">
        <f t="shared" si="87"/>
        <v>7</v>
      </c>
      <c r="H2809" t="str">
        <f>IF(ISNUMBER(FIND(",", E2809)), TRIM(MID(E2809, FIND(",", E2809) + 1, LEN(E2809))), E2809)</f>
        <v>Mexico</v>
      </c>
    </row>
    <row r="2810" spans="1:8" x14ac:dyDescent="0.25">
      <c r="A2810" s="2">
        <v>34515</v>
      </c>
      <c r="B2810">
        <v>36.384</v>
      </c>
      <c r="C2810">
        <v>71.168999999999997</v>
      </c>
      <c r="D2810" t="s">
        <v>14</v>
      </c>
      <c r="E2810" t="s">
        <v>314</v>
      </c>
      <c r="F2810">
        <f t="shared" si="86"/>
        <v>1994</v>
      </c>
      <c r="G2810">
        <f t="shared" si="87"/>
        <v>6</v>
      </c>
      <c r="H2810" t="str">
        <f>IF(ISNUMBER(FIND(",", E2810)), TRIM(MID(E2810, FIND(",", E2810) + 1, LEN(E2810))), E2810)</f>
        <v>Afghanistan</v>
      </c>
    </row>
    <row r="2811" spans="1:8" x14ac:dyDescent="0.25">
      <c r="A2811" s="2">
        <v>34512</v>
      </c>
      <c r="B2811">
        <v>-36.128999999999998</v>
      </c>
      <c r="C2811">
        <v>-98.16</v>
      </c>
      <c r="D2811" t="s">
        <v>14</v>
      </c>
      <c r="E2811" t="s">
        <v>364</v>
      </c>
      <c r="F2811">
        <f t="shared" si="86"/>
        <v>1994</v>
      </c>
      <c r="G2811">
        <f t="shared" si="87"/>
        <v>6</v>
      </c>
      <c r="H2811" t="str">
        <f>IF(ISNUMBER(FIND(",", E2811)), TRIM(MID(E2811, FIND(",", E2811) + 1, LEN(E2811))), E2811)</f>
        <v>southeast of Easter Island</v>
      </c>
    </row>
    <row r="2812" spans="1:8" x14ac:dyDescent="0.25">
      <c r="A2812" s="2">
        <v>34503</v>
      </c>
      <c r="B2812">
        <v>-43.119</v>
      </c>
      <c r="C2812">
        <v>171.65100000000001</v>
      </c>
      <c r="D2812" t="s">
        <v>14</v>
      </c>
      <c r="E2812" t="s">
        <v>300</v>
      </c>
      <c r="F2812">
        <f t="shared" si="86"/>
        <v>1994</v>
      </c>
      <c r="G2812">
        <f t="shared" si="87"/>
        <v>6</v>
      </c>
      <c r="H2812" t="str">
        <f>IF(ISNUMBER(FIND(",", E2812)), TRIM(MID(E2812, FIND(",", E2812) + 1, LEN(E2812))), E2812)</f>
        <v>South Island of New Zealand</v>
      </c>
    </row>
    <row r="2813" spans="1:8" x14ac:dyDescent="0.25">
      <c r="A2813" s="2">
        <v>34500</v>
      </c>
      <c r="B2813">
        <v>-10.297000000000001</v>
      </c>
      <c r="C2813">
        <v>113.64</v>
      </c>
      <c r="D2813" t="s">
        <v>14</v>
      </c>
      <c r="E2813" t="s">
        <v>212</v>
      </c>
      <c r="F2813">
        <f t="shared" si="86"/>
        <v>1994</v>
      </c>
      <c r="G2813">
        <f t="shared" si="87"/>
        <v>6</v>
      </c>
      <c r="H2813" t="str">
        <f>IF(ISNUMBER(FIND(",", E2813)), TRIM(MID(E2813, FIND(",", E2813) + 1, LEN(E2813))), E2813)</f>
        <v>Indonesia</v>
      </c>
    </row>
    <row r="2814" spans="1:8" x14ac:dyDescent="0.25">
      <c r="A2814" s="2">
        <v>34498</v>
      </c>
      <c r="B2814">
        <v>-5.5229999999999997</v>
      </c>
      <c r="C2814">
        <v>151.905</v>
      </c>
      <c r="D2814" t="s">
        <v>14</v>
      </c>
      <c r="E2814" t="s">
        <v>190</v>
      </c>
      <c r="F2814">
        <f t="shared" si="86"/>
        <v>1994</v>
      </c>
      <c r="G2814">
        <f t="shared" si="87"/>
        <v>6</v>
      </c>
      <c r="H2814" t="str">
        <f>IF(ISNUMBER(FIND(",", E2814)), TRIM(MID(E2814, FIND(",", E2814) + 1, LEN(E2814))), E2814)</f>
        <v>Papua New Guinea</v>
      </c>
    </row>
    <row r="2815" spans="1:8" x14ac:dyDescent="0.25">
      <c r="A2815" s="2">
        <v>34494</v>
      </c>
      <c r="B2815">
        <v>13.255000000000001</v>
      </c>
      <c r="C2815">
        <v>124.268</v>
      </c>
      <c r="D2815" t="s">
        <v>14</v>
      </c>
      <c r="E2815" t="s">
        <v>558</v>
      </c>
      <c r="F2815">
        <f t="shared" si="86"/>
        <v>1994</v>
      </c>
      <c r="G2815">
        <f t="shared" si="87"/>
        <v>6</v>
      </c>
      <c r="H2815" t="str">
        <f>IF(ISNUMBER(FIND(",", E2815)), TRIM(MID(E2815, FIND(",", E2815) + 1, LEN(E2815))), E2815)</f>
        <v>Philippines</v>
      </c>
    </row>
    <row r="2816" spans="1:8" x14ac:dyDescent="0.25">
      <c r="A2816" s="2">
        <v>34494</v>
      </c>
      <c r="B2816">
        <v>-14.365</v>
      </c>
      <c r="C2816">
        <v>-68.438999999999993</v>
      </c>
      <c r="D2816" t="s">
        <v>13</v>
      </c>
      <c r="E2816" t="s">
        <v>531</v>
      </c>
      <c r="F2816">
        <f t="shared" si="86"/>
        <v>1994</v>
      </c>
      <c r="G2816">
        <f t="shared" si="87"/>
        <v>6</v>
      </c>
      <c r="H2816" t="str">
        <f>IF(ISNUMBER(FIND(",", E2816)), TRIM(MID(E2816, FIND(",", E2816) + 1, LEN(E2816))), E2816)</f>
        <v>Bolivia</v>
      </c>
    </row>
    <row r="2817" spans="1:8" x14ac:dyDescent="0.25">
      <c r="A2817" s="2">
        <v>34494</v>
      </c>
      <c r="B2817">
        <v>-13.877000000000001</v>
      </c>
      <c r="C2817">
        <v>-67.531999999999996</v>
      </c>
      <c r="D2817" t="s">
        <v>14</v>
      </c>
      <c r="E2817" t="s">
        <v>531</v>
      </c>
      <c r="F2817">
        <f t="shared" si="86"/>
        <v>1994</v>
      </c>
      <c r="G2817">
        <f t="shared" si="87"/>
        <v>6</v>
      </c>
      <c r="H2817" t="str">
        <f>IF(ISNUMBER(FIND(",", E2817)), TRIM(MID(E2817, FIND(",", E2817) + 1, LEN(E2817))), E2817)</f>
        <v>Bolivia</v>
      </c>
    </row>
    <row r="2818" spans="1:8" x14ac:dyDescent="0.25">
      <c r="A2818" s="2">
        <v>34491</v>
      </c>
      <c r="B2818">
        <v>2.9089999999999998</v>
      </c>
      <c r="C2818">
        <v>-75.971000000000004</v>
      </c>
      <c r="D2818" t="s">
        <v>14</v>
      </c>
      <c r="E2818" t="s">
        <v>206</v>
      </c>
      <c r="F2818">
        <f t="shared" ref="F2818:F2881" si="88">YEAR(A2818)</f>
        <v>1994</v>
      </c>
      <c r="G2818">
        <f t="shared" si="87"/>
        <v>6</v>
      </c>
      <c r="H2818" t="str">
        <f>IF(ISNUMBER(FIND(",", E2818)), TRIM(MID(E2818, FIND(",", E2818) + 1, LEN(E2818))), E2818)</f>
        <v>Colombia</v>
      </c>
    </row>
    <row r="2819" spans="1:8" x14ac:dyDescent="0.25">
      <c r="A2819" s="2">
        <v>34490</v>
      </c>
      <c r="B2819">
        <v>24.454999999999998</v>
      </c>
      <c r="C2819">
        <v>121.852</v>
      </c>
      <c r="D2819" t="s">
        <v>14</v>
      </c>
      <c r="E2819" t="s">
        <v>336</v>
      </c>
      <c r="F2819">
        <f t="shared" si="88"/>
        <v>1994</v>
      </c>
      <c r="G2819">
        <f t="shared" ref="G2819:G2882" si="89">MONTH(A2819)</f>
        <v>6</v>
      </c>
      <c r="H2819" t="str">
        <f>IF(ISNUMBER(FIND(",", E2819)), TRIM(MID(E2819, FIND(",", E2819) + 1, LEN(E2819))), E2819)</f>
        <v>Taiwan</v>
      </c>
    </row>
    <row r="2820" spans="1:8" x14ac:dyDescent="0.25">
      <c r="A2820" s="2">
        <v>34489</v>
      </c>
      <c r="B2820">
        <v>-10.749000000000001</v>
      </c>
      <c r="C2820">
        <v>113.364</v>
      </c>
      <c r="D2820" t="s">
        <v>14</v>
      </c>
      <c r="E2820" t="s">
        <v>212</v>
      </c>
      <c r="F2820">
        <f t="shared" si="88"/>
        <v>1994</v>
      </c>
      <c r="G2820">
        <f t="shared" si="89"/>
        <v>6</v>
      </c>
      <c r="H2820" t="str">
        <f>IF(ISNUMBER(FIND(",", E2820)), TRIM(MID(E2820, FIND(",", E2820) + 1, LEN(E2820))), E2820)</f>
        <v>Indonesia</v>
      </c>
    </row>
    <row r="2821" spans="1:8" x14ac:dyDescent="0.25">
      <c r="A2821" s="2">
        <v>34488</v>
      </c>
      <c r="B2821">
        <v>-10.599</v>
      </c>
      <c r="C2821">
        <v>112.881</v>
      </c>
      <c r="D2821" t="s">
        <v>14</v>
      </c>
      <c r="E2821" t="s">
        <v>212</v>
      </c>
      <c r="F2821">
        <f t="shared" si="88"/>
        <v>1994</v>
      </c>
      <c r="G2821">
        <f t="shared" si="89"/>
        <v>6</v>
      </c>
      <c r="H2821" t="str">
        <f>IF(ISNUMBER(FIND(",", E2821)), TRIM(MID(E2821, FIND(",", E2821) + 1, LEN(E2821))), E2821)</f>
        <v>Indonesia</v>
      </c>
    </row>
    <row r="2822" spans="1:8" x14ac:dyDescent="0.25">
      <c r="A2822" s="2">
        <v>34488</v>
      </c>
      <c r="B2822">
        <v>-10.432</v>
      </c>
      <c r="C2822">
        <v>112.932</v>
      </c>
      <c r="D2822" t="s">
        <v>14</v>
      </c>
      <c r="E2822" t="s">
        <v>212</v>
      </c>
      <c r="F2822">
        <f t="shared" si="88"/>
        <v>1994</v>
      </c>
      <c r="G2822">
        <f t="shared" si="89"/>
        <v>6</v>
      </c>
      <c r="H2822" t="str">
        <f>IF(ISNUMBER(FIND(",", E2822)), TRIM(MID(E2822, FIND(",", E2822) + 1, LEN(E2822))), E2822)</f>
        <v>Indonesia</v>
      </c>
    </row>
    <row r="2823" spans="1:8" x14ac:dyDescent="0.25">
      <c r="A2823" s="2">
        <v>34487</v>
      </c>
      <c r="B2823">
        <v>-10.438000000000001</v>
      </c>
      <c r="C2823">
        <v>113.182</v>
      </c>
      <c r="D2823" t="s">
        <v>14</v>
      </c>
      <c r="E2823" t="s">
        <v>212</v>
      </c>
      <c r="F2823">
        <f t="shared" si="88"/>
        <v>1994</v>
      </c>
      <c r="G2823">
        <f t="shared" si="89"/>
        <v>6</v>
      </c>
      <c r="H2823" t="str">
        <f>IF(ISNUMBER(FIND(",", E2823)), TRIM(MID(E2823, FIND(",", E2823) + 1, LEN(E2823))), E2823)</f>
        <v>Indonesia</v>
      </c>
    </row>
    <row r="2824" spans="1:8" x14ac:dyDescent="0.25">
      <c r="A2824" s="2">
        <v>34487</v>
      </c>
      <c r="B2824">
        <v>-10.409000000000001</v>
      </c>
      <c r="C2824">
        <v>112.935</v>
      </c>
      <c r="D2824" t="s">
        <v>14</v>
      </c>
      <c r="E2824" t="s">
        <v>212</v>
      </c>
      <c r="F2824">
        <f t="shared" si="88"/>
        <v>1994</v>
      </c>
      <c r="G2824">
        <f t="shared" si="89"/>
        <v>6</v>
      </c>
      <c r="H2824" t="str">
        <f>IF(ISNUMBER(FIND(",", E2824)), TRIM(MID(E2824, FIND(",", E2824) + 1, LEN(E2824))), E2824)</f>
        <v>Indonesia</v>
      </c>
    </row>
    <row r="2825" spans="1:8" x14ac:dyDescent="0.25">
      <c r="A2825" s="2">
        <v>34483</v>
      </c>
      <c r="B2825">
        <v>20.547000000000001</v>
      </c>
      <c r="C2825">
        <v>94.174000000000007</v>
      </c>
      <c r="D2825" t="s">
        <v>14</v>
      </c>
      <c r="E2825" t="s">
        <v>197</v>
      </c>
      <c r="F2825">
        <f t="shared" si="88"/>
        <v>1994</v>
      </c>
      <c r="G2825">
        <f t="shared" si="89"/>
        <v>5</v>
      </c>
      <c r="H2825" t="str">
        <f>IF(ISNUMBER(FIND(",", E2825)), TRIM(MID(E2825, FIND(",", E2825) + 1, LEN(E2825))), E2825)</f>
        <v>Myanmar</v>
      </c>
    </row>
    <row r="2826" spans="1:8" x14ac:dyDescent="0.25">
      <c r="A2826" s="2">
        <v>34479</v>
      </c>
      <c r="B2826">
        <v>-4.1829999999999998</v>
      </c>
      <c r="C2826">
        <v>135.52000000000001</v>
      </c>
      <c r="D2826" t="s">
        <v>14</v>
      </c>
      <c r="E2826" t="s">
        <v>204</v>
      </c>
      <c r="F2826">
        <f t="shared" si="88"/>
        <v>1994</v>
      </c>
      <c r="G2826">
        <f t="shared" si="89"/>
        <v>5</v>
      </c>
      <c r="H2826" t="str">
        <f>IF(ISNUMBER(FIND(",", E2826)), TRIM(MID(E2826, FIND(",", E2826) + 1, LEN(E2826))), E2826)</f>
        <v>Indonesia</v>
      </c>
    </row>
    <row r="2827" spans="1:8" x14ac:dyDescent="0.25">
      <c r="A2827" s="2">
        <v>34478</v>
      </c>
      <c r="B2827">
        <v>23.949000000000002</v>
      </c>
      <c r="C2827">
        <v>122.429</v>
      </c>
      <c r="D2827" t="s">
        <v>14</v>
      </c>
      <c r="E2827" t="s">
        <v>363</v>
      </c>
      <c r="F2827">
        <f t="shared" si="88"/>
        <v>1994</v>
      </c>
      <c r="G2827">
        <f t="shared" si="89"/>
        <v>5</v>
      </c>
      <c r="H2827" t="str">
        <f>IF(ISNUMBER(FIND(",", E2827)), TRIM(MID(E2827, FIND(",", E2827) + 1, LEN(E2827))), E2827)</f>
        <v>Taiwan region</v>
      </c>
    </row>
    <row r="2828" spans="1:8" x14ac:dyDescent="0.25">
      <c r="A2828" s="2">
        <v>34477</v>
      </c>
      <c r="B2828">
        <v>35.524000000000001</v>
      </c>
      <c r="C2828">
        <v>24.779</v>
      </c>
      <c r="D2828" t="s">
        <v>14</v>
      </c>
      <c r="E2828" t="s">
        <v>296</v>
      </c>
      <c r="F2828">
        <f t="shared" si="88"/>
        <v>1994</v>
      </c>
      <c r="G2828">
        <f t="shared" si="89"/>
        <v>5</v>
      </c>
      <c r="H2828" t="str">
        <f>IF(ISNUMBER(FIND(",", E2828)), TRIM(MID(E2828, FIND(",", E2828) + 1, LEN(E2828))), E2828)</f>
        <v>Greece</v>
      </c>
    </row>
    <row r="2829" spans="1:8" x14ac:dyDescent="0.25">
      <c r="A2829" s="2">
        <v>34477</v>
      </c>
      <c r="B2829">
        <v>24.187999999999999</v>
      </c>
      <c r="C2829">
        <v>122.496</v>
      </c>
      <c r="D2829" t="s">
        <v>14</v>
      </c>
      <c r="E2829" t="s">
        <v>363</v>
      </c>
      <c r="F2829">
        <f t="shared" si="88"/>
        <v>1994</v>
      </c>
      <c r="G2829">
        <f t="shared" si="89"/>
        <v>5</v>
      </c>
      <c r="H2829" t="str">
        <f>IF(ISNUMBER(FIND(",", E2829)), TRIM(MID(E2829, FIND(",", E2829) + 1, LEN(E2829))), E2829)</f>
        <v>Taiwan region</v>
      </c>
    </row>
    <row r="2830" spans="1:8" x14ac:dyDescent="0.25">
      <c r="A2830" s="2">
        <v>34477</v>
      </c>
      <c r="B2830">
        <v>18.155999999999999</v>
      </c>
      <c r="C2830">
        <v>-100.553</v>
      </c>
      <c r="D2830" t="s">
        <v>14</v>
      </c>
      <c r="E2830" t="s">
        <v>192</v>
      </c>
      <c r="F2830">
        <f t="shared" si="88"/>
        <v>1994</v>
      </c>
      <c r="G2830">
        <f t="shared" si="89"/>
        <v>5</v>
      </c>
      <c r="H2830" t="str">
        <f>IF(ISNUMBER(FIND(",", E2830)), TRIM(MID(E2830, FIND(",", E2830) + 1, LEN(E2830))), E2830)</f>
        <v>Mexico</v>
      </c>
    </row>
    <row r="2831" spans="1:8" x14ac:dyDescent="0.25">
      <c r="A2831" s="2">
        <v>34472</v>
      </c>
      <c r="B2831">
        <v>44.805999999999997</v>
      </c>
      <c r="C2831">
        <v>149.43199999999999</v>
      </c>
      <c r="D2831" t="s">
        <v>14</v>
      </c>
      <c r="E2831" t="s">
        <v>191</v>
      </c>
      <c r="F2831">
        <f t="shared" si="88"/>
        <v>1994</v>
      </c>
      <c r="G2831">
        <f t="shared" si="89"/>
        <v>5</v>
      </c>
      <c r="H2831" t="str">
        <f>IF(ISNUMBER(FIND(",", E2831)), TRIM(MID(E2831, FIND(",", E2831) + 1, LEN(E2831))), E2831)</f>
        <v>Kuril Islands</v>
      </c>
    </row>
    <row r="2832" spans="1:8" x14ac:dyDescent="0.25">
      <c r="A2832" s="2">
        <v>34465</v>
      </c>
      <c r="B2832">
        <v>-2.0720000000000001</v>
      </c>
      <c r="C2832">
        <v>99.611000000000004</v>
      </c>
      <c r="D2832" t="s">
        <v>14</v>
      </c>
      <c r="E2832" t="s">
        <v>209</v>
      </c>
      <c r="F2832">
        <f t="shared" si="88"/>
        <v>1994</v>
      </c>
      <c r="G2832">
        <f t="shared" si="89"/>
        <v>5</v>
      </c>
      <c r="H2832" t="str">
        <f>IF(ISNUMBER(FIND(",", E2832)), TRIM(MID(E2832, FIND(",", E2832) + 1, LEN(E2832))), E2832)</f>
        <v>Indonesia</v>
      </c>
    </row>
    <row r="2833" spans="1:8" x14ac:dyDescent="0.25">
      <c r="A2833" s="2">
        <v>34465</v>
      </c>
      <c r="B2833">
        <v>-1.9950000000000001</v>
      </c>
      <c r="C2833">
        <v>99.703999999999994</v>
      </c>
      <c r="D2833" t="s">
        <v>14</v>
      </c>
      <c r="E2833" t="s">
        <v>209</v>
      </c>
      <c r="F2833">
        <f t="shared" si="88"/>
        <v>1994</v>
      </c>
      <c r="G2833">
        <f t="shared" si="89"/>
        <v>5</v>
      </c>
      <c r="H2833" t="str">
        <f>IF(ISNUMBER(FIND(",", E2833)), TRIM(MID(E2833, FIND(",", E2833) + 1, LEN(E2833))), E2833)</f>
        <v>Indonesia</v>
      </c>
    </row>
    <row r="2834" spans="1:8" x14ac:dyDescent="0.25">
      <c r="A2834" s="2">
        <v>34464</v>
      </c>
      <c r="B2834">
        <v>-28.538</v>
      </c>
      <c r="C2834">
        <v>-63.043999999999997</v>
      </c>
      <c r="D2834" t="s">
        <v>14</v>
      </c>
      <c r="E2834" t="s">
        <v>232</v>
      </c>
      <c r="F2834">
        <f t="shared" si="88"/>
        <v>1994</v>
      </c>
      <c r="G2834">
        <f t="shared" si="89"/>
        <v>5</v>
      </c>
      <c r="H2834" t="str">
        <f>IF(ISNUMBER(FIND(",", E2834)), TRIM(MID(E2834, FIND(",", E2834) + 1, LEN(E2834))), E2834)</f>
        <v>Argentina</v>
      </c>
    </row>
    <row r="2835" spans="1:8" x14ac:dyDescent="0.25">
      <c r="A2835" s="2">
        <v>34458</v>
      </c>
      <c r="B2835">
        <v>-17.068000000000001</v>
      </c>
      <c r="C2835">
        <v>168.387</v>
      </c>
      <c r="D2835" t="s">
        <v>14</v>
      </c>
      <c r="E2835" t="s">
        <v>181</v>
      </c>
      <c r="F2835">
        <f t="shared" si="88"/>
        <v>1994</v>
      </c>
      <c r="G2835">
        <f t="shared" si="89"/>
        <v>5</v>
      </c>
      <c r="H2835" t="str">
        <f>IF(ISNUMBER(FIND(",", E2835)), TRIM(MID(E2835, FIND(",", E2835) + 1, LEN(E2835))), E2835)</f>
        <v>Vanuatu</v>
      </c>
    </row>
    <row r="2836" spans="1:8" x14ac:dyDescent="0.25">
      <c r="A2836" s="2">
        <v>34456</v>
      </c>
      <c r="B2836">
        <v>-1.141</v>
      </c>
      <c r="C2836">
        <v>97.433000000000007</v>
      </c>
      <c r="D2836" t="s">
        <v>14</v>
      </c>
      <c r="E2836" t="s">
        <v>450</v>
      </c>
      <c r="F2836">
        <f t="shared" si="88"/>
        <v>1994</v>
      </c>
      <c r="G2836">
        <f t="shared" si="89"/>
        <v>5</v>
      </c>
      <c r="H2836" t="str">
        <f>IF(ISNUMBER(FIND(",", E2836)), TRIM(MID(E2836, FIND(",", E2836) + 1, LEN(E2836))), E2836)</f>
        <v>Indonesia</v>
      </c>
    </row>
    <row r="2837" spans="1:8" x14ac:dyDescent="0.25">
      <c r="A2837" s="2">
        <v>34455</v>
      </c>
      <c r="B2837">
        <v>36.942</v>
      </c>
      <c r="C2837">
        <v>67.141000000000005</v>
      </c>
      <c r="D2837" t="s">
        <v>14</v>
      </c>
      <c r="E2837" t="s">
        <v>387</v>
      </c>
      <c r="F2837">
        <f t="shared" si="88"/>
        <v>1994</v>
      </c>
      <c r="G2837">
        <f t="shared" si="89"/>
        <v>5</v>
      </c>
      <c r="H2837" t="str">
        <f>IF(ISNUMBER(FIND(",", E2837)), TRIM(MID(E2837, FIND(",", E2837) + 1, LEN(E2837))), E2837)</f>
        <v>central Afghanistan</v>
      </c>
    </row>
    <row r="2838" spans="1:8" x14ac:dyDescent="0.25">
      <c r="A2838" s="2">
        <v>34453</v>
      </c>
      <c r="B2838">
        <v>-28.311</v>
      </c>
      <c r="C2838">
        <v>-63.228999999999999</v>
      </c>
      <c r="D2838" t="s">
        <v>14</v>
      </c>
      <c r="E2838" t="s">
        <v>232</v>
      </c>
      <c r="F2838">
        <f t="shared" si="88"/>
        <v>1994</v>
      </c>
      <c r="G2838">
        <f t="shared" si="89"/>
        <v>4</v>
      </c>
      <c r="H2838" t="str">
        <f>IF(ISNUMBER(FIND(",", E2838)), TRIM(MID(E2838, FIND(",", E2838) + 1, LEN(E2838))), E2838)</f>
        <v>Argentina</v>
      </c>
    </row>
    <row r="2839" spans="1:8" x14ac:dyDescent="0.25">
      <c r="A2839" s="2">
        <v>34451</v>
      </c>
      <c r="B2839">
        <v>-21.52</v>
      </c>
      <c r="C2839">
        <v>-173.56</v>
      </c>
      <c r="D2839" t="s">
        <v>14</v>
      </c>
      <c r="E2839" t="s">
        <v>239</v>
      </c>
      <c r="F2839">
        <f t="shared" si="88"/>
        <v>1994</v>
      </c>
      <c r="G2839">
        <f t="shared" si="89"/>
        <v>4</v>
      </c>
      <c r="H2839" t="str">
        <f>IF(ISNUMBER(FIND(",", E2839)), TRIM(MID(E2839, FIND(",", E2839) + 1, LEN(E2839))), E2839)</f>
        <v>Tonga</v>
      </c>
    </row>
    <row r="2840" spans="1:8" x14ac:dyDescent="0.25">
      <c r="A2840" s="2">
        <v>34447</v>
      </c>
      <c r="B2840">
        <v>-14.173999999999999</v>
      </c>
      <c r="C2840">
        <v>167.67</v>
      </c>
      <c r="D2840" t="s">
        <v>14</v>
      </c>
      <c r="E2840" t="s">
        <v>181</v>
      </c>
      <c r="F2840">
        <f t="shared" si="88"/>
        <v>1994</v>
      </c>
      <c r="G2840">
        <f t="shared" si="89"/>
        <v>4</v>
      </c>
      <c r="H2840" t="str">
        <f>IF(ISNUMBER(FIND(",", E2840)), TRIM(MID(E2840, FIND(",", E2840) + 1, LEN(E2840))), E2840)</f>
        <v>Vanuatu</v>
      </c>
    </row>
    <row r="2841" spans="1:8" x14ac:dyDescent="0.25">
      <c r="A2841" s="2">
        <v>34445</v>
      </c>
      <c r="B2841">
        <v>-5.7069999999999999</v>
      </c>
      <c r="C2841">
        <v>154.17400000000001</v>
      </c>
      <c r="D2841" t="s">
        <v>14</v>
      </c>
      <c r="E2841" t="s">
        <v>290</v>
      </c>
      <c r="F2841">
        <f t="shared" si="88"/>
        <v>1994</v>
      </c>
      <c r="G2841">
        <f t="shared" si="89"/>
        <v>4</v>
      </c>
      <c r="H2841" t="str">
        <f>IF(ISNUMBER(FIND(",", E2841)), TRIM(MID(E2841, FIND(",", E2841) + 1, LEN(E2841))), E2841)</f>
        <v>Papua New Guinea</v>
      </c>
    </row>
    <row r="2842" spans="1:8" x14ac:dyDescent="0.25">
      <c r="A2842" s="2">
        <v>34442</v>
      </c>
      <c r="B2842">
        <v>-6.4459999999999997</v>
      </c>
      <c r="C2842">
        <v>155</v>
      </c>
      <c r="D2842" t="s">
        <v>14</v>
      </c>
      <c r="E2842" t="s">
        <v>290</v>
      </c>
      <c r="F2842">
        <f t="shared" si="88"/>
        <v>1994</v>
      </c>
      <c r="G2842">
        <f t="shared" si="89"/>
        <v>4</v>
      </c>
      <c r="H2842" t="str">
        <f>IF(ISNUMBER(FIND(",", E2842)), TRIM(MID(E2842, FIND(",", E2842) + 1, LEN(E2842))), E2842)</f>
        <v>Papua New Guinea</v>
      </c>
    </row>
    <row r="2843" spans="1:8" x14ac:dyDescent="0.25">
      <c r="A2843" s="2">
        <v>34437</v>
      </c>
      <c r="B2843">
        <v>-3.165</v>
      </c>
      <c r="C2843">
        <v>136.00299999999999</v>
      </c>
      <c r="D2843" t="s">
        <v>14</v>
      </c>
      <c r="E2843" t="s">
        <v>210</v>
      </c>
      <c r="F2843">
        <f t="shared" si="88"/>
        <v>1994</v>
      </c>
      <c r="G2843">
        <f t="shared" si="89"/>
        <v>4</v>
      </c>
      <c r="H2843" t="str">
        <f>IF(ISNUMBER(FIND(",", E2843)), TRIM(MID(E2843, FIND(",", E2843) + 1, LEN(E2843))), E2843)</f>
        <v>Indonesia</v>
      </c>
    </row>
    <row r="2844" spans="1:8" x14ac:dyDescent="0.25">
      <c r="A2844" s="2">
        <v>34434</v>
      </c>
      <c r="B2844">
        <v>23.725999999999999</v>
      </c>
      <c r="C2844">
        <v>126.852</v>
      </c>
      <c r="D2844" t="s">
        <v>14</v>
      </c>
      <c r="E2844" t="s">
        <v>324</v>
      </c>
      <c r="F2844">
        <f t="shared" si="88"/>
        <v>1994</v>
      </c>
      <c r="G2844">
        <f t="shared" si="89"/>
        <v>4</v>
      </c>
      <c r="H2844" t="str">
        <f>IF(ISNUMBER(FIND(",", E2844)), TRIM(MID(E2844, FIND(",", E2844) + 1, LEN(E2844))), E2844)</f>
        <v>Japan</v>
      </c>
    </row>
    <row r="2845" spans="1:8" x14ac:dyDescent="0.25">
      <c r="A2845" s="2">
        <v>34432</v>
      </c>
      <c r="B2845">
        <v>40.646999999999998</v>
      </c>
      <c r="C2845">
        <v>143.69900000000001</v>
      </c>
      <c r="D2845" t="s">
        <v>14</v>
      </c>
      <c r="E2845" t="s">
        <v>189</v>
      </c>
      <c r="F2845">
        <f t="shared" si="88"/>
        <v>1994</v>
      </c>
      <c r="G2845">
        <f t="shared" si="89"/>
        <v>4</v>
      </c>
      <c r="H2845" t="str">
        <f>IF(ISNUMBER(FIND(",", E2845)), TRIM(MID(E2845, FIND(",", E2845) + 1, LEN(E2845))), E2845)</f>
        <v>Japan</v>
      </c>
    </row>
    <row r="2846" spans="1:8" x14ac:dyDescent="0.25">
      <c r="A2846" s="2">
        <v>34430</v>
      </c>
      <c r="B2846">
        <v>-17.332000000000001</v>
      </c>
      <c r="C2846">
        <v>167.911</v>
      </c>
      <c r="D2846" t="s">
        <v>14</v>
      </c>
      <c r="E2846" t="s">
        <v>181</v>
      </c>
      <c r="F2846">
        <f t="shared" si="88"/>
        <v>1994</v>
      </c>
      <c r="G2846">
        <f t="shared" si="89"/>
        <v>4</v>
      </c>
      <c r="H2846" t="str">
        <f>IF(ISNUMBER(FIND(",", E2846)), TRIM(MID(E2846, FIND(",", E2846) + 1, LEN(E2846))), E2846)</f>
        <v>Vanuatu</v>
      </c>
    </row>
    <row r="2847" spans="1:8" x14ac:dyDescent="0.25">
      <c r="A2847" s="2">
        <v>34429</v>
      </c>
      <c r="B2847">
        <v>51.32</v>
      </c>
      <c r="C2847">
        <v>-178.13900000000001</v>
      </c>
      <c r="D2847" t="s">
        <v>14</v>
      </c>
      <c r="E2847" t="s">
        <v>207</v>
      </c>
      <c r="F2847">
        <f t="shared" si="88"/>
        <v>1994</v>
      </c>
      <c r="G2847">
        <f t="shared" si="89"/>
        <v>4</v>
      </c>
      <c r="H2847" t="str">
        <f>IF(ISNUMBER(FIND(",", E2847)), TRIM(MID(E2847, FIND(",", E2847) + 1, LEN(E2847))), E2847)</f>
        <v>Aleutian Islands, Alaska</v>
      </c>
    </row>
    <row r="2848" spans="1:8" x14ac:dyDescent="0.25">
      <c r="A2848" s="2">
        <v>34424</v>
      </c>
      <c r="B2848">
        <v>-22.036000000000001</v>
      </c>
      <c r="C2848">
        <v>-179.41800000000001</v>
      </c>
      <c r="D2848" t="s">
        <v>14</v>
      </c>
      <c r="E2848" t="s">
        <v>256</v>
      </c>
      <c r="F2848">
        <f t="shared" si="88"/>
        <v>1994</v>
      </c>
      <c r="G2848">
        <f t="shared" si="89"/>
        <v>3</v>
      </c>
      <c r="H2848" t="str">
        <f>IF(ISNUMBER(FIND(",", E2848)), TRIM(MID(E2848, FIND(",", E2848) + 1, LEN(E2848))), E2848)</f>
        <v>south of the Fiji Islands</v>
      </c>
    </row>
    <row r="2849" spans="1:8" x14ac:dyDescent="0.25">
      <c r="A2849" s="2">
        <v>34407</v>
      </c>
      <c r="B2849">
        <v>15.943</v>
      </c>
      <c r="C2849">
        <v>-92.403999999999996</v>
      </c>
      <c r="D2849" t="s">
        <v>14</v>
      </c>
      <c r="E2849" t="s">
        <v>421</v>
      </c>
      <c r="F2849">
        <f t="shared" si="88"/>
        <v>1994</v>
      </c>
      <c r="G2849">
        <f t="shared" si="89"/>
        <v>3</v>
      </c>
      <c r="H2849" t="str">
        <f>IF(ISNUMBER(FIND(",", E2849)), TRIM(MID(E2849, FIND(",", E2849) + 1, LEN(E2849))), E2849)</f>
        <v>Mexico</v>
      </c>
    </row>
    <row r="2850" spans="1:8" x14ac:dyDescent="0.25">
      <c r="A2850" s="2">
        <v>34407</v>
      </c>
      <c r="B2850">
        <v>-1.091</v>
      </c>
      <c r="C2850">
        <v>-23.553000000000001</v>
      </c>
      <c r="D2850" t="s">
        <v>14</v>
      </c>
      <c r="E2850" t="s">
        <v>291</v>
      </c>
      <c r="F2850">
        <f t="shared" si="88"/>
        <v>1994</v>
      </c>
      <c r="G2850">
        <f t="shared" si="89"/>
        <v>3</v>
      </c>
      <c r="H2850" t="str">
        <f>IF(ISNUMBER(FIND(",", E2850)), TRIM(MID(E2850, FIND(",", E2850) + 1, LEN(E2850))), E2850)</f>
        <v>central Mid-Atlantic Ridge</v>
      </c>
    </row>
    <row r="2851" spans="1:8" x14ac:dyDescent="0.25">
      <c r="A2851" s="2">
        <v>34402</v>
      </c>
      <c r="B2851">
        <v>-17.971</v>
      </c>
      <c r="C2851">
        <v>-178.357</v>
      </c>
      <c r="D2851" t="s">
        <v>14</v>
      </c>
      <c r="E2851" t="s">
        <v>53</v>
      </c>
      <c r="F2851">
        <f t="shared" si="88"/>
        <v>1994</v>
      </c>
      <c r="G2851">
        <f t="shared" si="89"/>
        <v>3</v>
      </c>
      <c r="H2851" t="str">
        <f>IF(ISNUMBER(FIND(",", E2851)), TRIM(MID(E2851, FIND(",", E2851) + 1, LEN(E2851))), E2851)</f>
        <v>Fiji region</v>
      </c>
    </row>
    <row r="2852" spans="1:8" x14ac:dyDescent="0.25">
      <c r="A2852" s="2">
        <v>34389</v>
      </c>
      <c r="B2852">
        <v>-17.457999999999998</v>
      </c>
      <c r="C2852">
        <v>-174.18100000000001</v>
      </c>
      <c r="D2852" t="s">
        <v>14</v>
      </c>
      <c r="E2852" t="s">
        <v>239</v>
      </c>
      <c r="F2852">
        <f t="shared" si="88"/>
        <v>1994</v>
      </c>
      <c r="G2852">
        <f t="shared" si="89"/>
        <v>2</v>
      </c>
      <c r="H2852" t="str">
        <f>IF(ISNUMBER(FIND(",", E2852)), TRIM(MID(E2852, FIND(",", E2852) + 1, LEN(E2852))), E2852)</f>
        <v>Tonga</v>
      </c>
    </row>
    <row r="2853" spans="1:8" x14ac:dyDescent="0.25">
      <c r="A2853" s="2">
        <v>34389</v>
      </c>
      <c r="B2853">
        <v>30.79</v>
      </c>
      <c r="C2853">
        <v>60.51</v>
      </c>
      <c r="D2853" t="s">
        <v>14</v>
      </c>
      <c r="E2853" t="s">
        <v>528</v>
      </c>
      <c r="F2853">
        <f t="shared" si="88"/>
        <v>1994</v>
      </c>
      <c r="G2853">
        <f t="shared" si="89"/>
        <v>2</v>
      </c>
      <c r="H2853" t="str">
        <f>IF(ISNUMBER(FIND(",", E2853)), TRIM(MID(E2853, FIND(",", E2853) + 1, LEN(E2853))), E2853)</f>
        <v>eastern Iran</v>
      </c>
    </row>
    <row r="2854" spans="1:8" x14ac:dyDescent="0.25">
      <c r="A2854" s="2">
        <v>34388</v>
      </c>
      <c r="B2854">
        <v>30.792000000000002</v>
      </c>
      <c r="C2854">
        <v>60.533999999999999</v>
      </c>
      <c r="D2854" t="s">
        <v>14</v>
      </c>
      <c r="E2854" t="s">
        <v>528</v>
      </c>
      <c r="F2854">
        <f t="shared" si="88"/>
        <v>1994</v>
      </c>
      <c r="G2854">
        <f t="shared" si="89"/>
        <v>2</v>
      </c>
      <c r="H2854" t="str">
        <f>IF(ISNUMBER(FIND(",", E2854)), TRIM(MID(E2854, FIND(",", E2854) + 1, LEN(E2854))), E2854)</f>
        <v>eastern Iran</v>
      </c>
    </row>
    <row r="2855" spans="1:8" x14ac:dyDescent="0.25">
      <c r="A2855" s="2">
        <v>34383</v>
      </c>
      <c r="B2855">
        <v>-45.345999999999997</v>
      </c>
      <c r="C2855">
        <v>96.269000000000005</v>
      </c>
      <c r="D2855" t="s">
        <v>14</v>
      </c>
      <c r="E2855" t="s">
        <v>310</v>
      </c>
      <c r="F2855">
        <f t="shared" si="88"/>
        <v>1994</v>
      </c>
      <c r="G2855">
        <f t="shared" si="89"/>
        <v>2</v>
      </c>
      <c r="H2855" t="str">
        <f>IF(ISNUMBER(FIND(",", E2855)), TRIM(MID(E2855, FIND(",", E2855) + 1, LEN(E2855))), E2855)</f>
        <v>southeast Indian Ridge</v>
      </c>
    </row>
    <row r="2856" spans="1:8" x14ac:dyDescent="0.25">
      <c r="A2856" s="2">
        <v>34381</v>
      </c>
      <c r="B2856">
        <v>-18.991</v>
      </c>
      <c r="C2856">
        <v>168.13399999999999</v>
      </c>
      <c r="D2856" t="s">
        <v>16</v>
      </c>
      <c r="E2856" t="s">
        <v>181</v>
      </c>
      <c r="F2856">
        <f t="shared" si="88"/>
        <v>1994</v>
      </c>
      <c r="G2856">
        <f t="shared" si="89"/>
        <v>2</v>
      </c>
      <c r="H2856" t="str">
        <f>IF(ISNUMBER(FIND(",", E2856)), TRIM(MID(E2856, FIND(",", E2856) + 1, LEN(E2856))), E2856)</f>
        <v>Vanuatu</v>
      </c>
    </row>
    <row r="2857" spans="1:8" x14ac:dyDescent="0.25">
      <c r="A2857" s="2">
        <v>34381</v>
      </c>
      <c r="B2857">
        <v>-20.093</v>
      </c>
      <c r="C2857">
        <v>169.00800000000001</v>
      </c>
      <c r="D2857" t="s">
        <v>16</v>
      </c>
      <c r="E2857" t="s">
        <v>181</v>
      </c>
      <c r="F2857">
        <f t="shared" si="88"/>
        <v>1994</v>
      </c>
      <c r="G2857">
        <f t="shared" si="89"/>
        <v>2</v>
      </c>
      <c r="H2857" t="str">
        <f>IF(ISNUMBER(FIND(",", E2857)), TRIM(MID(E2857, FIND(",", E2857) + 1, LEN(E2857))), E2857)</f>
        <v>Vanuatu</v>
      </c>
    </row>
    <row r="2858" spans="1:8" x14ac:dyDescent="0.25">
      <c r="A2858" s="2">
        <v>34381</v>
      </c>
      <c r="B2858">
        <v>-20.106000000000002</v>
      </c>
      <c r="C2858">
        <v>169.179</v>
      </c>
      <c r="D2858" t="s">
        <v>14</v>
      </c>
      <c r="E2858" t="s">
        <v>181</v>
      </c>
      <c r="F2858">
        <f t="shared" si="88"/>
        <v>1994</v>
      </c>
      <c r="G2858">
        <f t="shared" si="89"/>
        <v>2</v>
      </c>
      <c r="H2858" t="str">
        <f>IF(ISNUMBER(FIND(",", E2858)), TRIM(MID(E2858, FIND(",", E2858) + 1, LEN(E2858))), E2858)</f>
        <v>Vanuatu</v>
      </c>
    </row>
    <row r="2859" spans="1:8" x14ac:dyDescent="0.25">
      <c r="A2859" s="2">
        <v>34381</v>
      </c>
      <c r="B2859">
        <v>-20.132999999999999</v>
      </c>
      <c r="C2859">
        <v>169.024</v>
      </c>
      <c r="D2859" t="s">
        <v>16</v>
      </c>
      <c r="E2859" t="s">
        <v>181</v>
      </c>
      <c r="F2859">
        <f t="shared" si="88"/>
        <v>1994</v>
      </c>
      <c r="G2859">
        <f t="shared" si="89"/>
        <v>2</v>
      </c>
      <c r="H2859" t="str">
        <f>IF(ISNUMBER(FIND(",", E2859)), TRIM(MID(E2859, FIND(",", E2859) + 1, LEN(E2859))), E2859)</f>
        <v>Vanuatu</v>
      </c>
    </row>
    <row r="2860" spans="1:8" x14ac:dyDescent="0.25">
      <c r="A2860" s="2">
        <v>34380</v>
      </c>
      <c r="B2860">
        <v>-20.408000000000001</v>
      </c>
      <c r="C2860">
        <v>168.96</v>
      </c>
      <c r="D2860" t="s">
        <v>14</v>
      </c>
      <c r="E2860" t="s">
        <v>292</v>
      </c>
      <c r="F2860">
        <f t="shared" si="88"/>
        <v>1994</v>
      </c>
      <c r="G2860">
        <f t="shared" si="89"/>
        <v>2</v>
      </c>
      <c r="H2860" t="str">
        <f>IF(ISNUMBER(FIND(",", E2860)), TRIM(MID(E2860, FIND(",", E2860) + 1, LEN(E2860))), E2860)</f>
        <v>New Caledonia</v>
      </c>
    </row>
    <row r="2861" spans="1:8" x14ac:dyDescent="0.25">
      <c r="A2861" s="2">
        <v>34380</v>
      </c>
      <c r="B2861">
        <v>-5.0069999999999997</v>
      </c>
      <c r="C2861">
        <v>104.251</v>
      </c>
      <c r="D2861" t="s">
        <v>14</v>
      </c>
      <c r="E2861" t="s">
        <v>308</v>
      </c>
      <c r="F2861">
        <f t="shared" si="88"/>
        <v>1994</v>
      </c>
      <c r="G2861">
        <f t="shared" si="89"/>
        <v>2</v>
      </c>
      <c r="H2861" t="str">
        <f>IF(ISNUMBER(FIND(",", E2861)), TRIM(MID(E2861, FIND(",", E2861) + 1, LEN(E2861))), E2861)</f>
        <v>Indonesia</v>
      </c>
    </row>
    <row r="2862" spans="1:8" x14ac:dyDescent="0.25">
      <c r="A2862" s="2">
        <v>34377</v>
      </c>
      <c r="B2862">
        <v>-20.545000000000002</v>
      </c>
      <c r="C2862">
        <v>169.47</v>
      </c>
      <c r="D2862" t="s">
        <v>14</v>
      </c>
      <c r="E2862" t="s">
        <v>181</v>
      </c>
      <c r="F2862">
        <f t="shared" si="88"/>
        <v>1994</v>
      </c>
      <c r="G2862">
        <f t="shared" si="89"/>
        <v>2</v>
      </c>
      <c r="H2862" t="str">
        <f>IF(ISNUMBER(FIND(",", E2862)), TRIM(MID(E2862, FIND(",", E2862) + 1, LEN(E2862))), E2862)</f>
        <v>Vanuatu</v>
      </c>
    </row>
    <row r="2863" spans="1:8" x14ac:dyDescent="0.25">
      <c r="A2863" s="2">
        <v>34377</v>
      </c>
      <c r="B2863">
        <v>-10.756</v>
      </c>
      <c r="C2863">
        <v>-128.85900000000001</v>
      </c>
      <c r="D2863" t="s">
        <v>14</v>
      </c>
      <c r="E2863" t="s">
        <v>468</v>
      </c>
      <c r="F2863">
        <f t="shared" si="88"/>
        <v>1994</v>
      </c>
      <c r="G2863">
        <f t="shared" si="89"/>
        <v>2</v>
      </c>
      <c r="H2863" t="str">
        <f>IF(ISNUMBER(FIND(",", E2863)), TRIM(MID(E2863, FIND(",", E2863) + 1, LEN(E2863))), E2863)</f>
        <v>South Pacific Ocean</v>
      </c>
    </row>
    <row r="2864" spans="1:8" x14ac:dyDescent="0.25">
      <c r="A2864" s="2">
        <v>34376</v>
      </c>
      <c r="B2864">
        <v>-18.783000000000001</v>
      </c>
      <c r="C2864">
        <v>169.29599999999999</v>
      </c>
      <c r="D2864" t="s">
        <v>14</v>
      </c>
      <c r="E2864" t="s">
        <v>181</v>
      </c>
      <c r="F2864">
        <f t="shared" si="88"/>
        <v>1994</v>
      </c>
      <c r="G2864">
        <f t="shared" si="89"/>
        <v>2</v>
      </c>
      <c r="H2864" t="str">
        <f>IF(ISNUMBER(FIND(",", E2864)), TRIM(MID(E2864, FIND(",", E2864) + 1, LEN(E2864))), E2864)</f>
        <v>Vanuatu</v>
      </c>
    </row>
    <row r="2865" spans="1:8" x14ac:dyDescent="0.25">
      <c r="A2865" s="2">
        <v>34370</v>
      </c>
      <c r="B2865">
        <v>0.55600000000000005</v>
      </c>
      <c r="C2865">
        <v>30.082999999999998</v>
      </c>
      <c r="D2865" t="s">
        <v>14</v>
      </c>
      <c r="E2865" t="s">
        <v>560</v>
      </c>
      <c r="F2865">
        <f t="shared" si="88"/>
        <v>1994</v>
      </c>
      <c r="G2865">
        <f t="shared" si="89"/>
        <v>2</v>
      </c>
      <c r="H2865" t="str">
        <f>IF(ISNUMBER(FIND(",", E2865)), TRIM(MID(E2865, FIND(",", E2865) + 1, LEN(E2865))), E2865)</f>
        <v>Uganda</v>
      </c>
    </row>
    <row r="2866" spans="1:8" x14ac:dyDescent="0.25">
      <c r="A2866" s="2">
        <v>34359</v>
      </c>
      <c r="B2866">
        <v>10.614000000000001</v>
      </c>
      <c r="C2866">
        <v>-41.78</v>
      </c>
      <c r="D2866" t="s">
        <v>14</v>
      </c>
      <c r="E2866" t="s">
        <v>325</v>
      </c>
      <c r="F2866">
        <f t="shared" si="88"/>
        <v>1994</v>
      </c>
      <c r="G2866">
        <f t="shared" si="89"/>
        <v>1</v>
      </c>
      <c r="H2866" t="str">
        <f>IF(ISNUMBER(FIND(",", E2866)), TRIM(MID(E2866, FIND(",", E2866) + 1, LEN(E2866))), E2866)</f>
        <v>northern Mid-Atlantic Ridge</v>
      </c>
    </row>
    <row r="2867" spans="1:8" x14ac:dyDescent="0.25">
      <c r="A2867" s="2">
        <v>34355</v>
      </c>
      <c r="B2867">
        <v>1.042</v>
      </c>
      <c r="C2867">
        <v>127.774</v>
      </c>
      <c r="D2867" t="s">
        <v>14</v>
      </c>
      <c r="E2867" t="s">
        <v>311</v>
      </c>
      <c r="F2867">
        <f t="shared" si="88"/>
        <v>1994</v>
      </c>
      <c r="G2867">
        <f t="shared" si="89"/>
        <v>1</v>
      </c>
      <c r="H2867" t="str">
        <f>IF(ISNUMBER(FIND(",", E2867)), TRIM(MID(E2867, FIND(",", E2867) + 1, LEN(E2867))), E2867)</f>
        <v>Indonesia</v>
      </c>
    </row>
    <row r="2868" spans="1:8" x14ac:dyDescent="0.25">
      <c r="A2868" s="2">
        <v>34353</v>
      </c>
      <c r="B2868">
        <v>-3.206</v>
      </c>
      <c r="C2868">
        <v>136</v>
      </c>
      <c r="D2868" t="s">
        <v>14</v>
      </c>
      <c r="E2868" t="s">
        <v>468</v>
      </c>
      <c r="F2868">
        <f t="shared" si="88"/>
        <v>1994</v>
      </c>
      <c r="G2868">
        <f t="shared" si="89"/>
        <v>1</v>
      </c>
      <c r="H2868" t="str">
        <f>IF(ISNUMBER(FIND(",", E2868)), TRIM(MID(E2868, FIND(",", E2868) + 1, LEN(E2868))), E2868)</f>
        <v>South Pacific Ocean</v>
      </c>
    </row>
    <row r="2869" spans="1:8" x14ac:dyDescent="0.25">
      <c r="A2869" s="2">
        <v>34351</v>
      </c>
      <c r="B2869">
        <v>34.155999999999999</v>
      </c>
      <c r="C2869">
        <v>-118.575</v>
      </c>
      <c r="D2869" t="s">
        <v>14</v>
      </c>
      <c r="E2869" t="s">
        <v>561</v>
      </c>
      <c r="F2869">
        <f t="shared" si="88"/>
        <v>1994</v>
      </c>
      <c r="G2869">
        <f t="shared" si="89"/>
        <v>1</v>
      </c>
      <c r="H2869" t="str">
        <f>IF(ISNUMBER(FIND(",", E2869)), TRIM(MID(E2869, FIND(",", E2869) + 1, LEN(E2869))), E2869)</f>
        <v>California</v>
      </c>
    </row>
    <row r="2870" spans="1:8" x14ac:dyDescent="0.25">
      <c r="A2870" s="2">
        <v>34345</v>
      </c>
      <c r="B2870">
        <v>25.218</v>
      </c>
      <c r="C2870">
        <v>97.183999999999997</v>
      </c>
      <c r="D2870" t="s">
        <v>14</v>
      </c>
      <c r="E2870" t="s">
        <v>393</v>
      </c>
      <c r="F2870">
        <f t="shared" si="88"/>
        <v>1994</v>
      </c>
      <c r="G2870">
        <f t="shared" si="89"/>
        <v>1</v>
      </c>
      <c r="H2870" t="str">
        <f>IF(ISNUMBER(FIND(",", E2870)), TRIM(MID(E2870, FIND(",", E2870) + 1, LEN(E2870))), E2870)</f>
        <v>Myanmar-China border region</v>
      </c>
    </row>
    <row r="2871" spans="1:8" x14ac:dyDescent="0.25">
      <c r="A2871" s="2">
        <v>34344</v>
      </c>
      <c r="B2871">
        <v>-13.407999999999999</v>
      </c>
      <c r="C2871">
        <v>-69.400000000000006</v>
      </c>
      <c r="D2871" t="s">
        <v>14</v>
      </c>
      <c r="E2871" t="s">
        <v>229</v>
      </c>
      <c r="F2871">
        <f t="shared" si="88"/>
        <v>1994</v>
      </c>
      <c r="G2871">
        <f t="shared" si="89"/>
        <v>1</v>
      </c>
      <c r="H2871" t="str">
        <f>IF(ISNUMBER(FIND(",", E2871)), TRIM(MID(E2871, FIND(",", E2871) + 1, LEN(E2871))), E2871)</f>
        <v>southern Peru</v>
      </c>
    </row>
    <row r="2872" spans="1:8" x14ac:dyDescent="0.25">
      <c r="A2872" s="2">
        <v>34337</v>
      </c>
      <c r="B2872">
        <v>-49.067</v>
      </c>
      <c r="C2872">
        <v>164.50700000000001</v>
      </c>
      <c r="D2872" t="s">
        <v>14</v>
      </c>
      <c r="E2872" t="s">
        <v>404</v>
      </c>
      <c r="F2872">
        <f t="shared" si="88"/>
        <v>1994</v>
      </c>
      <c r="G2872">
        <f t="shared" si="89"/>
        <v>1</v>
      </c>
      <c r="H2872" t="str">
        <f>IF(ISNUMBER(FIND(",", E2872)), TRIM(MID(E2872, FIND(",", E2872) + 1, LEN(E2872))), E2872)</f>
        <v>New Zealand region</v>
      </c>
    </row>
    <row r="2873" spans="1:8" x14ac:dyDescent="0.25">
      <c r="A2873" s="2">
        <v>34332</v>
      </c>
      <c r="B2873">
        <v>-20.030999999999999</v>
      </c>
      <c r="C2873">
        <v>170.001</v>
      </c>
      <c r="D2873" t="s">
        <v>14</v>
      </c>
      <c r="E2873" t="s">
        <v>181</v>
      </c>
      <c r="F2873">
        <f t="shared" si="88"/>
        <v>1993</v>
      </c>
      <c r="G2873">
        <f t="shared" si="89"/>
        <v>12</v>
      </c>
      <c r="H2873" t="str">
        <f>IF(ISNUMBER(FIND(",", E2873)), TRIM(MID(E2873, FIND(",", E2873) + 1, LEN(E2873))), E2873)</f>
        <v>Vanuatu</v>
      </c>
    </row>
    <row r="2874" spans="1:8" x14ac:dyDescent="0.25">
      <c r="A2874" s="2">
        <v>34332</v>
      </c>
      <c r="B2874">
        <v>-20.199000000000002</v>
      </c>
      <c r="C2874">
        <v>169.88</v>
      </c>
      <c r="D2874" t="s">
        <v>14</v>
      </c>
      <c r="E2874" t="s">
        <v>181</v>
      </c>
      <c r="F2874">
        <f t="shared" si="88"/>
        <v>1993</v>
      </c>
      <c r="G2874">
        <f t="shared" si="89"/>
        <v>12</v>
      </c>
      <c r="H2874" t="str">
        <f>IF(ISNUMBER(FIND(",", E2874)), TRIM(MID(E2874, FIND(",", E2874) + 1, LEN(E2874))), E2874)</f>
        <v>Vanuatu</v>
      </c>
    </row>
    <row r="2875" spans="1:8" x14ac:dyDescent="0.25">
      <c r="A2875" s="2">
        <v>34332</v>
      </c>
      <c r="B2875">
        <v>-20.242999999999999</v>
      </c>
      <c r="C2875">
        <v>169.92400000000001</v>
      </c>
      <c r="D2875" t="s">
        <v>14</v>
      </c>
      <c r="E2875" t="s">
        <v>181</v>
      </c>
      <c r="F2875">
        <f t="shared" si="88"/>
        <v>1993</v>
      </c>
      <c r="G2875">
        <f t="shared" si="89"/>
        <v>12</v>
      </c>
      <c r="H2875" t="str">
        <f>IF(ISNUMBER(FIND(",", E2875)), TRIM(MID(E2875, FIND(",", E2875) + 1, LEN(E2875))), E2875)</f>
        <v>Vanuatu</v>
      </c>
    </row>
    <row r="2876" spans="1:8" x14ac:dyDescent="0.25">
      <c r="A2876" s="2">
        <v>34323</v>
      </c>
      <c r="B2876">
        <v>-6.8550000000000004</v>
      </c>
      <c r="C2876">
        <v>131.36000000000001</v>
      </c>
      <c r="D2876" t="s">
        <v>14</v>
      </c>
      <c r="E2876" t="s">
        <v>411</v>
      </c>
      <c r="F2876">
        <f t="shared" si="88"/>
        <v>1993</v>
      </c>
      <c r="G2876">
        <f t="shared" si="89"/>
        <v>12</v>
      </c>
      <c r="H2876" t="str">
        <f>IF(ISNUMBER(FIND(",", E2876)), TRIM(MID(E2876, FIND(",", E2876) + 1, LEN(E2876))), E2876)</f>
        <v>Indonesia</v>
      </c>
    </row>
    <row r="2877" spans="1:8" x14ac:dyDescent="0.25">
      <c r="A2877" s="2">
        <v>34312</v>
      </c>
      <c r="B2877">
        <v>0.45400000000000001</v>
      </c>
      <c r="C2877">
        <v>125.92400000000001</v>
      </c>
      <c r="D2877" t="s">
        <v>14</v>
      </c>
      <c r="E2877" t="s">
        <v>186</v>
      </c>
      <c r="F2877">
        <f t="shared" si="88"/>
        <v>1993</v>
      </c>
      <c r="G2877">
        <f t="shared" si="89"/>
        <v>12</v>
      </c>
      <c r="H2877" t="str">
        <f>IF(ISNUMBER(FIND(",", E2877)), TRIM(MID(E2877, FIND(",", E2877) + 1, LEN(E2877))), E2877)</f>
        <v>Molucca Sea</v>
      </c>
    </row>
    <row r="2878" spans="1:8" x14ac:dyDescent="0.25">
      <c r="A2878" s="2">
        <v>34312</v>
      </c>
      <c r="B2878">
        <v>0.49199999999999999</v>
      </c>
      <c r="C2878">
        <v>125.98399999999999</v>
      </c>
      <c r="D2878" t="s">
        <v>14</v>
      </c>
      <c r="E2878" t="s">
        <v>186</v>
      </c>
      <c r="F2878">
        <f t="shared" si="88"/>
        <v>1993</v>
      </c>
      <c r="G2878">
        <f t="shared" si="89"/>
        <v>12</v>
      </c>
      <c r="H2878" t="str">
        <f>IF(ISNUMBER(FIND(",", E2878)), TRIM(MID(E2878, FIND(",", E2878) + 1, LEN(E2878))), E2878)</f>
        <v>Molucca Sea</v>
      </c>
    </row>
    <row r="2879" spans="1:8" x14ac:dyDescent="0.25">
      <c r="A2879" s="2">
        <v>34299</v>
      </c>
      <c r="B2879">
        <v>-9.5530000000000008</v>
      </c>
      <c r="C2879">
        <v>158.25700000000001</v>
      </c>
      <c r="D2879" t="s">
        <v>14</v>
      </c>
      <c r="E2879" t="s">
        <v>221</v>
      </c>
      <c r="F2879">
        <f t="shared" si="88"/>
        <v>1993</v>
      </c>
      <c r="G2879">
        <f t="shared" si="89"/>
        <v>11</v>
      </c>
      <c r="H2879" t="str">
        <f>IF(ISNUMBER(FIND(",", E2879)), TRIM(MID(E2879, FIND(",", E2879) + 1, LEN(E2879))), E2879)</f>
        <v>Solomon Islands</v>
      </c>
    </row>
    <row r="2880" spans="1:8" x14ac:dyDescent="0.25">
      <c r="A2880" s="2">
        <v>34292</v>
      </c>
      <c r="B2880">
        <v>54.197000000000003</v>
      </c>
      <c r="C2880">
        <v>-164.26599999999999</v>
      </c>
      <c r="D2880" t="s">
        <v>14</v>
      </c>
      <c r="E2880" t="s">
        <v>447</v>
      </c>
      <c r="F2880">
        <f t="shared" si="88"/>
        <v>1993</v>
      </c>
      <c r="G2880">
        <f t="shared" si="89"/>
        <v>11</v>
      </c>
      <c r="H2880" t="str">
        <f>IF(ISNUMBER(FIND(",", E2880)), TRIM(MID(E2880, FIND(",", E2880) + 1, LEN(E2880))), E2880)</f>
        <v>Alaska</v>
      </c>
    </row>
    <row r="2881" spans="1:8" x14ac:dyDescent="0.25">
      <c r="A2881" s="2">
        <v>34286</v>
      </c>
      <c r="B2881">
        <v>51.936999999999998</v>
      </c>
      <c r="C2881">
        <v>158.62899999999999</v>
      </c>
      <c r="D2881" t="s">
        <v>14</v>
      </c>
      <c r="E2881" t="s">
        <v>225</v>
      </c>
      <c r="F2881">
        <f t="shared" si="88"/>
        <v>1993</v>
      </c>
      <c r="G2881">
        <f t="shared" si="89"/>
        <v>11</v>
      </c>
      <c r="H2881" t="str">
        <f>IF(ISNUMBER(FIND(",", E2881)), TRIM(MID(E2881, FIND(",", E2881) + 1, LEN(E2881))), E2881)</f>
        <v>Russia</v>
      </c>
    </row>
    <row r="2882" spans="1:8" x14ac:dyDescent="0.25">
      <c r="A2882" s="2">
        <v>34286</v>
      </c>
      <c r="B2882">
        <v>16.288</v>
      </c>
      <c r="C2882">
        <v>-98.638000000000005</v>
      </c>
      <c r="D2882" t="s">
        <v>5</v>
      </c>
      <c r="E2882" t="s">
        <v>474</v>
      </c>
      <c r="F2882">
        <f t="shared" ref="F2882:F2945" si="90">YEAR(A2882)</f>
        <v>1993</v>
      </c>
      <c r="G2882">
        <f t="shared" si="89"/>
        <v>11</v>
      </c>
      <c r="H2882" t="str">
        <f>IF(ISNUMBER(FIND(",", E2882)), TRIM(MID(E2882, FIND(",", E2882) + 1, LEN(E2882))), E2882)</f>
        <v>Mexico</v>
      </c>
    </row>
    <row r="2883" spans="1:8" x14ac:dyDescent="0.25">
      <c r="A2883" s="2">
        <v>34278</v>
      </c>
      <c r="B2883">
        <v>-3.2240000000000002</v>
      </c>
      <c r="C2883">
        <v>148.40100000000001</v>
      </c>
      <c r="D2883" t="s">
        <v>14</v>
      </c>
      <c r="E2883" t="s">
        <v>380</v>
      </c>
      <c r="F2883">
        <f t="shared" si="90"/>
        <v>1993</v>
      </c>
      <c r="G2883">
        <f t="shared" ref="G2883:G2946" si="91">MONTH(A2883)</f>
        <v>11</v>
      </c>
      <c r="H2883" t="str">
        <f>IF(ISNUMBER(FIND(",", E2883)), TRIM(MID(E2883, FIND(",", E2883) + 1, LEN(E2883))), E2883)</f>
        <v>Bismarck Sea</v>
      </c>
    </row>
    <row r="2884" spans="1:8" x14ac:dyDescent="0.25">
      <c r="A2884" s="2">
        <v>34267</v>
      </c>
      <c r="B2884">
        <v>-5.9039999999999999</v>
      </c>
      <c r="C2884">
        <v>146.08500000000001</v>
      </c>
      <c r="D2884" t="s">
        <v>14</v>
      </c>
      <c r="E2884" t="s">
        <v>243</v>
      </c>
      <c r="F2884">
        <f t="shared" si="90"/>
        <v>1993</v>
      </c>
      <c r="G2884">
        <f t="shared" si="91"/>
        <v>10</v>
      </c>
      <c r="H2884" t="str">
        <f>IF(ISNUMBER(FIND(",", E2884)), TRIM(MID(E2884, FIND(",", E2884) + 1, LEN(E2884))), E2884)</f>
        <v>Papua New Guinea</v>
      </c>
    </row>
    <row r="2885" spans="1:8" x14ac:dyDescent="0.25">
      <c r="A2885" s="2">
        <v>34266</v>
      </c>
      <c r="B2885">
        <v>16.762</v>
      </c>
      <c r="C2885">
        <v>-98.751999999999995</v>
      </c>
      <c r="D2885" t="s">
        <v>14</v>
      </c>
      <c r="E2885" t="s">
        <v>192</v>
      </c>
      <c r="F2885">
        <f t="shared" si="90"/>
        <v>1993</v>
      </c>
      <c r="G2885">
        <f t="shared" si="91"/>
        <v>10</v>
      </c>
      <c r="H2885" t="str">
        <f>IF(ISNUMBER(FIND(",", E2885)), TRIM(MID(E2885, FIND(",", E2885) + 1, LEN(E2885))), E2885)</f>
        <v>Mexico</v>
      </c>
    </row>
    <row r="2886" spans="1:8" x14ac:dyDescent="0.25">
      <c r="A2886" s="2">
        <v>34258</v>
      </c>
      <c r="B2886">
        <v>-5.8760000000000003</v>
      </c>
      <c r="C2886">
        <v>146.28200000000001</v>
      </c>
      <c r="D2886" t="s">
        <v>14</v>
      </c>
      <c r="E2886" t="s">
        <v>243</v>
      </c>
      <c r="F2886">
        <f t="shared" si="90"/>
        <v>1993</v>
      </c>
      <c r="G2886">
        <f t="shared" si="91"/>
        <v>10</v>
      </c>
      <c r="H2886" t="str">
        <f>IF(ISNUMBER(FIND(",", E2886)), TRIM(MID(E2886, FIND(",", E2886) + 1, LEN(E2886))), E2886)</f>
        <v>Papua New Guinea</v>
      </c>
    </row>
    <row r="2887" spans="1:8" x14ac:dyDescent="0.25">
      <c r="A2887" s="2">
        <v>34255</v>
      </c>
      <c r="B2887">
        <v>-5.9130000000000003</v>
      </c>
      <c r="C2887">
        <v>146.268</v>
      </c>
      <c r="D2887" t="s">
        <v>14</v>
      </c>
      <c r="E2887" t="s">
        <v>243</v>
      </c>
      <c r="F2887">
        <f t="shared" si="90"/>
        <v>1993</v>
      </c>
      <c r="G2887">
        <f t="shared" si="91"/>
        <v>10</v>
      </c>
      <c r="H2887" t="str">
        <f>IF(ISNUMBER(FIND(",", E2887)), TRIM(MID(E2887, FIND(",", E2887) + 1, LEN(E2887))), E2887)</f>
        <v>Papua New Guinea</v>
      </c>
    </row>
    <row r="2888" spans="1:8" x14ac:dyDescent="0.25">
      <c r="A2888" s="2">
        <v>34255</v>
      </c>
      <c r="B2888">
        <v>-5.8479999999999999</v>
      </c>
      <c r="C2888">
        <v>146.136</v>
      </c>
      <c r="D2888" t="s">
        <v>14</v>
      </c>
      <c r="E2888" t="s">
        <v>243</v>
      </c>
      <c r="F2888">
        <f t="shared" si="90"/>
        <v>1993</v>
      </c>
      <c r="G2888">
        <f t="shared" si="91"/>
        <v>10</v>
      </c>
      <c r="H2888" t="str">
        <f>IF(ISNUMBER(FIND(",", E2888)), TRIM(MID(E2888, FIND(",", E2888) + 1, LEN(E2888))), E2888)</f>
        <v>Papua New Guinea</v>
      </c>
    </row>
    <row r="2889" spans="1:8" x14ac:dyDescent="0.25">
      <c r="A2889" s="2">
        <v>34253</v>
      </c>
      <c r="B2889">
        <v>32.063000000000002</v>
      </c>
      <c r="C2889">
        <v>137.916</v>
      </c>
      <c r="D2889" t="s">
        <v>14</v>
      </c>
      <c r="E2889" t="s">
        <v>88</v>
      </c>
      <c r="F2889">
        <f t="shared" si="90"/>
        <v>1993</v>
      </c>
      <c r="G2889">
        <f t="shared" si="91"/>
        <v>10</v>
      </c>
      <c r="H2889" t="str">
        <f>IF(ISNUMBER(FIND(",", E2889)), TRIM(MID(E2889, FIND(",", E2889) + 1, LEN(E2889))), E2889)</f>
        <v>Japan region</v>
      </c>
    </row>
    <row r="2890" spans="1:8" x14ac:dyDescent="0.25">
      <c r="A2890" s="2">
        <v>34247</v>
      </c>
      <c r="B2890">
        <v>-6.1559999999999997</v>
      </c>
      <c r="C2890">
        <v>128.96299999999999</v>
      </c>
      <c r="D2890" t="s">
        <v>14</v>
      </c>
      <c r="E2890" t="s">
        <v>187</v>
      </c>
      <c r="F2890">
        <f t="shared" si="90"/>
        <v>1993</v>
      </c>
      <c r="G2890">
        <f t="shared" si="91"/>
        <v>10</v>
      </c>
      <c r="H2890" t="str">
        <f>IF(ISNUMBER(FIND(",", E2890)), TRIM(MID(E2890, FIND(",", E2890) + 1, LEN(E2890))), E2890)</f>
        <v>Banda Sea</v>
      </c>
    </row>
    <row r="2891" spans="1:8" x14ac:dyDescent="0.25">
      <c r="A2891" s="2">
        <v>34246</v>
      </c>
      <c r="B2891">
        <v>-21.437000000000001</v>
      </c>
      <c r="C2891">
        <v>-174.30099999999999</v>
      </c>
      <c r="D2891" t="s">
        <v>5</v>
      </c>
      <c r="E2891" t="s">
        <v>239</v>
      </c>
      <c r="F2891">
        <f t="shared" si="90"/>
        <v>1993</v>
      </c>
      <c r="G2891">
        <f t="shared" si="91"/>
        <v>10</v>
      </c>
      <c r="H2891" t="str">
        <f>IF(ISNUMBER(FIND(",", E2891)), TRIM(MID(E2891, FIND(",", E2891) + 1, LEN(E2891))), E2891)</f>
        <v>Tonga</v>
      </c>
    </row>
    <row r="2892" spans="1:8" x14ac:dyDescent="0.25">
      <c r="A2892" s="2">
        <v>34244</v>
      </c>
      <c r="B2892">
        <v>38.179000000000002</v>
      </c>
      <c r="C2892">
        <v>88.688000000000002</v>
      </c>
      <c r="D2892" t="s">
        <v>14</v>
      </c>
      <c r="E2892" t="s">
        <v>482</v>
      </c>
      <c r="F2892">
        <f t="shared" si="90"/>
        <v>1993</v>
      </c>
      <c r="G2892">
        <f t="shared" si="91"/>
        <v>10</v>
      </c>
      <c r="H2892" t="str">
        <f>IF(ISNUMBER(FIND(",", E2892)), TRIM(MID(E2892, FIND(",", E2892) + 1, LEN(E2892))), E2892)</f>
        <v>China</v>
      </c>
    </row>
    <row r="2893" spans="1:8" x14ac:dyDescent="0.25">
      <c r="A2893" s="2">
        <v>34242</v>
      </c>
      <c r="B2893">
        <v>15.179</v>
      </c>
      <c r="C2893">
        <v>-94.852000000000004</v>
      </c>
      <c r="D2893" t="s">
        <v>14</v>
      </c>
      <c r="E2893" t="s">
        <v>562</v>
      </c>
      <c r="F2893">
        <f t="shared" si="90"/>
        <v>1993</v>
      </c>
      <c r="G2893">
        <f t="shared" si="91"/>
        <v>9</v>
      </c>
      <c r="H2893" t="str">
        <f>IF(ISNUMBER(FIND(",", E2893)), TRIM(MID(E2893, FIND(",", E2893) + 1, LEN(E2893))), E2893)</f>
        <v>Mexico</v>
      </c>
    </row>
    <row r="2894" spans="1:8" x14ac:dyDescent="0.25">
      <c r="A2894" s="2">
        <v>34241</v>
      </c>
      <c r="B2894">
        <v>18.077000000000002</v>
      </c>
      <c r="C2894">
        <v>76.486000000000004</v>
      </c>
      <c r="D2894" t="s">
        <v>14</v>
      </c>
      <c r="E2894" t="s">
        <v>563</v>
      </c>
      <c r="F2894">
        <f t="shared" si="90"/>
        <v>1993</v>
      </c>
      <c r="G2894">
        <f t="shared" si="91"/>
        <v>9</v>
      </c>
      <c r="H2894" t="str">
        <f>IF(ISNUMBER(FIND(",", E2894)), TRIM(MID(E2894, FIND(",", E2894) + 1, LEN(E2894))), E2894)</f>
        <v>India</v>
      </c>
    </row>
    <row r="2895" spans="1:8" x14ac:dyDescent="0.25">
      <c r="A2895" s="2">
        <v>34241</v>
      </c>
      <c r="B2895">
        <v>0.49199999999999999</v>
      </c>
      <c r="C2895">
        <v>121.518</v>
      </c>
      <c r="D2895" t="s">
        <v>14</v>
      </c>
      <c r="E2895" t="s">
        <v>263</v>
      </c>
      <c r="F2895">
        <f t="shared" si="90"/>
        <v>1993</v>
      </c>
      <c r="G2895">
        <f t="shared" si="91"/>
        <v>9</v>
      </c>
      <c r="H2895" t="str">
        <f>IF(ISNUMBER(FIND(",", E2895)), TRIM(MID(E2895, FIND(",", E2895) + 1, LEN(E2895))), E2895)</f>
        <v>Sulawesi, Indonesia</v>
      </c>
    </row>
    <row r="2896" spans="1:8" x14ac:dyDescent="0.25">
      <c r="A2896" s="2">
        <v>34239</v>
      </c>
      <c r="B2896">
        <v>-53.692999999999998</v>
      </c>
      <c r="C2896">
        <v>-51.661999999999999</v>
      </c>
      <c r="D2896" t="s">
        <v>14</v>
      </c>
      <c r="E2896" t="s">
        <v>50</v>
      </c>
      <c r="F2896">
        <f t="shared" si="90"/>
        <v>1993</v>
      </c>
      <c r="G2896">
        <f t="shared" si="91"/>
        <v>9</v>
      </c>
      <c r="H2896" t="str">
        <f>IF(ISNUMBER(FIND(",", E2896)), TRIM(MID(E2896, FIND(",", E2896) + 1, LEN(E2896))), E2896)</f>
        <v>South Atlantic Ocean</v>
      </c>
    </row>
    <row r="2897" spans="1:8" x14ac:dyDescent="0.25">
      <c r="A2897" s="2">
        <v>34238</v>
      </c>
      <c r="B2897">
        <v>10.047000000000001</v>
      </c>
      <c r="C2897">
        <v>138.31399999999999</v>
      </c>
      <c r="D2897" t="s">
        <v>14</v>
      </c>
      <c r="E2897" t="s">
        <v>458</v>
      </c>
      <c r="F2897">
        <f t="shared" si="90"/>
        <v>1993</v>
      </c>
      <c r="G2897">
        <f t="shared" si="91"/>
        <v>9</v>
      </c>
      <c r="H2897" t="str">
        <f>IF(ISNUMBER(FIND(",", E2897)), TRIM(MID(E2897, FIND(",", E2897) + 1, LEN(E2897))), E2897)</f>
        <v>Federated States of Micronesia</v>
      </c>
    </row>
    <row r="2898" spans="1:8" x14ac:dyDescent="0.25">
      <c r="A2898" s="2">
        <v>34234</v>
      </c>
      <c r="B2898">
        <v>-6.452</v>
      </c>
      <c r="C2898">
        <v>155.00800000000001</v>
      </c>
      <c r="D2898" t="s">
        <v>14</v>
      </c>
      <c r="E2898" t="s">
        <v>290</v>
      </c>
      <c r="F2898">
        <f t="shared" si="90"/>
        <v>1993</v>
      </c>
      <c r="G2898">
        <f t="shared" si="91"/>
        <v>9</v>
      </c>
      <c r="H2898" t="str">
        <f>IF(ISNUMBER(FIND(",", E2898)), TRIM(MID(E2898, FIND(",", E2898) + 1, LEN(E2898))), E2898)</f>
        <v>Papua New Guinea</v>
      </c>
    </row>
    <row r="2899" spans="1:8" x14ac:dyDescent="0.25">
      <c r="A2899" s="2">
        <v>34232</v>
      </c>
      <c r="B2899">
        <v>0.753</v>
      </c>
      <c r="C2899">
        <v>-29.423999999999999</v>
      </c>
      <c r="D2899" t="s">
        <v>14</v>
      </c>
      <c r="E2899" t="s">
        <v>291</v>
      </c>
      <c r="F2899">
        <f t="shared" si="90"/>
        <v>1993</v>
      </c>
      <c r="G2899">
        <f t="shared" si="91"/>
        <v>9</v>
      </c>
      <c r="H2899" t="str">
        <f>IF(ISNUMBER(FIND(",", E2899)), TRIM(MID(E2899, FIND(",", E2899) + 1, LEN(E2899))), E2899)</f>
        <v>central Mid-Atlantic Ridge</v>
      </c>
    </row>
    <row r="2900" spans="1:8" x14ac:dyDescent="0.25">
      <c r="A2900" s="2">
        <v>34231</v>
      </c>
      <c r="B2900">
        <v>14.314</v>
      </c>
      <c r="C2900">
        <v>-93.316999999999993</v>
      </c>
      <c r="D2900" t="s">
        <v>14</v>
      </c>
      <c r="E2900" t="s">
        <v>510</v>
      </c>
      <c r="F2900">
        <f t="shared" si="90"/>
        <v>1993</v>
      </c>
      <c r="G2900">
        <f t="shared" si="91"/>
        <v>9</v>
      </c>
      <c r="H2900" t="str">
        <f>IF(ISNUMBER(FIND(",", E2900)), TRIM(MID(E2900, FIND(",", E2900) + 1, LEN(E2900))), E2900)</f>
        <v>Mexico</v>
      </c>
    </row>
    <row r="2901" spans="1:8" x14ac:dyDescent="0.25">
      <c r="A2901" s="2">
        <v>34230</v>
      </c>
      <c r="B2901">
        <v>36.381999999999998</v>
      </c>
      <c r="C2901">
        <v>71.569000000000003</v>
      </c>
      <c r="D2901" t="s">
        <v>14</v>
      </c>
      <c r="E2901" t="s">
        <v>314</v>
      </c>
      <c r="F2901">
        <f t="shared" si="90"/>
        <v>1993</v>
      </c>
      <c r="G2901">
        <f t="shared" si="91"/>
        <v>9</v>
      </c>
      <c r="H2901" t="str">
        <f>IF(ISNUMBER(FIND(",", E2901)), TRIM(MID(E2901, FIND(",", E2901) + 1, LEN(E2901))), E2901)</f>
        <v>Afghanistan</v>
      </c>
    </row>
    <row r="2902" spans="1:8" x14ac:dyDescent="0.25">
      <c r="A2902" s="2">
        <v>34225</v>
      </c>
      <c r="B2902">
        <v>-29.597999999999999</v>
      </c>
      <c r="C2902">
        <v>-177.029</v>
      </c>
      <c r="D2902" t="s">
        <v>14</v>
      </c>
      <c r="E2902" t="s">
        <v>288</v>
      </c>
      <c r="F2902">
        <f t="shared" si="90"/>
        <v>1993</v>
      </c>
      <c r="G2902">
        <f t="shared" si="91"/>
        <v>9</v>
      </c>
      <c r="H2902" t="str">
        <f>IF(ISNUMBER(FIND(",", E2902)), TRIM(MID(E2902, FIND(",", E2902) + 1, LEN(E2902))), E2902)</f>
        <v>New Zealand</v>
      </c>
    </row>
    <row r="2903" spans="1:8" x14ac:dyDescent="0.25">
      <c r="A2903" s="2">
        <v>34222</v>
      </c>
      <c r="B2903">
        <v>14.762</v>
      </c>
      <c r="C2903">
        <v>-92.644000000000005</v>
      </c>
      <c r="D2903" t="s">
        <v>14</v>
      </c>
      <c r="E2903" t="s">
        <v>238</v>
      </c>
      <c r="F2903">
        <f t="shared" si="90"/>
        <v>1993</v>
      </c>
      <c r="G2903">
        <f t="shared" si="91"/>
        <v>9</v>
      </c>
      <c r="H2903" t="str">
        <f>IF(ISNUMBER(FIND(",", E2903)), TRIM(MID(E2903, FIND(",", E2903) + 1, LEN(E2903))), E2903)</f>
        <v>Mexico</v>
      </c>
    </row>
    <row r="2904" spans="1:8" x14ac:dyDescent="0.25">
      <c r="A2904" s="2">
        <v>34219</v>
      </c>
      <c r="B2904">
        <v>-31.706</v>
      </c>
      <c r="C2904">
        <v>-179.37</v>
      </c>
      <c r="D2904" t="s">
        <v>14</v>
      </c>
      <c r="E2904" t="s">
        <v>240</v>
      </c>
      <c r="F2904">
        <f t="shared" si="90"/>
        <v>1993</v>
      </c>
      <c r="G2904">
        <f t="shared" si="91"/>
        <v>9</v>
      </c>
      <c r="H2904" t="str">
        <f>IF(ISNUMBER(FIND(",", E2904)), TRIM(MID(E2904, FIND(",", E2904) + 1, LEN(E2904))), E2904)</f>
        <v>Kermadec Islands region</v>
      </c>
    </row>
    <row r="2905" spans="1:8" x14ac:dyDescent="0.25">
      <c r="A2905" s="2">
        <v>34218</v>
      </c>
      <c r="B2905">
        <v>-4.6280000000000001</v>
      </c>
      <c r="C2905">
        <v>153.28800000000001</v>
      </c>
      <c r="D2905" t="s">
        <v>14</v>
      </c>
      <c r="E2905" t="s">
        <v>183</v>
      </c>
      <c r="F2905">
        <f t="shared" si="90"/>
        <v>1993</v>
      </c>
      <c r="G2905">
        <f t="shared" si="91"/>
        <v>9</v>
      </c>
      <c r="H2905" t="str">
        <f>IF(ISNUMBER(FIND(",", E2905)), TRIM(MID(E2905, FIND(",", E2905) + 1, LEN(E2905))), E2905)</f>
        <v>Papua New Guinea</v>
      </c>
    </row>
    <row r="2906" spans="1:8" x14ac:dyDescent="0.25">
      <c r="A2906" s="2">
        <v>34216</v>
      </c>
      <c r="B2906">
        <v>-9.6280000000000001</v>
      </c>
      <c r="C2906">
        <v>122.449</v>
      </c>
      <c r="D2906" t="s">
        <v>14</v>
      </c>
      <c r="E2906" t="s">
        <v>471</v>
      </c>
      <c r="F2906">
        <f t="shared" si="90"/>
        <v>1993</v>
      </c>
      <c r="G2906">
        <f t="shared" si="91"/>
        <v>9</v>
      </c>
      <c r="H2906" t="str">
        <f>IF(ISNUMBER(FIND(",", E2906)), TRIM(MID(E2906, FIND(",", E2906) + 1, LEN(E2906))), E2906)</f>
        <v>Savu Sea</v>
      </c>
    </row>
    <row r="2907" spans="1:8" x14ac:dyDescent="0.25">
      <c r="A2907" s="2">
        <v>34215</v>
      </c>
      <c r="B2907">
        <v>14.597</v>
      </c>
      <c r="C2907">
        <v>-92.784000000000006</v>
      </c>
      <c r="D2907" t="s">
        <v>14</v>
      </c>
      <c r="E2907" t="s">
        <v>238</v>
      </c>
      <c r="F2907">
        <f t="shared" si="90"/>
        <v>1993</v>
      </c>
      <c r="G2907">
        <f t="shared" si="91"/>
        <v>9</v>
      </c>
      <c r="H2907" t="str">
        <f>IF(ISNUMBER(FIND(",", E2907)), TRIM(MID(E2907, FIND(",", E2907) + 1, LEN(E2907))), E2907)</f>
        <v>Mexico</v>
      </c>
    </row>
    <row r="2908" spans="1:8" x14ac:dyDescent="0.25">
      <c r="A2908" s="2">
        <v>34213</v>
      </c>
      <c r="B2908">
        <v>2.97</v>
      </c>
      <c r="C2908">
        <v>96.072000000000003</v>
      </c>
      <c r="D2908" t="s">
        <v>14</v>
      </c>
      <c r="E2908" t="s">
        <v>222</v>
      </c>
      <c r="F2908">
        <f t="shared" si="90"/>
        <v>1993</v>
      </c>
      <c r="G2908">
        <f t="shared" si="91"/>
        <v>9</v>
      </c>
      <c r="H2908" t="str">
        <f>IF(ISNUMBER(FIND(",", E2908)), TRIM(MID(E2908, FIND(",", E2908) + 1, LEN(E2908))), E2908)</f>
        <v>Indonesia</v>
      </c>
    </row>
    <row r="2909" spans="1:8" x14ac:dyDescent="0.25">
      <c r="A2909" s="2">
        <v>34206</v>
      </c>
      <c r="B2909">
        <v>-44.817999999999998</v>
      </c>
      <c r="C2909">
        <v>-80.233000000000004</v>
      </c>
      <c r="D2909" t="s">
        <v>14</v>
      </c>
      <c r="E2909" t="s">
        <v>194</v>
      </c>
      <c r="F2909">
        <f t="shared" si="90"/>
        <v>1993</v>
      </c>
      <c r="G2909">
        <f t="shared" si="91"/>
        <v>8</v>
      </c>
      <c r="H2909" t="str">
        <f>IF(ISNUMBER(FIND(",", E2909)), TRIM(MID(E2909, FIND(",", E2909) + 1, LEN(E2909))), E2909)</f>
        <v>Chile</v>
      </c>
    </row>
    <row r="2910" spans="1:8" x14ac:dyDescent="0.25">
      <c r="A2910" s="2">
        <v>34201</v>
      </c>
      <c r="B2910">
        <v>-6.0149999999999997</v>
      </c>
      <c r="C2910">
        <v>142.79499999999999</v>
      </c>
      <c r="D2910" t="s">
        <v>14</v>
      </c>
      <c r="E2910" t="s">
        <v>253</v>
      </c>
      <c r="F2910">
        <f t="shared" si="90"/>
        <v>1993</v>
      </c>
      <c r="G2910">
        <f t="shared" si="91"/>
        <v>8</v>
      </c>
      <c r="H2910" t="str">
        <f>IF(ISNUMBER(FIND(",", E2910)), TRIM(MID(E2910, FIND(",", E2910) + 1, LEN(E2910))), E2910)</f>
        <v>Papua New Guinea</v>
      </c>
    </row>
    <row r="2911" spans="1:8" x14ac:dyDescent="0.25">
      <c r="A2911" s="2">
        <v>34194</v>
      </c>
      <c r="B2911">
        <v>-35.936999999999998</v>
      </c>
      <c r="C2911">
        <v>178.69900000000001</v>
      </c>
      <c r="D2911" t="s">
        <v>14</v>
      </c>
      <c r="E2911" t="s">
        <v>410</v>
      </c>
      <c r="F2911">
        <f t="shared" si="90"/>
        <v>1993</v>
      </c>
      <c r="G2911">
        <f t="shared" si="91"/>
        <v>8</v>
      </c>
      <c r="H2911" t="str">
        <f>IF(ISNUMBER(FIND(",", E2911)), TRIM(MID(E2911, FIND(",", E2911) + 1, LEN(E2911))), E2911)</f>
        <v>off the east coast of the North Island of New Zealand</v>
      </c>
    </row>
    <row r="2912" spans="1:8" x14ac:dyDescent="0.25">
      <c r="A2912" s="2">
        <v>34191</v>
      </c>
      <c r="B2912">
        <v>-38.494999999999997</v>
      </c>
      <c r="C2912">
        <v>177.79499999999999</v>
      </c>
      <c r="D2912" t="s">
        <v>14</v>
      </c>
      <c r="E2912" t="s">
        <v>188</v>
      </c>
      <c r="F2912">
        <f t="shared" si="90"/>
        <v>1993</v>
      </c>
      <c r="G2912">
        <f t="shared" si="91"/>
        <v>8</v>
      </c>
      <c r="H2912" t="str">
        <f>IF(ISNUMBER(FIND(",", E2912)), TRIM(MID(E2912, FIND(",", E2912) + 1, LEN(E2912))), E2912)</f>
        <v>North Island of New Zealand</v>
      </c>
    </row>
    <row r="2913" spans="1:8" x14ac:dyDescent="0.25">
      <c r="A2913" s="2">
        <v>34191</v>
      </c>
      <c r="B2913">
        <v>-45.219000000000001</v>
      </c>
      <c r="C2913">
        <v>167.00700000000001</v>
      </c>
      <c r="D2913" t="s">
        <v>14</v>
      </c>
      <c r="E2913" t="s">
        <v>300</v>
      </c>
      <c r="F2913">
        <f t="shared" si="90"/>
        <v>1993</v>
      </c>
      <c r="G2913">
        <f t="shared" si="91"/>
        <v>8</v>
      </c>
      <c r="H2913" t="str">
        <f>IF(ISNUMBER(FIND(",", E2913)), TRIM(MID(E2913, FIND(",", E2913) + 1, LEN(E2913))), E2913)</f>
        <v>South Island of New Zealand</v>
      </c>
    </row>
    <row r="2914" spans="1:8" x14ac:dyDescent="0.25">
      <c r="A2914" s="2">
        <v>34190</v>
      </c>
      <c r="B2914">
        <v>36.326999999999998</v>
      </c>
      <c r="C2914">
        <v>70.873999999999995</v>
      </c>
      <c r="D2914" t="s">
        <v>14</v>
      </c>
      <c r="E2914" t="s">
        <v>314</v>
      </c>
      <c r="F2914">
        <f t="shared" si="90"/>
        <v>1993</v>
      </c>
      <c r="G2914">
        <f t="shared" si="91"/>
        <v>8</v>
      </c>
      <c r="H2914" t="str">
        <f>IF(ISNUMBER(FIND(",", E2914)), TRIM(MID(E2914, FIND(",", E2914) + 1, LEN(E2914))), E2914)</f>
        <v>Afghanistan</v>
      </c>
    </row>
    <row r="2915" spans="1:8" x14ac:dyDescent="0.25">
      <c r="A2915" s="2">
        <v>34190</v>
      </c>
      <c r="B2915">
        <v>36.405999999999999</v>
      </c>
      <c r="C2915">
        <v>70.712999999999994</v>
      </c>
      <c r="D2915" t="s">
        <v>14</v>
      </c>
      <c r="E2915" t="s">
        <v>314</v>
      </c>
      <c r="F2915">
        <f t="shared" si="90"/>
        <v>1993</v>
      </c>
      <c r="G2915">
        <f t="shared" si="91"/>
        <v>8</v>
      </c>
      <c r="H2915" t="str">
        <f>IF(ISNUMBER(FIND(",", E2915)), TRIM(MID(E2915, FIND(",", E2915) + 1, LEN(E2915))), E2915)</f>
        <v>Afghanistan</v>
      </c>
    </row>
    <row r="2916" spans="1:8" x14ac:dyDescent="0.25">
      <c r="A2916" s="2">
        <v>34189</v>
      </c>
      <c r="B2916">
        <v>12.999000000000001</v>
      </c>
      <c r="C2916">
        <v>144.87200000000001</v>
      </c>
      <c r="D2916" t="s">
        <v>14</v>
      </c>
      <c r="E2916" t="s">
        <v>403</v>
      </c>
      <c r="F2916">
        <f t="shared" si="90"/>
        <v>1993</v>
      </c>
      <c r="G2916">
        <f t="shared" si="91"/>
        <v>8</v>
      </c>
      <c r="H2916" t="str">
        <f>IF(ISNUMBER(FIND(",", E2916)), TRIM(MID(E2916, FIND(",", E2916) + 1, LEN(E2916))), E2916)</f>
        <v>Guam region</v>
      </c>
    </row>
    <row r="2917" spans="1:8" x14ac:dyDescent="0.25">
      <c r="A2917" s="2">
        <v>34188</v>
      </c>
      <c r="B2917">
        <v>42.084000000000003</v>
      </c>
      <c r="C2917">
        <v>139.87100000000001</v>
      </c>
      <c r="D2917" t="s">
        <v>14</v>
      </c>
      <c r="E2917" t="s">
        <v>265</v>
      </c>
      <c r="F2917">
        <f t="shared" si="90"/>
        <v>1993</v>
      </c>
      <c r="G2917">
        <f t="shared" si="91"/>
        <v>8</v>
      </c>
      <c r="H2917" t="str">
        <f>IF(ISNUMBER(FIND(",", E2917)), TRIM(MID(E2917, FIND(",", E2917) + 1, LEN(E2917))), E2917)</f>
        <v>Japan region</v>
      </c>
    </row>
    <row r="2918" spans="1:8" x14ac:dyDescent="0.25">
      <c r="A2918" s="2">
        <v>34188</v>
      </c>
      <c r="B2918">
        <v>-23.908999999999999</v>
      </c>
      <c r="C2918">
        <v>179.95699999999999</v>
      </c>
      <c r="D2918" t="s">
        <v>14</v>
      </c>
      <c r="E2918" t="s">
        <v>256</v>
      </c>
      <c r="F2918">
        <f t="shared" si="90"/>
        <v>1993</v>
      </c>
      <c r="G2918">
        <f t="shared" si="91"/>
        <v>8</v>
      </c>
      <c r="H2918" t="str">
        <f>IF(ISNUMBER(FIND(",", E2918)), TRIM(MID(E2918, FIND(",", E2918) + 1, LEN(E2918))), E2918)</f>
        <v>south of the Fiji Islands</v>
      </c>
    </row>
    <row r="2919" spans="1:8" x14ac:dyDescent="0.25">
      <c r="A2919" s="2">
        <v>34188</v>
      </c>
      <c r="B2919">
        <v>26.623000000000001</v>
      </c>
      <c r="C2919">
        <v>125.669</v>
      </c>
      <c r="D2919" t="s">
        <v>14</v>
      </c>
      <c r="E2919" t="s">
        <v>269</v>
      </c>
      <c r="F2919">
        <f t="shared" si="90"/>
        <v>1993</v>
      </c>
      <c r="G2919">
        <f t="shared" si="91"/>
        <v>8</v>
      </c>
      <c r="H2919" t="str">
        <f>IF(ISNUMBER(FIND(",", E2919)), TRIM(MID(E2919, FIND(",", E2919) + 1, LEN(E2919))), E2919)</f>
        <v>northeast of Taiwan</v>
      </c>
    </row>
    <row r="2920" spans="1:8" x14ac:dyDescent="0.25">
      <c r="A2920" s="2">
        <v>34185</v>
      </c>
      <c r="B2920">
        <v>-1.6839999999999999</v>
      </c>
      <c r="C2920">
        <v>99.512</v>
      </c>
      <c r="D2920" t="s">
        <v>14</v>
      </c>
      <c r="E2920" t="s">
        <v>209</v>
      </c>
      <c r="F2920">
        <f t="shared" si="90"/>
        <v>1993</v>
      </c>
      <c r="G2920">
        <f t="shared" si="91"/>
        <v>8</v>
      </c>
      <c r="H2920" t="str">
        <f>IF(ISNUMBER(FIND(",", E2920)), TRIM(MID(E2920, FIND(",", E2920) + 1, LEN(E2920))), E2920)</f>
        <v>Indonesia</v>
      </c>
    </row>
    <row r="2921" spans="1:8" x14ac:dyDescent="0.25">
      <c r="A2921" s="2">
        <v>34184</v>
      </c>
      <c r="B2921">
        <v>28.713999999999999</v>
      </c>
      <c r="C2921">
        <v>34.546999999999997</v>
      </c>
      <c r="D2921" t="s">
        <v>14</v>
      </c>
      <c r="E2921" t="s">
        <v>550</v>
      </c>
      <c r="F2921">
        <f t="shared" si="90"/>
        <v>1993</v>
      </c>
      <c r="G2921">
        <f t="shared" si="91"/>
        <v>8</v>
      </c>
      <c r="H2921" t="str">
        <f>IF(ISNUMBER(FIND(",", E2921)), TRIM(MID(E2921, FIND(",", E2921) + 1, LEN(E2921))), E2921)</f>
        <v>Egypt</v>
      </c>
    </row>
    <row r="2922" spans="1:8" x14ac:dyDescent="0.25">
      <c r="A2922" s="2">
        <v>34178</v>
      </c>
      <c r="B2922">
        <v>-5.593</v>
      </c>
      <c r="C2922">
        <v>154.18100000000001</v>
      </c>
      <c r="D2922" t="s">
        <v>14</v>
      </c>
      <c r="E2922" t="s">
        <v>290</v>
      </c>
      <c r="F2922">
        <f t="shared" si="90"/>
        <v>1993</v>
      </c>
      <c r="G2922">
        <f t="shared" si="91"/>
        <v>7</v>
      </c>
      <c r="H2922" t="str">
        <f>IF(ISNUMBER(FIND(",", E2922)), TRIM(MID(E2922, FIND(",", E2922) + 1, LEN(E2922))), E2922)</f>
        <v>Papua New Guinea</v>
      </c>
    </row>
    <row r="2923" spans="1:8" x14ac:dyDescent="0.25">
      <c r="A2923" s="2">
        <v>34162</v>
      </c>
      <c r="B2923">
        <v>42.84</v>
      </c>
      <c r="C2923">
        <v>139.37200000000001</v>
      </c>
      <c r="D2923" t="s">
        <v>14</v>
      </c>
      <c r="E2923" t="s">
        <v>265</v>
      </c>
      <c r="F2923">
        <f t="shared" si="90"/>
        <v>1993</v>
      </c>
      <c r="G2923">
        <f t="shared" si="91"/>
        <v>7</v>
      </c>
      <c r="H2923" t="str">
        <f>IF(ISNUMBER(FIND(",", E2923)), TRIM(MID(E2923, FIND(",", E2923) + 1, LEN(E2923))), E2923)</f>
        <v>Japan region</v>
      </c>
    </row>
    <row r="2924" spans="1:8" x14ac:dyDescent="0.25">
      <c r="A2924" s="2">
        <v>34162</v>
      </c>
      <c r="B2924">
        <v>43.171999999999997</v>
      </c>
      <c r="C2924">
        <v>139.267</v>
      </c>
      <c r="D2924" t="s">
        <v>14</v>
      </c>
      <c r="E2924" t="s">
        <v>540</v>
      </c>
      <c r="F2924">
        <f t="shared" si="90"/>
        <v>1993</v>
      </c>
      <c r="G2924">
        <f t="shared" si="91"/>
        <v>7</v>
      </c>
      <c r="H2924" t="str">
        <f>IF(ISNUMBER(FIND(",", E2924)), TRIM(MID(E2924, FIND(",", E2924) + 1, LEN(E2924))), E2924)</f>
        <v>eastern Sea of Japan</v>
      </c>
    </row>
    <row r="2925" spans="1:8" x14ac:dyDescent="0.25">
      <c r="A2925" s="2">
        <v>34162</v>
      </c>
      <c r="B2925">
        <v>42.899000000000001</v>
      </c>
      <c r="C2925">
        <v>139.245</v>
      </c>
      <c r="D2925" t="s">
        <v>14</v>
      </c>
      <c r="E2925" t="s">
        <v>265</v>
      </c>
      <c r="F2925">
        <f t="shared" si="90"/>
        <v>1993</v>
      </c>
      <c r="G2925">
        <f t="shared" si="91"/>
        <v>7</v>
      </c>
      <c r="H2925" t="str">
        <f>IF(ISNUMBER(FIND(",", E2925)), TRIM(MID(E2925, FIND(",", E2925) + 1, LEN(E2925))), E2925)</f>
        <v>Japan region</v>
      </c>
    </row>
    <row r="2926" spans="1:8" x14ac:dyDescent="0.25">
      <c r="A2926" s="2">
        <v>34161</v>
      </c>
      <c r="B2926">
        <v>-25.245999999999999</v>
      </c>
      <c r="C2926">
        <v>-70.072000000000003</v>
      </c>
      <c r="D2926" t="s">
        <v>14</v>
      </c>
      <c r="E2926" t="s">
        <v>289</v>
      </c>
      <c r="F2926">
        <f t="shared" si="90"/>
        <v>1993</v>
      </c>
      <c r="G2926">
        <f t="shared" si="91"/>
        <v>7</v>
      </c>
      <c r="H2926" t="str">
        <f>IF(ISNUMBER(FIND(",", E2926)), TRIM(MID(E2926, FIND(",", E2926) + 1, LEN(E2926))), E2926)</f>
        <v>Chile</v>
      </c>
    </row>
    <row r="2927" spans="1:8" x14ac:dyDescent="0.25">
      <c r="A2927" s="2">
        <v>34159</v>
      </c>
      <c r="B2927">
        <v>-19.78</v>
      </c>
      <c r="C2927">
        <v>-177.43299999999999</v>
      </c>
      <c r="D2927" t="s">
        <v>14</v>
      </c>
      <c r="E2927" t="s">
        <v>53</v>
      </c>
      <c r="F2927">
        <f t="shared" si="90"/>
        <v>1993</v>
      </c>
      <c r="G2927">
        <f t="shared" si="91"/>
        <v>7</v>
      </c>
      <c r="H2927" t="str">
        <f>IF(ISNUMBER(FIND(",", E2927)), TRIM(MID(E2927, FIND(",", E2927) + 1, LEN(E2927))), E2927)</f>
        <v>Fiji region</v>
      </c>
    </row>
    <row r="2928" spans="1:8" x14ac:dyDescent="0.25">
      <c r="A2928" s="2">
        <v>34156</v>
      </c>
      <c r="B2928">
        <v>-24.797999999999998</v>
      </c>
      <c r="C2928">
        <v>-112.032</v>
      </c>
      <c r="D2928" t="s">
        <v>14</v>
      </c>
      <c r="E2928" t="s">
        <v>59</v>
      </c>
      <c r="F2928">
        <f t="shared" si="90"/>
        <v>1993</v>
      </c>
      <c r="G2928">
        <f t="shared" si="91"/>
        <v>7</v>
      </c>
      <c r="H2928" t="str">
        <f>IF(ISNUMBER(FIND(",", E2928)), TRIM(MID(E2928, FIND(",", E2928) + 1, LEN(E2928))), E2928)</f>
        <v>Easter Island region</v>
      </c>
    </row>
    <row r="2929" spans="1:8" x14ac:dyDescent="0.25">
      <c r="A2929" s="2">
        <v>34150</v>
      </c>
      <c r="B2929">
        <v>-20.817</v>
      </c>
      <c r="C2929">
        <v>172.96299999999999</v>
      </c>
      <c r="D2929" t="s">
        <v>14</v>
      </c>
      <c r="E2929" t="s">
        <v>281</v>
      </c>
      <c r="F2929">
        <f t="shared" si="90"/>
        <v>1993</v>
      </c>
      <c r="G2929">
        <f t="shared" si="91"/>
        <v>6</v>
      </c>
      <c r="H2929" t="str">
        <f>IF(ISNUMBER(FIND(",", E2929)), TRIM(MID(E2929, FIND(",", E2929) + 1, LEN(E2929))), E2929)</f>
        <v>Vanuatu region</v>
      </c>
    </row>
    <row r="2930" spans="1:8" x14ac:dyDescent="0.25">
      <c r="A2930" s="2">
        <v>34149</v>
      </c>
      <c r="B2930">
        <v>-60.578000000000003</v>
      </c>
      <c r="C2930">
        <v>153.12799999999999</v>
      </c>
      <c r="D2930" t="s">
        <v>14</v>
      </c>
      <c r="E2930" t="s">
        <v>205</v>
      </c>
      <c r="F2930">
        <f t="shared" si="90"/>
        <v>1993</v>
      </c>
      <c r="G2930">
        <f t="shared" si="91"/>
        <v>6</v>
      </c>
      <c r="H2930" t="str">
        <f>IF(ISNUMBER(FIND(",", E2930)), TRIM(MID(E2930, FIND(",", E2930) + 1, LEN(E2930))), E2930)</f>
        <v>west of Macquarie Island</v>
      </c>
    </row>
    <row r="2931" spans="1:8" x14ac:dyDescent="0.25">
      <c r="A2931" s="2">
        <v>34138</v>
      </c>
      <c r="B2931">
        <v>-28.702999999999999</v>
      </c>
      <c r="C2931">
        <v>-176.68799999999999</v>
      </c>
      <c r="D2931" t="s">
        <v>14</v>
      </c>
      <c r="E2931" t="s">
        <v>240</v>
      </c>
      <c r="F2931">
        <f t="shared" si="90"/>
        <v>1993</v>
      </c>
      <c r="G2931">
        <f t="shared" si="91"/>
        <v>6</v>
      </c>
      <c r="H2931" t="str">
        <f>IF(ISNUMBER(FIND(",", E2931)), TRIM(MID(E2931, FIND(",", E2931) + 1, LEN(E2931))), E2931)</f>
        <v>Kermadec Islands region</v>
      </c>
    </row>
    <row r="2932" spans="1:8" x14ac:dyDescent="0.25">
      <c r="A2932" s="2">
        <v>34138</v>
      </c>
      <c r="B2932">
        <v>-28.594000000000001</v>
      </c>
      <c r="C2932">
        <v>-176.75700000000001</v>
      </c>
      <c r="D2932" t="s">
        <v>14</v>
      </c>
      <c r="E2932" t="s">
        <v>240</v>
      </c>
      <c r="F2932">
        <f t="shared" si="90"/>
        <v>1993</v>
      </c>
      <c r="G2932">
        <f t="shared" si="91"/>
        <v>6</v>
      </c>
      <c r="H2932" t="str">
        <f>IF(ISNUMBER(FIND(",", E2932)), TRIM(MID(E2932, FIND(",", E2932) + 1, LEN(E2932))), E2932)</f>
        <v>Kermadec Islands region</v>
      </c>
    </row>
    <row r="2933" spans="1:8" x14ac:dyDescent="0.25">
      <c r="A2933" s="2">
        <v>34138</v>
      </c>
      <c r="B2933">
        <v>-28.728000000000002</v>
      </c>
      <c r="C2933">
        <v>-176.7</v>
      </c>
      <c r="D2933" t="s">
        <v>14</v>
      </c>
      <c r="E2933" t="s">
        <v>240</v>
      </c>
      <c r="F2933">
        <f t="shared" si="90"/>
        <v>1993</v>
      </c>
      <c r="G2933">
        <f t="shared" si="91"/>
        <v>6</v>
      </c>
      <c r="H2933" t="str">
        <f>IF(ISNUMBER(FIND(",", E2933)), TRIM(MID(E2933, FIND(",", E2933) + 1, LEN(E2933))), E2933)</f>
        <v>Kermadec Islands region</v>
      </c>
    </row>
    <row r="2934" spans="1:8" x14ac:dyDescent="0.25">
      <c r="A2934" s="2">
        <v>34138</v>
      </c>
      <c r="B2934">
        <v>-28.536000000000001</v>
      </c>
      <c r="C2934">
        <v>-176.77</v>
      </c>
      <c r="D2934" t="s">
        <v>16</v>
      </c>
      <c r="E2934" t="s">
        <v>240</v>
      </c>
      <c r="F2934">
        <f t="shared" si="90"/>
        <v>1993</v>
      </c>
      <c r="G2934">
        <f t="shared" si="91"/>
        <v>6</v>
      </c>
      <c r="H2934" t="str">
        <f>IF(ISNUMBER(FIND(",", E2934)), TRIM(MID(E2934, FIND(",", E2934) + 1, LEN(E2934))), E2934)</f>
        <v>Kermadec Islands region</v>
      </c>
    </row>
    <row r="2935" spans="1:8" x14ac:dyDescent="0.25">
      <c r="A2935" s="2">
        <v>34138</v>
      </c>
      <c r="B2935">
        <v>-28.744</v>
      </c>
      <c r="C2935">
        <v>-176.75</v>
      </c>
      <c r="D2935" t="s">
        <v>14</v>
      </c>
      <c r="E2935" t="s">
        <v>240</v>
      </c>
      <c r="F2935">
        <f t="shared" si="90"/>
        <v>1993</v>
      </c>
      <c r="G2935">
        <f t="shared" si="91"/>
        <v>6</v>
      </c>
      <c r="H2935" t="str">
        <f>IF(ISNUMBER(FIND(",", E2935)), TRIM(MID(E2935, FIND(",", E2935) + 1, LEN(E2935))), E2935)</f>
        <v>Kermadec Islands region</v>
      </c>
    </row>
    <row r="2936" spans="1:8" x14ac:dyDescent="0.25">
      <c r="A2936" s="2">
        <v>34135</v>
      </c>
      <c r="B2936">
        <v>-4.9889999999999999</v>
      </c>
      <c r="C2936">
        <v>145.499</v>
      </c>
      <c r="D2936" t="s">
        <v>14</v>
      </c>
      <c r="E2936" t="s">
        <v>216</v>
      </c>
      <c r="F2936">
        <f t="shared" si="90"/>
        <v>1993</v>
      </c>
      <c r="G2936">
        <f t="shared" si="91"/>
        <v>6</v>
      </c>
      <c r="H2936" t="str">
        <f>IF(ISNUMBER(FIND(",", E2936)), TRIM(MID(E2936, FIND(",", E2936) + 1, LEN(E2936))), E2936)</f>
        <v>Papua New Guinea</v>
      </c>
    </row>
    <row r="2937" spans="1:8" x14ac:dyDescent="0.25">
      <c r="A2937" s="2">
        <v>34132</v>
      </c>
      <c r="B2937">
        <v>51.268999999999998</v>
      </c>
      <c r="C2937">
        <v>157.64400000000001</v>
      </c>
      <c r="D2937" t="s">
        <v>14</v>
      </c>
      <c r="E2937" t="s">
        <v>225</v>
      </c>
      <c r="F2937">
        <f t="shared" si="90"/>
        <v>1993</v>
      </c>
      <c r="G2937">
        <f t="shared" si="91"/>
        <v>6</v>
      </c>
      <c r="H2937" t="str">
        <f>IF(ISNUMBER(FIND(",", E2937)), TRIM(MID(E2937, FIND(",", E2937) + 1, LEN(E2937))), E2937)</f>
        <v>Russia</v>
      </c>
    </row>
    <row r="2938" spans="1:8" x14ac:dyDescent="0.25">
      <c r="A2938" s="2">
        <v>34132</v>
      </c>
      <c r="B2938">
        <v>-4.3550000000000004</v>
      </c>
      <c r="C2938">
        <v>135.173</v>
      </c>
      <c r="D2938" t="s">
        <v>14</v>
      </c>
      <c r="E2938" t="s">
        <v>204</v>
      </c>
      <c r="F2938">
        <f t="shared" si="90"/>
        <v>1993</v>
      </c>
      <c r="G2938">
        <f t="shared" si="91"/>
        <v>6</v>
      </c>
      <c r="H2938" t="str">
        <f>IF(ISNUMBER(FIND(",", E2938)), TRIM(MID(E2938, FIND(",", E2938) + 1, LEN(E2938))), E2938)</f>
        <v>Indonesia</v>
      </c>
    </row>
    <row r="2939" spans="1:8" x14ac:dyDescent="0.25">
      <c r="A2939" s="2">
        <v>34128</v>
      </c>
      <c r="B2939">
        <v>-31.577999999999999</v>
      </c>
      <c r="C2939">
        <v>-69.212999999999994</v>
      </c>
      <c r="D2939" t="s">
        <v>14</v>
      </c>
      <c r="E2939" t="s">
        <v>339</v>
      </c>
      <c r="F2939">
        <f t="shared" si="90"/>
        <v>1993</v>
      </c>
      <c r="G2939">
        <f t="shared" si="91"/>
        <v>6</v>
      </c>
      <c r="H2939" t="str">
        <f>IF(ISNUMBER(FIND(",", E2939)), TRIM(MID(E2939, FIND(",", E2939) + 1, LEN(E2939))), E2939)</f>
        <v>Argentina</v>
      </c>
    </row>
    <row r="2940" spans="1:8" x14ac:dyDescent="0.25">
      <c r="A2940" s="2">
        <v>34128</v>
      </c>
      <c r="B2940">
        <v>51.195</v>
      </c>
      <c r="C2940">
        <v>157.755</v>
      </c>
      <c r="D2940" t="s">
        <v>14</v>
      </c>
      <c r="E2940" t="s">
        <v>225</v>
      </c>
      <c r="F2940">
        <f t="shared" si="90"/>
        <v>1993</v>
      </c>
      <c r="G2940">
        <f t="shared" si="91"/>
        <v>6</v>
      </c>
      <c r="H2940" t="str">
        <f>IF(ISNUMBER(FIND(",", E2940)), TRIM(MID(E2940, FIND(",", E2940) + 1, LEN(E2940))), E2940)</f>
        <v>Russia</v>
      </c>
    </row>
    <row r="2941" spans="1:8" x14ac:dyDescent="0.25">
      <c r="A2941" s="2">
        <v>34126</v>
      </c>
      <c r="B2941">
        <v>15.787000000000001</v>
      </c>
      <c r="C2941">
        <v>146.66300000000001</v>
      </c>
      <c r="D2941" t="s">
        <v>14</v>
      </c>
      <c r="E2941" t="s">
        <v>564</v>
      </c>
      <c r="F2941">
        <f t="shared" si="90"/>
        <v>1993</v>
      </c>
      <c r="G2941">
        <f t="shared" si="91"/>
        <v>6</v>
      </c>
      <c r="H2941" t="str">
        <f>IF(ISNUMBER(FIND(",", E2941)), TRIM(MID(E2941, FIND(",", E2941) + 1, LEN(E2941))), E2941)</f>
        <v>Northern Mariana Islands</v>
      </c>
    </row>
    <row r="2942" spans="1:8" x14ac:dyDescent="0.25">
      <c r="A2942" s="2">
        <v>34119</v>
      </c>
      <c r="B2942">
        <v>1.496</v>
      </c>
      <c r="C2942">
        <v>127.226</v>
      </c>
      <c r="D2942" t="s">
        <v>14</v>
      </c>
      <c r="E2942" t="s">
        <v>311</v>
      </c>
      <c r="F2942">
        <f t="shared" si="90"/>
        <v>1993</v>
      </c>
      <c r="G2942">
        <f t="shared" si="91"/>
        <v>5</v>
      </c>
      <c r="H2942" t="str">
        <f>IF(ISNUMBER(FIND(",", E2942)), TRIM(MID(E2942, FIND(",", E2942) + 1, LEN(E2942))), E2942)</f>
        <v>Indonesia</v>
      </c>
    </row>
    <row r="2943" spans="1:8" x14ac:dyDescent="0.25">
      <c r="A2943" s="2">
        <v>34118</v>
      </c>
      <c r="B2943">
        <v>19.071000000000002</v>
      </c>
      <c r="C2943">
        <v>-26.497</v>
      </c>
      <c r="D2943" t="s">
        <v>14</v>
      </c>
      <c r="E2943" t="s">
        <v>481</v>
      </c>
      <c r="F2943">
        <f t="shared" si="90"/>
        <v>1993</v>
      </c>
      <c r="G2943">
        <f t="shared" si="91"/>
        <v>5</v>
      </c>
      <c r="H2943" t="str">
        <f>IF(ISNUMBER(FIND(",", E2943)), TRIM(MID(E2943, FIND(",", E2943) + 1, LEN(E2943))), E2943)</f>
        <v>North Atlantic Ocean</v>
      </c>
    </row>
    <row r="2944" spans="1:8" x14ac:dyDescent="0.25">
      <c r="A2944" s="2">
        <v>34114</v>
      </c>
      <c r="B2944">
        <v>55.006999999999998</v>
      </c>
      <c r="C2944">
        <v>-160.56899999999999</v>
      </c>
      <c r="D2944" t="s">
        <v>14</v>
      </c>
      <c r="E2944" t="s">
        <v>285</v>
      </c>
      <c r="F2944">
        <f t="shared" si="90"/>
        <v>1993</v>
      </c>
      <c r="G2944">
        <f t="shared" si="91"/>
        <v>5</v>
      </c>
      <c r="H2944" t="str">
        <f>IF(ISNUMBER(FIND(",", E2944)), TRIM(MID(E2944, FIND(",", E2944) + 1, LEN(E2944))), E2944)</f>
        <v>Alaska Peninsula</v>
      </c>
    </row>
    <row r="2945" spans="1:8" x14ac:dyDescent="0.25">
      <c r="A2945" s="2">
        <v>34113</v>
      </c>
      <c r="B2945">
        <v>-23.13</v>
      </c>
      <c r="C2945">
        <v>-66.472999999999999</v>
      </c>
      <c r="D2945" t="s">
        <v>14</v>
      </c>
      <c r="E2945" t="s">
        <v>347</v>
      </c>
      <c r="F2945">
        <f t="shared" si="90"/>
        <v>1993</v>
      </c>
      <c r="G2945">
        <f t="shared" si="91"/>
        <v>5</v>
      </c>
      <c r="H2945" t="str">
        <f>IF(ISNUMBER(FIND(",", E2945)), TRIM(MID(E2945, FIND(",", E2945) + 1, LEN(E2945))), E2945)</f>
        <v>Argentina</v>
      </c>
    </row>
    <row r="2946" spans="1:8" x14ac:dyDescent="0.25">
      <c r="A2946" s="2">
        <v>34113</v>
      </c>
      <c r="B2946">
        <v>-23.358000000000001</v>
      </c>
      <c r="C2946">
        <v>-66.588999999999999</v>
      </c>
      <c r="D2946" t="s">
        <v>13</v>
      </c>
      <c r="E2946" t="s">
        <v>347</v>
      </c>
      <c r="F2946">
        <f t="shared" ref="F2946:F3009" si="92">YEAR(A2946)</f>
        <v>1993</v>
      </c>
      <c r="G2946">
        <f t="shared" si="91"/>
        <v>5</v>
      </c>
      <c r="H2946" t="str">
        <f>IF(ISNUMBER(FIND(",", E2946)), TRIM(MID(E2946, FIND(",", E2946) + 1, LEN(E2946))), E2946)</f>
        <v>Argentina</v>
      </c>
    </row>
    <row r="2947" spans="1:8" x14ac:dyDescent="0.25">
      <c r="A2947" s="2">
        <v>34107</v>
      </c>
      <c r="B2947">
        <v>19.93</v>
      </c>
      <c r="C2947">
        <v>122.47199999999999</v>
      </c>
      <c r="D2947" t="s">
        <v>14</v>
      </c>
      <c r="E2947" t="s">
        <v>405</v>
      </c>
      <c r="F2947">
        <f t="shared" si="92"/>
        <v>1993</v>
      </c>
      <c r="G2947">
        <f t="shared" ref="G2947:G3010" si="93">MONTH(A2947)</f>
        <v>5</v>
      </c>
      <c r="H2947" t="str">
        <f>IF(ISNUMBER(FIND(",", E2947)), TRIM(MID(E2947, FIND(",", E2947) + 1, LEN(E2947))), E2947)</f>
        <v>Philippines</v>
      </c>
    </row>
    <row r="2948" spans="1:8" x14ac:dyDescent="0.25">
      <c r="A2948" s="2">
        <v>34106</v>
      </c>
      <c r="B2948">
        <v>37.146000000000001</v>
      </c>
      <c r="C2948">
        <v>-117.824</v>
      </c>
      <c r="D2948" t="s">
        <v>14</v>
      </c>
      <c r="E2948" t="s">
        <v>464</v>
      </c>
      <c r="F2948">
        <f t="shared" si="92"/>
        <v>1993</v>
      </c>
      <c r="G2948">
        <f t="shared" si="93"/>
        <v>5</v>
      </c>
      <c r="H2948" t="str">
        <f>IF(ISNUMBER(FIND(",", E2948)), TRIM(MID(E2948, FIND(",", E2948) + 1, LEN(E2948))), E2948)</f>
        <v>Central California</v>
      </c>
    </row>
    <row r="2949" spans="1:8" x14ac:dyDescent="0.25">
      <c r="A2949" s="2">
        <v>34106</v>
      </c>
      <c r="B2949">
        <v>-5.3310000000000004</v>
      </c>
      <c r="C2949">
        <v>152.101</v>
      </c>
      <c r="D2949" t="s">
        <v>14</v>
      </c>
      <c r="E2949" t="s">
        <v>190</v>
      </c>
      <c r="F2949">
        <f t="shared" si="92"/>
        <v>1993</v>
      </c>
      <c r="G2949">
        <f t="shared" si="93"/>
        <v>5</v>
      </c>
      <c r="H2949" t="str">
        <f>IF(ISNUMBER(FIND(",", E2949)), TRIM(MID(E2949, FIND(",", E2949) + 1, LEN(E2949))), E2949)</f>
        <v>Papua New Guinea</v>
      </c>
    </row>
    <row r="2950" spans="1:8" x14ac:dyDescent="0.25">
      <c r="A2950" s="2">
        <v>34105</v>
      </c>
      <c r="B2950">
        <v>-15.323</v>
      </c>
      <c r="C2950">
        <v>-173.215</v>
      </c>
      <c r="D2950" t="s">
        <v>14</v>
      </c>
      <c r="E2950" t="s">
        <v>239</v>
      </c>
      <c r="F2950">
        <f t="shared" si="92"/>
        <v>1993</v>
      </c>
      <c r="G2950">
        <f t="shared" si="93"/>
        <v>5</v>
      </c>
      <c r="H2950" t="str">
        <f>IF(ISNUMBER(FIND(",", E2950)), TRIM(MID(E2950, FIND(",", E2950) + 1, LEN(E2950))), E2950)</f>
        <v>Tonga</v>
      </c>
    </row>
    <row r="2951" spans="1:8" x14ac:dyDescent="0.25">
      <c r="A2951" s="2">
        <v>34104</v>
      </c>
      <c r="B2951">
        <v>51.353999999999999</v>
      </c>
      <c r="C2951">
        <v>-178.67</v>
      </c>
      <c r="D2951" t="s">
        <v>14</v>
      </c>
      <c r="E2951" t="s">
        <v>207</v>
      </c>
      <c r="F2951">
        <f t="shared" si="92"/>
        <v>1993</v>
      </c>
      <c r="G2951">
        <f t="shared" si="93"/>
        <v>5</v>
      </c>
      <c r="H2951" t="str">
        <f>IF(ISNUMBER(FIND(",", E2951)), TRIM(MID(E2951, FIND(",", E2951) + 1, LEN(E2951))), E2951)</f>
        <v>Aleutian Islands, Alaska</v>
      </c>
    </row>
    <row r="2952" spans="1:8" x14ac:dyDescent="0.25">
      <c r="A2952" s="2">
        <v>34104</v>
      </c>
      <c r="B2952">
        <v>16.745000000000001</v>
      </c>
      <c r="C2952">
        <v>-98.38</v>
      </c>
      <c r="D2952" t="s">
        <v>16</v>
      </c>
      <c r="E2952" t="s">
        <v>192</v>
      </c>
      <c r="F2952">
        <f t="shared" si="92"/>
        <v>1993</v>
      </c>
      <c r="G2952">
        <f t="shared" si="93"/>
        <v>5</v>
      </c>
      <c r="H2952" t="str">
        <f>IF(ISNUMBER(FIND(",", E2952)), TRIM(MID(E2952, FIND(",", E2952) + 1, LEN(E2952))), E2952)</f>
        <v>Mexico</v>
      </c>
    </row>
    <row r="2953" spans="1:8" x14ac:dyDescent="0.25">
      <c r="A2953" s="2">
        <v>34102</v>
      </c>
      <c r="B2953">
        <v>54.935000000000002</v>
      </c>
      <c r="C2953">
        <v>-160.48099999999999</v>
      </c>
      <c r="D2953" t="s">
        <v>14</v>
      </c>
      <c r="E2953" t="s">
        <v>285</v>
      </c>
      <c r="F2953">
        <f t="shared" si="92"/>
        <v>1993</v>
      </c>
      <c r="G2953">
        <f t="shared" si="93"/>
        <v>5</v>
      </c>
      <c r="H2953" t="str">
        <f>IF(ISNUMBER(FIND(",", E2953)), TRIM(MID(E2953, FIND(",", E2953) + 1, LEN(E2953))), E2953)</f>
        <v>Alaska Peninsula</v>
      </c>
    </row>
    <row r="2954" spans="1:8" x14ac:dyDescent="0.25">
      <c r="A2954" s="2">
        <v>34100</v>
      </c>
      <c r="B2954">
        <v>7.2480000000000002</v>
      </c>
      <c r="C2954">
        <v>126.621</v>
      </c>
      <c r="D2954" t="s">
        <v>14</v>
      </c>
      <c r="E2954" t="s">
        <v>200</v>
      </c>
      <c r="F2954">
        <f t="shared" si="92"/>
        <v>1993</v>
      </c>
      <c r="G2954">
        <f t="shared" si="93"/>
        <v>5</v>
      </c>
      <c r="H2954" t="str">
        <f>IF(ISNUMBER(FIND(",", E2954)), TRIM(MID(E2954, FIND(",", E2954) + 1, LEN(E2954))), E2954)</f>
        <v>Philippines</v>
      </c>
    </row>
    <row r="2955" spans="1:8" x14ac:dyDescent="0.25">
      <c r="A2955" s="2">
        <v>34095</v>
      </c>
      <c r="B2955">
        <v>-8.5169999999999995</v>
      </c>
      <c r="C2955">
        <v>-71.442999999999998</v>
      </c>
      <c r="D2955" t="s">
        <v>14</v>
      </c>
      <c r="E2955" t="s">
        <v>326</v>
      </c>
      <c r="F2955">
        <f t="shared" si="92"/>
        <v>1993</v>
      </c>
      <c r="G2955">
        <f t="shared" si="93"/>
        <v>5</v>
      </c>
      <c r="H2955" t="str">
        <f>IF(ISNUMBER(FIND(",", E2955)), TRIM(MID(E2955, FIND(",", E2955) + 1, LEN(E2955))), E2955)</f>
        <v>Brazil</v>
      </c>
    </row>
    <row r="2956" spans="1:8" x14ac:dyDescent="0.25">
      <c r="A2956" s="2">
        <v>34091</v>
      </c>
      <c r="B2956">
        <v>-56.439</v>
      </c>
      <c r="C2956">
        <v>-24.533000000000001</v>
      </c>
      <c r="D2956" t="s">
        <v>14</v>
      </c>
      <c r="E2956" t="s">
        <v>260</v>
      </c>
      <c r="F2956">
        <f t="shared" si="92"/>
        <v>1993</v>
      </c>
      <c r="G2956">
        <f t="shared" si="93"/>
        <v>5</v>
      </c>
      <c r="H2956" t="str">
        <f>IF(ISNUMBER(FIND(",", E2956)), TRIM(MID(E2956, FIND(",", E2956) + 1, LEN(E2956))), E2956)</f>
        <v>South Sandwich Islands region</v>
      </c>
    </row>
    <row r="2957" spans="1:8" x14ac:dyDescent="0.25">
      <c r="A2957" s="2">
        <v>34083</v>
      </c>
      <c r="B2957">
        <v>-17.79</v>
      </c>
      <c r="C2957">
        <v>179.92400000000001</v>
      </c>
      <c r="D2957" t="s">
        <v>14</v>
      </c>
      <c r="E2957" t="s">
        <v>348</v>
      </c>
      <c r="F2957">
        <f t="shared" si="92"/>
        <v>1993</v>
      </c>
      <c r="G2957">
        <f t="shared" si="93"/>
        <v>4</v>
      </c>
      <c r="H2957" t="str">
        <f>IF(ISNUMBER(FIND(",", E2957)), TRIM(MID(E2957, FIND(",", E2957) + 1, LEN(E2957))), E2957)</f>
        <v>Fiji</v>
      </c>
    </row>
    <row r="2958" spans="1:8" x14ac:dyDescent="0.25">
      <c r="A2958" s="2">
        <v>34078</v>
      </c>
      <c r="B2958">
        <v>4.0629999999999997</v>
      </c>
      <c r="C2958">
        <v>128.24799999999999</v>
      </c>
      <c r="D2958" t="s">
        <v>14</v>
      </c>
      <c r="E2958" t="s">
        <v>320</v>
      </c>
      <c r="F2958">
        <f t="shared" si="92"/>
        <v>1993</v>
      </c>
      <c r="G2958">
        <f t="shared" si="93"/>
        <v>4</v>
      </c>
      <c r="H2958" t="str">
        <f>IF(ISNUMBER(FIND(",", E2958)), TRIM(MID(E2958, FIND(",", E2958) + 1, LEN(E2958))), E2958)</f>
        <v>Indonesia</v>
      </c>
    </row>
    <row r="2959" spans="1:8" x14ac:dyDescent="0.25">
      <c r="A2959" s="2">
        <v>34077</v>
      </c>
      <c r="B2959">
        <v>-53.823999999999998</v>
      </c>
      <c r="C2959">
        <v>-133.881</v>
      </c>
      <c r="D2959" t="s">
        <v>14</v>
      </c>
      <c r="E2959" t="s">
        <v>179</v>
      </c>
      <c r="F2959">
        <f t="shared" si="92"/>
        <v>1993</v>
      </c>
      <c r="G2959">
        <f t="shared" si="93"/>
        <v>4</v>
      </c>
      <c r="H2959" t="str">
        <f>IF(ISNUMBER(FIND(",", E2959)), TRIM(MID(E2959, FIND(",", E2959) + 1, LEN(E2959))), E2959)</f>
        <v>Pacific-Antarctic Ridge</v>
      </c>
    </row>
    <row r="2960" spans="1:8" x14ac:dyDescent="0.25">
      <c r="A2960" s="2">
        <v>34077</v>
      </c>
      <c r="B2960">
        <v>-11.725</v>
      </c>
      <c r="C2960">
        <v>-76.516000000000005</v>
      </c>
      <c r="D2960" t="s">
        <v>14</v>
      </c>
      <c r="E2960" t="s">
        <v>198</v>
      </c>
      <c r="F2960">
        <f t="shared" si="92"/>
        <v>1993</v>
      </c>
      <c r="G2960">
        <f t="shared" si="93"/>
        <v>4</v>
      </c>
      <c r="H2960" t="str">
        <f>IF(ISNUMBER(FIND(",", E2960)), TRIM(MID(E2960, FIND(",", E2960) + 1, LEN(E2960))), E2960)</f>
        <v>central Peru</v>
      </c>
    </row>
    <row r="2961" spans="1:8" x14ac:dyDescent="0.25">
      <c r="A2961" s="2">
        <v>34076</v>
      </c>
      <c r="B2961">
        <v>-16.564</v>
      </c>
      <c r="C2961">
        <v>-177.35300000000001</v>
      </c>
      <c r="D2961" t="s">
        <v>14</v>
      </c>
      <c r="E2961" t="s">
        <v>53</v>
      </c>
      <c r="F2961">
        <f t="shared" si="92"/>
        <v>1993</v>
      </c>
      <c r="G2961">
        <f t="shared" si="93"/>
        <v>4</v>
      </c>
      <c r="H2961" t="str">
        <f>IF(ISNUMBER(FIND(",", E2961)), TRIM(MID(E2961, FIND(",", E2961) + 1, LEN(E2961))), E2961)</f>
        <v>Fiji region</v>
      </c>
    </row>
    <row r="2962" spans="1:8" x14ac:dyDescent="0.25">
      <c r="A2962" s="2">
        <v>34075</v>
      </c>
      <c r="B2962">
        <v>-17.745000000000001</v>
      </c>
      <c r="C2962">
        <v>-178.797</v>
      </c>
      <c r="D2962" t="s">
        <v>14</v>
      </c>
      <c r="E2962" t="s">
        <v>53</v>
      </c>
      <c r="F2962">
        <f t="shared" si="92"/>
        <v>1993</v>
      </c>
      <c r="G2962">
        <f t="shared" si="93"/>
        <v>4</v>
      </c>
      <c r="H2962" t="str">
        <f>IF(ISNUMBER(FIND(",", E2962)), TRIM(MID(E2962, FIND(",", E2962) + 1, LEN(E2962))), E2962)</f>
        <v>Fiji region</v>
      </c>
    </row>
    <row r="2963" spans="1:8" x14ac:dyDescent="0.25">
      <c r="A2963" s="2">
        <v>34064</v>
      </c>
      <c r="B2963">
        <v>-59.835000000000001</v>
      </c>
      <c r="C2963">
        <v>-26.341000000000001</v>
      </c>
      <c r="D2963" t="s">
        <v>14</v>
      </c>
      <c r="E2963" t="s">
        <v>260</v>
      </c>
      <c r="F2963">
        <f t="shared" si="92"/>
        <v>1993</v>
      </c>
      <c r="G2963">
        <f t="shared" si="93"/>
        <v>4</v>
      </c>
      <c r="H2963" t="str">
        <f>IF(ISNUMBER(FIND(",", E2963)), TRIM(MID(E2963, FIND(",", E2963) + 1, LEN(E2963))), E2963)</f>
        <v>South Sandwich Islands region</v>
      </c>
    </row>
    <row r="2964" spans="1:8" x14ac:dyDescent="0.25">
      <c r="A2964" s="2">
        <v>34049</v>
      </c>
      <c r="B2964">
        <v>-18.021999999999998</v>
      </c>
      <c r="C2964">
        <v>-178.45699999999999</v>
      </c>
      <c r="D2964" t="s">
        <v>14</v>
      </c>
      <c r="E2964" t="s">
        <v>53</v>
      </c>
      <c r="F2964">
        <f t="shared" si="92"/>
        <v>1993</v>
      </c>
      <c r="G2964">
        <f t="shared" si="93"/>
        <v>3</v>
      </c>
      <c r="H2964" t="str">
        <f>IF(ISNUMBER(FIND(",", E2964)), TRIM(MID(E2964, FIND(",", E2964) + 1, LEN(E2964))), E2964)</f>
        <v>Fiji region</v>
      </c>
    </row>
    <row r="2965" spans="1:8" x14ac:dyDescent="0.25">
      <c r="A2965" s="2">
        <v>34048</v>
      </c>
      <c r="B2965">
        <v>28.988</v>
      </c>
      <c r="C2965">
        <v>87.322999999999993</v>
      </c>
      <c r="D2965" t="s">
        <v>14</v>
      </c>
      <c r="E2965" t="s">
        <v>388</v>
      </c>
      <c r="F2965">
        <f t="shared" si="92"/>
        <v>1993</v>
      </c>
      <c r="G2965">
        <f t="shared" si="93"/>
        <v>3</v>
      </c>
      <c r="H2965" t="str">
        <f>IF(ISNUMBER(FIND(",", E2965)), TRIM(MID(E2965, FIND(",", E2965) + 1, LEN(E2965))), E2965)</f>
        <v>western Xizang</v>
      </c>
    </row>
    <row r="2966" spans="1:8" x14ac:dyDescent="0.25">
      <c r="A2966" s="2">
        <v>34048</v>
      </c>
      <c r="B2966">
        <v>-56.069000000000003</v>
      </c>
      <c r="C2966">
        <v>-27.824999999999999</v>
      </c>
      <c r="D2966" t="s">
        <v>14</v>
      </c>
      <c r="E2966" t="s">
        <v>260</v>
      </c>
      <c r="F2966">
        <f t="shared" si="92"/>
        <v>1993</v>
      </c>
      <c r="G2966">
        <f t="shared" si="93"/>
        <v>3</v>
      </c>
      <c r="H2966" t="str">
        <f>IF(ISNUMBER(FIND(",", E2966)), TRIM(MID(E2966, FIND(",", E2966) + 1, LEN(E2966))), E2966)</f>
        <v>South Sandwich Islands region</v>
      </c>
    </row>
    <row r="2967" spans="1:8" x14ac:dyDescent="0.25">
      <c r="A2967" s="2">
        <v>34043</v>
      </c>
      <c r="B2967">
        <v>-26.704999999999998</v>
      </c>
      <c r="C2967">
        <v>-70.950999999999993</v>
      </c>
      <c r="D2967" t="s">
        <v>14</v>
      </c>
      <c r="E2967" t="s">
        <v>439</v>
      </c>
      <c r="F2967">
        <f t="shared" si="92"/>
        <v>1993</v>
      </c>
      <c r="G2967">
        <f t="shared" si="93"/>
        <v>3</v>
      </c>
      <c r="H2967" t="str">
        <f>IF(ISNUMBER(FIND(",", E2967)), TRIM(MID(E2967, FIND(",", E2967) + 1, LEN(E2967))), E2967)</f>
        <v>Chile</v>
      </c>
    </row>
    <row r="2968" spans="1:8" x14ac:dyDescent="0.25">
      <c r="A2968" s="2">
        <v>34040</v>
      </c>
      <c r="B2968">
        <v>-14.406000000000001</v>
      </c>
      <c r="C2968">
        <v>-178.16300000000001</v>
      </c>
      <c r="D2968" t="s">
        <v>14</v>
      </c>
      <c r="E2968" t="s">
        <v>53</v>
      </c>
      <c r="F2968">
        <f t="shared" si="92"/>
        <v>1993</v>
      </c>
      <c r="G2968">
        <f t="shared" si="93"/>
        <v>3</v>
      </c>
      <c r="H2968" t="str">
        <f>IF(ISNUMBER(FIND(",", E2968)), TRIM(MID(E2968, FIND(",", E2968) + 1, LEN(E2968))), E2968)</f>
        <v>Fiji region</v>
      </c>
    </row>
    <row r="2969" spans="1:8" x14ac:dyDescent="0.25">
      <c r="A2969" s="2">
        <v>34038</v>
      </c>
      <c r="B2969">
        <v>-59.838000000000001</v>
      </c>
      <c r="C2969">
        <v>-25.832999999999998</v>
      </c>
      <c r="D2969" t="s">
        <v>14</v>
      </c>
      <c r="E2969" t="s">
        <v>260</v>
      </c>
      <c r="F2969">
        <f t="shared" si="92"/>
        <v>1993</v>
      </c>
      <c r="G2969">
        <f t="shared" si="93"/>
        <v>3</v>
      </c>
      <c r="H2969" t="str">
        <f>IF(ISNUMBER(FIND(",", E2969)), TRIM(MID(E2969, FIND(",", E2969) + 1, LEN(E2969))), E2969)</f>
        <v>South Sandwich Islands region</v>
      </c>
    </row>
    <row r="2970" spans="1:8" x14ac:dyDescent="0.25">
      <c r="A2970" s="2">
        <v>34037</v>
      </c>
      <c r="B2970">
        <v>-59.716000000000001</v>
      </c>
      <c r="C2970">
        <v>-25.798999999999999</v>
      </c>
      <c r="D2970" t="s">
        <v>14</v>
      </c>
      <c r="E2970" t="s">
        <v>260</v>
      </c>
      <c r="F2970">
        <f t="shared" si="92"/>
        <v>1993</v>
      </c>
      <c r="G2970">
        <f t="shared" si="93"/>
        <v>3</v>
      </c>
      <c r="H2970" t="str">
        <f>IF(ISNUMBER(FIND(",", E2970)), TRIM(MID(E2970, FIND(",", E2970) + 1, LEN(E2970))), E2970)</f>
        <v>South Sandwich Islands region</v>
      </c>
    </row>
    <row r="2971" spans="1:8" x14ac:dyDescent="0.25">
      <c r="A2971" s="2">
        <v>34037</v>
      </c>
      <c r="B2971">
        <v>-55.764000000000003</v>
      </c>
      <c r="C2971">
        <v>147.00700000000001</v>
      </c>
      <c r="D2971" t="s">
        <v>14</v>
      </c>
      <c r="E2971" t="s">
        <v>205</v>
      </c>
      <c r="F2971">
        <f t="shared" si="92"/>
        <v>1993</v>
      </c>
      <c r="G2971">
        <f t="shared" si="93"/>
        <v>3</v>
      </c>
      <c r="H2971" t="str">
        <f>IF(ISNUMBER(FIND(",", E2971)), TRIM(MID(E2971, FIND(",", E2971) + 1, LEN(E2971))), E2971)</f>
        <v>west of Macquarie Island</v>
      </c>
    </row>
    <row r="2972" spans="1:8" x14ac:dyDescent="0.25">
      <c r="A2972" s="2">
        <v>34034</v>
      </c>
      <c r="B2972">
        <v>-11.061999999999999</v>
      </c>
      <c r="C2972">
        <v>163.49299999999999</v>
      </c>
      <c r="D2972" t="s">
        <v>14</v>
      </c>
      <c r="E2972" t="s">
        <v>221</v>
      </c>
      <c r="F2972">
        <f t="shared" si="92"/>
        <v>1993</v>
      </c>
      <c r="G2972">
        <f t="shared" si="93"/>
        <v>3</v>
      </c>
      <c r="H2972" t="str">
        <f>IF(ISNUMBER(FIND(",", E2972)), TRIM(MID(E2972, FIND(",", E2972) + 1, LEN(E2972))), E2972)</f>
        <v>Solomon Islands</v>
      </c>
    </row>
    <row r="2973" spans="1:8" x14ac:dyDescent="0.25">
      <c r="A2973" s="2">
        <v>34034</v>
      </c>
      <c r="B2973">
        <v>-10.981</v>
      </c>
      <c r="C2973">
        <v>163.905</v>
      </c>
      <c r="D2973" t="s">
        <v>14</v>
      </c>
      <c r="E2973" t="s">
        <v>221</v>
      </c>
      <c r="F2973">
        <f t="shared" si="92"/>
        <v>1993</v>
      </c>
      <c r="G2973">
        <f t="shared" si="93"/>
        <v>3</v>
      </c>
      <c r="H2973" t="str">
        <f>IF(ISNUMBER(FIND(",", E2973)), TRIM(MID(E2973, FIND(",", E2973) + 1, LEN(E2973))), E2973)</f>
        <v>Solomon Islands</v>
      </c>
    </row>
    <row r="2974" spans="1:8" x14ac:dyDescent="0.25">
      <c r="A2974" s="2">
        <v>34034</v>
      </c>
      <c r="B2974">
        <v>-26.654</v>
      </c>
      <c r="C2974">
        <v>-177.26499999999999</v>
      </c>
      <c r="D2974" t="s">
        <v>14</v>
      </c>
      <c r="E2974" t="s">
        <v>256</v>
      </c>
      <c r="F2974">
        <f t="shared" si="92"/>
        <v>1993</v>
      </c>
      <c r="G2974">
        <f t="shared" si="93"/>
        <v>3</v>
      </c>
      <c r="H2974" t="str">
        <f>IF(ISNUMBER(FIND(",", E2974)), TRIM(MID(E2974, FIND(",", E2974) + 1, LEN(E2974))), E2974)</f>
        <v>south of the Fiji Islands</v>
      </c>
    </row>
    <row r="2975" spans="1:8" x14ac:dyDescent="0.25">
      <c r="A2975" s="2">
        <v>34034</v>
      </c>
      <c r="B2975">
        <v>-10.911</v>
      </c>
      <c r="C2975">
        <v>164.27</v>
      </c>
      <c r="D2975" t="s">
        <v>14</v>
      </c>
      <c r="E2975" t="s">
        <v>396</v>
      </c>
      <c r="F2975">
        <f t="shared" si="92"/>
        <v>1993</v>
      </c>
      <c r="G2975">
        <f t="shared" si="93"/>
        <v>3</v>
      </c>
      <c r="H2975" t="str">
        <f>IF(ISNUMBER(FIND(",", E2975)), TRIM(MID(E2975, FIND(",", E2975) + 1, LEN(E2975))), E2975)</f>
        <v>Santa Cruz Islands region</v>
      </c>
    </row>
    <row r="2976" spans="1:8" x14ac:dyDescent="0.25">
      <c r="A2976" s="2">
        <v>34029</v>
      </c>
      <c r="B2976">
        <v>-3.702</v>
      </c>
      <c r="C2976">
        <v>138.56700000000001</v>
      </c>
      <c r="D2976" t="s">
        <v>14</v>
      </c>
      <c r="E2976" t="s">
        <v>210</v>
      </c>
      <c r="F2976">
        <f t="shared" si="92"/>
        <v>1993</v>
      </c>
      <c r="G2976">
        <f t="shared" si="93"/>
        <v>3</v>
      </c>
      <c r="H2976" t="str">
        <f>IF(ISNUMBER(FIND(",", E2976)), TRIM(MID(E2976, FIND(",", E2976) + 1, LEN(E2976))), E2976)</f>
        <v>Indonesia</v>
      </c>
    </row>
    <row r="2977" spans="1:8" x14ac:dyDescent="0.25">
      <c r="A2977" s="2">
        <v>34018</v>
      </c>
      <c r="B2977">
        <v>-0.51900000000000002</v>
      </c>
      <c r="C2977">
        <v>-19.433</v>
      </c>
      <c r="D2977" t="s">
        <v>14</v>
      </c>
      <c r="E2977" t="s">
        <v>291</v>
      </c>
      <c r="F2977">
        <f t="shared" si="92"/>
        <v>1993</v>
      </c>
      <c r="G2977">
        <f t="shared" si="93"/>
        <v>2</v>
      </c>
      <c r="H2977" t="str">
        <f>IF(ISNUMBER(FIND(",", E2977)), TRIM(MID(E2977, FIND(",", E2977) + 1, LEN(E2977))), E2977)</f>
        <v>central Mid-Atlantic Ridge</v>
      </c>
    </row>
    <row r="2978" spans="1:8" x14ac:dyDescent="0.25">
      <c r="A2978" s="2">
        <v>34013</v>
      </c>
      <c r="B2978">
        <v>-14.926</v>
      </c>
      <c r="C2978">
        <v>-176.834</v>
      </c>
      <c r="D2978" t="s">
        <v>14</v>
      </c>
      <c r="E2978" t="s">
        <v>53</v>
      </c>
      <c r="F2978">
        <f t="shared" si="92"/>
        <v>1993</v>
      </c>
      <c r="G2978">
        <f t="shared" si="93"/>
        <v>2</v>
      </c>
      <c r="H2978" t="str">
        <f>IF(ISNUMBER(FIND(",", E2978)), TRIM(MID(E2978, FIND(",", E2978) + 1, LEN(E2978))), E2978)</f>
        <v>Fiji region</v>
      </c>
    </row>
    <row r="2979" spans="1:8" x14ac:dyDescent="0.25">
      <c r="A2979" s="2">
        <v>34007</v>
      </c>
      <c r="B2979">
        <v>37.701999999999998</v>
      </c>
      <c r="C2979">
        <v>137.279</v>
      </c>
      <c r="D2979" t="s">
        <v>14</v>
      </c>
      <c r="E2979" t="s">
        <v>298</v>
      </c>
      <c r="F2979">
        <f t="shared" si="92"/>
        <v>1993</v>
      </c>
      <c r="G2979">
        <f t="shared" si="93"/>
        <v>2</v>
      </c>
      <c r="H2979" t="str">
        <f>IF(ISNUMBER(FIND(",", E2979)), TRIM(MID(E2979, FIND(",", E2979) + 1, LEN(E2979))), E2979)</f>
        <v>Japan</v>
      </c>
    </row>
    <row r="2980" spans="1:8" x14ac:dyDescent="0.25">
      <c r="A2980" s="2">
        <v>33989</v>
      </c>
      <c r="B2980">
        <v>-7.2009999999999996</v>
      </c>
      <c r="C2980">
        <v>128.57900000000001</v>
      </c>
      <c r="D2980" t="s">
        <v>14</v>
      </c>
      <c r="E2980" t="s">
        <v>49</v>
      </c>
      <c r="F2980">
        <f t="shared" si="92"/>
        <v>1993</v>
      </c>
      <c r="G2980">
        <f t="shared" si="93"/>
        <v>1</v>
      </c>
      <c r="H2980" t="str">
        <f>IF(ISNUMBER(FIND(",", E2980)), TRIM(MID(E2980, FIND(",", E2980) + 1, LEN(E2980))), E2980)</f>
        <v>Indonesia</v>
      </c>
    </row>
    <row r="2981" spans="1:8" x14ac:dyDescent="0.25">
      <c r="A2981" s="2">
        <v>33989</v>
      </c>
      <c r="B2981">
        <v>3.1019999999999999</v>
      </c>
      <c r="C2981">
        <v>97.614999999999995</v>
      </c>
      <c r="D2981" t="s">
        <v>14</v>
      </c>
      <c r="E2981" t="s">
        <v>226</v>
      </c>
      <c r="F2981">
        <f t="shared" si="92"/>
        <v>1993</v>
      </c>
      <c r="G2981">
        <f t="shared" si="93"/>
        <v>1</v>
      </c>
      <c r="H2981" t="str">
        <f>IF(ISNUMBER(FIND(",", E2981)), TRIM(MID(E2981, FIND(",", E2981) + 1, LEN(E2981))), E2981)</f>
        <v>Indonesia</v>
      </c>
    </row>
    <row r="2982" spans="1:8" x14ac:dyDescent="0.25">
      <c r="A2982" s="2">
        <v>33988</v>
      </c>
      <c r="B2982">
        <v>38.615000000000002</v>
      </c>
      <c r="C2982">
        <v>133.49299999999999</v>
      </c>
      <c r="D2982" t="s">
        <v>14</v>
      </c>
      <c r="E2982" t="s">
        <v>420</v>
      </c>
      <c r="F2982">
        <f t="shared" si="92"/>
        <v>1993</v>
      </c>
      <c r="G2982">
        <f t="shared" si="93"/>
        <v>1</v>
      </c>
      <c r="H2982" t="str">
        <f>IF(ISNUMBER(FIND(",", E2982)), TRIM(MID(E2982, FIND(",", E2982) + 1, LEN(E2982))), E2982)</f>
        <v>Sea of Japan</v>
      </c>
    </row>
    <row r="2983" spans="1:8" x14ac:dyDescent="0.25">
      <c r="A2983" s="2">
        <v>33987</v>
      </c>
      <c r="B2983">
        <v>18.355</v>
      </c>
      <c r="C2983">
        <v>145.816</v>
      </c>
      <c r="D2983" t="s">
        <v>14</v>
      </c>
      <c r="E2983" t="s">
        <v>416</v>
      </c>
      <c r="F2983">
        <f t="shared" si="92"/>
        <v>1993</v>
      </c>
      <c r="G2983">
        <f t="shared" si="93"/>
        <v>1</v>
      </c>
      <c r="H2983" t="str">
        <f>IF(ISNUMBER(FIND(",", E2983)), TRIM(MID(E2983, FIND(",", E2983) + 1, LEN(E2983))), E2983)</f>
        <v>Northern Mariana Islands</v>
      </c>
    </row>
    <row r="2984" spans="1:8" x14ac:dyDescent="0.25">
      <c r="A2984" s="2">
        <v>33984</v>
      </c>
      <c r="B2984">
        <v>43.030999999999999</v>
      </c>
      <c r="C2984">
        <v>144.154</v>
      </c>
      <c r="D2984" t="s">
        <v>14</v>
      </c>
      <c r="E2984" t="s">
        <v>265</v>
      </c>
      <c r="F2984">
        <f t="shared" si="92"/>
        <v>1993</v>
      </c>
      <c r="G2984">
        <f t="shared" si="93"/>
        <v>1</v>
      </c>
      <c r="H2984" t="str">
        <f>IF(ISNUMBER(FIND(",", E2984)), TRIM(MID(E2984, FIND(",", E2984) + 1, LEN(E2984))), E2984)</f>
        <v>Japan region</v>
      </c>
    </row>
    <row r="2985" spans="1:8" x14ac:dyDescent="0.25">
      <c r="A2985" s="2">
        <v>33984</v>
      </c>
      <c r="B2985">
        <v>43.021999999999998</v>
      </c>
      <c r="C2985">
        <v>144.19399999999999</v>
      </c>
      <c r="D2985" t="s">
        <v>13</v>
      </c>
      <c r="E2985" t="s">
        <v>265</v>
      </c>
      <c r="F2985">
        <f t="shared" si="92"/>
        <v>1993</v>
      </c>
      <c r="G2985">
        <f t="shared" si="93"/>
        <v>1</v>
      </c>
      <c r="H2985" t="str">
        <f>IF(ISNUMBER(FIND(",", E2985)), TRIM(MID(E2985, FIND(",", E2985) + 1, LEN(E2985))), E2985)</f>
        <v>Japan region</v>
      </c>
    </row>
    <row r="2986" spans="1:8" x14ac:dyDescent="0.25">
      <c r="A2986" s="2">
        <v>33982</v>
      </c>
      <c r="B2986">
        <v>-50.847000000000001</v>
      </c>
      <c r="C2986">
        <v>139.316</v>
      </c>
      <c r="D2986" t="s">
        <v>14</v>
      </c>
      <c r="E2986" t="s">
        <v>235</v>
      </c>
      <c r="F2986">
        <f t="shared" si="92"/>
        <v>1993</v>
      </c>
      <c r="G2986">
        <f t="shared" si="93"/>
        <v>1</v>
      </c>
      <c r="H2986" t="str">
        <f>IF(ISNUMBER(FIND(",", E2986)), TRIM(MID(E2986, FIND(",", E2986) + 1, LEN(E2986))), E2986)</f>
        <v>western Indian-Antarctic Ridge</v>
      </c>
    </row>
    <row r="2987" spans="1:8" x14ac:dyDescent="0.25">
      <c r="A2987" s="2">
        <v>33979</v>
      </c>
      <c r="B2987">
        <v>-59.295000000000002</v>
      </c>
      <c r="C2987">
        <v>-26.312000000000001</v>
      </c>
      <c r="D2987" t="s">
        <v>14</v>
      </c>
      <c r="E2987" t="s">
        <v>260</v>
      </c>
      <c r="F2987">
        <f t="shared" si="92"/>
        <v>1993</v>
      </c>
      <c r="G2987">
        <f t="shared" si="93"/>
        <v>1</v>
      </c>
      <c r="H2987" t="str">
        <f>IF(ISNUMBER(FIND(",", E2987)), TRIM(MID(E2987, FIND(",", E2987) + 1, LEN(E2987))), E2987)</f>
        <v>South Sandwich Islands region</v>
      </c>
    </row>
    <row r="2988" spans="1:8" x14ac:dyDescent="0.25">
      <c r="A2988" s="2">
        <v>33969</v>
      </c>
      <c r="B2988">
        <v>-32.052</v>
      </c>
      <c r="C2988">
        <v>-177.94499999999999</v>
      </c>
      <c r="D2988" t="s">
        <v>14</v>
      </c>
      <c r="E2988" t="s">
        <v>262</v>
      </c>
      <c r="F2988">
        <f t="shared" si="92"/>
        <v>1992</v>
      </c>
      <c r="G2988">
        <f t="shared" si="93"/>
        <v>12</v>
      </c>
      <c r="H2988" t="str">
        <f>IF(ISNUMBER(FIND(",", E2988)), TRIM(MID(E2988, FIND(",", E2988) + 1, LEN(E2988))), E2988)</f>
        <v>south of the Kermadec Islands</v>
      </c>
    </row>
    <row r="2989" spans="1:8" x14ac:dyDescent="0.25">
      <c r="A2989" s="2">
        <v>33964</v>
      </c>
      <c r="B2989">
        <v>-0.53100000000000003</v>
      </c>
      <c r="C2989">
        <v>-19.399999999999999</v>
      </c>
      <c r="D2989" t="s">
        <v>14</v>
      </c>
      <c r="E2989" t="s">
        <v>291</v>
      </c>
      <c r="F2989">
        <f t="shared" si="92"/>
        <v>1992</v>
      </c>
      <c r="G2989">
        <f t="shared" si="93"/>
        <v>12</v>
      </c>
      <c r="H2989" t="str">
        <f>IF(ISNUMBER(FIND(",", E2989)), TRIM(MID(E2989, FIND(",", E2989) + 1, LEN(E2989))), E2989)</f>
        <v>central Mid-Atlantic Ridge</v>
      </c>
    </row>
    <row r="2990" spans="1:8" x14ac:dyDescent="0.25">
      <c r="A2990" s="2">
        <v>33962</v>
      </c>
      <c r="B2990">
        <v>-15.313000000000001</v>
      </c>
      <c r="C2990">
        <v>-173.01</v>
      </c>
      <c r="D2990" t="s">
        <v>14</v>
      </c>
      <c r="E2990" t="s">
        <v>239</v>
      </c>
      <c r="F2990">
        <f t="shared" si="92"/>
        <v>1992</v>
      </c>
      <c r="G2990">
        <f t="shared" si="93"/>
        <v>12</v>
      </c>
      <c r="H2990" t="str">
        <f>IF(ISNUMBER(FIND(",", E2990)), TRIM(MID(E2990, FIND(",", E2990) + 1, LEN(E2990))), E2990)</f>
        <v>Tonga</v>
      </c>
    </row>
    <row r="2991" spans="1:8" x14ac:dyDescent="0.25">
      <c r="A2991" s="2">
        <v>33958</v>
      </c>
      <c r="B2991">
        <v>-6.5940000000000003</v>
      </c>
      <c r="C2991">
        <v>130.404</v>
      </c>
      <c r="D2991" t="s">
        <v>14</v>
      </c>
      <c r="E2991" t="s">
        <v>187</v>
      </c>
      <c r="F2991">
        <f t="shared" si="92"/>
        <v>1992</v>
      </c>
      <c r="G2991">
        <f t="shared" si="93"/>
        <v>12</v>
      </c>
      <c r="H2991" t="str">
        <f>IF(ISNUMBER(FIND(",", E2991)), TRIM(MID(E2991, FIND(",", E2991) + 1, LEN(E2991))), E2991)</f>
        <v>Banda Sea</v>
      </c>
    </row>
    <row r="2992" spans="1:8" x14ac:dyDescent="0.25">
      <c r="A2992" s="2">
        <v>33956</v>
      </c>
      <c r="B2992">
        <v>-6.4770000000000003</v>
      </c>
      <c r="C2992">
        <v>147.21799999999999</v>
      </c>
      <c r="D2992" t="s">
        <v>14</v>
      </c>
      <c r="E2992" t="s">
        <v>243</v>
      </c>
      <c r="F2992">
        <f t="shared" si="92"/>
        <v>1992</v>
      </c>
      <c r="G2992">
        <f t="shared" si="93"/>
        <v>12</v>
      </c>
      <c r="H2992" t="str">
        <f>IF(ISNUMBER(FIND(",", E2992)), TRIM(MID(E2992, FIND(",", E2992) + 1, LEN(E2992))), E2992)</f>
        <v>Papua New Guinea</v>
      </c>
    </row>
    <row r="2993" spans="1:8" x14ac:dyDescent="0.25">
      <c r="A2993" s="2">
        <v>33950</v>
      </c>
      <c r="B2993">
        <v>-8.5280000000000005</v>
      </c>
      <c r="C2993">
        <v>121.90600000000001</v>
      </c>
      <c r="D2993" t="s">
        <v>13</v>
      </c>
      <c r="E2993" t="s">
        <v>399</v>
      </c>
      <c r="F2993">
        <f t="shared" si="92"/>
        <v>1992</v>
      </c>
      <c r="G2993">
        <f t="shared" si="93"/>
        <v>12</v>
      </c>
      <c r="H2993" t="str">
        <f>IF(ISNUMBER(FIND(",", E2993)), TRIM(MID(E2993, FIND(",", E2993) + 1, LEN(E2993))), E2993)</f>
        <v>Indonesia</v>
      </c>
    </row>
    <row r="2994" spans="1:8" x14ac:dyDescent="0.25">
      <c r="A2994" s="2">
        <v>33950</v>
      </c>
      <c r="B2994">
        <v>-8.5969999999999995</v>
      </c>
      <c r="C2994">
        <v>121.94499999999999</v>
      </c>
      <c r="D2994" t="s">
        <v>13</v>
      </c>
      <c r="E2994" t="s">
        <v>399</v>
      </c>
      <c r="F2994">
        <f t="shared" si="92"/>
        <v>1992</v>
      </c>
      <c r="G2994">
        <f t="shared" si="93"/>
        <v>12</v>
      </c>
      <c r="H2994" t="str">
        <f>IF(ISNUMBER(FIND(",", E2994)), TRIM(MID(E2994, FIND(",", E2994) + 1, LEN(E2994))), E2994)</f>
        <v>Indonesia</v>
      </c>
    </row>
    <row r="2995" spans="1:8" x14ac:dyDescent="0.25">
      <c r="A2995" s="2">
        <v>33950</v>
      </c>
      <c r="B2995">
        <v>-8.4949999999999992</v>
      </c>
      <c r="C2995">
        <v>121.833</v>
      </c>
      <c r="D2995" t="s">
        <v>14</v>
      </c>
      <c r="E2995" t="s">
        <v>399</v>
      </c>
      <c r="F2995">
        <f t="shared" si="92"/>
        <v>1992</v>
      </c>
      <c r="G2995">
        <f t="shared" si="93"/>
        <v>12</v>
      </c>
      <c r="H2995" t="str">
        <f>IF(ISNUMBER(FIND(",", E2995)), TRIM(MID(E2995, FIND(",", E2995) + 1, LEN(E2995))), E2995)</f>
        <v>Indonesia</v>
      </c>
    </row>
    <row r="2996" spans="1:8" x14ac:dyDescent="0.25">
      <c r="A2996" s="2">
        <v>33936</v>
      </c>
      <c r="B2996">
        <v>-31.367999999999999</v>
      </c>
      <c r="C2996">
        <v>-72.049000000000007</v>
      </c>
      <c r="D2996" t="s">
        <v>14</v>
      </c>
      <c r="E2996" t="s">
        <v>442</v>
      </c>
      <c r="F2996">
        <f t="shared" si="92"/>
        <v>1992</v>
      </c>
      <c r="G2996">
        <f t="shared" si="93"/>
        <v>11</v>
      </c>
      <c r="H2996" t="str">
        <f>IF(ISNUMBER(FIND(",", E2996)), TRIM(MID(E2996, FIND(",", E2996) + 1, LEN(E2996))), E2996)</f>
        <v>Chile</v>
      </c>
    </row>
    <row r="2997" spans="1:8" x14ac:dyDescent="0.25">
      <c r="A2997" s="2">
        <v>33929</v>
      </c>
      <c r="B2997">
        <v>-56.536999999999999</v>
      </c>
      <c r="C2997">
        <v>-25.899000000000001</v>
      </c>
      <c r="D2997" t="s">
        <v>14</v>
      </c>
      <c r="E2997" t="s">
        <v>260</v>
      </c>
      <c r="F2997">
        <f t="shared" si="92"/>
        <v>1992</v>
      </c>
      <c r="G2997">
        <f t="shared" si="93"/>
        <v>11</v>
      </c>
      <c r="H2997" t="str">
        <f>IF(ISNUMBER(FIND(",", E2997)), TRIM(MID(E2997, FIND(",", E2997) + 1, LEN(E2997))), E2997)</f>
        <v>South Sandwich Islands region</v>
      </c>
    </row>
    <row r="2998" spans="1:8" x14ac:dyDescent="0.25">
      <c r="A2998" s="2">
        <v>33920</v>
      </c>
      <c r="B2998">
        <v>-22.391999999999999</v>
      </c>
      <c r="C2998">
        <v>-178.03399999999999</v>
      </c>
      <c r="D2998" t="s">
        <v>14</v>
      </c>
      <c r="E2998" t="s">
        <v>256</v>
      </c>
      <c r="F2998">
        <f t="shared" si="92"/>
        <v>1992</v>
      </c>
      <c r="G2998">
        <f t="shared" si="93"/>
        <v>11</v>
      </c>
      <c r="H2998" t="str">
        <f>IF(ISNUMBER(FIND(",", E2998)), TRIM(MID(E2998, FIND(",", E2998) + 1, LEN(E2998))), E2998)</f>
        <v>south of the Fiji Islands</v>
      </c>
    </row>
    <row r="2999" spans="1:8" x14ac:dyDescent="0.25">
      <c r="A2999" s="2">
        <v>33919</v>
      </c>
      <c r="B2999">
        <v>51.182000000000002</v>
      </c>
      <c r="C2999">
        <v>-179.22900000000001</v>
      </c>
      <c r="D2999" t="s">
        <v>14</v>
      </c>
      <c r="E2999" t="s">
        <v>207</v>
      </c>
      <c r="F2999">
        <f t="shared" si="92"/>
        <v>1992</v>
      </c>
      <c r="G2999">
        <f t="shared" si="93"/>
        <v>11</v>
      </c>
      <c r="H2999" t="str">
        <f>IF(ISNUMBER(FIND(",", E2999)), TRIM(MID(E2999, FIND(",", E2999) + 1, LEN(E2999))), E2999)</f>
        <v>Aleutian Islands, Alaska</v>
      </c>
    </row>
    <row r="3000" spans="1:8" x14ac:dyDescent="0.25">
      <c r="A3000" s="2">
        <v>33916</v>
      </c>
      <c r="B3000">
        <v>-15.726000000000001</v>
      </c>
      <c r="C3000">
        <v>-179.69399999999999</v>
      </c>
      <c r="D3000" t="s">
        <v>14</v>
      </c>
      <c r="E3000" t="s">
        <v>53</v>
      </c>
      <c r="F3000">
        <f t="shared" si="92"/>
        <v>1992</v>
      </c>
      <c r="G3000">
        <f t="shared" si="93"/>
        <v>11</v>
      </c>
      <c r="H3000" t="str">
        <f>IF(ISNUMBER(FIND(",", E3000)), TRIM(MID(E3000, FIND(",", E3000) + 1, LEN(E3000))), E3000)</f>
        <v>Fiji region</v>
      </c>
    </row>
    <row r="3001" spans="1:8" x14ac:dyDescent="0.25">
      <c r="A3001" s="2">
        <v>33913</v>
      </c>
      <c r="B3001">
        <v>-5.2110000000000003</v>
      </c>
      <c r="C3001">
        <v>152.636</v>
      </c>
      <c r="D3001" t="s">
        <v>14</v>
      </c>
      <c r="E3001" t="s">
        <v>190</v>
      </c>
      <c r="F3001">
        <f t="shared" si="92"/>
        <v>1992</v>
      </c>
      <c r="G3001">
        <f t="shared" si="93"/>
        <v>11</v>
      </c>
      <c r="H3001" t="str">
        <f>IF(ISNUMBER(FIND(",", E3001)), TRIM(MID(E3001, FIND(",", E3001) + 1, LEN(E3001))), E3001)</f>
        <v>Papua New Guinea</v>
      </c>
    </row>
    <row r="3002" spans="1:8" x14ac:dyDescent="0.25">
      <c r="A3002" s="2">
        <v>33912</v>
      </c>
      <c r="B3002">
        <v>-14.254</v>
      </c>
      <c r="C3002">
        <v>167.66399999999999</v>
      </c>
      <c r="D3002" t="s">
        <v>14</v>
      </c>
      <c r="E3002" t="s">
        <v>181</v>
      </c>
      <c r="F3002">
        <f t="shared" si="92"/>
        <v>1992</v>
      </c>
      <c r="G3002">
        <f t="shared" si="93"/>
        <v>11</v>
      </c>
      <c r="H3002" t="str">
        <f>IF(ISNUMBER(FIND(",", E3002)), TRIM(MID(E3002, FIND(",", E3002) + 1, LEN(E3002))), E3002)</f>
        <v>Vanuatu</v>
      </c>
    </row>
    <row r="3003" spans="1:8" x14ac:dyDescent="0.25">
      <c r="A3003" s="2">
        <v>33912</v>
      </c>
      <c r="B3003">
        <v>-61.604999999999997</v>
      </c>
      <c r="C3003">
        <v>154.899</v>
      </c>
      <c r="D3003" t="s">
        <v>14</v>
      </c>
      <c r="E3003" t="s">
        <v>283</v>
      </c>
      <c r="F3003">
        <f t="shared" si="92"/>
        <v>1992</v>
      </c>
      <c r="G3003">
        <f t="shared" si="93"/>
        <v>11</v>
      </c>
      <c r="H3003" t="str">
        <f>IF(ISNUMBER(FIND(",", E3003)), TRIM(MID(E3003, FIND(",", E3003) + 1, LEN(E3003))), E3003)</f>
        <v>Balleny Islands region</v>
      </c>
    </row>
    <row r="3004" spans="1:8" x14ac:dyDescent="0.25">
      <c r="A3004" s="2">
        <v>33908</v>
      </c>
      <c r="B3004">
        <v>-2.3130000000000002</v>
      </c>
      <c r="C3004">
        <v>141.27799999999999</v>
      </c>
      <c r="D3004" t="s">
        <v>14</v>
      </c>
      <c r="E3004" t="s">
        <v>216</v>
      </c>
      <c r="F3004">
        <f t="shared" si="92"/>
        <v>1992</v>
      </c>
      <c r="G3004">
        <f t="shared" si="93"/>
        <v>10</v>
      </c>
      <c r="H3004" t="str">
        <f>IF(ISNUMBER(FIND(",", E3004)), TRIM(MID(E3004, FIND(",", E3004) + 1, LEN(E3004))), E3004)</f>
        <v>Papua New Guinea</v>
      </c>
    </row>
    <row r="3005" spans="1:8" x14ac:dyDescent="0.25">
      <c r="A3005" s="2">
        <v>33908</v>
      </c>
      <c r="B3005">
        <v>-2.33</v>
      </c>
      <c r="C3005">
        <v>141.26</v>
      </c>
      <c r="D3005" t="s">
        <v>14</v>
      </c>
      <c r="E3005" t="s">
        <v>216</v>
      </c>
      <c r="F3005">
        <f t="shared" si="92"/>
        <v>1992</v>
      </c>
      <c r="G3005">
        <f t="shared" si="93"/>
        <v>10</v>
      </c>
      <c r="H3005" t="str">
        <f>IF(ISNUMBER(FIND(",", E3005)), TRIM(MID(E3005, FIND(",", E3005) + 1, LEN(E3005))), E3005)</f>
        <v>Papua New Guinea</v>
      </c>
    </row>
    <row r="3006" spans="1:8" x14ac:dyDescent="0.25">
      <c r="A3006" s="2">
        <v>33907</v>
      </c>
      <c r="B3006">
        <v>29.911999999999999</v>
      </c>
      <c r="C3006">
        <v>139.048</v>
      </c>
      <c r="D3006" t="s">
        <v>14</v>
      </c>
      <c r="E3006" t="s">
        <v>88</v>
      </c>
      <c r="F3006">
        <f t="shared" si="92"/>
        <v>1992</v>
      </c>
      <c r="G3006">
        <f t="shared" si="93"/>
        <v>10</v>
      </c>
      <c r="H3006" t="str">
        <f>IF(ISNUMBER(FIND(",", E3006)), TRIM(MID(E3006, FIND(",", E3006) + 1, LEN(E3006))), E3006)</f>
        <v>Japan region</v>
      </c>
    </row>
    <row r="3007" spans="1:8" x14ac:dyDescent="0.25">
      <c r="A3007" s="2">
        <v>33906</v>
      </c>
      <c r="B3007">
        <v>6.7910000000000004</v>
      </c>
      <c r="C3007">
        <v>123.815</v>
      </c>
      <c r="D3007" t="s">
        <v>14</v>
      </c>
      <c r="E3007" t="s">
        <v>319</v>
      </c>
      <c r="F3007">
        <f t="shared" si="92"/>
        <v>1992</v>
      </c>
      <c r="G3007">
        <f t="shared" si="93"/>
        <v>10</v>
      </c>
      <c r="H3007" t="str">
        <f>IF(ISNUMBER(FIND(",", E3007)), TRIM(MID(E3007, FIND(",", E3007) + 1, LEN(E3007))), E3007)</f>
        <v>Mindanao, Philippines</v>
      </c>
    </row>
    <row r="3008" spans="1:8" x14ac:dyDescent="0.25">
      <c r="A3008" s="2">
        <v>33901</v>
      </c>
      <c r="B3008">
        <v>-29.777000000000001</v>
      </c>
      <c r="C3008">
        <v>-177.244</v>
      </c>
      <c r="D3008" t="s">
        <v>14</v>
      </c>
      <c r="E3008" t="s">
        <v>288</v>
      </c>
      <c r="F3008">
        <f t="shared" si="92"/>
        <v>1992</v>
      </c>
      <c r="G3008">
        <f t="shared" si="93"/>
        <v>10</v>
      </c>
      <c r="H3008" t="str">
        <f>IF(ISNUMBER(FIND(",", E3008)), TRIM(MID(E3008, FIND(",", E3008) + 1, LEN(E3008))), E3008)</f>
        <v>New Zealand</v>
      </c>
    </row>
    <row r="3009" spans="1:8" x14ac:dyDescent="0.25">
      <c r="A3009" s="2">
        <v>33900</v>
      </c>
      <c r="B3009">
        <v>42.563000000000002</v>
      </c>
      <c r="C3009">
        <v>45.095999999999997</v>
      </c>
      <c r="D3009" t="s">
        <v>14</v>
      </c>
      <c r="E3009" t="s">
        <v>356</v>
      </c>
      <c r="F3009">
        <f t="shared" si="92"/>
        <v>1992</v>
      </c>
      <c r="G3009">
        <f t="shared" si="93"/>
        <v>10</v>
      </c>
      <c r="H3009" t="str">
        <f>IF(ISNUMBER(FIND(",", E3009)), TRIM(MID(E3009, FIND(",", E3009) + 1, LEN(E3009))), E3009)</f>
        <v>Georgia (Sak'art'velo)</v>
      </c>
    </row>
    <row r="3010" spans="1:8" x14ac:dyDescent="0.25">
      <c r="A3010" s="2">
        <v>33900</v>
      </c>
      <c r="B3010">
        <v>-9.4870000000000001</v>
      </c>
      <c r="C3010">
        <v>122.545</v>
      </c>
      <c r="D3010" t="s">
        <v>14</v>
      </c>
      <c r="E3010" t="s">
        <v>471</v>
      </c>
      <c r="F3010">
        <f t="shared" ref="F3010:F3073" si="94">YEAR(A3010)</f>
        <v>1992</v>
      </c>
      <c r="G3010">
        <f t="shared" si="93"/>
        <v>10</v>
      </c>
      <c r="H3010" t="str">
        <f>IF(ISNUMBER(FIND(",", E3010)), TRIM(MID(E3010, FIND(",", E3010) + 1, LEN(E3010))), E3010)</f>
        <v>Savu Sea</v>
      </c>
    </row>
    <row r="3011" spans="1:8" x14ac:dyDescent="0.25">
      <c r="A3011" s="2">
        <v>33900</v>
      </c>
      <c r="B3011">
        <v>-5.3380000000000001</v>
      </c>
      <c r="C3011">
        <v>152.64400000000001</v>
      </c>
      <c r="D3011" t="s">
        <v>14</v>
      </c>
      <c r="E3011" t="s">
        <v>190</v>
      </c>
      <c r="F3011">
        <f t="shared" si="94"/>
        <v>1992</v>
      </c>
      <c r="G3011">
        <f t="shared" ref="G3011:G3074" si="95">MONTH(A3011)</f>
        <v>10</v>
      </c>
      <c r="H3011" t="str">
        <f>IF(ISNUMBER(FIND(",", E3011)), TRIM(MID(E3011, FIND(",", E3011) + 1, LEN(E3011))), E3011)</f>
        <v>Papua New Guinea</v>
      </c>
    </row>
    <row r="3012" spans="1:8" x14ac:dyDescent="0.25">
      <c r="A3012" s="2">
        <v>33899</v>
      </c>
      <c r="B3012">
        <v>-29.902999999999999</v>
      </c>
      <c r="C3012">
        <v>-176.95599999999999</v>
      </c>
      <c r="D3012" t="s">
        <v>14</v>
      </c>
      <c r="E3012" t="s">
        <v>240</v>
      </c>
      <c r="F3012">
        <f t="shared" si="94"/>
        <v>1992</v>
      </c>
      <c r="G3012">
        <f t="shared" si="95"/>
        <v>10</v>
      </c>
      <c r="H3012" t="str">
        <f>IF(ISNUMBER(FIND(",", E3012)), TRIM(MID(E3012, FIND(",", E3012) + 1, LEN(E3012))), E3012)</f>
        <v>Kermadec Islands region</v>
      </c>
    </row>
    <row r="3013" spans="1:8" x14ac:dyDescent="0.25">
      <c r="A3013" s="2">
        <v>33899</v>
      </c>
      <c r="B3013">
        <v>-30.059000000000001</v>
      </c>
      <c r="C3013">
        <v>-177.22</v>
      </c>
      <c r="D3013" t="s">
        <v>14</v>
      </c>
      <c r="E3013" t="s">
        <v>288</v>
      </c>
      <c r="F3013">
        <f t="shared" si="94"/>
        <v>1992</v>
      </c>
      <c r="G3013">
        <f t="shared" si="95"/>
        <v>10</v>
      </c>
      <c r="H3013" t="str">
        <f>IF(ISNUMBER(FIND(",", E3013)), TRIM(MID(E3013, FIND(",", E3013) + 1, LEN(E3013))), E3013)</f>
        <v>New Zealand</v>
      </c>
    </row>
    <row r="3014" spans="1:8" x14ac:dyDescent="0.25">
      <c r="A3014" s="2">
        <v>33898</v>
      </c>
      <c r="B3014">
        <v>-6.8650000000000002</v>
      </c>
      <c r="C3014">
        <v>144.18199999999999</v>
      </c>
      <c r="D3014" t="s">
        <v>14</v>
      </c>
      <c r="E3014" t="s">
        <v>253</v>
      </c>
      <c r="F3014">
        <f t="shared" si="94"/>
        <v>1992</v>
      </c>
      <c r="G3014">
        <f t="shared" si="95"/>
        <v>10</v>
      </c>
      <c r="H3014" t="str">
        <f>IF(ISNUMBER(FIND(",", E3014)), TRIM(MID(E3014, FIND(",", E3014) + 1, LEN(E3014))), E3014)</f>
        <v>Papua New Guinea</v>
      </c>
    </row>
    <row r="3015" spans="1:8" x14ac:dyDescent="0.25">
      <c r="A3015" s="2">
        <v>33896</v>
      </c>
      <c r="B3015">
        <v>-19.431999999999999</v>
      </c>
      <c r="C3015">
        <v>169.678</v>
      </c>
      <c r="D3015" t="s">
        <v>14</v>
      </c>
      <c r="E3015" t="s">
        <v>181</v>
      </c>
      <c r="F3015">
        <f t="shared" si="94"/>
        <v>1992</v>
      </c>
      <c r="G3015">
        <f t="shared" si="95"/>
        <v>10</v>
      </c>
      <c r="H3015" t="str">
        <f>IF(ISNUMBER(FIND(",", E3015)), TRIM(MID(E3015, FIND(",", E3015) + 1, LEN(E3015))), E3015)</f>
        <v>Vanuatu</v>
      </c>
    </row>
    <row r="3016" spans="1:8" x14ac:dyDescent="0.25">
      <c r="A3016" s="2">
        <v>33895</v>
      </c>
      <c r="B3016">
        <v>7.0940000000000003</v>
      </c>
      <c r="C3016">
        <v>-76.763000000000005</v>
      </c>
      <c r="D3016" t="s">
        <v>14</v>
      </c>
      <c r="E3016" t="s">
        <v>565</v>
      </c>
      <c r="F3016">
        <f t="shared" si="94"/>
        <v>1992</v>
      </c>
      <c r="G3016">
        <f t="shared" si="95"/>
        <v>10</v>
      </c>
      <c r="H3016" t="str">
        <f>IF(ISNUMBER(FIND(",", E3016)), TRIM(MID(E3016, FIND(",", E3016) + 1, LEN(E3016))), E3016)</f>
        <v>northern Colombia</v>
      </c>
    </row>
    <row r="3017" spans="1:8" x14ac:dyDescent="0.25">
      <c r="A3017" s="2">
        <v>33895</v>
      </c>
      <c r="B3017">
        <v>-6.2960000000000003</v>
      </c>
      <c r="C3017">
        <v>130.19999999999999</v>
      </c>
      <c r="D3017" t="s">
        <v>14</v>
      </c>
      <c r="E3017" t="s">
        <v>187</v>
      </c>
      <c r="F3017">
        <f t="shared" si="94"/>
        <v>1992</v>
      </c>
      <c r="G3017">
        <f t="shared" si="95"/>
        <v>10</v>
      </c>
      <c r="H3017" t="str">
        <f>IF(ISNUMBER(FIND(",", E3017)), TRIM(MID(E3017, FIND(",", E3017) + 1, LEN(E3017))), E3017)</f>
        <v>Banda Sea</v>
      </c>
    </row>
    <row r="3018" spans="1:8" x14ac:dyDescent="0.25">
      <c r="A3018" s="2">
        <v>33894</v>
      </c>
      <c r="B3018">
        <v>6.8689999999999998</v>
      </c>
      <c r="C3018">
        <v>-76.722999999999999</v>
      </c>
      <c r="D3018" t="s">
        <v>14</v>
      </c>
      <c r="E3018" t="s">
        <v>565</v>
      </c>
      <c r="F3018">
        <f t="shared" si="94"/>
        <v>1992</v>
      </c>
      <c r="G3018">
        <f t="shared" si="95"/>
        <v>10</v>
      </c>
      <c r="H3018" t="str">
        <f>IF(ISNUMBER(FIND(",", E3018)), TRIM(MID(E3018, FIND(",", E3018) + 1, LEN(E3018))), E3018)</f>
        <v>northern Colombia</v>
      </c>
    </row>
    <row r="3019" spans="1:8" x14ac:dyDescent="0.25">
      <c r="A3019" s="2">
        <v>33894</v>
      </c>
      <c r="B3019">
        <v>-19.212</v>
      </c>
      <c r="C3019">
        <v>169.63300000000001</v>
      </c>
      <c r="D3019" t="s">
        <v>14</v>
      </c>
      <c r="E3019" t="s">
        <v>181</v>
      </c>
      <c r="F3019">
        <f t="shared" si="94"/>
        <v>1992</v>
      </c>
      <c r="G3019">
        <f t="shared" si="95"/>
        <v>10</v>
      </c>
      <c r="H3019" t="str">
        <f>IF(ISNUMBER(FIND(",", E3019)), TRIM(MID(E3019, FIND(",", E3019) + 1, LEN(E3019))), E3019)</f>
        <v>Vanuatu</v>
      </c>
    </row>
    <row r="3020" spans="1:8" x14ac:dyDescent="0.25">
      <c r="A3020" s="2">
        <v>33892</v>
      </c>
      <c r="B3020">
        <v>-14.496</v>
      </c>
      <c r="C3020">
        <v>166.786</v>
      </c>
      <c r="D3020" t="s">
        <v>14</v>
      </c>
      <c r="E3020" t="s">
        <v>181</v>
      </c>
      <c r="F3020">
        <f t="shared" si="94"/>
        <v>1992</v>
      </c>
      <c r="G3020">
        <f t="shared" si="95"/>
        <v>10</v>
      </c>
      <c r="H3020" t="str">
        <f>IF(ISNUMBER(FIND(",", E3020)), TRIM(MID(E3020, FIND(",", E3020) + 1, LEN(E3020))), E3020)</f>
        <v>Vanuatu</v>
      </c>
    </row>
    <row r="3021" spans="1:8" x14ac:dyDescent="0.25">
      <c r="A3021" s="2">
        <v>33888</v>
      </c>
      <c r="B3021">
        <v>-19.260000000000002</v>
      </c>
      <c r="C3021">
        <v>169.02500000000001</v>
      </c>
      <c r="D3021" t="s">
        <v>14</v>
      </c>
      <c r="E3021" t="s">
        <v>181</v>
      </c>
      <c r="F3021">
        <f t="shared" si="94"/>
        <v>1992</v>
      </c>
      <c r="G3021">
        <f t="shared" si="95"/>
        <v>10</v>
      </c>
      <c r="H3021" t="str">
        <f>IF(ISNUMBER(FIND(",", E3021)), TRIM(MID(E3021, FIND(",", E3021) + 1, LEN(E3021))), E3021)</f>
        <v>Vanuatu</v>
      </c>
    </row>
    <row r="3022" spans="1:8" x14ac:dyDescent="0.25">
      <c r="A3022" s="2">
        <v>33877</v>
      </c>
      <c r="B3022">
        <v>51.156999999999996</v>
      </c>
      <c r="C3022">
        <v>-178.148</v>
      </c>
      <c r="D3022" t="s">
        <v>14</v>
      </c>
      <c r="E3022" t="s">
        <v>207</v>
      </c>
      <c r="F3022">
        <f t="shared" si="94"/>
        <v>1992</v>
      </c>
      <c r="G3022">
        <f t="shared" si="95"/>
        <v>9</v>
      </c>
      <c r="H3022" t="str">
        <f>IF(ISNUMBER(FIND(",", E3022)), TRIM(MID(E3022, FIND(",", E3022) + 1, LEN(E3022))), E3022)</f>
        <v>Aleutian Islands, Alaska</v>
      </c>
    </row>
    <row r="3023" spans="1:8" x14ac:dyDescent="0.25">
      <c r="A3023" s="2">
        <v>33877</v>
      </c>
      <c r="B3023">
        <v>51.273000000000003</v>
      </c>
      <c r="C3023">
        <v>-178.06200000000001</v>
      </c>
      <c r="D3023" t="s">
        <v>14</v>
      </c>
      <c r="E3023" t="s">
        <v>207</v>
      </c>
      <c r="F3023">
        <f t="shared" si="94"/>
        <v>1992</v>
      </c>
      <c r="G3023">
        <f t="shared" si="95"/>
        <v>9</v>
      </c>
      <c r="H3023" t="str">
        <f>IF(ISNUMBER(FIND(",", E3023)), TRIM(MID(E3023, FIND(",", E3023) + 1, LEN(E3023))), E3023)</f>
        <v>Aleutian Islands, Alaska</v>
      </c>
    </row>
    <row r="3024" spans="1:8" x14ac:dyDescent="0.25">
      <c r="A3024" s="2">
        <v>33875</v>
      </c>
      <c r="B3024">
        <v>24.126999999999999</v>
      </c>
      <c r="C3024">
        <v>122.61499999999999</v>
      </c>
      <c r="D3024" t="s">
        <v>14</v>
      </c>
      <c r="E3024" t="s">
        <v>363</v>
      </c>
      <c r="F3024">
        <f t="shared" si="94"/>
        <v>1992</v>
      </c>
      <c r="G3024">
        <f t="shared" si="95"/>
        <v>9</v>
      </c>
      <c r="H3024" t="str">
        <f>IF(ISNUMBER(FIND(",", E3024)), TRIM(MID(E3024, FIND(",", E3024) + 1, LEN(E3024))), E3024)</f>
        <v>Taiwan region</v>
      </c>
    </row>
    <row r="3025" spans="1:8" x14ac:dyDescent="0.25">
      <c r="A3025" s="2">
        <v>33873</v>
      </c>
      <c r="B3025">
        <v>1.3</v>
      </c>
      <c r="C3025">
        <v>129.089</v>
      </c>
      <c r="D3025" t="s">
        <v>14</v>
      </c>
      <c r="E3025" t="s">
        <v>311</v>
      </c>
      <c r="F3025">
        <f t="shared" si="94"/>
        <v>1992</v>
      </c>
      <c r="G3025">
        <f t="shared" si="95"/>
        <v>9</v>
      </c>
      <c r="H3025" t="str">
        <f>IF(ISNUMBER(FIND(",", E3025)), TRIM(MID(E3025, FIND(",", E3025) + 1, LEN(E3025))), E3025)</f>
        <v>Indonesia</v>
      </c>
    </row>
    <row r="3026" spans="1:8" x14ac:dyDescent="0.25">
      <c r="A3026" s="2">
        <v>33871</v>
      </c>
      <c r="B3026">
        <v>-61.25</v>
      </c>
      <c r="C3026">
        <v>154.26900000000001</v>
      </c>
      <c r="D3026" t="s">
        <v>14</v>
      </c>
      <c r="E3026" t="s">
        <v>283</v>
      </c>
      <c r="F3026">
        <f t="shared" si="94"/>
        <v>1992</v>
      </c>
      <c r="G3026">
        <f t="shared" si="95"/>
        <v>9</v>
      </c>
      <c r="H3026" t="str">
        <f>IF(ISNUMBER(FIND(",", E3026)), TRIM(MID(E3026, FIND(",", E3026) + 1, LEN(E3026))), E3026)</f>
        <v>Balleny Islands region</v>
      </c>
    </row>
    <row r="3027" spans="1:8" x14ac:dyDescent="0.25">
      <c r="A3027" s="2">
        <v>33862</v>
      </c>
      <c r="B3027">
        <v>-14.07</v>
      </c>
      <c r="C3027">
        <v>167.33199999999999</v>
      </c>
      <c r="D3027" t="s">
        <v>14</v>
      </c>
      <c r="E3027" t="s">
        <v>181</v>
      </c>
      <c r="F3027">
        <f t="shared" si="94"/>
        <v>1992</v>
      </c>
      <c r="G3027">
        <f t="shared" si="95"/>
        <v>9</v>
      </c>
      <c r="H3027" t="str">
        <f>IF(ISNUMBER(FIND(",", E3027)), TRIM(MID(E3027, FIND(",", E3027) + 1, LEN(E3027))), E3027)</f>
        <v>Vanuatu</v>
      </c>
    </row>
    <row r="3028" spans="1:8" x14ac:dyDescent="0.25">
      <c r="A3028" s="2">
        <v>33858</v>
      </c>
      <c r="B3028">
        <v>-6.1459999999999999</v>
      </c>
      <c r="C3028">
        <v>26.655999999999999</v>
      </c>
      <c r="D3028" t="s">
        <v>14</v>
      </c>
      <c r="E3028" t="s">
        <v>566</v>
      </c>
      <c r="F3028">
        <f t="shared" si="94"/>
        <v>1992</v>
      </c>
      <c r="G3028">
        <f t="shared" si="95"/>
        <v>9</v>
      </c>
      <c r="H3028" t="str">
        <f>IF(ISNUMBER(FIND(",", E3028)), TRIM(MID(E3028, FIND(",", E3028) + 1, LEN(E3028))), E3028)</f>
        <v>Democratic Republic of the Congo</v>
      </c>
    </row>
    <row r="3029" spans="1:8" x14ac:dyDescent="0.25">
      <c r="A3029" s="2">
        <v>33856</v>
      </c>
      <c r="B3029">
        <v>76.201999999999998</v>
      </c>
      <c r="C3029">
        <v>7.2430000000000003</v>
      </c>
      <c r="D3029" t="s">
        <v>14</v>
      </c>
      <c r="E3029" t="s">
        <v>407</v>
      </c>
      <c r="F3029">
        <f t="shared" si="94"/>
        <v>1992</v>
      </c>
      <c r="G3029">
        <f t="shared" si="95"/>
        <v>9</v>
      </c>
      <c r="H3029" t="str">
        <f>IF(ISNUMBER(FIND(",", E3029)), TRIM(MID(E3029, FIND(",", E3029) + 1, LEN(E3029))), E3029)</f>
        <v>Svalbard region</v>
      </c>
    </row>
    <row r="3030" spans="1:8" x14ac:dyDescent="0.25">
      <c r="A3030" s="2">
        <v>33849</v>
      </c>
      <c r="B3030">
        <v>-6.0449999999999999</v>
      </c>
      <c r="C3030">
        <v>112.10599999999999</v>
      </c>
      <c r="D3030" t="s">
        <v>14</v>
      </c>
      <c r="E3030" t="s">
        <v>358</v>
      </c>
      <c r="F3030">
        <f t="shared" si="94"/>
        <v>1992</v>
      </c>
      <c r="G3030">
        <f t="shared" si="95"/>
        <v>9</v>
      </c>
      <c r="H3030" t="str">
        <f>IF(ISNUMBER(FIND(",", E3030)), TRIM(MID(E3030, FIND(",", E3030) + 1, LEN(E3030))), E3030)</f>
        <v>Indonesia</v>
      </c>
    </row>
    <row r="3031" spans="1:8" x14ac:dyDescent="0.25">
      <c r="A3031" s="2">
        <v>33849</v>
      </c>
      <c r="B3031">
        <v>11.727</v>
      </c>
      <c r="C3031">
        <v>-87.385999999999996</v>
      </c>
      <c r="D3031" t="s">
        <v>14</v>
      </c>
      <c r="E3031" t="s">
        <v>448</v>
      </c>
      <c r="F3031">
        <f t="shared" si="94"/>
        <v>1992</v>
      </c>
      <c r="G3031">
        <f t="shared" si="95"/>
        <v>9</v>
      </c>
      <c r="H3031" t="str">
        <f>IF(ISNUMBER(FIND(",", E3031)), TRIM(MID(E3031, FIND(",", E3031) + 1, LEN(E3031))), E3031)</f>
        <v>near the coast of Nicaragua</v>
      </c>
    </row>
    <row r="3032" spans="1:8" x14ac:dyDescent="0.25">
      <c r="A3032" s="2">
        <v>33846</v>
      </c>
      <c r="B3032">
        <v>-17.87</v>
      </c>
      <c r="C3032">
        <v>-178.64699999999999</v>
      </c>
      <c r="D3032" t="s">
        <v>14</v>
      </c>
      <c r="E3032" t="s">
        <v>53</v>
      </c>
      <c r="F3032">
        <f t="shared" si="94"/>
        <v>1992</v>
      </c>
      <c r="G3032">
        <f t="shared" si="95"/>
        <v>8</v>
      </c>
      <c r="H3032" t="str">
        <f>IF(ISNUMBER(FIND(",", E3032)), TRIM(MID(E3032, FIND(",", E3032) + 1, LEN(E3032))), E3032)</f>
        <v>Fiji region</v>
      </c>
    </row>
    <row r="3033" spans="1:8" x14ac:dyDescent="0.25">
      <c r="A3033" s="2">
        <v>33845</v>
      </c>
      <c r="B3033">
        <v>33.222999999999999</v>
      </c>
      <c r="C3033">
        <v>138.09200000000001</v>
      </c>
      <c r="D3033" t="s">
        <v>14</v>
      </c>
      <c r="E3033" t="s">
        <v>88</v>
      </c>
      <c r="F3033">
        <f t="shared" si="94"/>
        <v>1992</v>
      </c>
      <c r="G3033">
        <f t="shared" si="95"/>
        <v>8</v>
      </c>
      <c r="H3033" t="str">
        <f>IF(ISNUMBER(FIND(",", E3033)), TRIM(MID(E3033, FIND(",", E3033) + 1, LEN(E3033))), E3033)</f>
        <v>Japan region</v>
      </c>
    </row>
    <row r="3034" spans="1:8" x14ac:dyDescent="0.25">
      <c r="A3034" s="2">
        <v>33844</v>
      </c>
      <c r="B3034">
        <v>-1.034</v>
      </c>
      <c r="C3034">
        <v>-13.576000000000001</v>
      </c>
      <c r="D3034" t="s">
        <v>14</v>
      </c>
      <c r="E3034" t="s">
        <v>378</v>
      </c>
      <c r="F3034">
        <f t="shared" si="94"/>
        <v>1992</v>
      </c>
      <c r="G3034">
        <f t="shared" si="95"/>
        <v>8</v>
      </c>
      <c r="H3034" t="str">
        <f>IF(ISNUMBER(FIND(",", E3034)), TRIM(MID(E3034, FIND(",", E3034) + 1, LEN(E3034))), E3034)</f>
        <v>north of Ascension Island</v>
      </c>
    </row>
    <row r="3035" spans="1:8" x14ac:dyDescent="0.25">
      <c r="A3035" s="2">
        <v>33840</v>
      </c>
      <c r="B3035">
        <v>-56.725000000000001</v>
      </c>
      <c r="C3035">
        <v>-26.832999999999998</v>
      </c>
      <c r="D3035" t="s">
        <v>14</v>
      </c>
      <c r="E3035" t="s">
        <v>260</v>
      </c>
      <c r="F3035">
        <f t="shared" si="94"/>
        <v>1992</v>
      </c>
      <c r="G3035">
        <f t="shared" si="95"/>
        <v>8</v>
      </c>
      <c r="H3035" t="str">
        <f>IF(ISNUMBER(FIND(",", E3035)), TRIM(MID(E3035, FIND(",", E3035) + 1, LEN(E3035))), E3035)</f>
        <v>South Sandwich Islands region</v>
      </c>
    </row>
    <row r="3036" spans="1:8" x14ac:dyDescent="0.25">
      <c r="A3036" s="2">
        <v>33840</v>
      </c>
      <c r="B3036">
        <v>41.97</v>
      </c>
      <c r="C3036">
        <v>140.697</v>
      </c>
      <c r="D3036" t="s">
        <v>14</v>
      </c>
      <c r="E3036" t="s">
        <v>265</v>
      </c>
      <c r="F3036">
        <f t="shared" si="94"/>
        <v>1992</v>
      </c>
      <c r="G3036">
        <f t="shared" si="95"/>
        <v>8</v>
      </c>
      <c r="H3036" t="str">
        <f>IF(ISNUMBER(FIND(",", E3036)), TRIM(MID(E3036, FIND(",", E3036) + 1, LEN(E3036))), E3036)</f>
        <v>Japan region</v>
      </c>
    </row>
    <row r="3037" spans="1:8" x14ac:dyDescent="0.25">
      <c r="A3037" s="2">
        <v>33835</v>
      </c>
      <c r="B3037">
        <v>42.045999999999999</v>
      </c>
      <c r="C3037">
        <v>73.241</v>
      </c>
      <c r="D3037" t="s">
        <v>14</v>
      </c>
      <c r="E3037" t="s">
        <v>284</v>
      </c>
      <c r="F3037">
        <f t="shared" si="94"/>
        <v>1992</v>
      </c>
      <c r="G3037">
        <f t="shared" si="95"/>
        <v>8</v>
      </c>
      <c r="H3037" t="str">
        <f>IF(ISNUMBER(FIND(",", E3037)), TRIM(MID(E3037, FIND(",", E3037) + 1, LEN(E3037))), E3037)</f>
        <v>Kyrgyzstan</v>
      </c>
    </row>
    <row r="3038" spans="1:8" x14ac:dyDescent="0.25">
      <c r="A3038" s="2">
        <v>33835</v>
      </c>
      <c r="B3038">
        <v>42.064</v>
      </c>
      <c r="C3038">
        <v>73.284999999999997</v>
      </c>
      <c r="D3038" t="s">
        <v>14</v>
      </c>
      <c r="E3038" t="s">
        <v>284</v>
      </c>
      <c r="F3038">
        <f t="shared" si="94"/>
        <v>1992</v>
      </c>
      <c r="G3038">
        <f t="shared" si="95"/>
        <v>8</v>
      </c>
      <c r="H3038" t="str">
        <f>IF(ISNUMBER(FIND(",", E3038)), TRIM(MID(E3038, FIND(",", E3038) + 1, LEN(E3038))), E3038)</f>
        <v>Kyrgyzstan</v>
      </c>
    </row>
    <row r="3039" spans="1:8" x14ac:dyDescent="0.25">
      <c r="A3039" s="2">
        <v>33835</v>
      </c>
      <c r="B3039">
        <v>42.151000000000003</v>
      </c>
      <c r="C3039">
        <v>73.521000000000001</v>
      </c>
      <c r="D3039" t="s">
        <v>13</v>
      </c>
      <c r="E3039" t="s">
        <v>284</v>
      </c>
      <c r="F3039">
        <f t="shared" si="94"/>
        <v>1992</v>
      </c>
      <c r="G3039">
        <f t="shared" si="95"/>
        <v>8</v>
      </c>
      <c r="H3039" t="str">
        <f>IF(ISNUMBER(FIND(",", E3039)), TRIM(MID(E3039, FIND(",", E3039) + 1, LEN(E3039))), E3039)</f>
        <v>Kyrgyzstan</v>
      </c>
    </row>
    <row r="3040" spans="1:8" x14ac:dyDescent="0.25">
      <c r="A3040" s="2">
        <v>33835</v>
      </c>
      <c r="B3040">
        <v>42.11</v>
      </c>
      <c r="C3040">
        <v>73.606999999999999</v>
      </c>
      <c r="D3040" t="s">
        <v>14</v>
      </c>
      <c r="E3040" t="s">
        <v>284</v>
      </c>
      <c r="F3040">
        <f t="shared" si="94"/>
        <v>1992</v>
      </c>
      <c r="G3040">
        <f t="shared" si="95"/>
        <v>8</v>
      </c>
      <c r="H3040" t="str">
        <f>IF(ISNUMBER(FIND(",", E3040)), TRIM(MID(E3040, FIND(",", E3040) + 1, LEN(E3040))), E3040)</f>
        <v>Kyrgyzstan</v>
      </c>
    </row>
    <row r="3041" spans="1:8" x14ac:dyDescent="0.25">
      <c r="A3041" s="2">
        <v>33835</v>
      </c>
      <c r="B3041">
        <v>50.484999999999999</v>
      </c>
      <c r="C3041">
        <v>-174.91800000000001</v>
      </c>
      <c r="D3041" t="s">
        <v>14</v>
      </c>
      <c r="E3041" t="s">
        <v>207</v>
      </c>
      <c r="F3041">
        <f t="shared" si="94"/>
        <v>1992</v>
      </c>
      <c r="G3041">
        <f t="shared" si="95"/>
        <v>8</v>
      </c>
      <c r="H3041" t="str">
        <f>IF(ISNUMBER(FIND(",", E3041)), TRIM(MID(E3041, FIND(",", E3041) + 1, LEN(E3041))), E3041)</f>
        <v>Aleutian Islands, Alaska</v>
      </c>
    </row>
    <row r="3042" spans="1:8" x14ac:dyDescent="0.25">
      <c r="A3042" s="2">
        <v>33832</v>
      </c>
      <c r="B3042">
        <v>-5.3579999999999997</v>
      </c>
      <c r="C3042">
        <v>146.738</v>
      </c>
      <c r="D3042" t="s">
        <v>14</v>
      </c>
      <c r="E3042" t="s">
        <v>243</v>
      </c>
      <c r="F3042">
        <f t="shared" si="94"/>
        <v>1992</v>
      </c>
      <c r="G3042">
        <f t="shared" si="95"/>
        <v>8</v>
      </c>
      <c r="H3042" t="str">
        <f>IF(ISNUMBER(FIND(",", E3042)), TRIM(MID(E3042, FIND(",", E3042) + 1, LEN(E3042))), E3042)</f>
        <v>Papua New Guinea</v>
      </c>
    </row>
    <row r="3043" spans="1:8" x14ac:dyDescent="0.25">
      <c r="A3043" s="2">
        <v>33827</v>
      </c>
      <c r="B3043">
        <v>32.588999999999999</v>
      </c>
      <c r="C3043">
        <v>141.81299999999999</v>
      </c>
      <c r="D3043" t="s">
        <v>14</v>
      </c>
      <c r="E3043" t="s">
        <v>88</v>
      </c>
      <c r="F3043">
        <f t="shared" si="94"/>
        <v>1992</v>
      </c>
      <c r="G3043">
        <f t="shared" si="95"/>
        <v>8</v>
      </c>
      <c r="H3043" t="str">
        <f>IF(ISNUMBER(FIND(",", E3043)), TRIM(MID(E3043, FIND(",", E3043) + 1, LEN(E3043))), E3043)</f>
        <v>Japan region</v>
      </c>
    </row>
    <row r="3044" spans="1:8" x14ac:dyDescent="0.25">
      <c r="A3044" s="2">
        <v>33825</v>
      </c>
      <c r="B3044">
        <v>4.0389999999999997</v>
      </c>
      <c r="C3044">
        <v>126.404</v>
      </c>
      <c r="D3044" t="s">
        <v>14</v>
      </c>
      <c r="E3044" t="s">
        <v>372</v>
      </c>
      <c r="F3044">
        <f t="shared" si="94"/>
        <v>1992</v>
      </c>
      <c r="G3044">
        <f t="shared" si="95"/>
        <v>8</v>
      </c>
      <c r="H3044" t="str">
        <f>IF(ISNUMBER(FIND(",", E3044)), TRIM(MID(E3044, FIND(",", E3044) + 1, LEN(E3044))), E3044)</f>
        <v>Indonesia</v>
      </c>
    </row>
    <row r="3045" spans="1:8" x14ac:dyDescent="0.25">
      <c r="A3045" s="2">
        <v>33824</v>
      </c>
      <c r="B3045">
        <v>-31.478000000000002</v>
      </c>
      <c r="C3045">
        <v>-179.869</v>
      </c>
      <c r="D3045" t="s">
        <v>14</v>
      </c>
      <c r="E3045" t="s">
        <v>240</v>
      </c>
      <c r="F3045">
        <f t="shared" si="94"/>
        <v>1992</v>
      </c>
      <c r="G3045">
        <f t="shared" si="95"/>
        <v>8</v>
      </c>
      <c r="H3045" t="str">
        <f>IF(ISNUMBER(FIND(",", E3045)), TRIM(MID(E3045, FIND(",", E3045) + 1, LEN(E3045))), E3045)</f>
        <v>Kermadec Islands region</v>
      </c>
    </row>
    <row r="3046" spans="1:8" x14ac:dyDescent="0.25">
      <c r="A3046" s="2">
        <v>33823</v>
      </c>
      <c r="B3046">
        <v>57.57</v>
      </c>
      <c r="C3046">
        <v>-142.86799999999999</v>
      </c>
      <c r="D3046" t="s">
        <v>14</v>
      </c>
      <c r="E3046" t="s">
        <v>195</v>
      </c>
      <c r="F3046">
        <f t="shared" si="94"/>
        <v>1992</v>
      </c>
      <c r="G3046">
        <f t="shared" si="95"/>
        <v>8</v>
      </c>
      <c r="H3046" t="str">
        <f>IF(ISNUMBER(FIND(",", E3046)), TRIM(MID(E3046, FIND(",", E3046) + 1, LEN(E3046))), E3046)</f>
        <v>Gulf of Alaska</v>
      </c>
    </row>
    <row r="3047" spans="1:8" x14ac:dyDescent="0.25">
      <c r="A3047" s="2">
        <v>33820</v>
      </c>
      <c r="B3047">
        <v>-12.098000000000001</v>
      </c>
      <c r="C3047">
        <v>166.63399999999999</v>
      </c>
      <c r="D3047" t="s">
        <v>14</v>
      </c>
      <c r="E3047" t="s">
        <v>211</v>
      </c>
      <c r="F3047">
        <f t="shared" si="94"/>
        <v>1992</v>
      </c>
      <c r="G3047">
        <f t="shared" si="95"/>
        <v>8</v>
      </c>
      <c r="H3047" t="str">
        <f>IF(ISNUMBER(FIND(",", E3047)), TRIM(MID(E3047, FIND(",", E3047) + 1, LEN(E3047))), E3047)</f>
        <v>Santa Cruz Islands</v>
      </c>
    </row>
    <row r="3048" spans="1:8" x14ac:dyDescent="0.25">
      <c r="A3048" s="2">
        <v>33818</v>
      </c>
      <c r="B3048">
        <v>-7.1520000000000001</v>
      </c>
      <c r="C3048">
        <v>121.661</v>
      </c>
      <c r="D3048" t="s">
        <v>14</v>
      </c>
      <c r="E3048" t="s">
        <v>438</v>
      </c>
      <c r="F3048">
        <f t="shared" si="94"/>
        <v>1992</v>
      </c>
      <c r="G3048">
        <f t="shared" si="95"/>
        <v>8</v>
      </c>
      <c r="H3048" t="str">
        <f>IF(ISNUMBER(FIND(",", E3048)), TRIM(MID(E3048, FIND(",", E3048) + 1, LEN(E3048))), E3048)</f>
        <v>Flores Sea</v>
      </c>
    </row>
    <row r="3049" spans="1:8" x14ac:dyDescent="0.25">
      <c r="A3049" s="2">
        <v>33818</v>
      </c>
      <c r="B3049">
        <v>-0.85699999999999998</v>
      </c>
      <c r="C3049">
        <v>127.607</v>
      </c>
      <c r="D3049" t="s">
        <v>14</v>
      </c>
      <c r="E3049" t="s">
        <v>311</v>
      </c>
      <c r="F3049">
        <f t="shared" si="94"/>
        <v>1992</v>
      </c>
      <c r="G3049">
        <f t="shared" si="95"/>
        <v>8</v>
      </c>
      <c r="H3049" t="str">
        <f>IF(ISNUMBER(FIND(",", E3049)), TRIM(MID(E3049, FIND(",", E3049) + 1, LEN(E3049))), E3049)</f>
        <v>Indonesia</v>
      </c>
    </row>
    <row r="3050" spans="1:8" x14ac:dyDescent="0.25">
      <c r="A3050" s="2">
        <v>33815</v>
      </c>
      <c r="B3050">
        <v>29.588000000000001</v>
      </c>
      <c r="C3050">
        <v>90.200999999999993</v>
      </c>
      <c r="D3050" t="s">
        <v>14</v>
      </c>
      <c r="E3050" t="s">
        <v>386</v>
      </c>
      <c r="F3050">
        <f t="shared" si="94"/>
        <v>1992</v>
      </c>
      <c r="G3050">
        <f t="shared" si="95"/>
        <v>7</v>
      </c>
      <c r="H3050" t="str">
        <f>IF(ISNUMBER(FIND(",", E3050)), TRIM(MID(E3050, FIND(",", E3050) + 1, LEN(E3050))), E3050)</f>
        <v>eastern Xizang</v>
      </c>
    </row>
    <row r="3051" spans="1:8" x14ac:dyDescent="0.25">
      <c r="A3051" s="2">
        <v>33814</v>
      </c>
      <c r="B3051">
        <v>39.603000000000002</v>
      </c>
      <c r="C3051">
        <v>143.471</v>
      </c>
      <c r="D3051" t="s">
        <v>14</v>
      </c>
      <c r="E3051" t="s">
        <v>189</v>
      </c>
      <c r="F3051">
        <f t="shared" si="94"/>
        <v>1992</v>
      </c>
      <c r="G3051">
        <f t="shared" si="95"/>
        <v>7</v>
      </c>
      <c r="H3051" t="str">
        <f>IF(ISNUMBER(FIND(",", E3051)), TRIM(MID(E3051, FIND(",", E3051) + 1, LEN(E3051))), E3051)</f>
        <v>Japan</v>
      </c>
    </row>
    <row r="3052" spans="1:8" x14ac:dyDescent="0.25">
      <c r="A3052" s="2">
        <v>33805</v>
      </c>
      <c r="B3052">
        <v>78.570999999999998</v>
      </c>
      <c r="C3052">
        <v>5.5949999999999998</v>
      </c>
      <c r="D3052" t="s">
        <v>14</v>
      </c>
      <c r="E3052" t="s">
        <v>407</v>
      </c>
      <c r="F3052">
        <f t="shared" si="94"/>
        <v>1992</v>
      </c>
      <c r="G3052">
        <f t="shared" si="95"/>
        <v>7</v>
      </c>
      <c r="H3052" t="str">
        <f>IF(ISNUMBER(FIND(",", E3052)), TRIM(MID(E3052, FIND(",", E3052) + 1, LEN(E3052))), E3052)</f>
        <v>Svalbard region</v>
      </c>
    </row>
    <row r="3053" spans="1:8" x14ac:dyDescent="0.25">
      <c r="A3053" s="2">
        <v>33803</v>
      </c>
      <c r="B3053">
        <v>39.481000000000002</v>
      </c>
      <c r="C3053">
        <v>143.262</v>
      </c>
      <c r="D3053" t="s">
        <v>14</v>
      </c>
      <c r="E3053" t="s">
        <v>189</v>
      </c>
      <c r="F3053">
        <f t="shared" si="94"/>
        <v>1992</v>
      </c>
      <c r="G3053">
        <f t="shared" si="95"/>
        <v>7</v>
      </c>
      <c r="H3053" t="str">
        <f>IF(ISNUMBER(FIND(",", E3053)), TRIM(MID(E3053, FIND(",", E3053) + 1, LEN(E3053))), E3053)</f>
        <v>Japan</v>
      </c>
    </row>
    <row r="3054" spans="1:8" x14ac:dyDescent="0.25">
      <c r="A3054" s="2">
        <v>33803</v>
      </c>
      <c r="B3054">
        <v>39.462000000000003</v>
      </c>
      <c r="C3054">
        <v>143.096</v>
      </c>
      <c r="D3054" t="s">
        <v>14</v>
      </c>
      <c r="E3054" t="s">
        <v>189</v>
      </c>
      <c r="F3054">
        <f t="shared" si="94"/>
        <v>1992</v>
      </c>
      <c r="G3054">
        <f t="shared" si="95"/>
        <v>7</v>
      </c>
      <c r="H3054" t="str">
        <f>IF(ISNUMBER(FIND(",", E3054)), TRIM(MID(E3054, FIND(",", E3054) + 1, LEN(E3054))), E3054)</f>
        <v>Japan</v>
      </c>
    </row>
    <row r="3055" spans="1:8" x14ac:dyDescent="0.25">
      <c r="A3055" s="2">
        <v>33803</v>
      </c>
      <c r="B3055">
        <v>39.624000000000002</v>
      </c>
      <c r="C3055">
        <v>143.113</v>
      </c>
      <c r="D3055" t="s">
        <v>13</v>
      </c>
      <c r="E3055" t="s">
        <v>189</v>
      </c>
      <c r="F3055">
        <f t="shared" si="94"/>
        <v>1992</v>
      </c>
      <c r="G3055">
        <f t="shared" si="95"/>
        <v>7</v>
      </c>
      <c r="H3055" t="str">
        <f>IF(ISNUMBER(FIND(",", E3055)), TRIM(MID(E3055, FIND(",", E3055) + 1, LEN(E3055))), E3055)</f>
        <v>Japan</v>
      </c>
    </row>
    <row r="3056" spans="1:8" x14ac:dyDescent="0.25">
      <c r="A3056" s="2">
        <v>33803</v>
      </c>
      <c r="B3056">
        <v>39.448999999999998</v>
      </c>
      <c r="C3056">
        <v>143.346</v>
      </c>
      <c r="D3056" t="s">
        <v>14</v>
      </c>
      <c r="E3056" t="s">
        <v>189</v>
      </c>
      <c r="F3056">
        <f t="shared" si="94"/>
        <v>1992</v>
      </c>
      <c r="G3056">
        <f t="shared" si="95"/>
        <v>7</v>
      </c>
      <c r="H3056" t="str">
        <f>IF(ISNUMBER(FIND(",", E3056)), TRIM(MID(E3056, FIND(",", E3056) + 1, LEN(E3056))), E3056)</f>
        <v>Japan</v>
      </c>
    </row>
    <row r="3057" spans="1:8" x14ac:dyDescent="0.25">
      <c r="A3057" s="2">
        <v>33798</v>
      </c>
      <c r="B3057">
        <v>-3.9159999999999999</v>
      </c>
      <c r="C3057">
        <v>-76.563999999999993</v>
      </c>
      <c r="D3057" t="s">
        <v>14</v>
      </c>
      <c r="E3057" t="s">
        <v>277</v>
      </c>
      <c r="F3057">
        <f t="shared" si="94"/>
        <v>1992</v>
      </c>
      <c r="G3057">
        <f t="shared" si="95"/>
        <v>7</v>
      </c>
      <c r="H3057" t="str">
        <f>IF(ISNUMBER(FIND(",", E3057)), TRIM(MID(E3057, FIND(",", E3057) + 1, LEN(E3057))), E3057)</f>
        <v>northern Peru</v>
      </c>
    </row>
    <row r="3058" spans="1:8" x14ac:dyDescent="0.25">
      <c r="A3058" s="2">
        <v>33798</v>
      </c>
      <c r="B3058">
        <v>51.161000000000001</v>
      </c>
      <c r="C3058">
        <v>157.61799999999999</v>
      </c>
      <c r="D3058" t="s">
        <v>14</v>
      </c>
      <c r="E3058" t="s">
        <v>225</v>
      </c>
      <c r="F3058">
        <f t="shared" si="94"/>
        <v>1992</v>
      </c>
      <c r="G3058">
        <f t="shared" si="95"/>
        <v>7</v>
      </c>
      <c r="H3058" t="str">
        <f>IF(ISNUMBER(FIND(",", E3058)), TRIM(MID(E3058, FIND(",", E3058) + 1, LEN(E3058))), E3058)</f>
        <v>Russia</v>
      </c>
    </row>
    <row r="3059" spans="1:8" x14ac:dyDescent="0.25">
      <c r="A3059" s="2">
        <v>33797</v>
      </c>
      <c r="B3059">
        <v>41.473999999999997</v>
      </c>
      <c r="C3059">
        <v>142.02600000000001</v>
      </c>
      <c r="D3059" t="s">
        <v>14</v>
      </c>
      <c r="E3059" t="s">
        <v>265</v>
      </c>
      <c r="F3059">
        <f t="shared" si="94"/>
        <v>1992</v>
      </c>
      <c r="G3059">
        <f t="shared" si="95"/>
        <v>7</v>
      </c>
      <c r="H3059" t="str">
        <f>IF(ISNUMBER(FIND(",", E3059)), TRIM(MID(E3059, FIND(",", E3059) + 1, LEN(E3059))), E3059)</f>
        <v>Japan region</v>
      </c>
    </row>
    <row r="3060" spans="1:8" x14ac:dyDescent="0.25">
      <c r="A3060" s="2">
        <v>33796</v>
      </c>
      <c r="B3060">
        <v>-22.471</v>
      </c>
      <c r="C3060">
        <v>-178.32400000000001</v>
      </c>
      <c r="D3060" t="s">
        <v>14</v>
      </c>
      <c r="E3060" t="s">
        <v>256</v>
      </c>
      <c r="F3060">
        <f t="shared" si="94"/>
        <v>1992</v>
      </c>
      <c r="G3060">
        <f t="shared" si="95"/>
        <v>7</v>
      </c>
      <c r="H3060" t="str">
        <f>IF(ISNUMBER(FIND(",", E3060)), TRIM(MID(E3060, FIND(",", E3060) + 1, LEN(E3060))), E3060)</f>
        <v>south of the Fiji Islands</v>
      </c>
    </row>
    <row r="3061" spans="1:8" x14ac:dyDescent="0.25">
      <c r="A3061" s="2">
        <v>33795</v>
      </c>
      <c r="B3061">
        <v>44.741999999999997</v>
      </c>
      <c r="C3061">
        <v>149.49199999999999</v>
      </c>
      <c r="D3061" t="s">
        <v>14</v>
      </c>
      <c r="E3061" t="s">
        <v>191</v>
      </c>
      <c r="F3061">
        <f t="shared" si="94"/>
        <v>1992</v>
      </c>
      <c r="G3061">
        <f t="shared" si="95"/>
        <v>7</v>
      </c>
      <c r="H3061" t="str">
        <f>IF(ISNUMBER(FIND(",", E3061)), TRIM(MID(E3061, FIND(",", E3061) + 1, LEN(E3061))), E3061)</f>
        <v>Kuril Islands</v>
      </c>
    </row>
    <row r="3062" spans="1:8" x14ac:dyDescent="0.25">
      <c r="A3062" s="2">
        <v>33783</v>
      </c>
      <c r="B3062">
        <v>34.289000000000001</v>
      </c>
      <c r="C3062">
        <v>-116.81699999999999</v>
      </c>
      <c r="D3062" t="s">
        <v>14</v>
      </c>
      <c r="E3062" t="s">
        <v>521</v>
      </c>
      <c r="F3062">
        <f t="shared" si="94"/>
        <v>1992</v>
      </c>
      <c r="G3062">
        <f t="shared" si="95"/>
        <v>6</v>
      </c>
      <c r="H3062" t="str">
        <f>IF(ISNUMBER(FIND(",", E3062)), TRIM(MID(E3062, FIND(",", E3062) + 1, LEN(E3062))), E3062)</f>
        <v>Southern California</v>
      </c>
    </row>
    <row r="3063" spans="1:8" x14ac:dyDescent="0.25">
      <c r="A3063" s="2">
        <v>33783</v>
      </c>
      <c r="B3063">
        <v>34.183999999999997</v>
      </c>
      <c r="C3063">
        <v>-116.532</v>
      </c>
      <c r="D3063" t="s">
        <v>14</v>
      </c>
      <c r="E3063" t="s">
        <v>521</v>
      </c>
      <c r="F3063">
        <f t="shared" si="94"/>
        <v>1992</v>
      </c>
      <c r="G3063">
        <f t="shared" si="95"/>
        <v>6</v>
      </c>
      <c r="H3063" t="str">
        <f>IF(ISNUMBER(FIND(",", E3063)), TRIM(MID(E3063, FIND(",", E3063) + 1, LEN(E3063))), E3063)</f>
        <v>Southern California</v>
      </c>
    </row>
    <row r="3064" spans="1:8" x14ac:dyDescent="0.25">
      <c r="A3064" s="2">
        <v>33780</v>
      </c>
      <c r="B3064">
        <v>-28.288</v>
      </c>
      <c r="C3064">
        <v>-176.636</v>
      </c>
      <c r="D3064" t="s">
        <v>14</v>
      </c>
      <c r="E3064" t="s">
        <v>240</v>
      </c>
      <c r="F3064">
        <f t="shared" si="94"/>
        <v>1992</v>
      </c>
      <c r="G3064">
        <f t="shared" si="95"/>
        <v>6</v>
      </c>
      <c r="H3064" t="str">
        <f>IF(ISNUMBER(FIND(",", E3064)), TRIM(MID(E3064, FIND(",", E3064) + 1, LEN(E3064))), E3064)</f>
        <v>Kermadec Islands region</v>
      </c>
    </row>
    <row r="3065" spans="1:8" x14ac:dyDescent="0.25">
      <c r="A3065" s="2">
        <v>33777</v>
      </c>
      <c r="B3065">
        <v>-60.823</v>
      </c>
      <c r="C3065">
        <v>-22.123999999999999</v>
      </c>
      <c r="D3065" t="s">
        <v>14</v>
      </c>
      <c r="E3065" t="s">
        <v>260</v>
      </c>
      <c r="F3065">
        <f t="shared" si="94"/>
        <v>1992</v>
      </c>
      <c r="G3065">
        <f t="shared" si="95"/>
        <v>6</v>
      </c>
      <c r="H3065" t="str">
        <f>IF(ISNUMBER(FIND(",", E3065)), TRIM(MID(E3065, FIND(",", E3065) + 1, LEN(E3065))), E3065)</f>
        <v>South Sandwich Islands region</v>
      </c>
    </row>
    <row r="3066" spans="1:8" x14ac:dyDescent="0.25">
      <c r="A3066" s="2">
        <v>33776</v>
      </c>
      <c r="B3066">
        <v>-37.823999999999998</v>
      </c>
      <c r="C3066">
        <v>177.023</v>
      </c>
      <c r="D3066" t="s">
        <v>14</v>
      </c>
      <c r="E3066" t="s">
        <v>410</v>
      </c>
      <c r="F3066">
        <f t="shared" si="94"/>
        <v>1992</v>
      </c>
      <c r="G3066">
        <f t="shared" si="95"/>
        <v>6</v>
      </c>
      <c r="H3066" t="str">
        <f>IF(ISNUMBER(FIND(",", E3066)), TRIM(MID(E3066, FIND(",", E3066) + 1, LEN(E3066))), E3066)</f>
        <v>off the east coast of the North Island of New Zealand</v>
      </c>
    </row>
    <row r="3067" spans="1:8" x14ac:dyDescent="0.25">
      <c r="A3067" s="2">
        <v>33772</v>
      </c>
      <c r="B3067">
        <v>-60.301000000000002</v>
      </c>
      <c r="C3067">
        <v>-56.790999999999997</v>
      </c>
      <c r="D3067" t="s">
        <v>14</v>
      </c>
      <c r="E3067" t="s">
        <v>261</v>
      </c>
      <c r="F3067">
        <f t="shared" si="94"/>
        <v>1992</v>
      </c>
      <c r="G3067">
        <f t="shared" si="95"/>
        <v>6</v>
      </c>
      <c r="H3067" t="str">
        <f>IF(ISNUMBER(FIND(",", E3067)), TRIM(MID(E3067, FIND(",", E3067) + 1, LEN(E3067))), E3067)</f>
        <v>South Shetland Islands</v>
      </c>
    </row>
    <row r="3068" spans="1:8" x14ac:dyDescent="0.25">
      <c r="A3068" s="2">
        <v>33770</v>
      </c>
      <c r="B3068">
        <v>24.013999999999999</v>
      </c>
      <c r="C3068">
        <v>95.912000000000006</v>
      </c>
      <c r="D3068" t="s">
        <v>14</v>
      </c>
      <c r="E3068" t="s">
        <v>197</v>
      </c>
      <c r="F3068">
        <f t="shared" si="94"/>
        <v>1992</v>
      </c>
      <c r="G3068">
        <f t="shared" si="95"/>
        <v>6</v>
      </c>
      <c r="H3068" t="str">
        <f>IF(ISNUMBER(FIND(",", E3068)), TRIM(MID(E3068, FIND(",", E3068) + 1, LEN(E3068))), E3068)</f>
        <v>Myanmar</v>
      </c>
    </row>
    <row r="3069" spans="1:8" x14ac:dyDescent="0.25">
      <c r="A3069" s="2">
        <v>33764</v>
      </c>
      <c r="B3069">
        <v>-8.4570000000000007</v>
      </c>
      <c r="C3069">
        <v>111.021</v>
      </c>
      <c r="D3069" t="s">
        <v>14</v>
      </c>
      <c r="E3069" t="s">
        <v>358</v>
      </c>
      <c r="F3069">
        <f t="shared" si="94"/>
        <v>1992</v>
      </c>
      <c r="G3069">
        <f t="shared" si="95"/>
        <v>6</v>
      </c>
      <c r="H3069" t="str">
        <f>IF(ISNUMBER(FIND(",", E3069)), TRIM(MID(E3069, FIND(",", E3069) + 1, LEN(E3069))), E3069)</f>
        <v>Indonesia</v>
      </c>
    </row>
    <row r="3070" spans="1:8" x14ac:dyDescent="0.25">
      <c r="A3070" s="2">
        <v>33758</v>
      </c>
      <c r="B3070">
        <v>51.134</v>
      </c>
      <c r="C3070">
        <v>178.738</v>
      </c>
      <c r="D3070" t="s">
        <v>14</v>
      </c>
      <c r="E3070" t="s">
        <v>366</v>
      </c>
      <c r="F3070">
        <f t="shared" si="94"/>
        <v>1992</v>
      </c>
      <c r="G3070">
        <f t="shared" si="95"/>
        <v>6</v>
      </c>
      <c r="H3070" t="str">
        <f>IF(ISNUMBER(FIND(",", E3070)), TRIM(MID(E3070, FIND(",", E3070) + 1, LEN(E3070))), E3070)</f>
        <v>Aleutian Islands, Alaska</v>
      </c>
    </row>
    <row r="3071" spans="1:8" x14ac:dyDescent="0.25">
      <c r="A3071" s="2">
        <v>33757</v>
      </c>
      <c r="B3071">
        <v>-16.123000000000001</v>
      </c>
      <c r="C3071">
        <v>92.813000000000002</v>
      </c>
      <c r="D3071" t="s">
        <v>14</v>
      </c>
      <c r="E3071" t="s">
        <v>473</v>
      </c>
      <c r="F3071">
        <f t="shared" si="94"/>
        <v>1992</v>
      </c>
      <c r="G3071">
        <f t="shared" si="95"/>
        <v>6</v>
      </c>
      <c r="H3071" t="str">
        <f>IF(ISNUMBER(FIND(",", E3071)), TRIM(MID(E3071, FIND(",", E3071) + 1, LEN(E3071))), E3071)</f>
        <v>South Indian Ocean</v>
      </c>
    </row>
    <row r="3072" spans="1:8" x14ac:dyDescent="0.25">
      <c r="A3072" s="2">
        <v>33754</v>
      </c>
      <c r="B3072">
        <v>14.420999999999999</v>
      </c>
      <c r="C3072">
        <v>-92.930999999999997</v>
      </c>
      <c r="D3072" t="s">
        <v>14</v>
      </c>
      <c r="E3072" t="s">
        <v>238</v>
      </c>
      <c r="F3072">
        <f t="shared" si="94"/>
        <v>1992</v>
      </c>
      <c r="G3072">
        <f t="shared" si="95"/>
        <v>5</v>
      </c>
      <c r="H3072" t="str">
        <f>IF(ISNUMBER(FIND(",", E3072)), TRIM(MID(E3072, FIND(",", E3072) + 1, LEN(E3072))), E3072)</f>
        <v>Mexico</v>
      </c>
    </row>
    <row r="3073" spans="1:8" x14ac:dyDescent="0.25">
      <c r="A3073" s="2">
        <v>33751</v>
      </c>
      <c r="B3073">
        <v>-11.161</v>
      </c>
      <c r="C3073">
        <v>165.13300000000001</v>
      </c>
      <c r="D3073" t="s">
        <v>14</v>
      </c>
      <c r="E3073" t="s">
        <v>211</v>
      </c>
      <c r="F3073">
        <f t="shared" si="94"/>
        <v>1992</v>
      </c>
      <c r="G3073">
        <f t="shared" si="95"/>
        <v>5</v>
      </c>
      <c r="H3073" t="str">
        <f>IF(ISNUMBER(FIND(",", E3073)), TRIM(MID(E3073, FIND(",", E3073) + 1, LEN(E3073))), E3073)</f>
        <v>Santa Cruz Islands</v>
      </c>
    </row>
    <row r="3074" spans="1:8" x14ac:dyDescent="0.25">
      <c r="A3074" s="2">
        <v>33751</v>
      </c>
      <c r="B3074">
        <v>-11.077</v>
      </c>
      <c r="C3074">
        <v>165.29</v>
      </c>
      <c r="D3074" t="s">
        <v>14</v>
      </c>
      <c r="E3074" t="s">
        <v>211</v>
      </c>
      <c r="F3074">
        <f t="shared" ref="F3074:F3137" si="96">YEAR(A3074)</f>
        <v>1992</v>
      </c>
      <c r="G3074">
        <f t="shared" si="95"/>
        <v>5</v>
      </c>
      <c r="H3074" t="str">
        <f>IF(ISNUMBER(FIND(",", E3074)), TRIM(MID(E3074, FIND(",", E3074) + 1, LEN(E3074))), E3074)</f>
        <v>Santa Cruz Islands</v>
      </c>
    </row>
    <row r="3075" spans="1:8" x14ac:dyDescent="0.25">
      <c r="A3075" s="2">
        <v>33749</v>
      </c>
      <c r="B3075">
        <v>19.611000000000001</v>
      </c>
      <c r="C3075">
        <v>-77.887</v>
      </c>
      <c r="D3075" t="s">
        <v>14</v>
      </c>
      <c r="E3075" t="s">
        <v>431</v>
      </c>
      <c r="F3075">
        <f t="shared" si="96"/>
        <v>1992</v>
      </c>
      <c r="G3075">
        <f t="shared" ref="G3075:G3138" si="97">MONTH(A3075)</f>
        <v>5</v>
      </c>
      <c r="H3075" t="str">
        <f>IF(ISNUMBER(FIND(",", E3075)), TRIM(MID(E3075, FIND(",", E3075) + 1, LEN(E3075))), E3075)</f>
        <v>Cuba region</v>
      </c>
    </row>
    <row r="3076" spans="1:8" x14ac:dyDescent="0.25">
      <c r="A3076" s="2">
        <v>33746</v>
      </c>
      <c r="B3076">
        <v>-3.5150000000000001</v>
      </c>
      <c r="C3076">
        <v>144.12100000000001</v>
      </c>
      <c r="D3076" t="s">
        <v>14</v>
      </c>
      <c r="E3076" t="s">
        <v>216</v>
      </c>
      <c r="F3076">
        <f t="shared" si="96"/>
        <v>1992</v>
      </c>
      <c r="G3076">
        <f t="shared" si="97"/>
        <v>5</v>
      </c>
      <c r="H3076" t="str">
        <f>IF(ISNUMBER(FIND(",", E3076)), TRIM(MID(E3076, FIND(",", E3076) + 1, LEN(E3076))), E3076)</f>
        <v>Papua New Guinea</v>
      </c>
    </row>
    <row r="3077" spans="1:8" x14ac:dyDescent="0.25">
      <c r="A3077" s="2">
        <v>33745</v>
      </c>
      <c r="B3077">
        <v>41.603999999999999</v>
      </c>
      <c r="C3077">
        <v>88.813000000000002</v>
      </c>
      <c r="D3077" t="s">
        <v>13</v>
      </c>
      <c r="E3077" t="s">
        <v>482</v>
      </c>
      <c r="F3077">
        <f t="shared" si="96"/>
        <v>1992</v>
      </c>
      <c r="G3077">
        <f t="shared" si="97"/>
        <v>5</v>
      </c>
      <c r="H3077" t="str">
        <f>IF(ISNUMBER(FIND(",", E3077)), TRIM(MID(E3077, FIND(",", E3077) + 1, LEN(E3077))), E3077)</f>
        <v>China</v>
      </c>
    </row>
    <row r="3078" spans="1:8" x14ac:dyDescent="0.25">
      <c r="A3078" s="2">
        <v>33742</v>
      </c>
      <c r="B3078">
        <v>7.3460000000000001</v>
      </c>
      <c r="C3078">
        <v>-82.328999999999994</v>
      </c>
      <c r="D3078" t="s">
        <v>14</v>
      </c>
      <c r="E3078" t="s">
        <v>231</v>
      </c>
      <c r="F3078">
        <f t="shared" si="96"/>
        <v>1992</v>
      </c>
      <c r="G3078">
        <f t="shared" si="97"/>
        <v>5</v>
      </c>
      <c r="H3078" t="str">
        <f>IF(ISNUMBER(FIND(",", E3078)), TRIM(MID(E3078, FIND(",", E3078) + 1, LEN(E3078))), E3078)</f>
        <v>south of Panama</v>
      </c>
    </row>
    <row r="3079" spans="1:8" x14ac:dyDescent="0.25">
      <c r="A3079" s="2">
        <v>33742</v>
      </c>
      <c r="B3079">
        <v>-33.613</v>
      </c>
      <c r="C3079">
        <v>-72.001000000000005</v>
      </c>
      <c r="D3079" t="s">
        <v>14</v>
      </c>
      <c r="E3079" t="s">
        <v>286</v>
      </c>
      <c r="F3079">
        <f t="shared" si="96"/>
        <v>1992</v>
      </c>
      <c r="G3079">
        <f t="shared" si="97"/>
        <v>5</v>
      </c>
      <c r="H3079" t="str">
        <f>IF(ISNUMBER(FIND(",", E3079)), TRIM(MID(E3079, FIND(",", E3079) + 1, LEN(E3079))), E3079)</f>
        <v>Chile</v>
      </c>
    </row>
    <row r="3080" spans="1:8" x14ac:dyDescent="0.25">
      <c r="A3080" s="2">
        <v>33741</v>
      </c>
      <c r="B3080">
        <v>7.2350000000000003</v>
      </c>
      <c r="C3080">
        <v>126.754</v>
      </c>
      <c r="D3080" t="s">
        <v>14</v>
      </c>
      <c r="E3080" t="s">
        <v>200</v>
      </c>
      <c r="F3080">
        <f t="shared" si="96"/>
        <v>1992</v>
      </c>
      <c r="G3080">
        <f t="shared" si="97"/>
        <v>5</v>
      </c>
      <c r="H3080" t="str">
        <f>IF(ISNUMBER(FIND(",", E3080)), TRIM(MID(E3080, FIND(",", E3080) + 1, LEN(E3080))), E3080)</f>
        <v>Philippines</v>
      </c>
    </row>
    <row r="3081" spans="1:8" x14ac:dyDescent="0.25">
      <c r="A3081" s="2">
        <v>33741</v>
      </c>
      <c r="B3081">
        <v>7.3259999999999996</v>
      </c>
      <c r="C3081">
        <v>126.667</v>
      </c>
      <c r="D3081" t="s">
        <v>14</v>
      </c>
      <c r="E3081" t="s">
        <v>200</v>
      </c>
      <c r="F3081">
        <f t="shared" si="96"/>
        <v>1992</v>
      </c>
      <c r="G3081">
        <f t="shared" si="97"/>
        <v>5</v>
      </c>
      <c r="H3081" t="str">
        <f>IF(ISNUMBER(FIND(",", E3081)), TRIM(MID(E3081, FIND(",", E3081) + 1, LEN(E3081))), E3081)</f>
        <v>Philippines</v>
      </c>
    </row>
    <row r="3082" spans="1:8" x14ac:dyDescent="0.25">
      <c r="A3082" s="2">
        <v>33740</v>
      </c>
      <c r="B3082">
        <v>-19.11</v>
      </c>
      <c r="C3082">
        <v>169.16</v>
      </c>
      <c r="D3082" t="s">
        <v>14</v>
      </c>
      <c r="E3082" t="s">
        <v>181</v>
      </c>
      <c r="F3082">
        <f t="shared" si="96"/>
        <v>1992</v>
      </c>
      <c r="G3082">
        <f t="shared" si="97"/>
        <v>5</v>
      </c>
      <c r="H3082" t="str">
        <f>IF(ISNUMBER(FIND(",", E3082)), TRIM(MID(E3082, FIND(",", E3082) + 1, LEN(E3082))), E3082)</f>
        <v>Vanuatu</v>
      </c>
    </row>
    <row r="3083" spans="1:8" x14ac:dyDescent="0.25">
      <c r="A3083" s="2">
        <v>33739</v>
      </c>
      <c r="B3083">
        <v>40.997999999999998</v>
      </c>
      <c r="C3083">
        <v>72.468999999999994</v>
      </c>
      <c r="D3083" t="s">
        <v>14</v>
      </c>
      <c r="E3083" t="s">
        <v>567</v>
      </c>
      <c r="F3083">
        <f t="shared" si="96"/>
        <v>1992</v>
      </c>
      <c r="G3083">
        <f t="shared" si="97"/>
        <v>5</v>
      </c>
      <c r="H3083" t="str">
        <f>IF(ISNUMBER(FIND(",", E3083)), TRIM(MID(E3083, FIND(",", E3083) + 1, LEN(E3083))), E3083)</f>
        <v>eastern Uzbekistan</v>
      </c>
    </row>
    <row r="3084" spans="1:8" x14ac:dyDescent="0.25">
      <c r="A3084" s="2">
        <v>33739</v>
      </c>
      <c r="B3084">
        <v>-6.0640000000000001</v>
      </c>
      <c r="C3084">
        <v>147.61799999999999</v>
      </c>
      <c r="D3084" t="s">
        <v>14</v>
      </c>
      <c r="E3084" t="s">
        <v>243</v>
      </c>
      <c r="F3084">
        <f t="shared" si="96"/>
        <v>1992</v>
      </c>
      <c r="G3084">
        <f t="shared" si="97"/>
        <v>5</v>
      </c>
      <c r="H3084" t="str">
        <f>IF(ISNUMBER(FIND(",", E3084)), TRIM(MID(E3084, FIND(",", E3084) + 1, LEN(E3084))), E3084)</f>
        <v>Papua New Guinea</v>
      </c>
    </row>
    <row r="3085" spans="1:8" x14ac:dyDescent="0.25">
      <c r="A3085" s="2">
        <v>33736</v>
      </c>
      <c r="B3085">
        <v>-16.536999999999999</v>
      </c>
      <c r="C3085">
        <v>-172.291</v>
      </c>
      <c r="D3085" t="s">
        <v>14</v>
      </c>
      <c r="E3085" t="s">
        <v>352</v>
      </c>
      <c r="F3085">
        <f t="shared" si="96"/>
        <v>1992</v>
      </c>
      <c r="G3085">
        <f t="shared" si="97"/>
        <v>5</v>
      </c>
      <c r="H3085" t="str">
        <f>IF(ISNUMBER(FIND(",", E3085)), TRIM(MID(E3085, FIND(",", E3085) + 1, LEN(E3085))), E3085)</f>
        <v>Samoa Islands region</v>
      </c>
    </row>
    <row r="3086" spans="1:8" x14ac:dyDescent="0.25">
      <c r="A3086" s="2">
        <v>33728</v>
      </c>
      <c r="B3086">
        <v>-6.7859999999999996</v>
      </c>
      <c r="C3086">
        <v>130.197</v>
      </c>
      <c r="D3086" t="s">
        <v>14</v>
      </c>
      <c r="E3086" t="s">
        <v>187</v>
      </c>
      <c r="F3086">
        <f t="shared" si="96"/>
        <v>1992</v>
      </c>
      <c r="G3086">
        <f t="shared" si="97"/>
        <v>5</v>
      </c>
      <c r="H3086" t="str">
        <f>IF(ISNUMBER(FIND(",", E3086)), TRIM(MID(E3086, FIND(",", E3086) + 1, LEN(E3086))), E3086)</f>
        <v>Banda Sea</v>
      </c>
    </row>
    <row r="3087" spans="1:8" x14ac:dyDescent="0.25">
      <c r="A3087" s="2">
        <v>33720</v>
      </c>
      <c r="B3087">
        <v>40.424999999999997</v>
      </c>
      <c r="C3087">
        <v>-124.407</v>
      </c>
      <c r="D3087" t="s">
        <v>14</v>
      </c>
      <c r="E3087" t="s">
        <v>343</v>
      </c>
      <c r="F3087">
        <f t="shared" si="96"/>
        <v>1992</v>
      </c>
      <c r="G3087">
        <f t="shared" si="97"/>
        <v>4</v>
      </c>
      <c r="H3087" t="str">
        <f>IF(ISNUMBER(FIND(",", E3087)), TRIM(MID(E3087, FIND(",", E3087) + 1, LEN(E3087))), E3087)</f>
        <v>offshore Northern California</v>
      </c>
    </row>
    <row r="3088" spans="1:8" x14ac:dyDescent="0.25">
      <c r="A3088" s="2">
        <v>33720</v>
      </c>
      <c r="B3088">
        <v>40.546999999999997</v>
      </c>
      <c r="C3088">
        <v>-124.254</v>
      </c>
      <c r="D3088" t="s">
        <v>14</v>
      </c>
      <c r="E3088" t="s">
        <v>568</v>
      </c>
      <c r="F3088">
        <f t="shared" si="96"/>
        <v>1992</v>
      </c>
      <c r="G3088">
        <f t="shared" si="97"/>
        <v>4</v>
      </c>
      <c r="H3088" t="str">
        <f>IF(ISNUMBER(FIND(",", E3088)), TRIM(MID(E3088, FIND(",", E3088) + 1, LEN(E3088))), E3088)</f>
        <v>Northern California</v>
      </c>
    </row>
    <row r="3089" spans="1:8" x14ac:dyDescent="0.25">
      <c r="A3089" s="2">
        <v>33719</v>
      </c>
      <c r="B3089">
        <v>40.35</v>
      </c>
      <c r="C3089">
        <v>-124.068</v>
      </c>
      <c r="D3089" t="s">
        <v>14</v>
      </c>
      <c r="E3089" t="s">
        <v>568</v>
      </c>
      <c r="F3089">
        <f t="shared" si="96"/>
        <v>1992</v>
      </c>
      <c r="G3089">
        <f t="shared" si="97"/>
        <v>4</v>
      </c>
      <c r="H3089" t="str">
        <f>IF(ISNUMBER(FIND(",", E3089)), TRIM(MID(E3089, FIND(",", E3089) + 1, LEN(E3089))), E3089)</f>
        <v>Northern California</v>
      </c>
    </row>
    <row r="3090" spans="1:8" x14ac:dyDescent="0.25">
      <c r="A3090" s="2">
        <v>33717</v>
      </c>
      <c r="B3090">
        <v>22.41</v>
      </c>
      <c r="C3090">
        <v>98.820999999999998</v>
      </c>
      <c r="D3090" t="s">
        <v>14</v>
      </c>
      <c r="E3090" t="s">
        <v>197</v>
      </c>
      <c r="F3090">
        <f t="shared" si="96"/>
        <v>1992</v>
      </c>
      <c r="G3090">
        <f t="shared" si="97"/>
        <v>4</v>
      </c>
      <c r="H3090" t="str">
        <f>IF(ISNUMBER(FIND(",", E3090)), TRIM(MID(E3090, FIND(",", E3090) + 1, LEN(E3090))), E3090)</f>
        <v>Myanmar</v>
      </c>
    </row>
    <row r="3091" spans="1:8" x14ac:dyDescent="0.25">
      <c r="A3091" s="2">
        <v>33717</v>
      </c>
      <c r="B3091">
        <v>22.422000000000001</v>
      </c>
      <c r="C3091">
        <v>98.887</v>
      </c>
      <c r="D3091" t="s">
        <v>14</v>
      </c>
      <c r="E3091" t="s">
        <v>197</v>
      </c>
      <c r="F3091">
        <f t="shared" si="96"/>
        <v>1992</v>
      </c>
      <c r="G3091">
        <f t="shared" si="97"/>
        <v>4</v>
      </c>
      <c r="H3091" t="str">
        <f>IF(ISNUMBER(FIND(",", E3091)), TRIM(MID(E3091, FIND(",", E3091) + 1, LEN(E3091))), E3091)</f>
        <v>Myanmar</v>
      </c>
    </row>
    <row r="3092" spans="1:8" x14ac:dyDescent="0.25">
      <c r="A3092" s="2">
        <v>33717</v>
      </c>
      <c r="B3092">
        <v>33.866</v>
      </c>
      <c r="C3092">
        <v>-116.517</v>
      </c>
      <c r="D3092" t="s">
        <v>14</v>
      </c>
      <c r="E3092" t="s">
        <v>521</v>
      </c>
      <c r="F3092">
        <f t="shared" si="96"/>
        <v>1992</v>
      </c>
      <c r="G3092">
        <f t="shared" si="97"/>
        <v>4</v>
      </c>
      <c r="H3092" t="str">
        <f>IF(ISNUMBER(FIND(",", E3092)), TRIM(MID(E3092, FIND(",", E3092) + 1, LEN(E3092))), E3092)</f>
        <v>Southern California</v>
      </c>
    </row>
    <row r="3093" spans="1:8" x14ac:dyDescent="0.25">
      <c r="A3093" s="2">
        <v>33713</v>
      </c>
      <c r="B3093">
        <v>23.887</v>
      </c>
      <c r="C3093">
        <v>121.55200000000001</v>
      </c>
      <c r="D3093" t="s">
        <v>14</v>
      </c>
      <c r="E3093" t="s">
        <v>336</v>
      </c>
      <c r="F3093">
        <f t="shared" si="96"/>
        <v>1992</v>
      </c>
      <c r="G3093">
        <f t="shared" si="97"/>
        <v>4</v>
      </c>
      <c r="H3093" t="str">
        <f>IF(ISNUMBER(FIND(",", E3093)), TRIM(MID(E3093, FIND(",", E3093) + 1, LEN(E3093))), E3093)</f>
        <v>Taiwan</v>
      </c>
    </row>
    <row r="3094" spans="1:8" x14ac:dyDescent="0.25">
      <c r="A3094" s="2">
        <v>33712</v>
      </c>
      <c r="B3094">
        <v>-5.4859999999999998</v>
      </c>
      <c r="C3094">
        <v>102.876</v>
      </c>
      <c r="D3094" t="s">
        <v>14</v>
      </c>
      <c r="E3094" t="s">
        <v>308</v>
      </c>
      <c r="F3094">
        <f t="shared" si="96"/>
        <v>1992</v>
      </c>
      <c r="G3094">
        <f t="shared" si="97"/>
        <v>4</v>
      </c>
      <c r="H3094" t="str">
        <f>IF(ISNUMBER(FIND(",", E3094)), TRIM(MID(E3094, FIND(",", E3094) + 1, LEN(E3094))), E3094)</f>
        <v>Indonesia</v>
      </c>
    </row>
    <row r="3095" spans="1:8" x14ac:dyDescent="0.25">
      <c r="A3095" s="2">
        <v>33710</v>
      </c>
      <c r="B3095">
        <v>1.204</v>
      </c>
      <c r="C3095">
        <v>122.595</v>
      </c>
      <c r="D3095" t="s">
        <v>14</v>
      </c>
      <c r="E3095" t="s">
        <v>263</v>
      </c>
      <c r="F3095">
        <f t="shared" si="96"/>
        <v>1992</v>
      </c>
      <c r="G3095">
        <f t="shared" si="97"/>
        <v>4</v>
      </c>
      <c r="H3095" t="str">
        <f>IF(ISNUMBER(FIND(",", E3095)), TRIM(MID(E3095, FIND(",", E3095) + 1, LEN(E3095))), E3095)</f>
        <v>Sulawesi, Indonesia</v>
      </c>
    </row>
    <row r="3096" spans="1:8" x14ac:dyDescent="0.25">
      <c r="A3096" s="2">
        <v>33700</v>
      </c>
      <c r="B3096">
        <v>50.503999999999998</v>
      </c>
      <c r="C3096">
        <v>-130.33699999999999</v>
      </c>
      <c r="D3096" t="s">
        <v>14</v>
      </c>
      <c r="E3096" t="s">
        <v>199</v>
      </c>
      <c r="F3096">
        <f t="shared" si="96"/>
        <v>1992</v>
      </c>
      <c r="G3096">
        <f t="shared" si="97"/>
        <v>4</v>
      </c>
      <c r="H3096" t="str">
        <f>IF(ISNUMBER(FIND(",", E3096)), TRIM(MID(E3096, FIND(",", E3096) + 1, LEN(E3096))), E3096)</f>
        <v>Canada region</v>
      </c>
    </row>
    <row r="3097" spans="1:8" x14ac:dyDescent="0.25">
      <c r="A3097" s="2">
        <v>33699</v>
      </c>
      <c r="B3097">
        <v>-11.904</v>
      </c>
      <c r="C3097">
        <v>166.37700000000001</v>
      </c>
      <c r="D3097" t="s">
        <v>14</v>
      </c>
      <c r="E3097" t="s">
        <v>211</v>
      </c>
      <c r="F3097">
        <f t="shared" si="96"/>
        <v>1992</v>
      </c>
      <c r="G3097">
        <f t="shared" si="97"/>
        <v>4</v>
      </c>
      <c r="H3097" t="str">
        <f>IF(ISNUMBER(FIND(",", E3097)), TRIM(MID(E3097, FIND(",", E3097) + 1, LEN(E3097))), E3097)</f>
        <v>Santa Cruz Islands</v>
      </c>
    </row>
    <row r="3098" spans="1:8" x14ac:dyDescent="0.25">
      <c r="A3098" s="2">
        <v>33697</v>
      </c>
      <c r="B3098">
        <v>-5.7160000000000002</v>
      </c>
      <c r="C3098">
        <v>151.23500000000001</v>
      </c>
      <c r="D3098" t="s">
        <v>14</v>
      </c>
      <c r="E3098" t="s">
        <v>190</v>
      </c>
      <c r="F3098">
        <f t="shared" si="96"/>
        <v>1992</v>
      </c>
      <c r="G3098">
        <f t="shared" si="97"/>
        <v>4</v>
      </c>
      <c r="H3098" t="str">
        <f>IF(ISNUMBER(FIND(",", E3098)), TRIM(MID(E3098, FIND(",", E3098) + 1, LEN(E3098))), E3098)</f>
        <v>Papua New Guinea</v>
      </c>
    </row>
    <row r="3099" spans="1:8" x14ac:dyDescent="0.25">
      <c r="A3099" s="2">
        <v>33694</v>
      </c>
      <c r="B3099">
        <v>-49.731000000000002</v>
      </c>
      <c r="C3099">
        <v>-113.861</v>
      </c>
      <c r="D3099" t="s">
        <v>14</v>
      </c>
      <c r="E3099" t="s">
        <v>268</v>
      </c>
      <c r="F3099">
        <f t="shared" si="96"/>
        <v>1992</v>
      </c>
      <c r="G3099">
        <f t="shared" si="97"/>
        <v>3</v>
      </c>
      <c r="H3099" t="str">
        <f>IF(ISNUMBER(FIND(",", E3099)), TRIM(MID(E3099, FIND(",", E3099) + 1, LEN(E3099))), E3099)</f>
        <v>southern East Pacific Rise</v>
      </c>
    </row>
    <row r="3100" spans="1:8" x14ac:dyDescent="0.25">
      <c r="A3100" s="2">
        <v>33676</v>
      </c>
      <c r="B3100">
        <v>-9.2330000000000005</v>
      </c>
      <c r="C3100">
        <v>152.328</v>
      </c>
      <c r="D3100" t="s">
        <v>14</v>
      </c>
      <c r="E3100" t="s">
        <v>507</v>
      </c>
      <c r="F3100">
        <f t="shared" si="96"/>
        <v>1992</v>
      </c>
      <c r="G3100">
        <f t="shared" si="97"/>
        <v>3</v>
      </c>
      <c r="H3100" t="str">
        <f>IF(ISNUMBER(FIND(",", E3100)), TRIM(MID(E3100, FIND(",", E3100) + 1, LEN(E3100))), E3100)</f>
        <v>D'Entrecasteaux Islands region</v>
      </c>
    </row>
    <row r="3101" spans="1:8" x14ac:dyDescent="0.25">
      <c r="A3101" s="2">
        <v>33676</v>
      </c>
      <c r="B3101">
        <v>39.718000000000004</v>
      </c>
      <c r="C3101">
        <v>39.622</v>
      </c>
      <c r="D3101" t="s">
        <v>14</v>
      </c>
      <c r="E3101" t="s">
        <v>272</v>
      </c>
      <c r="F3101">
        <f t="shared" si="96"/>
        <v>1992</v>
      </c>
      <c r="G3101">
        <f t="shared" si="97"/>
        <v>3</v>
      </c>
      <c r="H3101" t="str">
        <f>IF(ISNUMBER(FIND(",", E3101)), TRIM(MID(E3101, FIND(",", E3101) + 1, LEN(E3101))), E3101)</f>
        <v>eastern Turkey</v>
      </c>
    </row>
    <row r="3102" spans="1:8" x14ac:dyDescent="0.25">
      <c r="A3102" s="2">
        <v>33676</v>
      </c>
      <c r="B3102">
        <v>52.441000000000003</v>
      </c>
      <c r="C3102">
        <v>-178.953</v>
      </c>
      <c r="D3102" t="s">
        <v>14</v>
      </c>
      <c r="E3102" t="s">
        <v>207</v>
      </c>
      <c r="F3102">
        <f t="shared" si="96"/>
        <v>1992</v>
      </c>
      <c r="G3102">
        <f t="shared" si="97"/>
        <v>3</v>
      </c>
      <c r="H3102" t="str">
        <f>IF(ISNUMBER(FIND(",", E3102)), TRIM(MID(E3102, FIND(",", E3102) + 1, LEN(E3102))), E3102)</f>
        <v>Aleutian Islands, Alaska</v>
      </c>
    </row>
    <row r="3103" spans="1:8" x14ac:dyDescent="0.25">
      <c r="A3103" s="2">
        <v>33674</v>
      </c>
      <c r="B3103">
        <v>-3.3490000000000002</v>
      </c>
      <c r="C3103">
        <v>146.61799999999999</v>
      </c>
      <c r="D3103" t="s">
        <v>14</v>
      </c>
      <c r="E3103" t="s">
        <v>380</v>
      </c>
      <c r="F3103">
        <f t="shared" si="96"/>
        <v>1992</v>
      </c>
      <c r="G3103">
        <f t="shared" si="97"/>
        <v>3</v>
      </c>
      <c r="H3103" t="str">
        <f>IF(ISNUMBER(FIND(",", E3103)), TRIM(MID(E3103, FIND(",", E3103) + 1, LEN(E3103))), E3103)</f>
        <v>Bismarck Sea</v>
      </c>
    </row>
    <row r="3104" spans="1:8" x14ac:dyDescent="0.25">
      <c r="A3104" s="2">
        <v>33670</v>
      </c>
      <c r="B3104">
        <v>-3.4790000000000001</v>
      </c>
      <c r="C3104">
        <v>146.45099999999999</v>
      </c>
      <c r="D3104" t="s">
        <v>14</v>
      </c>
      <c r="E3104" t="s">
        <v>380</v>
      </c>
      <c r="F3104">
        <f t="shared" si="96"/>
        <v>1992</v>
      </c>
      <c r="G3104">
        <f t="shared" si="97"/>
        <v>3</v>
      </c>
      <c r="H3104" t="str">
        <f>IF(ISNUMBER(FIND(",", E3104)), TRIM(MID(E3104, FIND(",", E3104) + 1, LEN(E3104))), E3104)</f>
        <v>Bismarck Sea</v>
      </c>
    </row>
    <row r="3105" spans="1:8" x14ac:dyDescent="0.25">
      <c r="A3105" s="2">
        <v>33670</v>
      </c>
      <c r="B3105">
        <v>10.231999999999999</v>
      </c>
      <c r="C3105">
        <v>-84.301000000000002</v>
      </c>
      <c r="D3105" t="s">
        <v>14</v>
      </c>
      <c r="E3105" t="s">
        <v>202</v>
      </c>
      <c r="F3105">
        <f t="shared" si="96"/>
        <v>1992</v>
      </c>
      <c r="G3105">
        <f t="shared" si="97"/>
        <v>3</v>
      </c>
      <c r="H3105" t="str">
        <f>IF(ISNUMBER(FIND(",", E3105)), TRIM(MID(E3105, FIND(",", E3105) + 1, LEN(E3105))), E3105)</f>
        <v>Costa Rica</v>
      </c>
    </row>
    <row r="3106" spans="1:8" x14ac:dyDescent="0.25">
      <c r="A3106" s="2">
        <v>33668</v>
      </c>
      <c r="B3106">
        <v>52.877000000000002</v>
      </c>
      <c r="C3106">
        <v>159.57300000000001</v>
      </c>
      <c r="D3106" t="s">
        <v>14</v>
      </c>
      <c r="E3106" t="s">
        <v>318</v>
      </c>
      <c r="F3106">
        <f t="shared" si="96"/>
        <v>1992</v>
      </c>
      <c r="G3106">
        <f t="shared" si="97"/>
        <v>3</v>
      </c>
      <c r="H3106" t="str">
        <f>IF(ISNUMBER(FIND(",", E3106)), TRIM(MID(E3106, FIND(",", E3106) + 1, LEN(E3106))), E3106)</f>
        <v>Russia</v>
      </c>
    </row>
    <row r="3107" spans="1:8" x14ac:dyDescent="0.25">
      <c r="A3107" s="2">
        <v>33668</v>
      </c>
      <c r="B3107">
        <v>11.53</v>
      </c>
      <c r="C3107">
        <v>42.801000000000002</v>
      </c>
      <c r="D3107" t="s">
        <v>14</v>
      </c>
      <c r="E3107" t="s">
        <v>569</v>
      </c>
      <c r="F3107">
        <f t="shared" si="96"/>
        <v>1992</v>
      </c>
      <c r="G3107">
        <f t="shared" si="97"/>
        <v>3</v>
      </c>
      <c r="H3107" t="str">
        <f>IF(ISNUMBER(FIND(",", E3107)), TRIM(MID(E3107, FIND(",", E3107) + 1, LEN(E3107))), E3107)</f>
        <v>Djibouti</v>
      </c>
    </row>
    <row r="3108" spans="1:8" x14ac:dyDescent="0.25">
      <c r="A3108" s="2">
        <v>33667</v>
      </c>
      <c r="B3108">
        <v>-3.0110000000000001</v>
      </c>
      <c r="C3108">
        <v>147.958</v>
      </c>
      <c r="D3108" t="s">
        <v>14</v>
      </c>
      <c r="E3108" t="s">
        <v>380</v>
      </c>
      <c r="F3108">
        <f t="shared" si="96"/>
        <v>1992</v>
      </c>
      <c r="G3108">
        <f t="shared" si="97"/>
        <v>3</v>
      </c>
      <c r="H3108" t="str">
        <f>IF(ISNUMBER(FIND(",", E3108)), TRIM(MID(E3108, FIND(",", E3108) + 1, LEN(E3108))), E3108)</f>
        <v>Bismarck Sea</v>
      </c>
    </row>
    <row r="3109" spans="1:8" x14ac:dyDescent="0.25">
      <c r="A3109" s="2">
        <v>33665</v>
      </c>
      <c r="B3109">
        <v>52.902000000000001</v>
      </c>
      <c r="C3109">
        <v>159.86500000000001</v>
      </c>
      <c r="D3109" t="s">
        <v>14</v>
      </c>
      <c r="E3109" t="s">
        <v>318</v>
      </c>
      <c r="F3109">
        <f t="shared" si="96"/>
        <v>1992</v>
      </c>
      <c r="G3109">
        <f t="shared" si="97"/>
        <v>3</v>
      </c>
      <c r="H3109" t="str">
        <f>IF(ISNUMBER(FIND(",", E3109)), TRIM(MID(E3109, FIND(",", E3109) + 1, LEN(E3109))), E3109)</f>
        <v>Russia</v>
      </c>
    </row>
    <row r="3110" spans="1:8" x14ac:dyDescent="0.25">
      <c r="A3110" s="2">
        <v>33665</v>
      </c>
      <c r="B3110">
        <v>52.914999999999999</v>
      </c>
      <c r="C3110">
        <v>159.79900000000001</v>
      </c>
      <c r="D3110" t="s">
        <v>14</v>
      </c>
      <c r="E3110" t="s">
        <v>318</v>
      </c>
      <c r="F3110">
        <f t="shared" si="96"/>
        <v>1992</v>
      </c>
      <c r="G3110">
        <f t="shared" si="97"/>
        <v>3</v>
      </c>
      <c r="H3110" t="str">
        <f>IF(ISNUMBER(FIND(",", E3110)), TRIM(MID(E3110, FIND(",", E3110) + 1, LEN(E3110))), E3110)</f>
        <v>Russia</v>
      </c>
    </row>
    <row r="3111" spans="1:8" x14ac:dyDescent="0.25">
      <c r="A3111" s="2">
        <v>33661</v>
      </c>
      <c r="B3111">
        <v>-6.173</v>
      </c>
      <c r="C3111">
        <v>147.66200000000001</v>
      </c>
      <c r="D3111" t="s">
        <v>14</v>
      </c>
      <c r="E3111" t="s">
        <v>243</v>
      </c>
      <c r="F3111">
        <f t="shared" si="96"/>
        <v>1992</v>
      </c>
      <c r="G3111">
        <f t="shared" si="97"/>
        <v>2</v>
      </c>
      <c r="H3111" t="str">
        <f>IF(ISNUMBER(FIND(",", E3111)), TRIM(MID(E3111, FIND(",", E3111) + 1, LEN(E3111))), E3111)</f>
        <v>Papua New Guinea</v>
      </c>
    </row>
    <row r="3112" spans="1:8" x14ac:dyDescent="0.25">
      <c r="A3112" s="2">
        <v>33651</v>
      </c>
      <c r="B3112">
        <v>-21.609000000000002</v>
      </c>
      <c r="C3112">
        <v>170.47200000000001</v>
      </c>
      <c r="D3112" t="s">
        <v>14</v>
      </c>
      <c r="E3112" t="s">
        <v>254</v>
      </c>
      <c r="F3112">
        <f t="shared" si="96"/>
        <v>1992</v>
      </c>
      <c r="G3112">
        <f t="shared" si="97"/>
        <v>2</v>
      </c>
      <c r="H3112" t="str">
        <f>IF(ISNUMBER(FIND(",", E3112)), TRIM(MID(E3112, FIND(",", E3112) + 1, LEN(E3112))), E3112)</f>
        <v>southeast of the Loyalty Islands</v>
      </c>
    </row>
    <row r="3113" spans="1:8" x14ac:dyDescent="0.25">
      <c r="A3113" s="2">
        <v>33651</v>
      </c>
      <c r="B3113">
        <v>-56.106999999999999</v>
      </c>
      <c r="C3113">
        <v>157.93899999999999</v>
      </c>
      <c r="D3113" t="s">
        <v>14</v>
      </c>
      <c r="E3113" t="s">
        <v>350</v>
      </c>
      <c r="F3113">
        <f t="shared" si="96"/>
        <v>1992</v>
      </c>
      <c r="G3113">
        <f t="shared" si="97"/>
        <v>2</v>
      </c>
      <c r="H3113" t="str">
        <f>IF(ISNUMBER(FIND(",", E3113)), TRIM(MID(E3113, FIND(",", E3113) + 1, LEN(E3113))), E3113)</f>
        <v>Macquarie Island region</v>
      </c>
    </row>
    <row r="3114" spans="1:8" x14ac:dyDescent="0.25">
      <c r="A3114" s="2">
        <v>33647</v>
      </c>
      <c r="B3114">
        <v>-15.909000000000001</v>
      </c>
      <c r="C3114">
        <v>166.32599999999999</v>
      </c>
      <c r="D3114" t="s">
        <v>14</v>
      </c>
      <c r="E3114" t="s">
        <v>181</v>
      </c>
      <c r="F3114">
        <f t="shared" si="96"/>
        <v>1992</v>
      </c>
      <c r="G3114">
        <f t="shared" si="97"/>
        <v>2</v>
      </c>
      <c r="H3114" t="str">
        <f>IF(ISNUMBER(FIND(",", E3114)), TRIM(MID(E3114, FIND(",", E3114) + 1, LEN(E3114))), E3114)</f>
        <v>Vanuatu</v>
      </c>
    </row>
    <row r="3115" spans="1:8" x14ac:dyDescent="0.25">
      <c r="A3115" s="2">
        <v>33640</v>
      </c>
      <c r="B3115">
        <v>-5.7539999999999996</v>
      </c>
      <c r="C3115">
        <v>103.026</v>
      </c>
      <c r="D3115" t="s">
        <v>14</v>
      </c>
      <c r="E3115" t="s">
        <v>308</v>
      </c>
      <c r="F3115">
        <f t="shared" si="96"/>
        <v>1992</v>
      </c>
      <c r="G3115">
        <f t="shared" si="97"/>
        <v>2</v>
      </c>
      <c r="H3115" t="str">
        <f>IF(ISNUMBER(FIND(",", E3115)), TRIM(MID(E3115, FIND(",", E3115) + 1, LEN(E3115))), E3115)</f>
        <v>Indonesia</v>
      </c>
    </row>
    <row r="3116" spans="1:8" x14ac:dyDescent="0.25">
      <c r="A3116" s="2">
        <v>33636</v>
      </c>
      <c r="B3116">
        <v>-51.539000000000001</v>
      </c>
      <c r="C3116">
        <v>139.72</v>
      </c>
      <c r="D3116" t="s">
        <v>14</v>
      </c>
      <c r="E3116" t="s">
        <v>235</v>
      </c>
      <c r="F3116">
        <f t="shared" si="96"/>
        <v>1992</v>
      </c>
      <c r="G3116">
        <f t="shared" si="97"/>
        <v>2</v>
      </c>
      <c r="H3116" t="str">
        <f>IF(ISNUMBER(FIND(",", E3116)), TRIM(MID(E3116, FIND(",", E3116) + 1, LEN(E3116))), E3116)</f>
        <v>western Indian-Antarctic Ridge</v>
      </c>
    </row>
    <row r="3117" spans="1:8" x14ac:dyDescent="0.25">
      <c r="A3117" s="2">
        <v>33623</v>
      </c>
      <c r="B3117">
        <v>27.901</v>
      </c>
      <c r="C3117">
        <v>139.46899999999999</v>
      </c>
      <c r="D3117" t="s">
        <v>14</v>
      </c>
      <c r="E3117" t="s">
        <v>233</v>
      </c>
      <c r="F3117">
        <f t="shared" si="96"/>
        <v>1992</v>
      </c>
      <c r="G3117">
        <f t="shared" si="97"/>
        <v>1</v>
      </c>
      <c r="H3117" t="str">
        <f>IF(ISNUMBER(FIND(",", E3117)), TRIM(MID(E3117, FIND(",", E3117) + 1, LEN(E3117))), E3117)</f>
        <v>Japan region</v>
      </c>
    </row>
    <row r="3118" spans="1:8" x14ac:dyDescent="0.25">
      <c r="A3118" s="2">
        <v>33601</v>
      </c>
      <c r="B3118">
        <v>-4.4089999999999998</v>
      </c>
      <c r="C3118">
        <v>132.66300000000001</v>
      </c>
      <c r="D3118" t="s">
        <v>14</v>
      </c>
      <c r="E3118" t="s">
        <v>204</v>
      </c>
      <c r="F3118">
        <f t="shared" si="96"/>
        <v>1991</v>
      </c>
      <c r="G3118">
        <f t="shared" si="97"/>
        <v>12</v>
      </c>
      <c r="H3118" t="str">
        <f>IF(ISNUMBER(FIND(",", E3118)), TRIM(MID(E3118, FIND(",", E3118) + 1, LEN(E3118))), E3118)</f>
        <v>Indonesia</v>
      </c>
    </row>
    <row r="3119" spans="1:8" x14ac:dyDescent="0.25">
      <c r="A3119" s="2">
        <v>33600</v>
      </c>
      <c r="B3119">
        <v>-56.098999999999997</v>
      </c>
      <c r="C3119">
        <v>-24.606999999999999</v>
      </c>
      <c r="D3119" t="s">
        <v>14</v>
      </c>
      <c r="E3119" t="s">
        <v>260</v>
      </c>
      <c r="F3119">
        <f t="shared" si="96"/>
        <v>1991</v>
      </c>
      <c r="G3119">
        <f t="shared" si="97"/>
        <v>12</v>
      </c>
      <c r="H3119" t="str">
        <f>IF(ISNUMBER(FIND(",", E3119)), TRIM(MID(E3119, FIND(",", E3119) + 1, LEN(E3119))), E3119)</f>
        <v>South Sandwich Islands region</v>
      </c>
    </row>
    <row r="3120" spans="1:8" x14ac:dyDescent="0.25">
      <c r="A3120" s="2">
        <v>33599</v>
      </c>
      <c r="B3120">
        <v>51.070999999999998</v>
      </c>
      <c r="C3120">
        <v>98.171000000000006</v>
      </c>
      <c r="D3120" t="s">
        <v>14</v>
      </c>
      <c r="E3120" t="s">
        <v>570</v>
      </c>
      <c r="F3120">
        <f t="shared" si="96"/>
        <v>1991</v>
      </c>
      <c r="G3120">
        <f t="shared" si="97"/>
        <v>12</v>
      </c>
      <c r="H3120" t="str">
        <f>IF(ISNUMBER(FIND(",", E3120)), TRIM(MID(E3120, FIND(",", E3120) + 1, LEN(E3120))), E3120)</f>
        <v>Russia-Mongolia border region</v>
      </c>
    </row>
    <row r="3121" spans="1:8" x14ac:dyDescent="0.25">
      <c r="A3121" s="2">
        <v>33599</v>
      </c>
      <c r="B3121">
        <v>-55.972999999999999</v>
      </c>
      <c r="C3121">
        <v>-25.058</v>
      </c>
      <c r="D3121" t="s">
        <v>14</v>
      </c>
      <c r="E3121" t="s">
        <v>260</v>
      </c>
      <c r="F3121">
        <f t="shared" si="96"/>
        <v>1991</v>
      </c>
      <c r="G3121">
        <f t="shared" si="97"/>
        <v>12</v>
      </c>
      <c r="H3121" t="str">
        <f>IF(ISNUMBER(FIND(",", E3121)), TRIM(MID(E3121, FIND(",", E3121) + 1, LEN(E3121))), E3121)</f>
        <v>South Sandwich Islands region</v>
      </c>
    </row>
    <row r="3122" spans="1:8" x14ac:dyDescent="0.25">
      <c r="A3122" s="2">
        <v>33594</v>
      </c>
      <c r="B3122">
        <v>45.591000000000001</v>
      </c>
      <c r="C3122">
        <v>151.035</v>
      </c>
      <c r="D3122" t="s">
        <v>14</v>
      </c>
      <c r="E3122" t="s">
        <v>191</v>
      </c>
      <c r="F3122">
        <f t="shared" si="96"/>
        <v>1991</v>
      </c>
      <c r="G3122">
        <f t="shared" si="97"/>
        <v>12</v>
      </c>
      <c r="H3122" t="str">
        <f>IF(ISNUMBER(FIND(",", E3122)), TRIM(MID(E3122, FIND(",", E3122) + 1, LEN(E3122))), E3122)</f>
        <v>Kuril Islands</v>
      </c>
    </row>
    <row r="3123" spans="1:8" x14ac:dyDescent="0.25">
      <c r="A3123" s="2">
        <v>33591</v>
      </c>
      <c r="B3123">
        <v>45.363</v>
      </c>
      <c r="C3123">
        <v>151.136</v>
      </c>
      <c r="D3123" t="s">
        <v>14</v>
      </c>
      <c r="E3123" t="s">
        <v>191</v>
      </c>
      <c r="F3123">
        <f t="shared" si="96"/>
        <v>1991</v>
      </c>
      <c r="G3123">
        <f t="shared" si="97"/>
        <v>12</v>
      </c>
      <c r="H3123" t="str">
        <f>IF(ISNUMBER(FIND(",", E3123)), TRIM(MID(E3123, FIND(",", E3123) + 1, LEN(E3123))), E3123)</f>
        <v>Kuril Islands</v>
      </c>
    </row>
    <row r="3124" spans="1:8" x14ac:dyDescent="0.25">
      <c r="A3124" s="2">
        <v>33589</v>
      </c>
      <c r="B3124">
        <v>-62.508000000000003</v>
      </c>
      <c r="C3124">
        <v>154.86099999999999</v>
      </c>
      <c r="D3124" t="s">
        <v>14</v>
      </c>
      <c r="E3124" t="s">
        <v>283</v>
      </c>
      <c r="F3124">
        <f t="shared" si="96"/>
        <v>1991</v>
      </c>
      <c r="G3124">
        <f t="shared" si="97"/>
        <v>12</v>
      </c>
      <c r="H3124" t="str">
        <f>IF(ISNUMBER(FIND(",", E3124)), TRIM(MID(E3124, FIND(",", E3124) + 1, LEN(E3124))), E3124)</f>
        <v>Balleny Islands region</v>
      </c>
    </row>
    <row r="3125" spans="1:8" x14ac:dyDescent="0.25">
      <c r="A3125" s="2">
        <v>33585</v>
      </c>
      <c r="B3125">
        <v>45.463999999999999</v>
      </c>
      <c r="C3125">
        <v>151.405</v>
      </c>
      <c r="D3125" t="s">
        <v>14</v>
      </c>
      <c r="E3125" t="s">
        <v>191</v>
      </c>
      <c r="F3125">
        <f t="shared" si="96"/>
        <v>1991</v>
      </c>
      <c r="G3125">
        <f t="shared" si="97"/>
        <v>12</v>
      </c>
      <c r="H3125" t="str">
        <f>IF(ISNUMBER(FIND(",", E3125)), TRIM(MID(E3125, FIND(",", E3125) + 1, LEN(E3125))), E3125)</f>
        <v>Kuril Islands</v>
      </c>
    </row>
    <row r="3126" spans="1:8" x14ac:dyDescent="0.25">
      <c r="A3126" s="2">
        <v>33585</v>
      </c>
      <c r="B3126">
        <v>45.521999999999998</v>
      </c>
      <c r="C3126">
        <v>151.25399999999999</v>
      </c>
      <c r="D3126" t="s">
        <v>14</v>
      </c>
      <c r="E3126" t="s">
        <v>191</v>
      </c>
      <c r="F3126">
        <f t="shared" si="96"/>
        <v>1991</v>
      </c>
      <c r="G3126">
        <f t="shared" si="97"/>
        <v>12</v>
      </c>
      <c r="H3126" t="str">
        <f>IF(ISNUMBER(FIND(",", E3126)), TRIM(MID(E3126, FIND(",", E3126) + 1, LEN(E3126))), E3126)</f>
        <v>Kuril Islands</v>
      </c>
    </row>
    <row r="3127" spans="1:8" x14ac:dyDescent="0.25">
      <c r="A3127" s="2">
        <v>33585</v>
      </c>
      <c r="B3127">
        <v>45.554000000000002</v>
      </c>
      <c r="C3127">
        <v>151.62200000000001</v>
      </c>
      <c r="D3127" t="s">
        <v>14</v>
      </c>
      <c r="E3127" t="s">
        <v>191</v>
      </c>
      <c r="F3127">
        <f t="shared" si="96"/>
        <v>1991</v>
      </c>
      <c r="G3127">
        <f t="shared" si="97"/>
        <v>12</v>
      </c>
      <c r="H3127" t="str">
        <f>IF(ISNUMBER(FIND(",", E3127)), TRIM(MID(E3127, FIND(",", E3127) + 1, LEN(E3127))), E3127)</f>
        <v>Kuril Islands</v>
      </c>
    </row>
    <row r="3128" spans="1:8" x14ac:dyDescent="0.25">
      <c r="A3128" s="2">
        <v>33585</v>
      </c>
      <c r="B3128">
        <v>45.658999999999999</v>
      </c>
      <c r="C3128">
        <v>151.49299999999999</v>
      </c>
      <c r="D3128" t="s">
        <v>14</v>
      </c>
      <c r="E3128" t="s">
        <v>191</v>
      </c>
      <c r="F3128">
        <f t="shared" si="96"/>
        <v>1991</v>
      </c>
      <c r="G3128">
        <f t="shared" si="97"/>
        <v>12</v>
      </c>
      <c r="H3128" t="str">
        <f>IF(ISNUMBER(FIND(",", E3128)), TRIM(MID(E3128, FIND(",", E3128) + 1, LEN(E3128))), E3128)</f>
        <v>Kuril Islands</v>
      </c>
    </row>
    <row r="3129" spans="1:8" x14ac:dyDescent="0.25">
      <c r="A3129" s="2">
        <v>33583</v>
      </c>
      <c r="B3129">
        <v>-23.413</v>
      </c>
      <c r="C3129">
        <v>171.12200000000001</v>
      </c>
      <c r="D3129" t="s">
        <v>14</v>
      </c>
      <c r="E3129" t="s">
        <v>254</v>
      </c>
      <c r="F3129">
        <f t="shared" si="96"/>
        <v>1991</v>
      </c>
      <c r="G3129">
        <f t="shared" si="97"/>
        <v>12</v>
      </c>
      <c r="H3129" t="str">
        <f>IF(ISNUMBER(FIND(",", E3129)), TRIM(MID(E3129, FIND(",", E3129) + 1, LEN(E3129))), E3129)</f>
        <v>southeast of the Loyalty Islands</v>
      </c>
    </row>
    <row r="3130" spans="1:8" x14ac:dyDescent="0.25">
      <c r="A3130" s="2">
        <v>33583</v>
      </c>
      <c r="B3130">
        <v>-17.850000000000001</v>
      </c>
      <c r="C3130">
        <v>-116.051</v>
      </c>
      <c r="D3130" t="s">
        <v>14</v>
      </c>
      <c r="E3130" t="s">
        <v>268</v>
      </c>
      <c r="F3130">
        <f t="shared" si="96"/>
        <v>1991</v>
      </c>
      <c r="G3130">
        <f t="shared" si="97"/>
        <v>12</v>
      </c>
      <c r="H3130" t="str">
        <f>IF(ISNUMBER(FIND(",", E3130)), TRIM(MID(E3130, FIND(",", E3130) + 1, LEN(E3130))), E3130)</f>
        <v>southern East Pacific Rise</v>
      </c>
    </row>
    <row r="3131" spans="1:8" x14ac:dyDescent="0.25">
      <c r="A3131" s="2">
        <v>33575</v>
      </c>
      <c r="B3131">
        <v>-26.516999999999999</v>
      </c>
      <c r="C3131">
        <v>178.773</v>
      </c>
      <c r="D3131" t="s">
        <v>14</v>
      </c>
      <c r="E3131" t="s">
        <v>256</v>
      </c>
      <c r="F3131">
        <f t="shared" si="96"/>
        <v>1991</v>
      </c>
      <c r="G3131">
        <f t="shared" si="97"/>
        <v>12</v>
      </c>
      <c r="H3131" t="str">
        <f>IF(ISNUMBER(FIND(",", E3131)), TRIM(MID(E3131, FIND(",", E3131) + 1, LEN(E3131))), E3131)</f>
        <v>south of the Fiji Islands</v>
      </c>
    </row>
    <row r="3132" spans="1:8" x14ac:dyDescent="0.25">
      <c r="A3132" s="2">
        <v>33568</v>
      </c>
      <c r="B3132">
        <v>42.09</v>
      </c>
      <c r="C3132">
        <v>142.53399999999999</v>
      </c>
      <c r="D3132" t="s">
        <v>14</v>
      </c>
      <c r="E3132" t="s">
        <v>265</v>
      </c>
      <c r="F3132">
        <f t="shared" si="96"/>
        <v>1991</v>
      </c>
      <c r="G3132">
        <f t="shared" si="97"/>
        <v>11</v>
      </c>
      <c r="H3132" t="str">
        <f>IF(ISNUMBER(FIND(",", E3132)), TRIM(MID(E3132, FIND(",", E3132) + 1, LEN(E3132))), E3132)</f>
        <v>Japan region</v>
      </c>
    </row>
    <row r="3133" spans="1:8" x14ac:dyDescent="0.25">
      <c r="A3133" s="2">
        <v>33563</v>
      </c>
      <c r="B3133">
        <v>5.84</v>
      </c>
      <c r="C3133">
        <v>126.797</v>
      </c>
      <c r="D3133" t="s">
        <v>14</v>
      </c>
      <c r="E3133" t="s">
        <v>200</v>
      </c>
      <c r="F3133">
        <f t="shared" si="96"/>
        <v>1991</v>
      </c>
      <c r="G3133">
        <f t="shared" si="97"/>
        <v>11</v>
      </c>
      <c r="H3133" t="str">
        <f>IF(ISNUMBER(FIND(",", E3133)), TRIM(MID(E3133, FIND(",", E3133) + 1, LEN(E3133))), E3133)</f>
        <v>Philippines</v>
      </c>
    </row>
    <row r="3134" spans="1:8" x14ac:dyDescent="0.25">
      <c r="A3134" s="2">
        <v>33562</v>
      </c>
      <c r="B3134">
        <v>-36.537999999999997</v>
      </c>
      <c r="C3134">
        <v>178.41900000000001</v>
      </c>
      <c r="D3134" t="s">
        <v>14</v>
      </c>
      <c r="E3134" t="s">
        <v>410</v>
      </c>
      <c r="F3134">
        <f t="shared" si="96"/>
        <v>1991</v>
      </c>
      <c r="G3134">
        <f t="shared" si="97"/>
        <v>11</v>
      </c>
      <c r="H3134" t="str">
        <f>IF(ISNUMBER(FIND(",", E3134)), TRIM(MID(E3134, FIND(",", E3134) + 1, LEN(E3134))), E3134)</f>
        <v>off the east coast of the North Island of New Zealand</v>
      </c>
    </row>
    <row r="3135" spans="1:8" x14ac:dyDescent="0.25">
      <c r="A3135" s="2">
        <v>33561</v>
      </c>
      <c r="B3135">
        <v>4.5490000000000004</v>
      </c>
      <c r="C3135">
        <v>-77.358000000000004</v>
      </c>
      <c r="D3135" t="s">
        <v>14</v>
      </c>
      <c r="E3135" t="s">
        <v>417</v>
      </c>
      <c r="F3135">
        <f t="shared" si="96"/>
        <v>1991</v>
      </c>
      <c r="G3135">
        <f t="shared" si="97"/>
        <v>11</v>
      </c>
      <c r="H3135" t="str">
        <f>IF(ISNUMBER(FIND(",", E3135)), TRIM(MID(E3135, FIND(",", E3135) + 1, LEN(E3135))), E3135)</f>
        <v>near the west coast of Colombia</v>
      </c>
    </row>
    <row r="3136" spans="1:8" x14ac:dyDescent="0.25">
      <c r="A3136" s="2">
        <v>33555</v>
      </c>
      <c r="B3136">
        <v>8.3919999999999995</v>
      </c>
      <c r="C3136">
        <v>126.405</v>
      </c>
      <c r="D3136" t="s">
        <v>14</v>
      </c>
      <c r="E3136" t="s">
        <v>200</v>
      </c>
      <c r="F3136">
        <f t="shared" si="96"/>
        <v>1991</v>
      </c>
      <c r="G3136">
        <f t="shared" si="97"/>
        <v>11</v>
      </c>
      <c r="H3136" t="str">
        <f>IF(ISNUMBER(FIND(",", E3136)), TRIM(MID(E3136, FIND(",", E3136) + 1, LEN(E3136))), E3136)</f>
        <v>Philippines</v>
      </c>
    </row>
    <row r="3137" spans="1:8" x14ac:dyDescent="0.25">
      <c r="A3137" s="2">
        <v>33549</v>
      </c>
      <c r="B3137">
        <v>-7.3230000000000004</v>
      </c>
      <c r="C3137">
        <v>128.56</v>
      </c>
      <c r="D3137" t="s">
        <v>14</v>
      </c>
      <c r="E3137" t="s">
        <v>49</v>
      </c>
      <c r="F3137">
        <f t="shared" si="96"/>
        <v>1991</v>
      </c>
      <c r="G3137">
        <f t="shared" si="97"/>
        <v>11</v>
      </c>
      <c r="H3137" t="str">
        <f>IF(ISNUMBER(FIND(",", E3137)), TRIM(MID(E3137, FIND(",", E3137) + 1, LEN(E3137))), E3137)</f>
        <v>Indonesia</v>
      </c>
    </row>
    <row r="3138" spans="1:8" x14ac:dyDescent="0.25">
      <c r="A3138" s="2">
        <v>33547</v>
      </c>
      <c r="B3138">
        <v>-17.63</v>
      </c>
      <c r="C3138">
        <v>65.91</v>
      </c>
      <c r="D3138" t="s">
        <v>14</v>
      </c>
      <c r="E3138" t="s">
        <v>220</v>
      </c>
      <c r="F3138">
        <f t="shared" ref="F3138:F3201" si="98">YEAR(A3138)</f>
        <v>1991</v>
      </c>
      <c r="G3138">
        <f t="shared" si="97"/>
        <v>11</v>
      </c>
      <c r="H3138" t="str">
        <f>IF(ISNUMBER(FIND(",", E3138)), TRIM(MID(E3138, FIND(",", E3138) + 1, LEN(E3138))), E3138)</f>
        <v>Mauritius - Reunion region</v>
      </c>
    </row>
    <row r="3139" spans="1:8" x14ac:dyDescent="0.25">
      <c r="A3139" s="2">
        <v>33547</v>
      </c>
      <c r="B3139">
        <v>-6.2220000000000004</v>
      </c>
      <c r="C3139">
        <v>146.488</v>
      </c>
      <c r="D3139" t="s">
        <v>14</v>
      </c>
      <c r="E3139" t="s">
        <v>243</v>
      </c>
      <c r="F3139">
        <f t="shared" si="98"/>
        <v>1991</v>
      </c>
      <c r="G3139">
        <f t="shared" ref="G3139:G3202" si="99">MONTH(A3139)</f>
        <v>11</v>
      </c>
      <c r="H3139" t="str">
        <f>IF(ISNUMBER(FIND(",", E3139)), TRIM(MID(E3139, FIND(",", E3139) + 1, LEN(E3139))), E3139)</f>
        <v>Papua New Guinea</v>
      </c>
    </row>
    <row r="3140" spans="1:8" x14ac:dyDescent="0.25">
      <c r="A3140" s="2">
        <v>33546</v>
      </c>
      <c r="B3140">
        <v>-6.077</v>
      </c>
      <c r="C3140">
        <v>148.23500000000001</v>
      </c>
      <c r="D3140" t="s">
        <v>14</v>
      </c>
      <c r="E3140" t="s">
        <v>190</v>
      </c>
      <c r="F3140">
        <f t="shared" si="98"/>
        <v>1991</v>
      </c>
      <c r="G3140">
        <f t="shared" si="99"/>
        <v>11</v>
      </c>
      <c r="H3140" t="str">
        <f>IF(ISNUMBER(FIND(",", E3140)), TRIM(MID(E3140, FIND(",", E3140) + 1, LEN(E3140))), E3140)</f>
        <v>Papua New Guinea</v>
      </c>
    </row>
    <row r="3141" spans="1:8" x14ac:dyDescent="0.25">
      <c r="A3141" s="2">
        <v>33543</v>
      </c>
      <c r="B3141">
        <v>46.55</v>
      </c>
      <c r="C3141">
        <v>152.78200000000001</v>
      </c>
      <c r="D3141" t="s">
        <v>14</v>
      </c>
      <c r="E3141" t="s">
        <v>191</v>
      </c>
      <c r="F3141">
        <f t="shared" si="98"/>
        <v>1991</v>
      </c>
      <c r="G3141">
        <f t="shared" si="99"/>
        <v>11</v>
      </c>
      <c r="H3141" t="str">
        <f>IF(ISNUMBER(FIND(",", E3141)), TRIM(MID(E3141, FIND(",", E3141) + 1, LEN(E3141))), E3141)</f>
        <v>Kuril Islands</v>
      </c>
    </row>
    <row r="3142" spans="1:8" x14ac:dyDescent="0.25">
      <c r="A3142" s="2">
        <v>33543</v>
      </c>
      <c r="B3142">
        <v>-30.218</v>
      </c>
      <c r="C3142">
        <v>-177.83</v>
      </c>
      <c r="D3142" t="s">
        <v>14</v>
      </c>
      <c r="E3142" t="s">
        <v>288</v>
      </c>
      <c r="F3142">
        <f t="shared" si="98"/>
        <v>1991</v>
      </c>
      <c r="G3142">
        <f t="shared" si="99"/>
        <v>11</v>
      </c>
      <c r="H3142" t="str">
        <f>IF(ISNUMBER(FIND(",", E3142)), TRIM(MID(E3142, FIND(",", E3142) + 1, LEN(E3142))), E3142)</f>
        <v>New Zealand</v>
      </c>
    </row>
    <row r="3143" spans="1:8" x14ac:dyDescent="0.25">
      <c r="A3143" s="2">
        <v>33541</v>
      </c>
      <c r="B3143">
        <v>-15.298</v>
      </c>
      <c r="C3143">
        <v>-173.07499999999999</v>
      </c>
      <c r="D3143" t="s">
        <v>14</v>
      </c>
      <c r="E3143" t="s">
        <v>239</v>
      </c>
      <c r="F3143">
        <f t="shared" si="98"/>
        <v>1991</v>
      </c>
      <c r="G3143">
        <f t="shared" si="99"/>
        <v>10</v>
      </c>
      <c r="H3143" t="str">
        <f>IF(ISNUMBER(FIND(",", E3143)), TRIM(MID(E3143, FIND(",", E3143) + 1, LEN(E3143))), E3143)</f>
        <v>Tonga</v>
      </c>
    </row>
    <row r="3144" spans="1:8" x14ac:dyDescent="0.25">
      <c r="A3144" s="2">
        <v>33530</v>
      </c>
      <c r="B3144">
        <v>30.731000000000002</v>
      </c>
      <c r="C3144">
        <v>78.781000000000006</v>
      </c>
      <c r="D3144" t="s">
        <v>14</v>
      </c>
      <c r="E3144" t="s">
        <v>524</v>
      </c>
      <c r="F3144">
        <f t="shared" si="98"/>
        <v>1991</v>
      </c>
      <c r="G3144">
        <f t="shared" si="99"/>
        <v>10</v>
      </c>
      <c r="H3144" t="str">
        <f>IF(ISNUMBER(FIND(",", E3144)), TRIM(MID(E3144, FIND(",", E3144) + 1, LEN(E3144))), E3144)</f>
        <v>India</v>
      </c>
    </row>
    <row r="3145" spans="1:8" x14ac:dyDescent="0.25">
      <c r="A3145" s="2">
        <v>33529</v>
      </c>
      <c r="B3145">
        <v>-24.295999999999999</v>
      </c>
      <c r="C3145">
        <v>-177.5</v>
      </c>
      <c r="D3145" t="s">
        <v>14</v>
      </c>
      <c r="E3145" t="s">
        <v>256</v>
      </c>
      <c r="F3145">
        <f t="shared" si="98"/>
        <v>1991</v>
      </c>
      <c r="G3145">
        <f t="shared" si="99"/>
        <v>10</v>
      </c>
      <c r="H3145" t="str">
        <f>IF(ISNUMBER(FIND(",", E3145)), TRIM(MID(E3145, FIND(",", E3145) + 1, LEN(E3145))), E3145)</f>
        <v>south of the Fiji Islands</v>
      </c>
    </row>
    <row r="3146" spans="1:8" x14ac:dyDescent="0.25">
      <c r="A3146" s="2">
        <v>33526</v>
      </c>
      <c r="B3146">
        <v>-6.4889999999999999</v>
      </c>
      <c r="C3146">
        <v>130.03700000000001</v>
      </c>
      <c r="D3146" t="s">
        <v>14</v>
      </c>
      <c r="E3146" t="s">
        <v>187</v>
      </c>
      <c r="F3146">
        <f t="shared" si="98"/>
        <v>1991</v>
      </c>
      <c r="G3146">
        <f t="shared" si="99"/>
        <v>10</v>
      </c>
      <c r="H3146" t="str">
        <f>IF(ISNUMBER(FIND(",", E3146)), TRIM(MID(E3146, FIND(",", E3146) + 1, LEN(E3146))), E3146)</f>
        <v>Banda Sea</v>
      </c>
    </row>
    <row r="3147" spans="1:8" x14ac:dyDescent="0.25">
      <c r="A3147" s="2">
        <v>33525</v>
      </c>
      <c r="B3147">
        <v>-9.0259999999999998</v>
      </c>
      <c r="C3147">
        <v>158.35599999999999</v>
      </c>
      <c r="D3147" t="s">
        <v>14</v>
      </c>
      <c r="E3147" t="s">
        <v>221</v>
      </c>
      <c r="F3147">
        <f t="shared" si="98"/>
        <v>1991</v>
      </c>
      <c r="G3147">
        <f t="shared" si="99"/>
        <v>10</v>
      </c>
      <c r="H3147" t="str">
        <f>IF(ISNUMBER(FIND(",", E3147)), TRIM(MID(E3147, FIND(",", E3147) + 1, LEN(E3147))), E3147)</f>
        <v>Solomon Islands</v>
      </c>
    </row>
    <row r="3148" spans="1:8" x14ac:dyDescent="0.25">
      <c r="A3148" s="2">
        <v>33525</v>
      </c>
      <c r="B3148">
        <v>-9.0299999999999994</v>
      </c>
      <c r="C3148">
        <v>158.68899999999999</v>
      </c>
      <c r="D3148" t="s">
        <v>14</v>
      </c>
      <c r="E3148" t="s">
        <v>221</v>
      </c>
      <c r="F3148">
        <f t="shared" si="98"/>
        <v>1991</v>
      </c>
      <c r="G3148">
        <f t="shared" si="99"/>
        <v>10</v>
      </c>
      <c r="H3148" t="str">
        <f>IF(ISNUMBER(FIND(",", E3148)), TRIM(MID(E3148, FIND(",", E3148) + 1, LEN(E3148))), E3148)</f>
        <v>Solomon Islands</v>
      </c>
    </row>
    <row r="3149" spans="1:8" x14ac:dyDescent="0.25">
      <c r="A3149" s="2">
        <v>33525</v>
      </c>
      <c r="B3149">
        <v>-9.0510000000000002</v>
      </c>
      <c r="C3149">
        <v>158.55500000000001</v>
      </c>
      <c r="D3149" t="s">
        <v>14</v>
      </c>
      <c r="E3149" t="s">
        <v>221</v>
      </c>
      <c r="F3149">
        <f t="shared" si="98"/>
        <v>1991</v>
      </c>
      <c r="G3149">
        <f t="shared" si="99"/>
        <v>10</v>
      </c>
      <c r="H3149" t="str">
        <f>IF(ISNUMBER(FIND(",", E3149)), TRIM(MID(E3149, FIND(",", E3149) + 1, LEN(E3149))), E3149)</f>
        <v>Solomon Islands</v>
      </c>
    </row>
    <row r="3150" spans="1:8" x14ac:dyDescent="0.25">
      <c r="A3150" s="2">
        <v>33524</v>
      </c>
      <c r="B3150">
        <v>-55.886000000000003</v>
      </c>
      <c r="C3150">
        <v>-122.747</v>
      </c>
      <c r="D3150" t="s">
        <v>14</v>
      </c>
      <c r="E3150" t="s">
        <v>268</v>
      </c>
      <c r="F3150">
        <f t="shared" si="98"/>
        <v>1991</v>
      </c>
      <c r="G3150">
        <f t="shared" si="99"/>
        <v>10</v>
      </c>
      <c r="H3150" t="str">
        <f>IF(ISNUMBER(FIND(",", E3150)), TRIM(MID(E3150, FIND(",", E3150) + 1, LEN(E3150))), E3150)</f>
        <v>southern East Pacific Rise</v>
      </c>
    </row>
    <row r="3151" spans="1:8" x14ac:dyDescent="0.25">
      <c r="A3151" s="2">
        <v>33523</v>
      </c>
      <c r="B3151">
        <v>-13.706</v>
      </c>
      <c r="C3151">
        <v>166.751</v>
      </c>
      <c r="D3151" t="s">
        <v>14</v>
      </c>
      <c r="E3151" t="s">
        <v>181</v>
      </c>
      <c r="F3151">
        <f t="shared" si="98"/>
        <v>1991</v>
      </c>
      <c r="G3151">
        <f t="shared" si="99"/>
        <v>10</v>
      </c>
      <c r="H3151" t="str">
        <f>IF(ISNUMBER(FIND(",", E3151)), TRIM(MID(E3151, FIND(",", E3151) + 1, LEN(E3151))), E3151)</f>
        <v>Vanuatu</v>
      </c>
    </row>
    <row r="3152" spans="1:8" x14ac:dyDescent="0.25">
      <c r="A3152" s="2">
        <v>33511</v>
      </c>
      <c r="B3152">
        <v>-20.815000000000001</v>
      </c>
      <c r="C3152">
        <v>-178.50399999999999</v>
      </c>
      <c r="D3152" t="s">
        <v>14</v>
      </c>
      <c r="E3152" t="s">
        <v>53</v>
      </c>
      <c r="F3152">
        <f t="shared" si="98"/>
        <v>1991</v>
      </c>
      <c r="G3152">
        <f t="shared" si="99"/>
        <v>9</v>
      </c>
      <c r="H3152" t="str">
        <f>IF(ISNUMBER(FIND(",", E3152)), TRIM(MID(E3152, FIND(",", E3152) + 1, LEN(E3152))), E3152)</f>
        <v>Fiji region</v>
      </c>
    </row>
    <row r="3153" spans="1:8" x14ac:dyDescent="0.25">
      <c r="A3153" s="2">
        <v>33509</v>
      </c>
      <c r="B3153">
        <v>-5.7670000000000003</v>
      </c>
      <c r="C3153">
        <v>151.048</v>
      </c>
      <c r="D3153" t="s">
        <v>14</v>
      </c>
      <c r="E3153" t="s">
        <v>190</v>
      </c>
      <c r="F3153">
        <f t="shared" si="98"/>
        <v>1991</v>
      </c>
      <c r="G3153">
        <f t="shared" si="99"/>
        <v>9</v>
      </c>
      <c r="H3153" t="str">
        <f>IF(ISNUMBER(FIND(",", E3153)), TRIM(MID(E3153, FIND(",", E3153) + 1, LEN(E3153))), E3153)</f>
        <v>Papua New Guinea</v>
      </c>
    </row>
    <row r="3154" spans="1:8" x14ac:dyDescent="0.25">
      <c r="A3154" s="2">
        <v>33502</v>
      </c>
      <c r="B3154">
        <v>-16.228999999999999</v>
      </c>
      <c r="C3154">
        <v>-172.916</v>
      </c>
      <c r="D3154" t="s">
        <v>14</v>
      </c>
      <c r="E3154" t="s">
        <v>352</v>
      </c>
      <c r="F3154">
        <f t="shared" si="98"/>
        <v>1991</v>
      </c>
      <c r="G3154">
        <f t="shared" si="99"/>
        <v>9</v>
      </c>
      <c r="H3154" t="str">
        <f>IF(ISNUMBER(FIND(",", E3154)), TRIM(MID(E3154, FIND(",", E3154) + 1, LEN(E3154))), E3154)</f>
        <v>Samoa Islands region</v>
      </c>
    </row>
    <row r="3155" spans="1:8" x14ac:dyDescent="0.25">
      <c r="A3155" s="2">
        <v>33499</v>
      </c>
      <c r="B3155">
        <v>14.605</v>
      </c>
      <c r="C3155">
        <v>-90.930999999999997</v>
      </c>
      <c r="D3155" t="s">
        <v>14</v>
      </c>
      <c r="E3155" t="s">
        <v>371</v>
      </c>
      <c r="F3155">
        <f t="shared" si="98"/>
        <v>1991</v>
      </c>
      <c r="G3155">
        <f t="shared" si="99"/>
        <v>9</v>
      </c>
      <c r="H3155" t="str">
        <f>IF(ISNUMBER(FIND(",", E3155)), TRIM(MID(E3155, FIND(",", E3155) + 1, LEN(E3155))), E3155)</f>
        <v>Guatemala</v>
      </c>
    </row>
    <row r="3156" spans="1:8" x14ac:dyDescent="0.25">
      <c r="A3156" s="2">
        <v>33484</v>
      </c>
      <c r="B3156">
        <v>-17.936</v>
      </c>
      <c r="C3156">
        <v>-116.038</v>
      </c>
      <c r="D3156" t="s">
        <v>14</v>
      </c>
      <c r="E3156" t="s">
        <v>268</v>
      </c>
      <c r="F3156">
        <f t="shared" si="98"/>
        <v>1991</v>
      </c>
      <c r="G3156">
        <f t="shared" si="99"/>
        <v>9</v>
      </c>
      <c r="H3156" t="str">
        <f>IF(ISNUMBER(FIND(",", E3156)), TRIM(MID(E3156, FIND(",", E3156) + 1, LEN(E3156))), E3156)</f>
        <v>southern East Pacific Rise</v>
      </c>
    </row>
    <row r="3157" spans="1:8" x14ac:dyDescent="0.25">
      <c r="A3157" s="2">
        <v>33484</v>
      </c>
      <c r="B3157">
        <v>-17.913</v>
      </c>
      <c r="C3157">
        <v>-116.021</v>
      </c>
      <c r="D3157" t="s">
        <v>14</v>
      </c>
      <c r="E3157" t="s">
        <v>268</v>
      </c>
      <c r="F3157">
        <f t="shared" si="98"/>
        <v>1991</v>
      </c>
      <c r="G3157">
        <f t="shared" si="99"/>
        <v>9</v>
      </c>
      <c r="H3157" t="str">
        <f>IF(ISNUMBER(FIND(",", E3157)), TRIM(MID(E3157, FIND(",", E3157) + 1, LEN(E3157))), E3157)</f>
        <v>southern East Pacific Rise</v>
      </c>
    </row>
    <row r="3158" spans="1:8" x14ac:dyDescent="0.25">
      <c r="A3158" s="2">
        <v>33484</v>
      </c>
      <c r="B3158">
        <v>33.69</v>
      </c>
      <c r="C3158">
        <v>138.791</v>
      </c>
      <c r="D3158" t="s">
        <v>14</v>
      </c>
      <c r="E3158" t="s">
        <v>88</v>
      </c>
      <c r="F3158">
        <f t="shared" si="98"/>
        <v>1991</v>
      </c>
      <c r="G3158">
        <f t="shared" si="99"/>
        <v>9</v>
      </c>
      <c r="H3158" t="str">
        <f>IF(ISNUMBER(FIND(",", E3158)), TRIM(MID(E3158, FIND(",", E3158) + 1, LEN(E3158))), E3158)</f>
        <v>Japan region</v>
      </c>
    </row>
    <row r="3159" spans="1:8" x14ac:dyDescent="0.25">
      <c r="A3159" s="2">
        <v>33467</v>
      </c>
      <c r="B3159">
        <v>41.747999999999998</v>
      </c>
      <c r="C3159">
        <v>-125.586</v>
      </c>
      <c r="D3159" t="s">
        <v>14</v>
      </c>
      <c r="E3159" t="s">
        <v>449</v>
      </c>
      <c r="F3159">
        <f t="shared" si="98"/>
        <v>1991</v>
      </c>
      <c r="G3159">
        <f t="shared" si="99"/>
        <v>8</v>
      </c>
      <c r="H3159" t="str">
        <f>IF(ISNUMBER(FIND(",", E3159)), TRIM(MID(E3159, FIND(",", E3159) + 1, LEN(E3159))), E3159)</f>
        <v>off the coast of Northern California</v>
      </c>
    </row>
    <row r="3160" spans="1:8" x14ac:dyDescent="0.25">
      <c r="A3160" s="2">
        <v>33467</v>
      </c>
      <c r="B3160">
        <v>40.253</v>
      </c>
      <c r="C3160">
        <v>-124.11</v>
      </c>
      <c r="D3160" t="s">
        <v>14</v>
      </c>
      <c r="E3160" t="s">
        <v>568</v>
      </c>
      <c r="F3160">
        <f t="shared" si="98"/>
        <v>1991</v>
      </c>
      <c r="G3160">
        <f t="shared" si="99"/>
        <v>8</v>
      </c>
      <c r="H3160" t="str">
        <f>IF(ISNUMBER(FIND(",", E3160)), TRIM(MID(E3160, FIND(",", E3160) + 1, LEN(E3160))), E3160)</f>
        <v>Northern California</v>
      </c>
    </row>
    <row r="3161" spans="1:8" x14ac:dyDescent="0.25">
      <c r="A3161" s="2">
        <v>33466</v>
      </c>
      <c r="B3161">
        <v>41.692999999999998</v>
      </c>
      <c r="C3161">
        <v>-125.506</v>
      </c>
      <c r="D3161" t="s">
        <v>14</v>
      </c>
      <c r="E3161" t="s">
        <v>449</v>
      </c>
      <c r="F3161">
        <f t="shared" si="98"/>
        <v>1991</v>
      </c>
      <c r="G3161">
        <f t="shared" si="99"/>
        <v>8</v>
      </c>
      <c r="H3161" t="str">
        <f>IF(ISNUMBER(FIND(",", E3161)), TRIM(MID(E3161, FIND(",", E3161) + 1, LEN(E3161))), E3161)</f>
        <v>off the coast of Northern California</v>
      </c>
    </row>
    <row r="3162" spans="1:8" x14ac:dyDescent="0.25">
      <c r="A3162" s="2">
        <v>33465</v>
      </c>
      <c r="B3162">
        <v>-16.061</v>
      </c>
      <c r="C3162">
        <v>168.08099999999999</v>
      </c>
      <c r="D3162" t="s">
        <v>14</v>
      </c>
      <c r="E3162" t="s">
        <v>181</v>
      </c>
      <c r="F3162">
        <f t="shared" si="98"/>
        <v>1991</v>
      </c>
      <c r="G3162">
        <f t="shared" si="99"/>
        <v>8</v>
      </c>
      <c r="H3162" t="str">
        <f>IF(ISNUMBER(FIND(",", E3162)), TRIM(MID(E3162, FIND(",", E3162) + 1, LEN(E3162))), E3162)</f>
        <v>Vanuatu</v>
      </c>
    </row>
    <row r="3163" spans="1:8" x14ac:dyDescent="0.25">
      <c r="A3163" s="2">
        <v>33464</v>
      </c>
      <c r="B3163">
        <v>-13.567</v>
      </c>
      <c r="C3163">
        <v>167.68700000000001</v>
      </c>
      <c r="D3163" t="s">
        <v>14</v>
      </c>
      <c r="E3163" t="s">
        <v>181</v>
      </c>
      <c r="F3163">
        <f t="shared" si="98"/>
        <v>1991</v>
      </c>
      <c r="G3163">
        <f t="shared" si="99"/>
        <v>8</v>
      </c>
      <c r="H3163" t="str">
        <f>IF(ISNUMBER(FIND(",", E3163)), TRIM(MID(E3163, FIND(",", E3163) + 1, LEN(E3163))), E3163)</f>
        <v>Vanuatu</v>
      </c>
    </row>
    <row r="3164" spans="1:8" x14ac:dyDescent="0.25">
      <c r="A3164" s="2">
        <v>33458</v>
      </c>
      <c r="B3164">
        <v>1.042</v>
      </c>
      <c r="C3164">
        <v>122.575</v>
      </c>
      <c r="D3164" t="s">
        <v>14</v>
      </c>
      <c r="E3164" t="s">
        <v>263</v>
      </c>
      <c r="F3164">
        <f t="shared" si="98"/>
        <v>1991</v>
      </c>
      <c r="G3164">
        <f t="shared" si="99"/>
        <v>8</v>
      </c>
      <c r="H3164" t="str">
        <f>IF(ISNUMBER(FIND(",", E3164)), TRIM(MID(E3164, FIND(",", E3164) + 1, LEN(E3164))), E3164)</f>
        <v>Sulawesi, Indonesia</v>
      </c>
    </row>
    <row r="3165" spans="1:8" x14ac:dyDescent="0.25">
      <c r="A3165" s="2">
        <v>33433</v>
      </c>
      <c r="B3165">
        <v>36.381999999999998</v>
      </c>
      <c r="C3165">
        <v>71.147999999999996</v>
      </c>
      <c r="D3165" t="s">
        <v>14</v>
      </c>
      <c r="E3165" t="s">
        <v>314</v>
      </c>
      <c r="F3165">
        <f t="shared" si="98"/>
        <v>1991</v>
      </c>
      <c r="G3165">
        <f t="shared" si="99"/>
        <v>7</v>
      </c>
      <c r="H3165" t="str">
        <f>IF(ISNUMBER(FIND(",", E3165)), TRIM(MID(E3165, FIND(",", E3165) + 1, LEN(E3165))), E3165)</f>
        <v>Afghanistan</v>
      </c>
    </row>
    <row r="3166" spans="1:8" x14ac:dyDescent="0.25">
      <c r="A3166" s="2">
        <v>33432</v>
      </c>
      <c r="B3166">
        <v>48.807000000000002</v>
      </c>
      <c r="C3166">
        <v>154.87899999999999</v>
      </c>
      <c r="D3166" t="s">
        <v>14</v>
      </c>
      <c r="E3166" t="s">
        <v>191</v>
      </c>
      <c r="F3166">
        <f t="shared" si="98"/>
        <v>1991</v>
      </c>
      <c r="G3166">
        <f t="shared" si="99"/>
        <v>7</v>
      </c>
      <c r="H3166" t="str">
        <f>IF(ISNUMBER(FIND(",", E3166)), TRIM(MID(E3166, FIND(",", E3166) + 1, LEN(E3166))), E3166)</f>
        <v>Kuril Islands</v>
      </c>
    </row>
    <row r="3167" spans="1:8" x14ac:dyDescent="0.25">
      <c r="A3167" s="2">
        <v>33432</v>
      </c>
      <c r="B3167">
        <v>42.203000000000003</v>
      </c>
      <c r="C3167">
        <v>-125.761</v>
      </c>
      <c r="D3167" t="s">
        <v>14</v>
      </c>
      <c r="E3167" t="s">
        <v>249</v>
      </c>
      <c r="F3167">
        <f t="shared" si="98"/>
        <v>1991</v>
      </c>
      <c r="G3167">
        <f t="shared" si="99"/>
        <v>7</v>
      </c>
      <c r="H3167" t="str">
        <f>IF(ISNUMBER(FIND(",", E3167)), TRIM(MID(E3167, FIND(",", E3167) + 1, LEN(E3167))), E3167)</f>
        <v>off the coast of Oregon</v>
      </c>
    </row>
    <row r="3168" spans="1:8" x14ac:dyDescent="0.25">
      <c r="A3168" s="2">
        <v>33425</v>
      </c>
      <c r="B3168">
        <v>-13.279</v>
      </c>
      <c r="C3168">
        <v>-72.188999999999993</v>
      </c>
      <c r="D3168" t="s">
        <v>14</v>
      </c>
      <c r="E3168" t="s">
        <v>198</v>
      </c>
      <c r="F3168">
        <f t="shared" si="98"/>
        <v>1991</v>
      </c>
      <c r="G3168">
        <f t="shared" si="99"/>
        <v>7</v>
      </c>
      <c r="H3168" t="str">
        <f>IF(ISNUMBER(FIND(",", E3168)), TRIM(MID(E3168, FIND(",", E3168) + 1, LEN(E3168))), E3168)</f>
        <v>central Peru</v>
      </c>
    </row>
    <row r="3169" spans="1:8" x14ac:dyDescent="0.25">
      <c r="A3169" s="2">
        <v>33424</v>
      </c>
      <c r="B3169">
        <v>-9.6189999999999998</v>
      </c>
      <c r="C3169">
        <v>114.553</v>
      </c>
      <c r="D3169" t="s">
        <v>14</v>
      </c>
      <c r="E3169" t="s">
        <v>274</v>
      </c>
      <c r="F3169">
        <f t="shared" si="98"/>
        <v>1991</v>
      </c>
      <c r="G3169">
        <f t="shared" si="99"/>
        <v>7</v>
      </c>
      <c r="H3169" t="str">
        <f>IF(ISNUMBER(FIND(",", E3169)), TRIM(MID(E3169, FIND(",", E3169) + 1, LEN(E3169))), E3169)</f>
        <v>Indonesia</v>
      </c>
    </row>
    <row r="3170" spans="1:8" x14ac:dyDescent="0.25">
      <c r="A3170" s="2">
        <v>33423</v>
      </c>
      <c r="B3170">
        <v>-8.1489999999999991</v>
      </c>
      <c r="C3170">
        <v>124.596</v>
      </c>
      <c r="D3170" t="s">
        <v>14</v>
      </c>
      <c r="E3170" t="s">
        <v>462</v>
      </c>
      <c r="F3170">
        <f t="shared" si="98"/>
        <v>1991</v>
      </c>
      <c r="G3170">
        <f t="shared" si="99"/>
        <v>7</v>
      </c>
      <c r="H3170" t="str">
        <f>IF(ISNUMBER(FIND(",", E3170)), TRIM(MID(E3170, FIND(",", E3170) + 1, LEN(E3170))), E3170)</f>
        <v>Indonesia</v>
      </c>
    </row>
    <row r="3171" spans="1:8" x14ac:dyDescent="0.25">
      <c r="A3171" s="2">
        <v>33421</v>
      </c>
      <c r="B3171">
        <v>-1.0920000000000001</v>
      </c>
      <c r="C3171">
        <v>99.792000000000002</v>
      </c>
      <c r="D3171" t="s">
        <v>14</v>
      </c>
      <c r="E3171" t="s">
        <v>209</v>
      </c>
      <c r="F3171">
        <f t="shared" si="98"/>
        <v>1991</v>
      </c>
      <c r="G3171">
        <f t="shared" si="99"/>
        <v>7</v>
      </c>
      <c r="H3171" t="str">
        <f>IF(ISNUMBER(FIND(",", E3171)), TRIM(MID(E3171, FIND(",", E3171) + 1, LEN(E3171))), E3171)</f>
        <v>Indonesia</v>
      </c>
    </row>
    <row r="3172" spans="1:8" x14ac:dyDescent="0.25">
      <c r="A3172" s="2">
        <v>33412</v>
      </c>
      <c r="B3172">
        <v>-26.776</v>
      </c>
      <c r="C3172">
        <v>-63.27</v>
      </c>
      <c r="D3172" t="s">
        <v>14</v>
      </c>
      <c r="E3172" t="s">
        <v>232</v>
      </c>
      <c r="F3172">
        <f t="shared" si="98"/>
        <v>1991</v>
      </c>
      <c r="G3172">
        <f t="shared" si="99"/>
        <v>6</v>
      </c>
      <c r="H3172" t="str">
        <f>IF(ISNUMBER(FIND(",", E3172)), TRIM(MID(E3172, FIND(",", E3172) + 1, LEN(E3172))), E3172)</f>
        <v>Argentina</v>
      </c>
    </row>
    <row r="3173" spans="1:8" x14ac:dyDescent="0.25">
      <c r="A3173" s="2">
        <v>33411</v>
      </c>
      <c r="B3173">
        <v>23.777000000000001</v>
      </c>
      <c r="C3173">
        <v>-108.56699999999999</v>
      </c>
      <c r="D3173" t="s">
        <v>14</v>
      </c>
      <c r="E3173" t="s">
        <v>282</v>
      </c>
      <c r="F3173">
        <f t="shared" si="98"/>
        <v>1991</v>
      </c>
      <c r="G3173">
        <f t="shared" si="99"/>
        <v>6</v>
      </c>
      <c r="H3173" t="str">
        <f>IF(ISNUMBER(FIND(",", E3173)), TRIM(MID(E3173, FIND(",", E3173) + 1, LEN(E3173))), E3173)</f>
        <v>Gulf of California</v>
      </c>
    </row>
    <row r="3174" spans="1:8" x14ac:dyDescent="0.25">
      <c r="A3174" s="2">
        <v>33409</v>
      </c>
      <c r="B3174">
        <v>1.206</v>
      </c>
      <c r="C3174">
        <v>122.77200000000001</v>
      </c>
      <c r="D3174" t="s">
        <v>14</v>
      </c>
      <c r="E3174" t="s">
        <v>263</v>
      </c>
      <c r="F3174">
        <f t="shared" si="98"/>
        <v>1991</v>
      </c>
      <c r="G3174">
        <f t="shared" si="99"/>
        <v>6</v>
      </c>
      <c r="H3174" t="str">
        <f>IF(ISNUMBER(FIND(",", E3174)), TRIM(MID(E3174, FIND(",", E3174) + 1, LEN(E3174))), E3174)</f>
        <v>Sulawesi, Indonesia</v>
      </c>
    </row>
    <row r="3175" spans="1:8" x14ac:dyDescent="0.25">
      <c r="A3175" s="2">
        <v>33404</v>
      </c>
      <c r="B3175">
        <v>10.118</v>
      </c>
      <c r="C3175">
        <v>125.89</v>
      </c>
      <c r="D3175" t="s">
        <v>14</v>
      </c>
      <c r="E3175" t="s">
        <v>545</v>
      </c>
      <c r="F3175">
        <f t="shared" si="98"/>
        <v>1991</v>
      </c>
      <c r="G3175">
        <f t="shared" si="99"/>
        <v>6</v>
      </c>
      <c r="H3175" t="str">
        <f>IF(ISNUMBER(FIND(",", E3175)), TRIM(MID(E3175, FIND(",", E3175) + 1, LEN(E3175))), E3175)</f>
        <v>Philippines</v>
      </c>
    </row>
    <row r="3176" spans="1:8" x14ac:dyDescent="0.25">
      <c r="A3176" s="2">
        <v>33404</v>
      </c>
      <c r="B3176">
        <v>-58.345999999999997</v>
      </c>
      <c r="C3176">
        <v>-24.402999999999999</v>
      </c>
      <c r="D3176" t="s">
        <v>14</v>
      </c>
      <c r="E3176" t="s">
        <v>260</v>
      </c>
      <c r="F3176">
        <f t="shared" si="98"/>
        <v>1991</v>
      </c>
      <c r="G3176">
        <f t="shared" si="99"/>
        <v>6</v>
      </c>
      <c r="H3176" t="str">
        <f>IF(ISNUMBER(FIND(",", E3176)), TRIM(MID(E3176, FIND(",", E3176) + 1, LEN(E3176))), E3176)</f>
        <v>South Sandwich Islands region</v>
      </c>
    </row>
    <row r="3177" spans="1:8" x14ac:dyDescent="0.25">
      <c r="A3177" s="2">
        <v>33404</v>
      </c>
      <c r="B3177">
        <v>42.408000000000001</v>
      </c>
      <c r="C3177">
        <v>44.011000000000003</v>
      </c>
      <c r="D3177" t="s">
        <v>14</v>
      </c>
      <c r="E3177" t="s">
        <v>356</v>
      </c>
      <c r="F3177">
        <f t="shared" si="98"/>
        <v>1991</v>
      </c>
      <c r="G3177">
        <f t="shared" si="99"/>
        <v>6</v>
      </c>
      <c r="H3177" t="str">
        <f>IF(ISNUMBER(FIND(",", E3177)), TRIM(MID(E3177, FIND(",", E3177) + 1, LEN(E3177))), E3177)</f>
        <v>Georgia (Sak'art'velo)</v>
      </c>
    </row>
    <row r="3178" spans="1:8" x14ac:dyDescent="0.25">
      <c r="A3178" s="2">
        <v>33399</v>
      </c>
      <c r="B3178">
        <v>23.734999999999999</v>
      </c>
      <c r="C3178">
        <v>-45.366999999999997</v>
      </c>
      <c r="D3178" t="s">
        <v>14</v>
      </c>
      <c r="E3178" t="s">
        <v>325</v>
      </c>
      <c r="F3178">
        <f t="shared" si="98"/>
        <v>1991</v>
      </c>
      <c r="G3178">
        <f t="shared" si="99"/>
        <v>6</v>
      </c>
      <c r="H3178" t="str">
        <f>IF(ISNUMBER(FIND(",", E3178)), TRIM(MID(E3178, FIND(",", E3178) + 1, LEN(E3178))), E3178)</f>
        <v>northern Mid-Atlantic Ridge</v>
      </c>
    </row>
    <row r="3179" spans="1:8" x14ac:dyDescent="0.25">
      <c r="A3179" s="2">
        <v>33398</v>
      </c>
      <c r="B3179">
        <v>-20.238</v>
      </c>
      <c r="C3179">
        <v>-176.14599999999999</v>
      </c>
      <c r="D3179" t="s">
        <v>14</v>
      </c>
      <c r="E3179" t="s">
        <v>53</v>
      </c>
      <c r="F3179">
        <f t="shared" si="98"/>
        <v>1991</v>
      </c>
      <c r="G3179">
        <f t="shared" si="99"/>
        <v>6</v>
      </c>
      <c r="H3179" t="str">
        <f>IF(ISNUMBER(FIND(",", E3179)), TRIM(MID(E3179, FIND(",", E3179) + 1, LEN(E3179))), E3179)</f>
        <v>Fiji region</v>
      </c>
    </row>
    <row r="3180" spans="1:8" x14ac:dyDescent="0.25">
      <c r="A3180" s="2">
        <v>33396</v>
      </c>
      <c r="B3180">
        <v>-7.1189999999999998</v>
      </c>
      <c r="C3180">
        <v>122.699</v>
      </c>
      <c r="D3180" t="s">
        <v>14</v>
      </c>
      <c r="E3180" t="s">
        <v>438</v>
      </c>
      <c r="F3180">
        <f t="shared" si="98"/>
        <v>1991</v>
      </c>
      <c r="G3180">
        <f t="shared" si="99"/>
        <v>6</v>
      </c>
      <c r="H3180" t="str">
        <f>IF(ISNUMBER(FIND(",", E3180)), TRIM(MID(E3180, FIND(",", E3180) + 1, LEN(E3180))), E3180)</f>
        <v>Flores Sea</v>
      </c>
    </row>
    <row r="3181" spans="1:8" x14ac:dyDescent="0.25">
      <c r="A3181" s="2">
        <v>33388</v>
      </c>
      <c r="B3181">
        <v>54.517000000000003</v>
      </c>
      <c r="C3181">
        <v>-161.709</v>
      </c>
      <c r="D3181" t="s">
        <v>14</v>
      </c>
      <c r="E3181" t="s">
        <v>285</v>
      </c>
      <c r="F3181">
        <f t="shared" si="98"/>
        <v>1991</v>
      </c>
      <c r="G3181">
        <f t="shared" si="99"/>
        <v>5</v>
      </c>
      <c r="H3181" t="str">
        <f>IF(ISNUMBER(FIND(",", E3181)), TRIM(MID(E3181, FIND(",", E3181) + 1, LEN(E3181))), E3181)</f>
        <v>Alaska Peninsula</v>
      </c>
    </row>
    <row r="3182" spans="1:8" x14ac:dyDescent="0.25">
      <c r="A3182" s="2">
        <v>33382</v>
      </c>
      <c r="B3182">
        <v>-16.565000000000001</v>
      </c>
      <c r="C3182">
        <v>-70.697999999999993</v>
      </c>
      <c r="D3182" t="s">
        <v>14</v>
      </c>
      <c r="E3182" t="s">
        <v>229</v>
      </c>
      <c r="F3182">
        <f t="shared" si="98"/>
        <v>1991</v>
      </c>
      <c r="G3182">
        <f t="shared" si="99"/>
        <v>5</v>
      </c>
      <c r="H3182" t="str">
        <f>IF(ISNUMBER(FIND(",", E3182)), TRIM(MID(E3182, FIND(",", E3182) + 1, LEN(E3182))), E3182)</f>
        <v>southern Peru</v>
      </c>
    </row>
    <row r="3183" spans="1:8" x14ac:dyDescent="0.25">
      <c r="A3183" s="2">
        <v>33379</v>
      </c>
      <c r="B3183">
        <v>-7.5419999999999998</v>
      </c>
      <c r="C3183">
        <v>126.51600000000001</v>
      </c>
      <c r="D3183" t="s">
        <v>14</v>
      </c>
      <c r="E3183" t="s">
        <v>49</v>
      </c>
      <c r="F3183">
        <f t="shared" si="98"/>
        <v>1991</v>
      </c>
      <c r="G3183">
        <f t="shared" si="99"/>
        <v>5</v>
      </c>
      <c r="H3183" t="str">
        <f>IF(ISNUMBER(FIND(",", E3183)), TRIM(MID(E3183, FIND(",", E3183) + 1, LEN(E3183))), E3183)</f>
        <v>Indonesia</v>
      </c>
    </row>
    <row r="3184" spans="1:8" x14ac:dyDescent="0.25">
      <c r="A3184" s="2">
        <v>33377</v>
      </c>
      <c r="B3184">
        <v>1.159</v>
      </c>
      <c r="C3184">
        <v>122.935</v>
      </c>
      <c r="D3184" t="s">
        <v>14</v>
      </c>
      <c r="E3184" t="s">
        <v>263</v>
      </c>
      <c r="F3184">
        <f t="shared" si="98"/>
        <v>1991</v>
      </c>
      <c r="G3184">
        <f t="shared" si="99"/>
        <v>5</v>
      </c>
      <c r="H3184" t="str">
        <f>IF(ISNUMBER(FIND(",", E3184)), TRIM(MID(E3184, FIND(",", E3184) + 1, LEN(E3184))), E3184)</f>
        <v>Sulawesi, Indonesia</v>
      </c>
    </row>
    <row r="3185" spans="1:8" x14ac:dyDescent="0.25">
      <c r="A3185" s="2">
        <v>33375</v>
      </c>
      <c r="B3185">
        <v>-4.37</v>
      </c>
      <c r="C3185">
        <v>142.745</v>
      </c>
      <c r="D3185" t="s">
        <v>14</v>
      </c>
      <c r="E3185" t="s">
        <v>253</v>
      </c>
      <c r="F3185">
        <f t="shared" si="98"/>
        <v>1991</v>
      </c>
      <c r="G3185">
        <f t="shared" si="99"/>
        <v>5</v>
      </c>
      <c r="H3185" t="str">
        <f>IF(ISNUMBER(FIND(",", E3185)), TRIM(MID(E3185, FIND(",", E3185) + 1, LEN(E3185))), E3185)</f>
        <v>Papua New Guinea</v>
      </c>
    </row>
    <row r="3186" spans="1:8" x14ac:dyDescent="0.25">
      <c r="A3186" s="2">
        <v>33368</v>
      </c>
      <c r="B3186">
        <v>-16.207000000000001</v>
      </c>
      <c r="C3186">
        <v>-174.07</v>
      </c>
      <c r="D3186" t="s">
        <v>14</v>
      </c>
      <c r="E3186" t="s">
        <v>239</v>
      </c>
      <c r="F3186">
        <f t="shared" si="98"/>
        <v>1991</v>
      </c>
      <c r="G3186">
        <f t="shared" si="99"/>
        <v>5</v>
      </c>
      <c r="H3186" t="str">
        <f>IF(ISNUMBER(FIND(",", E3186)), TRIM(MID(E3186, FIND(",", E3186) + 1, LEN(E3186))), E3186)</f>
        <v>Tonga</v>
      </c>
    </row>
    <row r="3187" spans="1:8" x14ac:dyDescent="0.25">
      <c r="A3187" s="2">
        <v>33362</v>
      </c>
      <c r="B3187">
        <v>9.5489999999999995</v>
      </c>
      <c r="C3187">
        <v>-82.438999999999993</v>
      </c>
      <c r="D3187" t="s">
        <v>14</v>
      </c>
      <c r="E3187" t="s">
        <v>379</v>
      </c>
      <c r="F3187">
        <f t="shared" si="98"/>
        <v>1991</v>
      </c>
      <c r="G3187">
        <f t="shared" si="99"/>
        <v>5</v>
      </c>
      <c r="H3187" t="str">
        <f>IF(ISNUMBER(FIND(",", E3187)), TRIM(MID(E3187, FIND(",", E3187) + 1, LEN(E3187))), E3187)</f>
        <v>Panama-Costa Rica border region</v>
      </c>
    </row>
    <row r="3188" spans="1:8" x14ac:dyDescent="0.25">
      <c r="A3188" s="2">
        <v>33361</v>
      </c>
      <c r="B3188">
        <v>28.015999999999998</v>
      </c>
      <c r="C3188">
        <v>139.69499999999999</v>
      </c>
      <c r="D3188" t="s">
        <v>14</v>
      </c>
      <c r="E3188" t="s">
        <v>233</v>
      </c>
      <c r="F3188">
        <f t="shared" si="98"/>
        <v>1991</v>
      </c>
      <c r="G3188">
        <f t="shared" si="99"/>
        <v>5</v>
      </c>
      <c r="H3188" t="str">
        <f>IF(ISNUMBER(FIND(",", E3188)), TRIM(MID(E3188, FIND(",", E3188) + 1, LEN(E3188))), E3188)</f>
        <v>Japan region</v>
      </c>
    </row>
    <row r="3189" spans="1:8" x14ac:dyDescent="0.25">
      <c r="A3189" s="2">
        <v>33359</v>
      </c>
      <c r="B3189">
        <v>62.551000000000002</v>
      </c>
      <c r="C3189">
        <v>-151.51300000000001</v>
      </c>
      <c r="D3189" t="s">
        <v>14</v>
      </c>
      <c r="E3189" t="s">
        <v>487</v>
      </c>
      <c r="F3189">
        <f t="shared" si="98"/>
        <v>1991</v>
      </c>
      <c r="G3189">
        <f t="shared" si="99"/>
        <v>5</v>
      </c>
      <c r="H3189" t="str">
        <f>IF(ISNUMBER(FIND(",", E3189)), TRIM(MID(E3189, FIND(",", E3189) + 1, LEN(E3189))), E3189)</f>
        <v>Central Alaska</v>
      </c>
    </row>
    <row r="3190" spans="1:8" x14ac:dyDescent="0.25">
      <c r="A3190" s="2">
        <v>33357</v>
      </c>
      <c r="B3190">
        <v>42.475000000000001</v>
      </c>
      <c r="C3190">
        <v>43.850999999999999</v>
      </c>
      <c r="D3190" t="s">
        <v>14</v>
      </c>
      <c r="E3190" t="s">
        <v>356</v>
      </c>
      <c r="F3190">
        <f t="shared" si="98"/>
        <v>1991</v>
      </c>
      <c r="G3190">
        <f t="shared" si="99"/>
        <v>4</v>
      </c>
      <c r="H3190" t="str">
        <f>IF(ISNUMBER(FIND(",", E3190)), TRIM(MID(E3190, FIND(",", E3190) + 1, LEN(E3190))), E3190)</f>
        <v>Georgia (Sak'art'velo)</v>
      </c>
    </row>
    <row r="3191" spans="1:8" x14ac:dyDescent="0.25">
      <c r="A3191" s="2">
        <v>33357</v>
      </c>
      <c r="B3191">
        <v>42.433999999999997</v>
      </c>
      <c r="C3191">
        <v>43.673000000000002</v>
      </c>
      <c r="D3191" t="s">
        <v>14</v>
      </c>
      <c r="E3191" t="s">
        <v>356</v>
      </c>
      <c r="F3191">
        <f t="shared" si="98"/>
        <v>1991</v>
      </c>
      <c r="G3191">
        <f t="shared" si="99"/>
        <v>4</v>
      </c>
      <c r="H3191" t="str">
        <f>IF(ISNUMBER(FIND(",", E3191)), TRIM(MID(E3191, FIND(",", E3191) + 1, LEN(E3191))), E3191)</f>
        <v>Georgia (Sak'art'velo)</v>
      </c>
    </row>
    <row r="3192" spans="1:8" x14ac:dyDescent="0.25">
      <c r="A3192" s="2">
        <v>33352</v>
      </c>
      <c r="B3192">
        <v>9.7710000000000008</v>
      </c>
      <c r="C3192">
        <v>-83.515000000000001</v>
      </c>
      <c r="D3192" t="s">
        <v>14</v>
      </c>
      <c r="E3192" t="s">
        <v>202</v>
      </c>
      <c r="F3192">
        <f t="shared" si="98"/>
        <v>1991</v>
      </c>
      <c r="G3192">
        <f t="shared" si="99"/>
        <v>4</v>
      </c>
      <c r="H3192" t="str">
        <f>IF(ISNUMBER(FIND(",", E3192)), TRIM(MID(E3192, FIND(",", E3192) + 1, LEN(E3192))), E3192)</f>
        <v>Costa Rica</v>
      </c>
    </row>
    <row r="3193" spans="1:8" x14ac:dyDescent="0.25">
      <c r="A3193" s="2">
        <v>33352</v>
      </c>
      <c r="B3193">
        <v>2.5430000000000001</v>
      </c>
      <c r="C3193">
        <v>-79.710999999999999</v>
      </c>
      <c r="D3193" t="s">
        <v>14</v>
      </c>
      <c r="E3193" t="s">
        <v>231</v>
      </c>
      <c r="F3193">
        <f t="shared" si="98"/>
        <v>1991</v>
      </c>
      <c r="G3193">
        <f t="shared" si="99"/>
        <v>4</v>
      </c>
      <c r="H3193" t="str">
        <f>IF(ISNUMBER(FIND(",", E3193)), TRIM(MID(E3193, FIND(",", E3193) + 1, LEN(E3193))), E3193)</f>
        <v>south of Panama</v>
      </c>
    </row>
    <row r="3194" spans="1:8" x14ac:dyDescent="0.25">
      <c r="A3194" s="2">
        <v>33352</v>
      </c>
      <c r="B3194">
        <v>9.1039999999999992</v>
      </c>
      <c r="C3194">
        <v>126.74</v>
      </c>
      <c r="D3194" t="s">
        <v>14</v>
      </c>
      <c r="E3194" t="s">
        <v>200</v>
      </c>
      <c r="F3194">
        <f t="shared" si="98"/>
        <v>1991</v>
      </c>
      <c r="G3194">
        <f t="shared" si="99"/>
        <v>4</v>
      </c>
      <c r="H3194" t="str">
        <f>IF(ISNUMBER(FIND(",", E3194)), TRIM(MID(E3194, FIND(",", E3194) + 1, LEN(E3194))), E3194)</f>
        <v>Philippines</v>
      </c>
    </row>
    <row r="3195" spans="1:8" x14ac:dyDescent="0.25">
      <c r="A3195" s="2">
        <v>33350</v>
      </c>
      <c r="B3195">
        <v>9.6720000000000006</v>
      </c>
      <c r="C3195">
        <v>-83.072000000000003</v>
      </c>
      <c r="D3195" t="s">
        <v>14</v>
      </c>
      <c r="E3195" t="s">
        <v>202</v>
      </c>
      <c r="F3195">
        <f t="shared" si="98"/>
        <v>1991</v>
      </c>
      <c r="G3195">
        <f t="shared" si="99"/>
        <v>4</v>
      </c>
      <c r="H3195" t="str">
        <f>IF(ISNUMBER(FIND(",", E3195)), TRIM(MID(E3195, FIND(",", E3195) + 1, LEN(E3195))), E3195)</f>
        <v>Costa Rica</v>
      </c>
    </row>
    <row r="3196" spans="1:8" x14ac:dyDescent="0.25">
      <c r="A3196" s="2">
        <v>33347</v>
      </c>
      <c r="B3196">
        <v>-15.038</v>
      </c>
      <c r="C3196">
        <v>-174.95599999999999</v>
      </c>
      <c r="D3196" t="s">
        <v>14</v>
      </c>
      <c r="E3196" t="s">
        <v>239</v>
      </c>
      <c r="F3196">
        <f t="shared" si="98"/>
        <v>1991</v>
      </c>
      <c r="G3196">
        <f t="shared" si="99"/>
        <v>4</v>
      </c>
      <c r="H3196" t="str">
        <f>IF(ISNUMBER(FIND(",", E3196)), TRIM(MID(E3196, FIND(",", E3196) + 1, LEN(E3196))), E3196)</f>
        <v>Tonga</v>
      </c>
    </row>
    <row r="3197" spans="1:8" x14ac:dyDescent="0.25">
      <c r="A3197" s="2">
        <v>33334</v>
      </c>
      <c r="B3197">
        <v>-15.026999999999999</v>
      </c>
      <c r="C3197">
        <v>-175.452</v>
      </c>
      <c r="D3197" t="s">
        <v>14</v>
      </c>
      <c r="E3197" t="s">
        <v>239</v>
      </c>
      <c r="F3197">
        <f t="shared" si="98"/>
        <v>1991</v>
      </c>
      <c r="G3197">
        <f t="shared" si="99"/>
        <v>4</v>
      </c>
      <c r="H3197" t="str">
        <f>IF(ISNUMBER(FIND(",", E3197)), TRIM(MID(E3197, FIND(",", E3197) + 1, LEN(E3197))), E3197)</f>
        <v>Tonga</v>
      </c>
    </row>
    <row r="3198" spans="1:8" x14ac:dyDescent="0.25">
      <c r="A3198" s="2">
        <v>33333</v>
      </c>
      <c r="B3198">
        <v>-14.209</v>
      </c>
      <c r="C3198">
        <v>-75.489999999999995</v>
      </c>
      <c r="D3198" t="s">
        <v>14</v>
      </c>
      <c r="E3198" t="s">
        <v>258</v>
      </c>
      <c r="F3198">
        <f t="shared" si="98"/>
        <v>1991</v>
      </c>
      <c r="G3198">
        <f t="shared" si="99"/>
        <v>4</v>
      </c>
      <c r="H3198" t="str">
        <f>IF(ISNUMBER(FIND(",", E3198)), TRIM(MID(E3198, FIND(",", E3198) + 1, LEN(E3198))), E3198)</f>
        <v>near the coast of central Peru</v>
      </c>
    </row>
    <row r="3199" spans="1:8" x14ac:dyDescent="0.25">
      <c r="A3199" s="2">
        <v>33333</v>
      </c>
      <c r="B3199">
        <v>-5.9690000000000003</v>
      </c>
      <c r="C3199">
        <v>-77.082999999999998</v>
      </c>
      <c r="D3199" t="s">
        <v>14</v>
      </c>
      <c r="E3199" t="s">
        <v>277</v>
      </c>
      <c r="F3199">
        <f t="shared" si="98"/>
        <v>1991</v>
      </c>
      <c r="G3199">
        <f t="shared" si="99"/>
        <v>4</v>
      </c>
      <c r="H3199" t="str">
        <f>IF(ISNUMBER(FIND(",", E3199)), TRIM(MID(E3199, FIND(",", E3199) + 1, LEN(E3199))), E3199)</f>
        <v>northern Peru</v>
      </c>
    </row>
    <row r="3200" spans="1:8" x14ac:dyDescent="0.25">
      <c r="A3200" s="2">
        <v>33332</v>
      </c>
      <c r="B3200">
        <v>-6.0510000000000002</v>
      </c>
      <c r="C3200">
        <v>-77.135999999999996</v>
      </c>
      <c r="D3200" t="s">
        <v>14</v>
      </c>
      <c r="E3200" t="s">
        <v>277</v>
      </c>
      <c r="F3200">
        <f t="shared" si="98"/>
        <v>1991</v>
      </c>
      <c r="G3200">
        <f t="shared" si="99"/>
        <v>4</v>
      </c>
      <c r="H3200" t="str">
        <f>IF(ISNUMBER(FIND(",", E3200)), TRIM(MID(E3200, FIND(",", E3200) + 1, LEN(E3200))), E3200)</f>
        <v>northern Peru</v>
      </c>
    </row>
    <row r="3201" spans="1:8" x14ac:dyDescent="0.25">
      <c r="A3201" s="2">
        <v>33332</v>
      </c>
      <c r="B3201">
        <v>7.0519999999999996</v>
      </c>
      <c r="C3201">
        <v>-78.117999999999995</v>
      </c>
      <c r="D3201" t="s">
        <v>14</v>
      </c>
      <c r="E3201" t="s">
        <v>367</v>
      </c>
      <c r="F3201">
        <f t="shared" si="98"/>
        <v>1991</v>
      </c>
      <c r="G3201">
        <f t="shared" si="99"/>
        <v>4</v>
      </c>
      <c r="H3201" t="str">
        <f>IF(ISNUMBER(FIND(",", E3201)), TRIM(MID(E3201, FIND(",", E3201) + 1, LEN(E3201))), E3201)</f>
        <v>Panama</v>
      </c>
    </row>
    <row r="3202" spans="1:8" x14ac:dyDescent="0.25">
      <c r="A3202" s="2">
        <v>33323</v>
      </c>
      <c r="B3202">
        <v>21.715</v>
      </c>
      <c r="C3202">
        <v>121.73099999999999</v>
      </c>
      <c r="D3202" t="s">
        <v>14</v>
      </c>
      <c r="E3202" t="s">
        <v>363</v>
      </c>
      <c r="F3202">
        <f t="shared" ref="F3202:F3265" si="100">YEAR(A3202)</f>
        <v>1991</v>
      </c>
      <c r="G3202">
        <f t="shared" si="99"/>
        <v>3</v>
      </c>
      <c r="H3202" t="str">
        <f>IF(ISNUMBER(FIND(",", E3202)), TRIM(MID(E3202, FIND(",", E3202) + 1, LEN(E3202))), E3202)</f>
        <v>Taiwan region</v>
      </c>
    </row>
    <row r="3203" spans="1:8" x14ac:dyDescent="0.25">
      <c r="A3203" s="2">
        <v>33318</v>
      </c>
      <c r="B3203">
        <v>-9.7560000000000002</v>
      </c>
      <c r="C3203">
        <v>-79.748000000000005</v>
      </c>
      <c r="D3203" t="s">
        <v>14</v>
      </c>
      <c r="E3203" t="s">
        <v>428</v>
      </c>
      <c r="F3203">
        <f t="shared" si="100"/>
        <v>1991</v>
      </c>
      <c r="G3203">
        <f t="shared" ref="G3203:G3266" si="101">MONTH(A3203)</f>
        <v>3</v>
      </c>
      <c r="H3203" t="str">
        <f>IF(ISNUMBER(FIND(",", E3203)), TRIM(MID(E3203, FIND(",", E3203) + 1, LEN(E3203))), E3203)</f>
        <v>off the coast of northern Peru</v>
      </c>
    </row>
    <row r="3204" spans="1:8" x14ac:dyDescent="0.25">
      <c r="A3204" s="2">
        <v>33313</v>
      </c>
      <c r="B3204">
        <v>10.178000000000001</v>
      </c>
      <c r="C3204">
        <v>-85.230999999999995</v>
      </c>
      <c r="D3204" t="s">
        <v>14</v>
      </c>
      <c r="E3204" t="s">
        <v>202</v>
      </c>
      <c r="F3204">
        <f t="shared" si="100"/>
        <v>1991</v>
      </c>
      <c r="G3204">
        <f t="shared" si="101"/>
        <v>3</v>
      </c>
      <c r="H3204" t="str">
        <f>IF(ISNUMBER(FIND(",", E3204)), TRIM(MID(E3204, FIND(",", E3204) + 1, LEN(E3204))), E3204)</f>
        <v>Costa Rica</v>
      </c>
    </row>
    <row r="3205" spans="1:8" x14ac:dyDescent="0.25">
      <c r="A3205" s="2">
        <v>33308</v>
      </c>
      <c r="B3205">
        <v>-50.99</v>
      </c>
      <c r="C3205">
        <v>29.164999999999999</v>
      </c>
      <c r="D3205" t="s">
        <v>14</v>
      </c>
      <c r="E3205" t="s">
        <v>465</v>
      </c>
      <c r="F3205">
        <f t="shared" si="100"/>
        <v>1991</v>
      </c>
      <c r="G3205">
        <f t="shared" si="101"/>
        <v>3</v>
      </c>
      <c r="H3205" t="str">
        <f>IF(ISNUMBER(FIND(",", E3205)), TRIM(MID(E3205, FIND(",", E3205) + 1, LEN(E3205))), E3205)</f>
        <v>south of Africa</v>
      </c>
    </row>
    <row r="3206" spans="1:8" x14ac:dyDescent="0.25">
      <c r="A3206" s="2">
        <v>33305</v>
      </c>
      <c r="B3206">
        <v>60.805999999999997</v>
      </c>
      <c r="C3206">
        <v>167.125</v>
      </c>
      <c r="D3206" t="s">
        <v>14</v>
      </c>
      <c r="E3206" t="s">
        <v>440</v>
      </c>
      <c r="F3206">
        <f t="shared" si="100"/>
        <v>1991</v>
      </c>
      <c r="G3206">
        <f t="shared" si="101"/>
        <v>3</v>
      </c>
      <c r="H3206" t="str">
        <f>IF(ISNUMBER(FIND(",", E3206)), TRIM(MID(E3206, FIND(",", E3206) + 1, LEN(E3206))), E3206)</f>
        <v>Russia</v>
      </c>
    </row>
    <row r="3207" spans="1:8" x14ac:dyDescent="0.25">
      <c r="A3207" s="2">
        <v>33305</v>
      </c>
      <c r="B3207">
        <v>60.845999999999997</v>
      </c>
      <c r="C3207">
        <v>167.041</v>
      </c>
      <c r="D3207" t="s">
        <v>14</v>
      </c>
      <c r="E3207" t="s">
        <v>440</v>
      </c>
      <c r="F3207">
        <f t="shared" si="100"/>
        <v>1991</v>
      </c>
      <c r="G3207">
        <f t="shared" si="101"/>
        <v>3</v>
      </c>
      <c r="H3207" t="str">
        <f>IF(ISNUMBER(FIND(",", E3207)), TRIM(MID(E3207, FIND(",", E3207) + 1, LEN(E3207))), E3207)</f>
        <v>Russia</v>
      </c>
    </row>
    <row r="3208" spans="1:8" x14ac:dyDescent="0.25">
      <c r="A3208" s="2">
        <v>33300</v>
      </c>
      <c r="B3208">
        <v>-21.873999999999999</v>
      </c>
      <c r="C3208">
        <v>-174.99600000000001</v>
      </c>
      <c r="D3208" t="s">
        <v>14</v>
      </c>
      <c r="E3208" t="s">
        <v>239</v>
      </c>
      <c r="F3208">
        <f t="shared" si="100"/>
        <v>1991</v>
      </c>
      <c r="G3208">
        <f t="shared" si="101"/>
        <v>3</v>
      </c>
      <c r="H3208" t="str">
        <f>IF(ISNUMBER(FIND(",", E3208)), TRIM(MID(E3208, FIND(",", E3208) + 1, LEN(E3208))), E3208)</f>
        <v>Tonga</v>
      </c>
    </row>
    <row r="3209" spans="1:8" x14ac:dyDescent="0.25">
      <c r="A3209" s="2">
        <v>33298</v>
      </c>
      <c r="B3209">
        <v>10.9</v>
      </c>
      <c r="C3209">
        <v>-84.649000000000001</v>
      </c>
      <c r="D3209" t="s">
        <v>14</v>
      </c>
      <c r="E3209" t="s">
        <v>202</v>
      </c>
      <c r="F3209">
        <f t="shared" si="100"/>
        <v>1991</v>
      </c>
      <c r="G3209">
        <f t="shared" si="101"/>
        <v>3</v>
      </c>
      <c r="H3209" t="str">
        <f>IF(ISNUMBER(FIND(",", E3209)), TRIM(MID(E3209, FIND(",", E3209) + 1, LEN(E3209))), E3209)</f>
        <v>Costa Rica</v>
      </c>
    </row>
    <row r="3210" spans="1:8" x14ac:dyDescent="0.25">
      <c r="A3210" s="2">
        <v>33290</v>
      </c>
      <c r="B3210">
        <v>58.411999999999999</v>
      </c>
      <c r="C3210">
        <v>-175.45</v>
      </c>
      <c r="D3210" t="s">
        <v>14</v>
      </c>
      <c r="E3210" t="s">
        <v>328</v>
      </c>
      <c r="F3210">
        <f t="shared" si="100"/>
        <v>1991</v>
      </c>
      <c r="G3210">
        <f t="shared" si="101"/>
        <v>2</v>
      </c>
      <c r="H3210" t="str">
        <f>IF(ISNUMBER(FIND(",", E3210)), TRIM(MID(E3210, FIND(",", E3210) + 1, LEN(E3210))), E3210)</f>
        <v>Bering Sea</v>
      </c>
    </row>
    <row r="3211" spans="1:8" x14ac:dyDescent="0.25">
      <c r="A3211" s="2">
        <v>33287</v>
      </c>
      <c r="B3211">
        <v>8.9169999999999998</v>
      </c>
      <c r="C3211">
        <v>126.49</v>
      </c>
      <c r="D3211" t="s">
        <v>14</v>
      </c>
      <c r="E3211" t="s">
        <v>200</v>
      </c>
      <c r="F3211">
        <f t="shared" si="100"/>
        <v>1991</v>
      </c>
      <c r="G3211">
        <f t="shared" si="101"/>
        <v>2</v>
      </c>
      <c r="H3211" t="str">
        <f>IF(ISNUMBER(FIND(",", E3211)), TRIM(MID(E3211, FIND(",", E3211) + 1, LEN(E3211))), E3211)</f>
        <v>Philippines</v>
      </c>
    </row>
    <row r="3212" spans="1:8" x14ac:dyDescent="0.25">
      <c r="A3212" s="2">
        <v>33285</v>
      </c>
      <c r="B3212">
        <v>48.296999999999997</v>
      </c>
      <c r="C3212">
        <v>154.33099999999999</v>
      </c>
      <c r="D3212" t="s">
        <v>14</v>
      </c>
      <c r="E3212" t="s">
        <v>191</v>
      </c>
      <c r="F3212">
        <f t="shared" si="100"/>
        <v>1991</v>
      </c>
      <c r="G3212">
        <f t="shared" si="101"/>
        <v>2</v>
      </c>
      <c r="H3212" t="str">
        <f>IF(ISNUMBER(FIND(",", E3212)), TRIM(MID(E3212, FIND(",", E3212) + 1, LEN(E3212))), E3212)</f>
        <v>Kuril Islands</v>
      </c>
    </row>
    <row r="3213" spans="1:8" x14ac:dyDescent="0.25">
      <c r="A3213" s="2">
        <v>33278</v>
      </c>
      <c r="B3213">
        <v>-9.8849999999999998</v>
      </c>
      <c r="C3213">
        <v>159.256</v>
      </c>
      <c r="D3213" t="s">
        <v>14</v>
      </c>
      <c r="E3213" t="s">
        <v>221</v>
      </c>
      <c r="F3213">
        <f t="shared" si="100"/>
        <v>1991</v>
      </c>
      <c r="G3213">
        <f t="shared" si="101"/>
        <v>2</v>
      </c>
      <c r="H3213" t="str">
        <f>IF(ISNUMBER(FIND(",", E3213)), TRIM(MID(E3213, FIND(",", E3213) + 1, LEN(E3213))), E3213)</f>
        <v>Solomon Islands</v>
      </c>
    </row>
    <row r="3214" spans="1:8" x14ac:dyDescent="0.25">
      <c r="A3214" s="2">
        <v>33278</v>
      </c>
      <c r="B3214">
        <v>-9.891</v>
      </c>
      <c r="C3214">
        <v>159.21600000000001</v>
      </c>
      <c r="D3214" t="s">
        <v>14</v>
      </c>
      <c r="E3214" t="s">
        <v>221</v>
      </c>
      <c r="F3214">
        <f t="shared" si="100"/>
        <v>1991</v>
      </c>
      <c r="G3214">
        <f t="shared" si="101"/>
        <v>2</v>
      </c>
      <c r="H3214" t="str">
        <f>IF(ISNUMBER(FIND(",", E3214)), TRIM(MID(E3214, FIND(",", E3214) + 1, LEN(E3214))), E3214)</f>
        <v>Solomon Islands</v>
      </c>
    </row>
    <row r="3215" spans="1:8" x14ac:dyDescent="0.25">
      <c r="A3215" s="2">
        <v>33269</v>
      </c>
      <c r="B3215">
        <v>35.947000000000003</v>
      </c>
      <c r="C3215">
        <v>70.441999999999993</v>
      </c>
      <c r="D3215" t="s">
        <v>14</v>
      </c>
      <c r="E3215" t="s">
        <v>314</v>
      </c>
      <c r="F3215">
        <f t="shared" si="100"/>
        <v>1991</v>
      </c>
      <c r="G3215">
        <f t="shared" si="101"/>
        <v>1</v>
      </c>
      <c r="H3215" t="str">
        <f>IF(ISNUMBER(FIND(",", E3215)), TRIM(MID(E3215, FIND(",", E3215) + 1, LEN(E3215))), E3215)</f>
        <v>Afghanistan</v>
      </c>
    </row>
    <row r="3216" spans="1:8" x14ac:dyDescent="0.25">
      <c r="A3216" s="2">
        <v>33263</v>
      </c>
      <c r="B3216">
        <v>-2.1139999999999999</v>
      </c>
      <c r="C3216">
        <v>139.06299999999999</v>
      </c>
      <c r="D3216" t="s">
        <v>14</v>
      </c>
      <c r="E3216" t="s">
        <v>241</v>
      </c>
      <c r="F3216">
        <f t="shared" si="100"/>
        <v>1991</v>
      </c>
      <c r="G3216">
        <f t="shared" si="101"/>
        <v>1</v>
      </c>
      <c r="H3216" t="str">
        <f>IF(ISNUMBER(FIND(",", E3216)), TRIM(MID(E3216, FIND(",", E3216) + 1, LEN(E3216))), E3216)</f>
        <v>Indonesia</v>
      </c>
    </row>
    <row r="3217" spans="1:8" x14ac:dyDescent="0.25">
      <c r="A3217" s="2">
        <v>33261</v>
      </c>
      <c r="B3217">
        <v>51.966000000000001</v>
      </c>
      <c r="C3217">
        <v>178.84200000000001</v>
      </c>
      <c r="D3217" t="s">
        <v>14</v>
      </c>
      <c r="E3217" t="s">
        <v>366</v>
      </c>
      <c r="F3217">
        <f t="shared" si="100"/>
        <v>1991</v>
      </c>
      <c r="G3217">
        <f t="shared" si="101"/>
        <v>1</v>
      </c>
      <c r="H3217" t="str">
        <f>IF(ISNUMBER(FIND(",", E3217)), TRIM(MID(E3217, FIND(",", E3217) + 1, LEN(E3217))), E3217)</f>
        <v>Aleutian Islands, Alaska</v>
      </c>
    </row>
    <row r="3218" spans="1:8" x14ac:dyDescent="0.25">
      <c r="A3218" s="2">
        <v>33256</v>
      </c>
      <c r="B3218">
        <v>-51.189</v>
      </c>
      <c r="C3218">
        <v>139.333</v>
      </c>
      <c r="D3218" t="s">
        <v>14</v>
      </c>
      <c r="E3218" t="s">
        <v>235</v>
      </c>
      <c r="F3218">
        <f t="shared" si="100"/>
        <v>1991</v>
      </c>
      <c r="G3218">
        <f t="shared" si="101"/>
        <v>1</v>
      </c>
      <c r="H3218" t="str">
        <f>IF(ISNUMBER(FIND(",", E3218)), TRIM(MID(E3218, FIND(",", E3218) + 1, LEN(E3218))), E3218)</f>
        <v>western Indian-Antarctic Ridge</v>
      </c>
    </row>
    <row r="3219" spans="1:8" x14ac:dyDescent="0.25">
      <c r="A3219" s="2">
        <v>33247</v>
      </c>
      <c r="B3219">
        <v>-5.3579999999999997</v>
      </c>
      <c r="C3219">
        <v>151.90700000000001</v>
      </c>
      <c r="D3219" t="s">
        <v>14</v>
      </c>
      <c r="E3219" t="s">
        <v>190</v>
      </c>
      <c r="F3219">
        <f t="shared" si="100"/>
        <v>1991</v>
      </c>
      <c r="G3219">
        <f t="shared" si="101"/>
        <v>1</v>
      </c>
      <c r="H3219" t="str">
        <f>IF(ISNUMBER(FIND(",", E3219)), TRIM(MID(E3219, FIND(",", E3219) + 1, LEN(E3219))), E3219)</f>
        <v>Papua New Guinea</v>
      </c>
    </row>
    <row r="3220" spans="1:8" x14ac:dyDescent="0.25">
      <c r="A3220" s="2">
        <v>33246</v>
      </c>
      <c r="B3220">
        <v>-18.074000000000002</v>
      </c>
      <c r="C3220">
        <v>-173.446</v>
      </c>
      <c r="D3220" t="s">
        <v>14</v>
      </c>
      <c r="E3220" t="s">
        <v>239</v>
      </c>
      <c r="F3220">
        <f t="shared" si="100"/>
        <v>1991</v>
      </c>
      <c r="G3220">
        <f t="shared" si="101"/>
        <v>1</v>
      </c>
      <c r="H3220" t="str">
        <f>IF(ISNUMBER(FIND(",", E3220)), TRIM(MID(E3220, FIND(",", E3220) + 1, LEN(E3220))), E3220)</f>
        <v>Tonga</v>
      </c>
    </row>
    <row r="3221" spans="1:8" x14ac:dyDescent="0.25">
      <c r="A3221" s="2">
        <v>33243</v>
      </c>
      <c r="B3221">
        <v>23.573</v>
      </c>
      <c r="C3221">
        <v>95.870999999999995</v>
      </c>
      <c r="D3221" t="s">
        <v>14</v>
      </c>
      <c r="E3221" t="s">
        <v>197</v>
      </c>
      <c r="F3221">
        <f t="shared" si="100"/>
        <v>1991</v>
      </c>
      <c r="G3221">
        <f t="shared" si="101"/>
        <v>1</v>
      </c>
      <c r="H3221" t="str">
        <f>IF(ISNUMBER(FIND(",", E3221)), TRIM(MID(E3221, FIND(",", E3221) + 1, LEN(E3221))), E3221)</f>
        <v>Myanmar</v>
      </c>
    </row>
    <row r="3222" spans="1:8" x14ac:dyDescent="0.25">
      <c r="A3222" s="2">
        <v>33241</v>
      </c>
      <c r="B3222">
        <v>-7.157</v>
      </c>
      <c r="C3222">
        <v>148.529</v>
      </c>
      <c r="D3222" t="s">
        <v>14</v>
      </c>
      <c r="E3222" t="s">
        <v>243</v>
      </c>
      <c r="F3222">
        <f t="shared" si="100"/>
        <v>1991</v>
      </c>
      <c r="G3222">
        <f t="shared" si="101"/>
        <v>1</v>
      </c>
      <c r="H3222" t="str">
        <f>IF(ISNUMBER(FIND(",", E3222)), TRIM(MID(E3222, FIND(",", E3222) + 1, LEN(E3222))), E3222)</f>
        <v>Papua New Guinea</v>
      </c>
    </row>
    <row r="3223" spans="1:8" x14ac:dyDescent="0.25">
      <c r="A3223" s="2">
        <v>33241</v>
      </c>
      <c r="B3223">
        <v>-7.1559999999999997</v>
      </c>
      <c r="C3223">
        <v>148.60900000000001</v>
      </c>
      <c r="D3223" t="s">
        <v>14</v>
      </c>
      <c r="E3223" t="s">
        <v>243</v>
      </c>
      <c r="F3223">
        <f t="shared" si="100"/>
        <v>1991</v>
      </c>
      <c r="G3223">
        <f t="shared" si="101"/>
        <v>1</v>
      </c>
      <c r="H3223" t="str">
        <f>IF(ISNUMBER(FIND(",", E3223)), TRIM(MID(E3223, FIND(",", E3223) + 1, LEN(E3223))), E3223)</f>
        <v>Papua New Guinea</v>
      </c>
    </row>
    <row r="3224" spans="1:8" x14ac:dyDescent="0.25">
      <c r="A3224" s="2">
        <v>33239</v>
      </c>
      <c r="B3224">
        <v>18.003</v>
      </c>
      <c r="C3224">
        <v>-105.90300000000001</v>
      </c>
      <c r="D3224" t="s">
        <v>14</v>
      </c>
      <c r="E3224" t="s">
        <v>315</v>
      </c>
      <c r="F3224">
        <f t="shared" si="100"/>
        <v>1991</v>
      </c>
      <c r="G3224">
        <f t="shared" si="101"/>
        <v>1</v>
      </c>
      <c r="H3224" t="str">
        <f>IF(ISNUMBER(FIND(",", E3224)), TRIM(MID(E3224, FIND(",", E3224) + 1, LEN(E3224))), E3224)</f>
        <v>Mexico</v>
      </c>
    </row>
    <row r="3225" spans="1:8" x14ac:dyDescent="0.25">
      <c r="A3225" s="2">
        <v>33237</v>
      </c>
      <c r="B3225">
        <v>-5.093</v>
      </c>
      <c r="C3225">
        <v>151.02199999999999</v>
      </c>
      <c r="D3225" t="s">
        <v>14</v>
      </c>
      <c r="E3225" t="s">
        <v>190</v>
      </c>
      <c r="F3225">
        <f t="shared" si="100"/>
        <v>1990</v>
      </c>
      <c r="G3225">
        <f t="shared" si="101"/>
        <v>12</v>
      </c>
      <c r="H3225" t="str">
        <f>IF(ISNUMBER(FIND(",", E3225)), TRIM(MID(E3225, FIND(",", E3225) + 1, LEN(E3225))), E3225)</f>
        <v>Papua New Guinea</v>
      </c>
    </row>
    <row r="3226" spans="1:8" x14ac:dyDescent="0.25">
      <c r="A3226" s="2">
        <v>33236</v>
      </c>
      <c r="B3226">
        <v>8.3000000000000007</v>
      </c>
      <c r="C3226">
        <v>94.018000000000001</v>
      </c>
      <c r="D3226" t="s">
        <v>14</v>
      </c>
      <c r="E3226" t="s">
        <v>322</v>
      </c>
      <c r="F3226">
        <f t="shared" si="100"/>
        <v>1990</v>
      </c>
      <c r="G3226">
        <f t="shared" si="101"/>
        <v>12</v>
      </c>
      <c r="H3226" t="str">
        <f>IF(ISNUMBER(FIND(",", E3226)), TRIM(MID(E3226, FIND(",", E3226) + 1, LEN(E3226))), E3226)</f>
        <v>India region</v>
      </c>
    </row>
    <row r="3227" spans="1:8" x14ac:dyDescent="0.25">
      <c r="A3227" s="2">
        <v>33228</v>
      </c>
      <c r="B3227">
        <v>40.98</v>
      </c>
      <c r="C3227">
        <v>22.347000000000001</v>
      </c>
      <c r="D3227" t="s">
        <v>14</v>
      </c>
      <c r="E3227" t="s">
        <v>478</v>
      </c>
      <c r="F3227">
        <f t="shared" si="100"/>
        <v>1990</v>
      </c>
      <c r="G3227">
        <f t="shared" si="101"/>
        <v>12</v>
      </c>
      <c r="H3227" t="str">
        <f>IF(ISNUMBER(FIND(",", E3227)), TRIM(MID(E3227, FIND(",", E3227) + 1, LEN(E3227))), E3227)</f>
        <v>Greece</v>
      </c>
    </row>
    <row r="3228" spans="1:8" x14ac:dyDescent="0.25">
      <c r="A3228" s="2">
        <v>33228</v>
      </c>
      <c r="B3228">
        <v>-20.536000000000001</v>
      </c>
      <c r="C3228">
        <v>-173.941</v>
      </c>
      <c r="D3228" t="s">
        <v>14</v>
      </c>
      <c r="E3228" t="s">
        <v>239</v>
      </c>
      <c r="F3228">
        <f t="shared" si="100"/>
        <v>1990</v>
      </c>
      <c r="G3228">
        <f t="shared" si="101"/>
        <v>12</v>
      </c>
      <c r="H3228" t="str">
        <f>IF(ISNUMBER(FIND(",", E3228)), TRIM(MID(E3228, FIND(",", E3228) + 1, LEN(E3228))), E3228)</f>
        <v>Tonga</v>
      </c>
    </row>
    <row r="3229" spans="1:8" x14ac:dyDescent="0.25">
      <c r="A3229" s="2">
        <v>33224</v>
      </c>
      <c r="B3229">
        <v>7.0579999999999998</v>
      </c>
      <c r="C3229">
        <v>-81.965999999999994</v>
      </c>
      <c r="D3229" t="s">
        <v>14</v>
      </c>
      <c r="E3229" t="s">
        <v>367</v>
      </c>
      <c r="F3229">
        <f t="shared" si="100"/>
        <v>1990</v>
      </c>
      <c r="G3229">
        <f t="shared" si="101"/>
        <v>12</v>
      </c>
      <c r="H3229" t="str">
        <f>IF(ISNUMBER(FIND(",", E3229)), TRIM(MID(E3229, FIND(",", E3229) + 1, LEN(E3229))), E3229)</f>
        <v>Panama</v>
      </c>
    </row>
    <row r="3230" spans="1:8" x14ac:dyDescent="0.25">
      <c r="A3230" s="2">
        <v>33224</v>
      </c>
      <c r="B3230">
        <v>6.609</v>
      </c>
      <c r="C3230">
        <v>-82.176000000000002</v>
      </c>
      <c r="D3230" t="s">
        <v>14</v>
      </c>
      <c r="E3230" t="s">
        <v>231</v>
      </c>
      <c r="F3230">
        <f t="shared" si="100"/>
        <v>1990</v>
      </c>
      <c r="G3230">
        <f t="shared" si="101"/>
        <v>12</v>
      </c>
      <c r="H3230" t="str">
        <f>IF(ISNUMBER(FIND(",", E3230)), TRIM(MID(E3230, FIND(",", E3230) + 1, LEN(E3230))), E3230)</f>
        <v>south of Panama</v>
      </c>
    </row>
    <row r="3231" spans="1:8" x14ac:dyDescent="0.25">
      <c r="A3231" s="2">
        <v>33220</v>
      </c>
      <c r="B3231">
        <v>23.754000000000001</v>
      </c>
      <c r="C3231">
        <v>121.598</v>
      </c>
      <c r="D3231" t="s">
        <v>14</v>
      </c>
      <c r="E3231" t="s">
        <v>336</v>
      </c>
      <c r="F3231">
        <f t="shared" si="100"/>
        <v>1990</v>
      </c>
      <c r="G3231">
        <f t="shared" si="101"/>
        <v>12</v>
      </c>
      <c r="H3231" t="str">
        <f>IF(ISNUMBER(FIND(",", E3231)), TRIM(MID(E3231, FIND(",", E3231) + 1, LEN(E3231))), E3231)</f>
        <v>Taiwan</v>
      </c>
    </row>
    <row r="3232" spans="1:8" x14ac:dyDescent="0.25">
      <c r="A3232" s="2">
        <v>33220</v>
      </c>
      <c r="B3232">
        <v>1.099</v>
      </c>
      <c r="C3232">
        <v>123.961</v>
      </c>
      <c r="D3232" t="s">
        <v>14</v>
      </c>
      <c r="E3232" t="s">
        <v>263</v>
      </c>
      <c r="F3232">
        <f t="shared" si="100"/>
        <v>1990</v>
      </c>
      <c r="G3232">
        <f t="shared" si="101"/>
        <v>12</v>
      </c>
      <c r="H3232" t="str">
        <f>IF(ISNUMBER(FIND(",", E3232)), TRIM(MID(E3232, FIND(",", E3232) + 1, LEN(E3232))), E3232)</f>
        <v>Sulawesi, Indonesia</v>
      </c>
    </row>
    <row r="3233" spans="1:8" x14ac:dyDescent="0.25">
      <c r="A3233" s="2">
        <v>33220</v>
      </c>
      <c r="B3233">
        <v>23.882999999999999</v>
      </c>
      <c r="C3233">
        <v>121.64400000000001</v>
      </c>
      <c r="D3233" t="s">
        <v>14</v>
      </c>
      <c r="E3233" t="s">
        <v>336</v>
      </c>
      <c r="F3233">
        <f t="shared" si="100"/>
        <v>1990</v>
      </c>
      <c r="G3233">
        <f t="shared" si="101"/>
        <v>12</v>
      </c>
      <c r="H3233" t="str">
        <f>IF(ISNUMBER(FIND(",", E3233)), TRIM(MID(E3233, FIND(",", E3233) + 1, LEN(E3233))), E3233)</f>
        <v>Taiwan</v>
      </c>
    </row>
    <row r="3234" spans="1:8" x14ac:dyDescent="0.25">
      <c r="A3234" s="2">
        <v>33218</v>
      </c>
      <c r="B3234">
        <v>-15.382</v>
      </c>
      <c r="C3234">
        <v>-173.08699999999999</v>
      </c>
      <c r="D3234" t="s">
        <v>14</v>
      </c>
      <c r="E3234" t="s">
        <v>239</v>
      </c>
      <c r="F3234">
        <f t="shared" si="100"/>
        <v>1990</v>
      </c>
      <c r="G3234">
        <f t="shared" si="101"/>
        <v>12</v>
      </c>
      <c r="H3234" t="str">
        <f>IF(ISNUMBER(FIND(",", E3234)), TRIM(MID(E3234, FIND(",", E3234) + 1, LEN(E3234))), E3234)</f>
        <v>Tonga</v>
      </c>
    </row>
    <row r="3235" spans="1:8" x14ac:dyDescent="0.25">
      <c r="A3235" s="2">
        <v>33199</v>
      </c>
      <c r="B3235">
        <v>-5.577</v>
      </c>
      <c r="C3235">
        <v>151.054</v>
      </c>
      <c r="D3235" t="s">
        <v>14</v>
      </c>
      <c r="E3235" t="s">
        <v>190</v>
      </c>
      <c r="F3235">
        <f t="shared" si="100"/>
        <v>1990</v>
      </c>
      <c r="G3235">
        <f t="shared" si="101"/>
        <v>11</v>
      </c>
      <c r="H3235" t="str">
        <f>IF(ISNUMBER(FIND(",", E3235)), TRIM(MID(E3235, FIND(",", E3235) + 1, LEN(E3235))), E3235)</f>
        <v>Papua New Guinea</v>
      </c>
    </row>
    <row r="3236" spans="1:8" x14ac:dyDescent="0.25">
      <c r="A3236" s="2">
        <v>33192</v>
      </c>
      <c r="B3236">
        <v>3.9329999999999998</v>
      </c>
      <c r="C3236">
        <v>97.391999999999996</v>
      </c>
      <c r="D3236" t="s">
        <v>14</v>
      </c>
      <c r="E3236" t="s">
        <v>226</v>
      </c>
      <c r="F3236">
        <f t="shared" si="100"/>
        <v>1990</v>
      </c>
      <c r="G3236">
        <f t="shared" si="101"/>
        <v>11</v>
      </c>
      <c r="H3236" t="str">
        <f>IF(ISNUMBER(FIND(",", E3236)), TRIM(MID(E3236, FIND(",", E3236) + 1, LEN(E3236))), E3236)</f>
        <v>Indonesia</v>
      </c>
    </row>
    <row r="3237" spans="1:8" x14ac:dyDescent="0.25">
      <c r="A3237" s="2">
        <v>33189</v>
      </c>
      <c r="B3237">
        <v>42.953000000000003</v>
      </c>
      <c r="C3237">
        <v>78.055000000000007</v>
      </c>
      <c r="D3237" t="s">
        <v>14</v>
      </c>
      <c r="E3237" t="s">
        <v>284</v>
      </c>
      <c r="F3237">
        <f t="shared" si="100"/>
        <v>1990</v>
      </c>
      <c r="G3237">
        <f t="shared" si="101"/>
        <v>11</v>
      </c>
      <c r="H3237" t="str">
        <f>IF(ISNUMBER(FIND(",", E3237)), TRIM(MID(E3237, FIND(",", E3237) + 1, LEN(E3237))), E3237)</f>
        <v>Kyrgyzstan</v>
      </c>
    </row>
    <row r="3238" spans="1:8" x14ac:dyDescent="0.25">
      <c r="A3238" s="2">
        <v>33183</v>
      </c>
      <c r="B3238">
        <v>53.491</v>
      </c>
      <c r="C3238">
        <v>169.81899999999999</v>
      </c>
      <c r="D3238" t="s">
        <v>14</v>
      </c>
      <c r="E3238" t="s">
        <v>443</v>
      </c>
      <c r="F3238">
        <f t="shared" si="100"/>
        <v>1990</v>
      </c>
      <c r="G3238">
        <f t="shared" si="101"/>
        <v>11</v>
      </c>
      <c r="H3238" t="str">
        <f>IF(ISNUMBER(FIND(",", E3238)), TRIM(MID(E3238, FIND(",", E3238) + 1, LEN(E3238))), E3238)</f>
        <v>Russia region</v>
      </c>
    </row>
    <row r="3239" spans="1:8" x14ac:dyDescent="0.25">
      <c r="A3239" s="2">
        <v>33183</v>
      </c>
      <c r="B3239">
        <v>28.231999999999999</v>
      </c>
      <c r="C3239">
        <v>55.459000000000003</v>
      </c>
      <c r="D3239" t="s">
        <v>14</v>
      </c>
      <c r="E3239" t="s">
        <v>390</v>
      </c>
      <c r="F3239">
        <f t="shared" si="100"/>
        <v>1990</v>
      </c>
      <c r="G3239">
        <f t="shared" si="101"/>
        <v>11</v>
      </c>
      <c r="H3239" t="str">
        <f>IF(ISNUMBER(FIND(",", E3239)), TRIM(MID(E3239, FIND(",", E3239) + 1, LEN(E3239))), E3239)</f>
        <v>southern Iran</v>
      </c>
    </row>
    <row r="3240" spans="1:8" x14ac:dyDescent="0.25">
      <c r="A3240" s="2">
        <v>33171</v>
      </c>
      <c r="B3240">
        <v>8.3260000000000005</v>
      </c>
      <c r="C3240">
        <v>126.46299999999999</v>
      </c>
      <c r="D3240" t="s">
        <v>14</v>
      </c>
      <c r="E3240" t="s">
        <v>200</v>
      </c>
      <c r="F3240">
        <f t="shared" si="100"/>
        <v>1990</v>
      </c>
      <c r="G3240">
        <f t="shared" si="101"/>
        <v>10</v>
      </c>
      <c r="H3240" t="str">
        <f>IF(ISNUMBER(FIND(",", E3240)), TRIM(MID(E3240, FIND(",", E3240) + 1, LEN(E3240))), E3240)</f>
        <v>Philippines</v>
      </c>
    </row>
    <row r="3241" spans="1:8" x14ac:dyDescent="0.25">
      <c r="A3241" s="2">
        <v>33163</v>
      </c>
      <c r="B3241">
        <v>-11.032</v>
      </c>
      <c r="C3241">
        <v>-70.741</v>
      </c>
      <c r="D3241" t="s">
        <v>14</v>
      </c>
      <c r="E3241" t="s">
        <v>557</v>
      </c>
      <c r="F3241">
        <f t="shared" si="100"/>
        <v>1990</v>
      </c>
      <c r="G3241">
        <f t="shared" si="101"/>
        <v>10</v>
      </c>
      <c r="H3241" t="str">
        <f>IF(ISNUMBER(FIND(",", E3241)), TRIM(MID(E3241, FIND(",", E3241) + 1, LEN(E3241))), E3241)</f>
        <v>Peru-Brazil border region</v>
      </c>
    </row>
    <row r="3242" spans="1:8" x14ac:dyDescent="0.25">
      <c r="A3242" s="2">
        <v>33161</v>
      </c>
      <c r="B3242">
        <v>-2.2080000000000002</v>
      </c>
      <c r="C3242">
        <v>92.192999999999998</v>
      </c>
      <c r="D3242" t="s">
        <v>14</v>
      </c>
      <c r="E3242" t="s">
        <v>450</v>
      </c>
      <c r="F3242">
        <f t="shared" si="100"/>
        <v>1990</v>
      </c>
      <c r="G3242">
        <f t="shared" si="101"/>
        <v>10</v>
      </c>
      <c r="H3242" t="str">
        <f>IF(ISNUMBER(FIND(",", E3242)), TRIM(MID(E3242, FIND(",", E3242) + 1, LEN(E3242))), E3242)</f>
        <v>Indonesia</v>
      </c>
    </row>
    <row r="3243" spans="1:8" x14ac:dyDescent="0.25">
      <c r="A3243" s="2">
        <v>33156</v>
      </c>
      <c r="B3243">
        <v>-19.532</v>
      </c>
      <c r="C3243">
        <v>-66.59</v>
      </c>
      <c r="D3243" t="s">
        <v>14</v>
      </c>
      <c r="E3243" t="s">
        <v>472</v>
      </c>
      <c r="F3243">
        <f t="shared" si="100"/>
        <v>1990</v>
      </c>
      <c r="G3243">
        <f t="shared" si="101"/>
        <v>10</v>
      </c>
      <c r="H3243" t="str">
        <f>IF(ISNUMBER(FIND(",", E3243)), TRIM(MID(E3243, FIND(",", E3243) + 1, LEN(E3243))), E3243)</f>
        <v>Bolivia</v>
      </c>
    </row>
    <row r="3244" spans="1:8" x14ac:dyDescent="0.25">
      <c r="A3244" s="2">
        <v>33146</v>
      </c>
      <c r="B3244">
        <v>24.305</v>
      </c>
      <c r="C3244">
        <v>125.175</v>
      </c>
      <c r="D3244" t="s">
        <v>14</v>
      </c>
      <c r="E3244" t="s">
        <v>312</v>
      </c>
      <c r="F3244">
        <f t="shared" si="100"/>
        <v>1990</v>
      </c>
      <c r="G3244">
        <f t="shared" si="101"/>
        <v>9</v>
      </c>
      <c r="H3244" t="str">
        <f>IF(ISNUMBER(FIND(",", E3244)), TRIM(MID(E3244, FIND(",", E3244) + 1, LEN(E3244))), E3244)</f>
        <v>Japan</v>
      </c>
    </row>
    <row r="3245" spans="1:8" x14ac:dyDescent="0.25">
      <c r="A3245" s="2">
        <v>33144</v>
      </c>
      <c r="B3245">
        <v>-13.534000000000001</v>
      </c>
      <c r="C3245">
        <v>167.13399999999999</v>
      </c>
      <c r="D3245" t="s">
        <v>14</v>
      </c>
      <c r="E3245" t="s">
        <v>181</v>
      </c>
      <c r="F3245">
        <f t="shared" si="100"/>
        <v>1990</v>
      </c>
      <c r="G3245">
        <f t="shared" si="101"/>
        <v>9</v>
      </c>
      <c r="H3245" t="str">
        <f>IF(ISNUMBER(FIND(",", E3245)), TRIM(MID(E3245, FIND(",", E3245) + 1, LEN(E3245))), E3245)</f>
        <v>Vanuatu</v>
      </c>
    </row>
    <row r="3246" spans="1:8" x14ac:dyDescent="0.25">
      <c r="A3246" s="2">
        <v>33139</v>
      </c>
      <c r="B3246">
        <v>33.241</v>
      </c>
      <c r="C3246">
        <v>138.63499999999999</v>
      </c>
      <c r="D3246" t="s">
        <v>14</v>
      </c>
      <c r="E3246" t="s">
        <v>88</v>
      </c>
      <c r="F3246">
        <f t="shared" si="100"/>
        <v>1990</v>
      </c>
      <c r="G3246">
        <f t="shared" si="101"/>
        <v>9</v>
      </c>
      <c r="H3246" t="str">
        <f>IF(ISNUMBER(FIND(",", E3246)), TRIM(MID(E3246, FIND(",", E3246) + 1, LEN(E3246))), E3246)</f>
        <v>Japan region</v>
      </c>
    </row>
    <row r="3247" spans="1:8" x14ac:dyDescent="0.25">
      <c r="A3247" s="2">
        <v>33139</v>
      </c>
      <c r="B3247">
        <v>33.274999999999999</v>
      </c>
      <c r="C3247">
        <v>138.61199999999999</v>
      </c>
      <c r="D3247" t="s">
        <v>14</v>
      </c>
      <c r="E3247" t="s">
        <v>88</v>
      </c>
      <c r="F3247">
        <f t="shared" si="100"/>
        <v>1990</v>
      </c>
      <c r="G3247">
        <f t="shared" si="101"/>
        <v>9</v>
      </c>
      <c r="H3247" t="str">
        <f>IF(ISNUMBER(FIND(",", E3247)), TRIM(MID(E3247, FIND(",", E3247) + 1, LEN(E3247))), E3247)</f>
        <v>Japan region</v>
      </c>
    </row>
    <row r="3248" spans="1:8" x14ac:dyDescent="0.25">
      <c r="A3248" s="2">
        <v>33139</v>
      </c>
      <c r="B3248">
        <v>-6.726</v>
      </c>
      <c r="C3248">
        <v>130.37299999999999</v>
      </c>
      <c r="D3248" t="s">
        <v>14</v>
      </c>
      <c r="E3248" t="s">
        <v>187</v>
      </c>
      <c r="F3248">
        <f t="shared" si="100"/>
        <v>1990</v>
      </c>
      <c r="G3248">
        <f t="shared" si="101"/>
        <v>9</v>
      </c>
      <c r="H3248" t="str">
        <f>IF(ISNUMBER(FIND(",", E3248)), TRIM(MID(E3248, FIND(",", E3248) + 1, LEN(E3248))), E3248)</f>
        <v>Banda Sea</v>
      </c>
    </row>
    <row r="3249" spans="1:8" x14ac:dyDescent="0.25">
      <c r="A3249" s="2">
        <v>33139</v>
      </c>
      <c r="B3249">
        <v>-17.779</v>
      </c>
      <c r="C3249">
        <v>167.73</v>
      </c>
      <c r="D3249" t="s">
        <v>14</v>
      </c>
      <c r="E3249" t="s">
        <v>181</v>
      </c>
      <c r="F3249">
        <f t="shared" si="100"/>
        <v>1990</v>
      </c>
      <c r="G3249">
        <f t="shared" si="101"/>
        <v>9</v>
      </c>
      <c r="H3249" t="str">
        <f>IF(ISNUMBER(FIND(",", E3249)), TRIM(MID(E3249, FIND(",", E3249) + 1, LEN(E3249))), E3249)</f>
        <v>Vanuatu</v>
      </c>
    </row>
    <row r="3250" spans="1:8" x14ac:dyDescent="0.25">
      <c r="A3250" s="2">
        <v>33133</v>
      </c>
      <c r="B3250">
        <v>-53.23</v>
      </c>
      <c r="C3250">
        <v>159.702</v>
      </c>
      <c r="D3250" t="s">
        <v>14</v>
      </c>
      <c r="E3250" t="s">
        <v>350</v>
      </c>
      <c r="F3250">
        <f t="shared" si="100"/>
        <v>1990</v>
      </c>
      <c r="G3250">
        <f t="shared" si="101"/>
        <v>9</v>
      </c>
      <c r="H3250" t="str">
        <f>IF(ISNUMBER(FIND(",", E3250)), TRIM(MID(E3250, FIND(",", E3250) + 1, LEN(E3250))), E3250)</f>
        <v>Macquarie Island region</v>
      </c>
    </row>
    <row r="3251" spans="1:8" x14ac:dyDescent="0.25">
      <c r="A3251" s="2">
        <v>33118</v>
      </c>
      <c r="B3251">
        <v>-0.13600000000000001</v>
      </c>
      <c r="C3251">
        <v>-80.231999999999999</v>
      </c>
      <c r="D3251" t="s">
        <v>14</v>
      </c>
      <c r="E3251" t="s">
        <v>457</v>
      </c>
      <c r="F3251">
        <f t="shared" si="100"/>
        <v>1990</v>
      </c>
      <c r="G3251">
        <f t="shared" si="101"/>
        <v>9</v>
      </c>
      <c r="H3251" t="str">
        <f>IF(ISNUMBER(FIND(",", E3251)), TRIM(MID(E3251, FIND(",", E3251) + 1, LEN(E3251))), E3251)</f>
        <v>near the coast of Ecuador</v>
      </c>
    </row>
    <row r="3252" spans="1:8" x14ac:dyDescent="0.25">
      <c r="A3252" s="2">
        <v>33110</v>
      </c>
      <c r="B3252">
        <v>0.54</v>
      </c>
      <c r="C3252">
        <v>126.06399999999999</v>
      </c>
      <c r="D3252" t="s">
        <v>14</v>
      </c>
      <c r="E3252" t="s">
        <v>186</v>
      </c>
      <c r="F3252">
        <f t="shared" si="100"/>
        <v>1990</v>
      </c>
      <c r="G3252">
        <f t="shared" si="101"/>
        <v>8</v>
      </c>
      <c r="H3252" t="str">
        <f>IF(ISNUMBER(FIND(",", E3252)), TRIM(MID(E3252, FIND(",", E3252) + 1, LEN(E3252))), E3252)</f>
        <v>Molucca Sea</v>
      </c>
    </row>
    <row r="3253" spans="1:8" x14ac:dyDescent="0.25">
      <c r="A3253" s="2">
        <v>33103</v>
      </c>
      <c r="B3253">
        <v>-40.192</v>
      </c>
      <c r="C3253">
        <v>78.298000000000002</v>
      </c>
      <c r="D3253" t="s">
        <v>14</v>
      </c>
      <c r="E3253" t="s">
        <v>377</v>
      </c>
      <c r="F3253">
        <f t="shared" si="100"/>
        <v>1990</v>
      </c>
      <c r="G3253">
        <f t="shared" si="101"/>
        <v>8</v>
      </c>
      <c r="H3253" t="str">
        <f>IF(ISNUMBER(FIND(",", E3253)), TRIM(MID(E3253, FIND(",", E3253) + 1, LEN(E3253))), E3253)</f>
        <v>Mid-Indian Ridge</v>
      </c>
    </row>
    <row r="3254" spans="1:8" x14ac:dyDescent="0.25">
      <c r="A3254" s="2">
        <v>33102</v>
      </c>
      <c r="B3254">
        <v>-11.09</v>
      </c>
      <c r="C3254">
        <v>162.05699999999999</v>
      </c>
      <c r="D3254" t="s">
        <v>14</v>
      </c>
      <c r="E3254" t="s">
        <v>221</v>
      </c>
      <c r="F3254">
        <f t="shared" si="100"/>
        <v>1990</v>
      </c>
      <c r="G3254">
        <f t="shared" si="101"/>
        <v>8</v>
      </c>
      <c r="H3254" t="str">
        <f>IF(ISNUMBER(FIND(",", E3254)), TRIM(MID(E3254, FIND(",", E3254) + 1, LEN(E3254))), E3254)</f>
        <v>Solomon Islands</v>
      </c>
    </row>
    <row r="3255" spans="1:8" x14ac:dyDescent="0.25">
      <c r="A3255" s="2">
        <v>33101</v>
      </c>
      <c r="B3255">
        <v>41.564</v>
      </c>
      <c r="C3255">
        <v>88.77</v>
      </c>
      <c r="D3255" t="s">
        <v>13</v>
      </c>
      <c r="E3255" t="s">
        <v>482</v>
      </c>
      <c r="F3255">
        <f t="shared" si="100"/>
        <v>1990</v>
      </c>
      <c r="G3255">
        <f t="shared" si="101"/>
        <v>8</v>
      </c>
      <c r="H3255" t="str">
        <f>IF(ISNUMBER(FIND(",", E3255)), TRIM(MID(E3255, FIND(",", E3255) + 1, LEN(E3255))), E3255)</f>
        <v>China</v>
      </c>
    </row>
    <row r="3256" spans="1:8" x14ac:dyDescent="0.25">
      <c r="A3256" s="2">
        <v>33099</v>
      </c>
      <c r="B3256">
        <v>35.356999999999999</v>
      </c>
      <c r="C3256">
        <v>-35.805</v>
      </c>
      <c r="D3256" t="s">
        <v>14</v>
      </c>
      <c r="E3256" t="s">
        <v>325</v>
      </c>
      <c r="F3256">
        <f t="shared" si="100"/>
        <v>1990</v>
      </c>
      <c r="G3256">
        <f t="shared" si="101"/>
        <v>8</v>
      </c>
      <c r="H3256" t="str">
        <f>IF(ISNUMBER(FIND(",", E3256)), TRIM(MID(E3256, FIND(",", E3256) + 1, LEN(E3256))), E3256)</f>
        <v>northern Mid-Atlantic Ridge</v>
      </c>
    </row>
    <row r="3257" spans="1:8" x14ac:dyDescent="0.25">
      <c r="A3257" s="2">
        <v>33097</v>
      </c>
      <c r="B3257">
        <v>-19.440000000000001</v>
      </c>
      <c r="C3257">
        <v>169.23699999999999</v>
      </c>
      <c r="D3257" t="s">
        <v>14</v>
      </c>
      <c r="E3257" t="s">
        <v>181</v>
      </c>
      <c r="F3257">
        <f t="shared" si="100"/>
        <v>1990</v>
      </c>
      <c r="G3257">
        <f t="shared" si="101"/>
        <v>8</v>
      </c>
      <c r="H3257" t="str">
        <f>IF(ISNUMBER(FIND(",", E3257)), TRIM(MID(E3257, FIND(",", E3257) + 1, LEN(E3257))), E3257)</f>
        <v>Vanuatu</v>
      </c>
    </row>
    <row r="3258" spans="1:8" x14ac:dyDescent="0.25">
      <c r="A3258" s="2">
        <v>33095</v>
      </c>
      <c r="B3258">
        <v>0.34300000000000003</v>
      </c>
      <c r="C3258">
        <v>126.155</v>
      </c>
      <c r="D3258" t="s">
        <v>14</v>
      </c>
      <c r="E3258" t="s">
        <v>186</v>
      </c>
      <c r="F3258">
        <f t="shared" si="100"/>
        <v>1990</v>
      </c>
      <c r="G3258">
        <f t="shared" si="101"/>
        <v>8</v>
      </c>
      <c r="H3258" t="str">
        <f>IF(ISNUMBER(FIND(",", E3258)), TRIM(MID(E3258, FIND(",", E3258) + 1, LEN(E3258))), E3258)</f>
        <v>Molucca Sea</v>
      </c>
    </row>
    <row r="3259" spans="1:8" x14ac:dyDescent="0.25">
      <c r="A3259" s="2">
        <v>33090</v>
      </c>
      <c r="B3259">
        <v>-1.103</v>
      </c>
      <c r="C3259">
        <v>-13.847</v>
      </c>
      <c r="D3259" t="s">
        <v>14</v>
      </c>
      <c r="E3259" t="s">
        <v>378</v>
      </c>
      <c r="F3259">
        <f t="shared" si="100"/>
        <v>1990</v>
      </c>
      <c r="G3259">
        <f t="shared" si="101"/>
        <v>8</v>
      </c>
      <c r="H3259" t="str">
        <f>IF(ISNUMBER(FIND(",", E3259)), TRIM(MID(E3259, FIND(",", E3259) + 1, LEN(E3259))), E3259)</f>
        <v>north of Ascension Island</v>
      </c>
    </row>
    <row r="3260" spans="1:8" x14ac:dyDescent="0.25">
      <c r="A3260" s="2">
        <v>33090</v>
      </c>
      <c r="B3260">
        <v>36.414000000000001</v>
      </c>
      <c r="C3260">
        <v>141.19200000000001</v>
      </c>
      <c r="D3260" t="s">
        <v>14</v>
      </c>
      <c r="E3260" t="s">
        <v>227</v>
      </c>
      <c r="F3260">
        <f t="shared" si="100"/>
        <v>1990</v>
      </c>
      <c r="G3260">
        <f t="shared" si="101"/>
        <v>8</v>
      </c>
      <c r="H3260" t="str">
        <f>IF(ISNUMBER(FIND(",", E3260)), TRIM(MID(E3260, FIND(",", E3260) + 1, LEN(E3260))), E3260)</f>
        <v>Japan</v>
      </c>
    </row>
    <row r="3261" spans="1:8" x14ac:dyDescent="0.25">
      <c r="A3261" s="2">
        <v>33090</v>
      </c>
      <c r="B3261">
        <v>29.494</v>
      </c>
      <c r="C3261">
        <v>137.67699999999999</v>
      </c>
      <c r="D3261" t="s">
        <v>14</v>
      </c>
      <c r="E3261" t="s">
        <v>88</v>
      </c>
      <c r="F3261">
        <f t="shared" si="100"/>
        <v>1990</v>
      </c>
      <c r="G3261">
        <f t="shared" si="101"/>
        <v>8</v>
      </c>
      <c r="H3261" t="str">
        <f>IF(ISNUMBER(FIND(",", E3261)), TRIM(MID(E3261, FIND(",", E3261) + 1, LEN(E3261))), E3261)</f>
        <v>Japan region</v>
      </c>
    </row>
    <row r="3262" spans="1:8" x14ac:dyDescent="0.25">
      <c r="A3262" s="2">
        <v>33088</v>
      </c>
      <c r="B3262">
        <v>47.96</v>
      </c>
      <c r="C3262">
        <v>84.97</v>
      </c>
      <c r="D3262" t="s">
        <v>14</v>
      </c>
      <c r="E3262" t="s">
        <v>571</v>
      </c>
      <c r="F3262">
        <f t="shared" si="100"/>
        <v>1990</v>
      </c>
      <c r="G3262">
        <f t="shared" si="101"/>
        <v>8</v>
      </c>
      <c r="H3262" t="str">
        <f>IF(ISNUMBER(FIND(",", E3262)), TRIM(MID(E3262, FIND(",", E3262) + 1, LEN(E3262))), E3262)</f>
        <v>eastern Kazakhstan</v>
      </c>
    </row>
    <row r="3263" spans="1:8" x14ac:dyDescent="0.25">
      <c r="A3263" s="2">
        <v>33081</v>
      </c>
      <c r="B3263">
        <v>-15.33</v>
      </c>
      <c r="C3263">
        <v>167.541</v>
      </c>
      <c r="D3263" t="s">
        <v>14</v>
      </c>
      <c r="E3263" t="s">
        <v>181</v>
      </c>
      <c r="F3263">
        <f t="shared" si="100"/>
        <v>1990</v>
      </c>
      <c r="G3263">
        <f t="shared" si="101"/>
        <v>7</v>
      </c>
      <c r="H3263" t="str">
        <f>IF(ISNUMBER(FIND(",", E3263)), TRIM(MID(E3263, FIND(",", E3263) + 1, LEN(E3263))), E3263)</f>
        <v>Vanuatu</v>
      </c>
    </row>
    <row r="3264" spans="1:8" x14ac:dyDescent="0.25">
      <c r="A3264" s="2">
        <v>33076</v>
      </c>
      <c r="B3264">
        <v>-23.603999999999999</v>
      </c>
      <c r="C3264">
        <v>-179.846</v>
      </c>
      <c r="D3264" t="s">
        <v>14</v>
      </c>
      <c r="E3264" t="s">
        <v>256</v>
      </c>
      <c r="F3264">
        <f t="shared" si="100"/>
        <v>1990</v>
      </c>
      <c r="G3264">
        <f t="shared" si="101"/>
        <v>7</v>
      </c>
      <c r="H3264" t="str">
        <f>IF(ISNUMBER(FIND(",", E3264)), TRIM(MID(E3264, FIND(",", E3264) + 1, LEN(E3264))), E3264)</f>
        <v>south of the Fiji Islands</v>
      </c>
    </row>
    <row r="3265" spans="1:8" x14ac:dyDescent="0.25">
      <c r="A3265" s="2">
        <v>33071</v>
      </c>
      <c r="B3265">
        <v>16.454000000000001</v>
      </c>
      <c r="C3265">
        <v>120.999</v>
      </c>
      <c r="D3265" t="s">
        <v>14</v>
      </c>
      <c r="E3265" t="s">
        <v>297</v>
      </c>
      <c r="F3265">
        <f t="shared" si="100"/>
        <v>1990</v>
      </c>
      <c r="G3265">
        <f t="shared" si="101"/>
        <v>7</v>
      </c>
      <c r="H3265" t="str">
        <f>IF(ISNUMBER(FIND(",", E3265)), TRIM(MID(E3265, FIND(",", E3265) + 1, LEN(E3265))), E3265)</f>
        <v>Philippines</v>
      </c>
    </row>
    <row r="3266" spans="1:8" x14ac:dyDescent="0.25">
      <c r="A3266" s="2">
        <v>33070</v>
      </c>
      <c r="B3266">
        <v>16.542000000000002</v>
      </c>
      <c r="C3266">
        <v>120.876</v>
      </c>
      <c r="D3266" t="s">
        <v>14</v>
      </c>
      <c r="E3266" t="s">
        <v>297</v>
      </c>
      <c r="F3266">
        <f t="shared" ref="F3266:F3329" si="102">YEAR(A3266)</f>
        <v>1990</v>
      </c>
      <c r="G3266">
        <f t="shared" si="101"/>
        <v>7</v>
      </c>
      <c r="H3266" t="str">
        <f>IF(ISNUMBER(FIND(",", E3266)), TRIM(MID(E3266, FIND(",", E3266) + 1, LEN(E3266))), E3266)</f>
        <v>Philippines</v>
      </c>
    </row>
    <row r="3267" spans="1:8" x14ac:dyDescent="0.25">
      <c r="A3267" s="2">
        <v>33070</v>
      </c>
      <c r="B3267">
        <v>15.723000000000001</v>
      </c>
      <c r="C3267">
        <v>121.18</v>
      </c>
      <c r="D3267" t="s">
        <v>14</v>
      </c>
      <c r="E3267" t="s">
        <v>297</v>
      </c>
      <c r="F3267">
        <f t="shared" si="102"/>
        <v>1990</v>
      </c>
      <c r="G3267">
        <f t="shared" ref="G3267:G3330" si="103">MONTH(A3267)</f>
        <v>7</v>
      </c>
      <c r="H3267" t="str">
        <f>IF(ISNUMBER(FIND(",", E3267)), TRIM(MID(E3267, FIND(",", E3267) + 1, LEN(E3267))), E3267)</f>
        <v>Philippines</v>
      </c>
    </row>
    <row r="3268" spans="1:8" x14ac:dyDescent="0.25">
      <c r="A3268" s="2">
        <v>33068</v>
      </c>
      <c r="B3268">
        <v>8.9999999999999993E-3</v>
      </c>
      <c r="C3268">
        <v>-17.372</v>
      </c>
      <c r="D3268" t="s">
        <v>14</v>
      </c>
      <c r="E3268" t="s">
        <v>378</v>
      </c>
      <c r="F3268">
        <f t="shared" si="102"/>
        <v>1990</v>
      </c>
      <c r="G3268">
        <f t="shared" si="103"/>
        <v>7</v>
      </c>
      <c r="H3268" t="str">
        <f>IF(ISNUMBER(FIND(",", E3268)), TRIM(MID(E3268, FIND(",", E3268) + 1, LEN(E3268))), E3268)</f>
        <v>north of Ascension Island</v>
      </c>
    </row>
    <row r="3269" spans="1:8" x14ac:dyDescent="0.25">
      <c r="A3269" s="2">
        <v>33067</v>
      </c>
      <c r="B3269">
        <v>36.433999999999997</v>
      </c>
      <c r="C3269">
        <v>70.777000000000001</v>
      </c>
      <c r="D3269" t="s">
        <v>14</v>
      </c>
      <c r="E3269" t="s">
        <v>314</v>
      </c>
      <c r="F3269">
        <f t="shared" si="102"/>
        <v>1990</v>
      </c>
      <c r="G3269">
        <f t="shared" si="103"/>
        <v>7</v>
      </c>
      <c r="H3269" t="str">
        <f>IF(ISNUMBER(FIND(",", E3269)), TRIM(MID(E3269, FIND(",", E3269) + 1, LEN(E3269))), E3269)</f>
        <v>Afghanistan</v>
      </c>
    </row>
    <row r="3270" spans="1:8" x14ac:dyDescent="0.25">
      <c r="A3270" s="2">
        <v>33064</v>
      </c>
      <c r="B3270">
        <v>-10.321999999999999</v>
      </c>
      <c r="C3270">
        <v>161.173</v>
      </c>
      <c r="D3270" t="s">
        <v>14</v>
      </c>
      <c r="E3270" t="s">
        <v>221</v>
      </c>
      <c r="F3270">
        <f t="shared" si="102"/>
        <v>1990</v>
      </c>
      <c r="G3270">
        <f t="shared" si="103"/>
        <v>7</v>
      </c>
      <c r="H3270" t="str">
        <f>IF(ISNUMBER(FIND(",", E3270)), TRIM(MID(E3270, FIND(",", E3270) + 1, LEN(E3270))), E3270)</f>
        <v>Solomon Islands</v>
      </c>
    </row>
    <row r="3271" spans="1:8" x14ac:dyDescent="0.25">
      <c r="A3271" s="2">
        <v>33063</v>
      </c>
      <c r="B3271">
        <v>5.431</v>
      </c>
      <c r="C3271">
        <v>31.678000000000001</v>
      </c>
      <c r="D3271" t="s">
        <v>14</v>
      </c>
      <c r="E3271" t="s">
        <v>572</v>
      </c>
      <c r="F3271">
        <f t="shared" si="102"/>
        <v>1990</v>
      </c>
      <c r="G3271">
        <f t="shared" si="103"/>
        <v>7</v>
      </c>
      <c r="H3271" t="str">
        <f>IF(ISNUMBER(FIND(",", E3271)), TRIM(MID(E3271, FIND(",", E3271) + 1, LEN(E3271))), E3271)</f>
        <v>Sudan</v>
      </c>
    </row>
    <row r="3272" spans="1:8" x14ac:dyDescent="0.25">
      <c r="A3272" s="2">
        <v>33050</v>
      </c>
      <c r="B3272">
        <v>-21.962</v>
      </c>
      <c r="C3272">
        <v>-179.41800000000001</v>
      </c>
      <c r="D3272" t="s">
        <v>14</v>
      </c>
      <c r="E3272" t="s">
        <v>53</v>
      </c>
      <c r="F3272">
        <f t="shared" si="102"/>
        <v>1990</v>
      </c>
      <c r="G3272">
        <f t="shared" si="103"/>
        <v>6</v>
      </c>
      <c r="H3272" t="str">
        <f>IF(ISNUMBER(FIND(",", E3272)), TRIM(MID(E3272, FIND(",", E3272) + 1, LEN(E3272))), E3272)</f>
        <v>Fiji region</v>
      </c>
    </row>
    <row r="3273" spans="1:8" x14ac:dyDescent="0.25">
      <c r="A3273" s="2">
        <v>33047</v>
      </c>
      <c r="B3273">
        <v>-21.501000000000001</v>
      </c>
      <c r="C3273">
        <v>-176.458</v>
      </c>
      <c r="D3273" t="s">
        <v>14</v>
      </c>
      <c r="E3273" t="s">
        <v>53</v>
      </c>
      <c r="F3273">
        <f t="shared" si="102"/>
        <v>1990</v>
      </c>
      <c r="G3273">
        <f t="shared" si="103"/>
        <v>6</v>
      </c>
      <c r="H3273" t="str">
        <f>IF(ISNUMBER(FIND(",", E3273)), TRIM(MID(E3273, FIND(",", E3273) + 1, LEN(E3273))), E3273)</f>
        <v>Fiji region</v>
      </c>
    </row>
    <row r="3274" spans="1:8" x14ac:dyDescent="0.25">
      <c r="A3274" s="2">
        <v>33047</v>
      </c>
      <c r="B3274">
        <v>-0.57799999999999996</v>
      </c>
      <c r="C3274">
        <v>146.52099999999999</v>
      </c>
      <c r="D3274" t="s">
        <v>14</v>
      </c>
      <c r="E3274" t="s">
        <v>383</v>
      </c>
      <c r="F3274">
        <f t="shared" si="102"/>
        <v>1990</v>
      </c>
      <c r="G3274">
        <f t="shared" si="103"/>
        <v>6</v>
      </c>
      <c r="H3274" t="str">
        <f>IF(ISNUMBER(FIND(",", E3274)), TRIM(MID(E3274, FIND(",", E3274) + 1, LEN(E3274))), E3274)</f>
        <v>Papua New Guinea</v>
      </c>
    </row>
    <row r="3275" spans="1:8" x14ac:dyDescent="0.25">
      <c r="A3275" s="2">
        <v>33044</v>
      </c>
      <c r="B3275">
        <v>37.008000000000003</v>
      </c>
      <c r="C3275">
        <v>49.213000000000001</v>
      </c>
      <c r="D3275" t="s">
        <v>14</v>
      </c>
      <c r="E3275" t="s">
        <v>573</v>
      </c>
      <c r="F3275">
        <f t="shared" si="102"/>
        <v>1990</v>
      </c>
      <c r="G3275">
        <f t="shared" si="103"/>
        <v>6</v>
      </c>
      <c r="H3275" t="str">
        <f>IF(ISNUMBER(FIND(",", E3275)), TRIM(MID(E3275, FIND(",", E3275) + 1, LEN(E3275))), E3275)</f>
        <v>near the coast of northern Iran</v>
      </c>
    </row>
    <row r="3276" spans="1:8" x14ac:dyDescent="0.25">
      <c r="A3276" s="2">
        <v>33041</v>
      </c>
      <c r="B3276">
        <v>27.414000000000001</v>
      </c>
      <c r="C3276">
        <v>65.703999999999994</v>
      </c>
      <c r="D3276" t="s">
        <v>14</v>
      </c>
      <c r="E3276" t="s">
        <v>382</v>
      </c>
      <c r="F3276">
        <f t="shared" si="102"/>
        <v>1990</v>
      </c>
      <c r="G3276">
        <f t="shared" si="103"/>
        <v>6</v>
      </c>
      <c r="H3276" t="str">
        <f>IF(ISNUMBER(FIND(",", E3276)), TRIM(MID(E3276, FIND(",", E3276) + 1, LEN(E3276))), E3276)</f>
        <v>Pakistan</v>
      </c>
    </row>
    <row r="3277" spans="1:8" x14ac:dyDescent="0.25">
      <c r="A3277" s="2">
        <v>33038</v>
      </c>
      <c r="B3277">
        <v>47.847999999999999</v>
      </c>
      <c r="C3277">
        <v>85.049000000000007</v>
      </c>
      <c r="D3277" t="s">
        <v>14</v>
      </c>
      <c r="E3277" t="s">
        <v>475</v>
      </c>
      <c r="F3277">
        <f t="shared" si="102"/>
        <v>1990</v>
      </c>
      <c r="G3277">
        <f t="shared" si="103"/>
        <v>6</v>
      </c>
      <c r="H3277" t="str">
        <f>IF(ISNUMBER(FIND(",", E3277)), TRIM(MID(E3277, FIND(",", E3277) + 1, LEN(E3277))), E3277)</f>
        <v>Kazakhstan-Xinjiang border region</v>
      </c>
    </row>
    <row r="3278" spans="1:8" x14ac:dyDescent="0.25">
      <c r="A3278" s="2">
        <v>33038</v>
      </c>
      <c r="B3278">
        <v>11.39</v>
      </c>
      <c r="C3278">
        <v>122.045</v>
      </c>
      <c r="D3278" t="s">
        <v>14</v>
      </c>
      <c r="E3278" t="s">
        <v>574</v>
      </c>
      <c r="F3278">
        <f t="shared" si="102"/>
        <v>1990</v>
      </c>
      <c r="G3278">
        <f t="shared" si="103"/>
        <v>6</v>
      </c>
      <c r="H3278" t="str">
        <f>IF(ISNUMBER(FIND(",", E3278)), TRIM(MID(E3278, FIND(",", E3278) + 1, LEN(E3278))), E3278)</f>
        <v>Philippines</v>
      </c>
    </row>
    <row r="3279" spans="1:8" x14ac:dyDescent="0.25">
      <c r="A3279" s="2">
        <v>33032</v>
      </c>
      <c r="B3279">
        <v>-18.821999999999999</v>
      </c>
      <c r="C3279">
        <v>-178.78100000000001</v>
      </c>
      <c r="D3279" t="s">
        <v>14</v>
      </c>
      <c r="E3279" t="s">
        <v>53</v>
      </c>
      <c r="F3279">
        <f t="shared" si="102"/>
        <v>1990</v>
      </c>
      <c r="G3279">
        <f t="shared" si="103"/>
        <v>6</v>
      </c>
      <c r="H3279" t="str">
        <f>IF(ISNUMBER(FIND(",", E3279)), TRIM(MID(E3279, FIND(",", E3279) + 1, LEN(E3279))), E3279)</f>
        <v>Fiji region</v>
      </c>
    </row>
    <row r="3280" spans="1:8" x14ac:dyDescent="0.25">
      <c r="A3280" s="2">
        <v>33031</v>
      </c>
      <c r="B3280">
        <v>-3.4569999999999999</v>
      </c>
      <c r="C3280">
        <v>144.49299999999999</v>
      </c>
      <c r="D3280" t="s">
        <v>14</v>
      </c>
      <c r="E3280" t="s">
        <v>216</v>
      </c>
      <c r="F3280">
        <f t="shared" si="102"/>
        <v>1990</v>
      </c>
      <c r="G3280">
        <f t="shared" si="103"/>
        <v>6</v>
      </c>
      <c r="H3280" t="str">
        <f>IF(ISNUMBER(FIND(",", E3280)), TRIM(MID(E3280, FIND(",", E3280) + 1, LEN(E3280))), E3280)</f>
        <v>Papua New Guinea</v>
      </c>
    </row>
    <row r="3281" spans="1:8" x14ac:dyDescent="0.25">
      <c r="A3281" s="2">
        <v>33025</v>
      </c>
      <c r="B3281">
        <v>35.639000000000003</v>
      </c>
      <c r="C3281">
        <v>140.517</v>
      </c>
      <c r="D3281" t="s">
        <v>14</v>
      </c>
      <c r="E3281" t="s">
        <v>227</v>
      </c>
      <c r="F3281">
        <f t="shared" si="102"/>
        <v>1990</v>
      </c>
      <c r="G3281">
        <f t="shared" si="103"/>
        <v>6</v>
      </c>
      <c r="H3281" t="str">
        <f>IF(ISNUMBER(FIND(",", E3281)), TRIM(MID(E3281, FIND(",", E3281) + 1, LEN(E3281))), E3281)</f>
        <v>Japan</v>
      </c>
    </row>
    <row r="3282" spans="1:8" x14ac:dyDescent="0.25">
      <c r="A3282" s="2">
        <v>33024</v>
      </c>
      <c r="B3282">
        <v>45.823999999999998</v>
      </c>
      <c r="C3282">
        <v>26.731000000000002</v>
      </c>
      <c r="D3282" t="s">
        <v>14</v>
      </c>
      <c r="E3282" t="s">
        <v>575</v>
      </c>
      <c r="F3282">
        <f t="shared" si="102"/>
        <v>1990</v>
      </c>
      <c r="G3282">
        <f t="shared" si="103"/>
        <v>5</v>
      </c>
      <c r="H3282" t="str">
        <f>IF(ISNUMBER(FIND(",", E3282)), TRIM(MID(E3282, FIND(",", E3282) + 1, LEN(E3282))), E3282)</f>
        <v>Romania</v>
      </c>
    </row>
    <row r="3283" spans="1:8" x14ac:dyDescent="0.25">
      <c r="A3283" s="2">
        <v>33023</v>
      </c>
      <c r="B3283">
        <v>45.851999999999997</v>
      </c>
      <c r="C3283">
        <v>26.646000000000001</v>
      </c>
      <c r="D3283" t="s">
        <v>14</v>
      </c>
      <c r="E3283" t="s">
        <v>575</v>
      </c>
      <c r="F3283">
        <f t="shared" si="102"/>
        <v>1990</v>
      </c>
      <c r="G3283">
        <f t="shared" si="103"/>
        <v>5</v>
      </c>
      <c r="H3283" t="str">
        <f>IF(ISNUMBER(FIND(",", E3283)), TRIM(MID(E3283, FIND(",", E3283) + 1, LEN(E3283))), E3283)</f>
        <v>Romania</v>
      </c>
    </row>
    <row r="3284" spans="1:8" x14ac:dyDescent="0.25">
      <c r="A3284" s="2">
        <v>33023</v>
      </c>
      <c r="B3284">
        <v>-6.0220000000000002</v>
      </c>
      <c r="C3284">
        <v>-77.197000000000003</v>
      </c>
      <c r="D3284" t="s">
        <v>14</v>
      </c>
      <c r="E3284" t="s">
        <v>277</v>
      </c>
      <c r="F3284">
        <f t="shared" si="102"/>
        <v>1990</v>
      </c>
      <c r="G3284">
        <f t="shared" si="103"/>
        <v>5</v>
      </c>
      <c r="H3284" t="str">
        <f>IF(ISNUMBER(FIND(",", E3284)), TRIM(MID(E3284, FIND(",", E3284) + 1, LEN(E3284))), E3284)</f>
        <v>northern Peru</v>
      </c>
    </row>
    <row r="3285" spans="1:8" x14ac:dyDescent="0.25">
      <c r="A3285" s="2">
        <v>33022</v>
      </c>
      <c r="B3285">
        <v>57.015999999999998</v>
      </c>
      <c r="C3285">
        <v>-153.49799999999999</v>
      </c>
      <c r="D3285" t="s">
        <v>14</v>
      </c>
      <c r="E3285" t="s">
        <v>374</v>
      </c>
      <c r="F3285">
        <f t="shared" si="102"/>
        <v>1990</v>
      </c>
      <c r="G3285">
        <f t="shared" si="103"/>
        <v>5</v>
      </c>
      <c r="H3285" t="str">
        <f>IF(ISNUMBER(FIND(",", E3285)), TRIM(MID(E3285, FIND(",", E3285) + 1, LEN(E3285))), E3285)</f>
        <v>Alaska</v>
      </c>
    </row>
    <row r="3286" spans="1:8" x14ac:dyDescent="0.25">
      <c r="A3286" s="2">
        <v>33017</v>
      </c>
      <c r="B3286">
        <v>-7.3630000000000004</v>
      </c>
      <c r="C3286">
        <v>120.34699999999999</v>
      </c>
      <c r="D3286" t="s">
        <v>14</v>
      </c>
      <c r="E3286" t="s">
        <v>438</v>
      </c>
      <c r="F3286">
        <f t="shared" si="102"/>
        <v>1990</v>
      </c>
      <c r="G3286">
        <f t="shared" si="103"/>
        <v>5</v>
      </c>
      <c r="H3286" t="str">
        <f>IF(ISNUMBER(FIND(",", E3286)), TRIM(MID(E3286, FIND(",", E3286) + 1, LEN(E3286))), E3286)</f>
        <v>Flores Sea</v>
      </c>
    </row>
    <row r="3287" spans="1:8" x14ac:dyDescent="0.25">
      <c r="A3287" s="2">
        <v>33017</v>
      </c>
      <c r="B3287">
        <v>5.343</v>
      </c>
      <c r="C3287">
        <v>31.84</v>
      </c>
      <c r="D3287" t="s">
        <v>14</v>
      </c>
      <c r="E3287" t="s">
        <v>572</v>
      </c>
      <c r="F3287">
        <f t="shared" si="102"/>
        <v>1990</v>
      </c>
      <c r="G3287">
        <f t="shared" si="103"/>
        <v>5</v>
      </c>
      <c r="H3287" t="str">
        <f>IF(ISNUMBER(FIND(",", E3287)), TRIM(MID(E3287, FIND(",", E3287) + 1, LEN(E3287))), E3287)</f>
        <v>Sudan</v>
      </c>
    </row>
    <row r="3288" spans="1:8" x14ac:dyDescent="0.25">
      <c r="A3288" s="2">
        <v>33017</v>
      </c>
      <c r="B3288">
        <v>5.3150000000000004</v>
      </c>
      <c r="C3288">
        <v>31.876999999999999</v>
      </c>
      <c r="D3288" t="s">
        <v>14</v>
      </c>
      <c r="E3288" t="s">
        <v>572</v>
      </c>
      <c r="F3288">
        <f t="shared" si="102"/>
        <v>1990</v>
      </c>
      <c r="G3288">
        <f t="shared" si="103"/>
        <v>5</v>
      </c>
      <c r="H3288" t="str">
        <f>IF(ISNUMBER(FIND(",", E3288)), TRIM(MID(E3288, FIND(",", E3288) + 1, LEN(E3288))), E3288)</f>
        <v>Sudan</v>
      </c>
    </row>
    <row r="3289" spans="1:8" x14ac:dyDescent="0.25">
      <c r="A3289" s="2">
        <v>33015</v>
      </c>
      <c r="B3289">
        <v>-35.496000000000002</v>
      </c>
      <c r="C3289">
        <v>-97.549000000000007</v>
      </c>
      <c r="D3289" t="s">
        <v>14</v>
      </c>
      <c r="E3289" t="s">
        <v>71</v>
      </c>
      <c r="F3289">
        <f t="shared" si="102"/>
        <v>1990</v>
      </c>
      <c r="G3289">
        <f t="shared" si="103"/>
        <v>5</v>
      </c>
      <c r="H3289" t="str">
        <f>IF(ISNUMBER(FIND(",", E3289)), TRIM(MID(E3289, FIND(",", E3289) + 1, LEN(E3289))), E3289)</f>
        <v>West Chile Rise</v>
      </c>
    </row>
    <row r="3290" spans="1:8" x14ac:dyDescent="0.25">
      <c r="A3290" s="2">
        <v>33013</v>
      </c>
      <c r="B3290">
        <v>-32.634999999999998</v>
      </c>
      <c r="C3290">
        <v>179.71</v>
      </c>
      <c r="D3290" t="s">
        <v>14</v>
      </c>
      <c r="E3290" t="s">
        <v>262</v>
      </c>
      <c r="F3290">
        <f t="shared" si="102"/>
        <v>1990</v>
      </c>
      <c r="G3290">
        <f t="shared" si="103"/>
        <v>5</v>
      </c>
      <c r="H3290" t="str">
        <f>IF(ISNUMBER(FIND(",", E3290)), TRIM(MID(E3290, FIND(",", E3290) + 1, LEN(E3290))), E3290)</f>
        <v>south of the Kermadec Islands</v>
      </c>
    </row>
    <row r="3291" spans="1:8" x14ac:dyDescent="0.25">
      <c r="A3291" s="2">
        <v>33013</v>
      </c>
      <c r="B3291">
        <v>-18.155000000000001</v>
      </c>
      <c r="C3291">
        <v>-175.16300000000001</v>
      </c>
      <c r="D3291" t="s">
        <v>14</v>
      </c>
      <c r="E3291" t="s">
        <v>239</v>
      </c>
      <c r="F3291">
        <f t="shared" si="102"/>
        <v>1990</v>
      </c>
      <c r="G3291">
        <f t="shared" si="103"/>
        <v>5</v>
      </c>
      <c r="H3291" t="str">
        <f>IF(ISNUMBER(FIND(",", E3291)), TRIM(MID(E3291, FIND(",", E3291) + 1, LEN(E3291))), E3291)</f>
        <v>Tonga</v>
      </c>
    </row>
    <row r="3292" spans="1:8" x14ac:dyDescent="0.25">
      <c r="A3292" s="2">
        <v>33013</v>
      </c>
      <c r="B3292">
        <v>5.1130000000000004</v>
      </c>
      <c r="C3292">
        <v>32.177999999999997</v>
      </c>
      <c r="D3292" t="s">
        <v>14</v>
      </c>
      <c r="E3292" t="s">
        <v>572</v>
      </c>
      <c r="F3292">
        <f t="shared" si="102"/>
        <v>1990</v>
      </c>
      <c r="G3292">
        <f t="shared" si="103"/>
        <v>5</v>
      </c>
      <c r="H3292" t="str">
        <f>IF(ISNUMBER(FIND(",", E3292)), TRIM(MID(E3292, FIND(",", E3292) + 1, LEN(E3292))), E3292)</f>
        <v>Sudan</v>
      </c>
    </row>
    <row r="3293" spans="1:8" x14ac:dyDescent="0.25">
      <c r="A3293" s="2">
        <v>33007</v>
      </c>
      <c r="B3293">
        <v>-35.853000000000002</v>
      </c>
      <c r="C3293">
        <v>-71.403000000000006</v>
      </c>
      <c r="D3293" t="s">
        <v>14</v>
      </c>
      <c r="E3293" t="s">
        <v>230</v>
      </c>
      <c r="F3293">
        <f t="shared" si="102"/>
        <v>1990</v>
      </c>
      <c r="G3293">
        <f t="shared" si="103"/>
        <v>5</v>
      </c>
      <c r="H3293" t="str">
        <f>IF(ISNUMBER(FIND(",", E3293)), TRIM(MID(E3293, FIND(",", E3293) + 1, LEN(E3293))), E3293)</f>
        <v>Chile</v>
      </c>
    </row>
    <row r="3294" spans="1:8" x14ac:dyDescent="0.25">
      <c r="A3294" s="2">
        <v>33006</v>
      </c>
      <c r="B3294">
        <v>-40.292999999999999</v>
      </c>
      <c r="C3294">
        <v>176.154</v>
      </c>
      <c r="D3294" t="s">
        <v>14</v>
      </c>
      <c r="E3294" t="s">
        <v>188</v>
      </c>
      <c r="F3294">
        <f t="shared" si="102"/>
        <v>1990</v>
      </c>
      <c r="G3294">
        <f t="shared" si="103"/>
        <v>5</v>
      </c>
      <c r="H3294" t="str">
        <f>IF(ISNUMBER(FIND(",", E3294)), TRIM(MID(E3294, FIND(",", E3294) + 1, LEN(E3294))), E3294)</f>
        <v>North Island of New Zealand</v>
      </c>
    </row>
    <row r="3295" spans="1:8" x14ac:dyDescent="0.25">
      <c r="A3295" s="2">
        <v>33005</v>
      </c>
      <c r="B3295">
        <v>48.984999999999999</v>
      </c>
      <c r="C3295">
        <v>141.86500000000001</v>
      </c>
      <c r="D3295" t="s">
        <v>14</v>
      </c>
      <c r="E3295" t="s">
        <v>419</v>
      </c>
      <c r="F3295">
        <f t="shared" si="102"/>
        <v>1990</v>
      </c>
      <c r="G3295">
        <f t="shared" si="103"/>
        <v>5</v>
      </c>
      <c r="H3295" t="str">
        <f>IF(ISNUMBER(FIND(",", E3295)), TRIM(MID(E3295, FIND(",", E3295) + 1, LEN(E3295))), E3295)</f>
        <v>Russia</v>
      </c>
    </row>
    <row r="3296" spans="1:8" x14ac:dyDescent="0.25">
      <c r="A3296" s="2">
        <v>33004</v>
      </c>
      <c r="B3296">
        <v>41.77</v>
      </c>
      <c r="C3296">
        <v>130.964</v>
      </c>
      <c r="D3296" t="s">
        <v>14</v>
      </c>
      <c r="E3296" t="s">
        <v>576</v>
      </c>
      <c r="F3296">
        <f t="shared" si="102"/>
        <v>1990</v>
      </c>
      <c r="G3296">
        <f t="shared" si="103"/>
        <v>5</v>
      </c>
      <c r="H3296" t="str">
        <f>IF(ISNUMBER(FIND(",", E3296)), TRIM(MID(E3296, FIND(",", E3296) + 1, LEN(E3296))), E3296)</f>
        <v>North Korea</v>
      </c>
    </row>
    <row r="3297" spans="1:8" x14ac:dyDescent="0.25">
      <c r="A3297" s="2">
        <v>33001</v>
      </c>
      <c r="B3297">
        <v>6.8920000000000003</v>
      </c>
      <c r="C3297">
        <v>-82.59</v>
      </c>
      <c r="D3297" t="s">
        <v>14</v>
      </c>
      <c r="E3297" t="s">
        <v>231</v>
      </c>
      <c r="F3297">
        <f t="shared" si="102"/>
        <v>1990</v>
      </c>
      <c r="G3297">
        <f t="shared" si="103"/>
        <v>5</v>
      </c>
      <c r="H3297" t="str">
        <f>IF(ISNUMBER(FIND(",", E3297)), TRIM(MID(E3297, FIND(",", E3297) + 1, LEN(E3297))), E3297)</f>
        <v>south of Panama</v>
      </c>
    </row>
    <row r="3298" spans="1:8" x14ac:dyDescent="0.25">
      <c r="A3298" s="2">
        <v>32995</v>
      </c>
      <c r="B3298">
        <v>-5.62</v>
      </c>
      <c r="C3298">
        <v>150.19999999999999</v>
      </c>
      <c r="D3298" t="s">
        <v>14</v>
      </c>
      <c r="E3298" t="s">
        <v>190</v>
      </c>
      <c r="F3298">
        <f t="shared" si="102"/>
        <v>1990</v>
      </c>
      <c r="G3298">
        <f t="shared" si="103"/>
        <v>5</v>
      </c>
      <c r="H3298" t="str">
        <f>IF(ISNUMBER(FIND(",", E3298)), TRIM(MID(E3298, FIND(",", E3298) + 1, LEN(E3298))), E3298)</f>
        <v>Papua New Guinea</v>
      </c>
    </row>
    <row r="3299" spans="1:8" x14ac:dyDescent="0.25">
      <c r="A3299" s="2">
        <v>32994</v>
      </c>
      <c r="B3299">
        <v>58.802</v>
      </c>
      <c r="C3299">
        <v>-156.78899999999999</v>
      </c>
      <c r="D3299" t="s">
        <v>14</v>
      </c>
      <c r="E3299" t="s">
        <v>285</v>
      </c>
      <c r="F3299">
        <f t="shared" si="102"/>
        <v>1990</v>
      </c>
      <c r="G3299">
        <f t="shared" si="103"/>
        <v>5</v>
      </c>
      <c r="H3299" t="str">
        <f>IF(ISNUMBER(FIND(",", E3299)), TRIM(MID(E3299, FIND(",", E3299) + 1, LEN(E3299))), E3299)</f>
        <v>Alaska Peninsula</v>
      </c>
    </row>
    <row r="3300" spans="1:8" x14ac:dyDescent="0.25">
      <c r="A3300" s="2">
        <v>32991</v>
      </c>
      <c r="B3300">
        <v>8.923</v>
      </c>
      <c r="C3300">
        <v>-83.483999999999995</v>
      </c>
      <c r="D3300" t="s">
        <v>14</v>
      </c>
      <c r="E3300" t="s">
        <v>202</v>
      </c>
      <c r="F3300">
        <f t="shared" si="102"/>
        <v>1990</v>
      </c>
      <c r="G3300">
        <f t="shared" si="103"/>
        <v>4</v>
      </c>
      <c r="H3300" t="str">
        <f>IF(ISNUMBER(FIND(",", E3300)), TRIM(MID(E3300, FIND(",", E3300) + 1, LEN(E3300))), E3300)</f>
        <v>Costa Rica</v>
      </c>
    </row>
    <row r="3301" spans="1:8" x14ac:dyDescent="0.25">
      <c r="A3301" s="2">
        <v>32989</v>
      </c>
      <c r="B3301">
        <v>36.049999999999997</v>
      </c>
      <c r="C3301">
        <v>100.22499999999999</v>
      </c>
      <c r="D3301" t="s">
        <v>14</v>
      </c>
      <c r="E3301" t="s">
        <v>359</v>
      </c>
      <c r="F3301">
        <f t="shared" si="102"/>
        <v>1990</v>
      </c>
      <c r="G3301">
        <f t="shared" si="103"/>
        <v>4</v>
      </c>
      <c r="H3301" t="str">
        <f>IF(ISNUMBER(FIND(",", E3301)), TRIM(MID(E3301, FIND(",", E3301) + 1, LEN(E3301))), E3301)</f>
        <v>China</v>
      </c>
    </row>
    <row r="3302" spans="1:8" x14ac:dyDescent="0.25">
      <c r="A3302" s="2">
        <v>32989</v>
      </c>
      <c r="B3302">
        <v>35.985999999999997</v>
      </c>
      <c r="C3302">
        <v>100.245</v>
      </c>
      <c r="D3302" t="s">
        <v>16</v>
      </c>
      <c r="E3302" t="s">
        <v>331</v>
      </c>
      <c r="F3302">
        <f t="shared" si="102"/>
        <v>1990</v>
      </c>
      <c r="G3302">
        <f t="shared" si="103"/>
        <v>4</v>
      </c>
      <c r="H3302" t="str">
        <f>IF(ISNUMBER(FIND(",", E3302)), TRIM(MID(E3302, FIND(",", E3302) + 1, LEN(E3302))), E3302)</f>
        <v>China</v>
      </c>
    </row>
    <row r="3303" spans="1:8" x14ac:dyDescent="0.25">
      <c r="A3303" s="2">
        <v>32989</v>
      </c>
      <c r="B3303">
        <v>36.048999999999999</v>
      </c>
      <c r="C3303">
        <v>100.253</v>
      </c>
      <c r="D3303" t="s">
        <v>14</v>
      </c>
      <c r="E3303" t="s">
        <v>359</v>
      </c>
      <c r="F3303">
        <f t="shared" si="102"/>
        <v>1990</v>
      </c>
      <c r="G3303">
        <f t="shared" si="103"/>
        <v>4</v>
      </c>
      <c r="H3303" t="str">
        <f>IF(ISNUMBER(FIND(",", E3303)), TRIM(MID(E3303, FIND(",", E3303) + 1, LEN(E3303))), E3303)</f>
        <v>China</v>
      </c>
    </row>
    <row r="3304" spans="1:8" x14ac:dyDescent="0.25">
      <c r="A3304" s="2">
        <v>32982</v>
      </c>
      <c r="B3304">
        <v>1.0920000000000001</v>
      </c>
      <c r="C3304">
        <v>123.425</v>
      </c>
      <c r="D3304" t="s">
        <v>14</v>
      </c>
      <c r="E3304" t="s">
        <v>263</v>
      </c>
      <c r="F3304">
        <f t="shared" si="102"/>
        <v>1990</v>
      </c>
      <c r="G3304">
        <f t="shared" si="103"/>
        <v>4</v>
      </c>
      <c r="H3304" t="str">
        <f>IF(ISNUMBER(FIND(",", E3304)), TRIM(MID(E3304, FIND(",", E3304) + 1, LEN(E3304))), E3304)</f>
        <v>Sulawesi, Indonesia</v>
      </c>
    </row>
    <row r="3305" spans="1:8" x14ac:dyDescent="0.25">
      <c r="A3305" s="2">
        <v>32981</v>
      </c>
      <c r="B3305">
        <v>1.302</v>
      </c>
      <c r="C3305">
        <v>122.997</v>
      </c>
      <c r="D3305" t="s">
        <v>14</v>
      </c>
      <c r="E3305" t="s">
        <v>263</v>
      </c>
      <c r="F3305">
        <f t="shared" si="102"/>
        <v>1990</v>
      </c>
      <c r="G3305">
        <f t="shared" si="103"/>
        <v>4</v>
      </c>
      <c r="H3305" t="str">
        <f>IF(ISNUMBER(FIND(",", E3305)), TRIM(MID(E3305, FIND(",", E3305) + 1, LEN(E3305))), E3305)</f>
        <v>Sulawesi, Indonesia</v>
      </c>
    </row>
    <row r="3306" spans="1:8" x14ac:dyDescent="0.25">
      <c r="A3306" s="2">
        <v>32981</v>
      </c>
      <c r="B3306">
        <v>1.1950000000000001</v>
      </c>
      <c r="C3306">
        <v>122.815</v>
      </c>
      <c r="D3306" t="s">
        <v>14</v>
      </c>
      <c r="E3306" t="s">
        <v>263</v>
      </c>
      <c r="F3306">
        <f t="shared" si="102"/>
        <v>1990</v>
      </c>
      <c r="G3306">
        <f t="shared" si="103"/>
        <v>4</v>
      </c>
      <c r="H3306" t="str">
        <f>IF(ISNUMBER(FIND(",", E3306)), TRIM(MID(E3306, FIND(",", E3306) + 1, LEN(E3306))), E3306)</f>
        <v>Sulawesi, Indonesia</v>
      </c>
    </row>
    <row r="3307" spans="1:8" x14ac:dyDescent="0.25">
      <c r="A3307" s="2">
        <v>32980</v>
      </c>
      <c r="B3307">
        <v>7.3620000000000001</v>
      </c>
      <c r="C3307">
        <v>-35.314999999999998</v>
      </c>
      <c r="D3307" t="s">
        <v>14</v>
      </c>
      <c r="E3307" t="s">
        <v>291</v>
      </c>
      <c r="F3307">
        <f t="shared" si="102"/>
        <v>1990</v>
      </c>
      <c r="G3307">
        <f t="shared" si="103"/>
        <v>4</v>
      </c>
      <c r="H3307" t="str">
        <f>IF(ISNUMBER(FIND(",", E3307)), TRIM(MID(E3307, FIND(",", E3307) + 1, LEN(E3307))), E3307)</f>
        <v>central Mid-Atlantic Ridge</v>
      </c>
    </row>
    <row r="3308" spans="1:8" x14ac:dyDescent="0.25">
      <c r="A3308" s="2">
        <v>32980</v>
      </c>
      <c r="B3308">
        <v>39.436</v>
      </c>
      <c r="C3308">
        <v>74.900000000000006</v>
      </c>
      <c r="D3308" t="s">
        <v>16</v>
      </c>
      <c r="E3308" t="s">
        <v>482</v>
      </c>
      <c r="F3308">
        <f t="shared" si="102"/>
        <v>1990</v>
      </c>
      <c r="G3308">
        <f t="shared" si="103"/>
        <v>4</v>
      </c>
      <c r="H3308" t="str">
        <f>IF(ISNUMBER(FIND(",", E3308)), TRIM(MID(E3308, FIND(",", E3308) + 1, LEN(E3308))), E3308)</f>
        <v>China</v>
      </c>
    </row>
    <row r="3309" spans="1:8" x14ac:dyDescent="0.25">
      <c r="A3309" s="2">
        <v>32969</v>
      </c>
      <c r="B3309">
        <v>15.211</v>
      </c>
      <c r="C3309">
        <v>147.61600000000001</v>
      </c>
      <c r="D3309" t="s">
        <v>14</v>
      </c>
      <c r="E3309" t="s">
        <v>72</v>
      </c>
      <c r="F3309">
        <f t="shared" si="102"/>
        <v>1990</v>
      </c>
      <c r="G3309">
        <f t="shared" si="103"/>
        <v>4</v>
      </c>
      <c r="H3309" t="str">
        <f>IF(ISNUMBER(FIND(",", E3309)), TRIM(MID(E3309, FIND(",", E3309) + 1, LEN(E3309))), E3309)</f>
        <v>Mariana Islands region</v>
      </c>
    </row>
    <row r="3310" spans="1:8" x14ac:dyDescent="0.25">
      <c r="A3310" s="2">
        <v>32968</v>
      </c>
      <c r="B3310">
        <v>15.157</v>
      </c>
      <c r="C3310">
        <v>147.60900000000001</v>
      </c>
      <c r="D3310" t="s">
        <v>14</v>
      </c>
      <c r="E3310" t="s">
        <v>72</v>
      </c>
      <c r="F3310">
        <f t="shared" si="102"/>
        <v>1990</v>
      </c>
      <c r="G3310">
        <f t="shared" si="103"/>
        <v>4</v>
      </c>
      <c r="H3310" t="str">
        <f>IF(ISNUMBER(FIND(",", E3310)), TRIM(MID(E3310, FIND(",", E3310) + 1, LEN(E3310))), E3310)</f>
        <v>Mariana Islands region</v>
      </c>
    </row>
    <row r="3311" spans="1:8" x14ac:dyDescent="0.25">
      <c r="A3311" s="2">
        <v>32966</v>
      </c>
      <c r="B3311">
        <v>11.433999999999999</v>
      </c>
      <c r="C3311">
        <v>-86.296999999999997</v>
      </c>
      <c r="D3311" t="s">
        <v>14</v>
      </c>
      <c r="E3311" t="s">
        <v>448</v>
      </c>
      <c r="F3311">
        <f t="shared" si="102"/>
        <v>1990</v>
      </c>
      <c r="G3311">
        <f t="shared" si="103"/>
        <v>4</v>
      </c>
      <c r="H3311" t="str">
        <f>IF(ISNUMBER(FIND(",", E3311)), TRIM(MID(E3311, FIND(",", E3311) + 1, LEN(E3311))), E3311)</f>
        <v>near the coast of Nicaragua</v>
      </c>
    </row>
    <row r="3312" spans="1:8" x14ac:dyDescent="0.25">
      <c r="A3312" s="2">
        <v>32966</v>
      </c>
      <c r="B3312">
        <v>-5.8650000000000002</v>
      </c>
      <c r="C3312">
        <v>147.70599999999999</v>
      </c>
      <c r="D3312" t="s">
        <v>14</v>
      </c>
      <c r="E3312" t="s">
        <v>243</v>
      </c>
      <c r="F3312">
        <f t="shared" si="102"/>
        <v>1990</v>
      </c>
      <c r="G3312">
        <f t="shared" si="103"/>
        <v>4</v>
      </c>
      <c r="H3312" t="str">
        <f>IF(ISNUMBER(FIND(",", E3312)), TRIM(MID(E3312, FIND(",", E3312) + 1, LEN(E3312))), E3312)</f>
        <v>Papua New Guinea</v>
      </c>
    </row>
    <row r="3313" spans="1:8" x14ac:dyDescent="0.25">
      <c r="A3313" s="2">
        <v>32957</v>
      </c>
      <c r="B3313">
        <v>37.000999999999998</v>
      </c>
      <c r="C3313">
        <v>72.924999999999997</v>
      </c>
      <c r="D3313" t="s">
        <v>14</v>
      </c>
      <c r="E3313" t="s">
        <v>314</v>
      </c>
      <c r="F3313">
        <f t="shared" si="102"/>
        <v>1990</v>
      </c>
      <c r="G3313">
        <f t="shared" si="103"/>
        <v>3</v>
      </c>
      <c r="H3313" t="str">
        <f>IF(ISNUMBER(FIND(",", E3313)), TRIM(MID(E3313, FIND(",", E3313) + 1, LEN(E3313))), E3313)</f>
        <v>Afghanistan</v>
      </c>
    </row>
    <row r="3314" spans="1:8" x14ac:dyDescent="0.25">
      <c r="A3314" s="2">
        <v>32957</v>
      </c>
      <c r="B3314">
        <v>9.94</v>
      </c>
      <c r="C3314">
        <v>-84.775000000000006</v>
      </c>
      <c r="D3314" t="s">
        <v>14</v>
      </c>
      <c r="E3314" t="s">
        <v>202</v>
      </c>
      <c r="F3314">
        <f t="shared" si="102"/>
        <v>1990</v>
      </c>
      <c r="G3314">
        <f t="shared" si="103"/>
        <v>3</v>
      </c>
      <c r="H3314" t="str">
        <f>IF(ISNUMBER(FIND(",", E3314)), TRIM(MID(E3314, FIND(",", E3314) + 1, LEN(E3314))), E3314)</f>
        <v>Costa Rica</v>
      </c>
    </row>
    <row r="3315" spans="1:8" x14ac:dyDescent="0.25">
      <c r="A3315" s="2">
        <v>32957</v>
      </c>
      <c r="B3315">
        <v>9.8469999999999995</v>
      </c>
      <c r="C3315">
        <v>-84.769000000000005</v>
      </c>
      <c r="D3315" t="s">
        <v>14</v>
      </c>
      <c r="E3315" t="s">
        <v>202</v>
      </c>
      <c r="F3315">
        <f t="shared" si="102"/>
        <v>1990</v>
      </c>
      <c r="G3315">
        <f t="shared" si="103"/>
        <v>3</v>
      </c>
      <c r="H3315" t="str">
        <f>IF(ISNUMBER(FIND(",", E3315)), TRIM(MID(E3315, FIND(",", E3315) + 1, LEN(E3315))), E3315)</f>
        <v>Costa Rica</v>
      </c>
    </row>
    <row r="3316" spans="1:8" x14ac:dyDescent="0.25">
      <c r="A3316" s="2">
        <v>32953</v>
      </c>
      <c r="B3316">
        <v>-31.172000000000001</v>
      </c>
      <c r="C3316">
        <v>-179.01900000000001</v>
      </c>
      <c r="D3316" t="s">
        <v>14</v>
      </c>
      <c r="E3316" t="s">
        <v>240</v>
      </c>
      <c r="F3316">
        <f t="shared" si="102"/>
        <v>1990</v>
      </c>
      <c r="G3316">
        <f t="shared" si="103"/>
        <v>3</v>
      </c>
      <c r="H3316" t="str">
        <f>IF(ISNUMBER(FIND(",", E3316)), TRIM(MID(E3316, FIND(",", E3316) + 1, LEN(E3316))), E3316)</f>
        <v>Kermadec Islands region</v>
      </c>
    </row>
    <row r="3317" spans="1:8" x14ac:dyDescent="0.25">
      <c r="A3317" s="2">
        <v>32948</v>
      </c>
      <c r="B3317">
        <v>24.831</v>
      </c>
      <c r="C3317">
        <v>-109.05</v>
      </c>
      <c r="D3317" t="s">
        <v>14</v>
      </c>
      <c r="E3317" t="s">
        <v>282</v>
      </c>
      <c r="F3317">
        <f t="shared" si="102"/>
        <v>1990</v>
      </c>
      <c r="G3317">
        <f t="shared" si="103"/>
        <v>3</v>
      </c>
      <c r="H3317" t="str">
        <f>IF(ISNUMBER(FIND(",", E3317)), TRIM(MID(E3317, FIND(",", E3317) + 1, LEN(E3317))), E3317)</f>
        <v>Gulf of California</v>
      </c>
    </row>
    <row r="3318" spans="1:8" x14ac:dyDescent="0.25">
      <c r="A3318" s="2">
        <v>32947</v>
      </c>
      <c r="B3318">
        <v>-15.135</v>
      </c>
      <c r="C3318">
        <v>167.37200000000001</v>
      </c>
      <c r="D3318" t="s">
        <v>14</v>
      </c>
      <c r="E3318" t="s">
        <v>181</v>
      </c>
      <c r="F3318">
        <f t="shared" si="102"/>
        <v>1990</v>
      </c>
      <c r="G3318">
        <f t="shared" si="103"/>
        <v>3</v>
      </c>
      <c r="H3318" t="str">
        <f>IF(ISNUMBER(FIND(",", E3318)), TRIM(MID(E3318, FIND(",", E3318) + 1, LEN(E3318))), E3318)</f>
        <v>Vanuatu</v>
      </c>
    </row>
    <row r="3319" spans="1:8" x14ac:dyDescent="0.25">
      <c r="A3319" s="2">
        <v>32944</v>
      </c>
      <c r="B3319">
        <v>51.488</v>
      </c>
      <c r="C3319">
        <v>-175.018</v>
      </c>
      <c r="D3319" t="s">
        <v>14</v>
      </c>
      <c r="E3319" t="s">
        <v>207</v>
      </c>
      <c r="F3319">
        <f t="shared" si="102"/>
        <v>1990</v>
      </c>
      <c r="G3319">
        <f t="shared" si="103"/>
        <v>3</v>
      </c>
      <c r="H3319" t="str">
        <f>IF(ISNUMBER(FIND(",", E3319)), TRIM(MID(E3319, FIND(",", E3319) + 1, LEN(E3319))), E3319)</f>
        <v>Aleutian Islands, Alaska</v>
      </c>
    </row>
    <row r="3320" spans="1:8" x14ac:dyDescent="0.25">
      <c r="A3320" s="2">
        <v>32937</v>
      </c>
      <c r="B3320">
        <v>36.884999999999998</v>
      </c>
      <c r="C3320">
        <v>73.016000000000005</v>
      </c>
      <c r="D3320" t="s">
        <v>14</v>
      </c>
      <c r="E3320" t="s">
        <v>314</v>
      </c>
      <c r="F3320">
        <f t="shared" si="102"/>
        <v>1990</v>
      </c>
      <c r="G3320">
        <f t="shared" si="103"/>
        <v>3</v>
      </c>
      <c r="H3320" t="str">
        <f>IF(ISNUMBER(FIND(",", E3320)), TRIM(MID(E3320, FIND(",", E3320) + 1, LEN(E3320))), E3320)</f>
        <v>Afghanistan</v>
      </c>
    </row>
    <row r="3321" spans="1:8" x14ac:dyDescent="0.25">
      <c r="A3321" s="2">
        <v>32937</v>
      </c>
      <c r="B3321">
        <v>-18.318999999999999</v>
      </c>
      <c r="C3321">
        <v>168.15700000000001</v>
      </c>
      <c r="D3321" t="s">
        <v>14</v>
      </c>
      <c r="E3321" t="s">
        <v>181</v>
      </c>
      <c r="F3321">
        <f t="shared" si="102"/>
        <v>1990</v>
      </c>
      <c r="G3321">
        <f t="shared" si="103"/>
        <v>3</v>
      </c>
      <c r="H3321" t="str">
        <f>IF(ISNUMBER(FIND(",", E3321)), TRIM(MID(E3321, FIND(",", E3321) + 1, LEN(E3321))), E3321)</f>
        <v>Vanuatu</v>
      </c>
    </row>
    <row r="3322" spans="1:8" x14ac:dyDescent="0.25">
      <c r="A3322" s="2">
        <v>32935</v>
      </c>
      <c r="B3322">
        <v>-22.385000000000002</v>
      </c>
      <c r="C3322">
        <v>174.26300000000001</v>
      </c>
      <c r="D3322" t="s">
        <v>14</v>
      </c>
      <c r="E3322" t="s">
        <v>254</v>
      </c>
      <c r="F3322">
        <f t="shared" si="102"/>
        <v>1990</v>
      </c>
      <c r="G3322">
        <f t="shared" si="103"/>
        <v>3</v>
      </c>
      <c r="H3322" t="str">
        <f>IF(ISNUMBER(FIND(",", E3322)), TRIM(MID(E3322, FIND(",", E3322) + 1, LEN(E3322))), E3322)</f>
        <v>southeast of the Loyalty Islands</v>
      </c>
    </row>
    <row r="3323" spans="1:8" x14ac:dyDescent="0.25">
      <c r="A3323" s="2">
        <v>32935</v>
      </c>
      <c r="B3323">
        <v>-21.448</v>
      </c>
      <c r="C3323">
        <v>175.822</v>
      </c>
      <c r="D3323" t="s">
        <v>14</v>
      </c>
      <c r="E3323" t="s">
        <v>256</v>
      </c>
      <c r="F3323">
        <f t="shared" si="102"/>
        <v>1990</v>
      </c>
      <c r="G3323">
        <f t="shared" si="103"/>
        <v>3</v>
      </c>
      <c r="H3323" t="str">
        <f>IF(ISNUMBER(FIND(",", E3323)), TRIM(MID(E3323, FIND(",", E3323) + 1, LEN(E3323))), E3323)</f>
        <v>south of the Fiji Islands</v>
      </c>
    </row>
    <row r="3324" spans="1:8" x14ac:dyDescent="0.25">
      <c r="A3324" s="2">
        <v>32935</v>
      </c>
      <c r="B3324">
        <v>-21.956</v>
      </c>
      <c r="C3324">
        <v>175.25800000000001</v>
      </c>
      <c r="D3324" t="s">
        <v>14</v>
      </c>
      <c r="E3324" t="s">
        <v>256</v>
      </c>
      <c r="F3324">
        <f t="shared" si="102"/>
        <v>1990</v>
      </c>
      <c r="G3324">
        <f t="shared" si="103"/>
        <v>3</v>
      </c>
      <c r="H3324" t="str">
        <f>IF(ISNUMBER(FIND(",", E3324)), TRIM(MID(E3324, FIND(",", E3324) + 1, LEN(E3324))), E3324)</f>
        <v>south of the Fiji Islands</v>
      </c>
    </row>
    <row r="3325" spans="1:8" x14ac:dyDescent="0.25">
      <c r="A3325" s="2">
        <v>32928</v>
      </c>
      <c r="B3325">
        <v>-15.393000000000001</v>
      </c>
      <c r="C3325">
        <v>-175.16</v>
      </c>
      <c r="D3325" t="s">
        <v>14</v>
      </c>
      <c r="E3325" t="s">
        <v>239</v>
      </c>
      <c r="F3325">
        <f t="shared" si="102"/>
        <v>1990</v>
      </c>
      <c r="G3325">
        <f t="shared" si="103"/>
        <v>2</v>
      </c>
      <c r="H3325" t="str">
        <f>IF(ISNUMBER(FIND(",", E3325)), TRIM(MID(E3325, FIND(",", E3325) + 1, LEN(E3325))), E3325)</f>
        <v>Tonga</v>
      </c>
    </row>
    <row r="3326" spans="1:8" x14ac:dyDescent="0.25">
      <c r="A3326" s="2">
        <v>32924</v>
      </c>
      <c r="B3326">
        <v>34.743000000000002</v>
      </c>
      <c r="C3326">
        <v>139.268</v>
      </c>
      <c r="D3326" t="s">
        <v>14</v>
      </c>
      <c r="E3326" t="s">
        <v>360</v>
      </c>
      <c r="F3326">
        <f t="shared" si="102"/>
        <v>1990</v>
      </c>
      <c r="G3326">
        <f t="shared" si="103"/>
        <v>2</v>
      </c>
      <c r="H3326" t="str">
        <f>IF(ISNUMBER(FIND(",", E3326)), TRIM(MID(E3326, FIND(",", E3326) + 1, LEN(E3326))), E3326)</f>
        <v>Japan</v>
      </c>
    </row>
    <row r="3327" spans="1:8" x14ac:dyDescent="0.25">
      <c r="A3327" s="2">
        <v>32923</v>
      </c>
      <c r="B3327">
        <v>-15.483000000000001</v>
      </c>
      <c r="C3327">
        <v>166.47499999999999</v>
      </c>
      <c r="D3327" t="s">
        <v>14</v>
      </c>
      <c r="E3327" t="s">
        <v>181</v>
      </c>
      <c r="F3327">
        <f t="shared" si="102"/>
        <v>1990</v>
      </c>
      <c r="G3327">
        <f t="shared" si="103"/>
        <v>2</v>
      </c>
      <c r="H3327" t="str">
        <f>IF(ISNUMBER(FIND(",", E3327)), TRIM(MID(E3327, FIND(",", E3327) + 1, LEN(E3327))), E3327)</f>
        <v>Vanuatu</v>
      </c>
    </row>
    <row r="3328" spans="1:8" x14ac:dyDescent="0.25">
      <c r="A3328" s="2">
        <v>32923</v>
      </c>
      <c r="B3328">
        <v>-40.368000000000002</v>
      </c>
      <c r="C3328">
        <v>176.19800000000001</v>
      </c>
      <c r="D3328" t="s">
        <v>14</v>
      </c>
      <c r="E3328" t="s">
        <v>188</v>
      </c>
      <c r="F3328">
        <f t="shared" si="102"/>
        <v>1990</v>
      </c>
      <c r="G3328">
        <f t="shared" si="103"/>
        <v>2</v>
      </c>
      <c r="H3328" t="str">
        <f>IF(ISNUMBER(FIND(",", E3328)), TRIM(MID(E3328, FIND(",", E3328) + 1, LEN(E3328))), E3328)</f>
        <v>North Island of New Zealand</v>
      </c>
    </row>
    <row r="3329" spans="1:8" x14ac:dyDescent="0.25">
      <c r="A3329" s="2">
        <v>32921</v>
      </c>
      <c r="B3329">
        <v>29.581</v>
      </c>
      <c r="C3329">
        <v>130.71</v>
      </c>
      <c r="D3329" t="s">
        <v>14</v>
      </c>
      <c r="E3329" t="s">
        <v>340</v>
      </c>
      <c r="F3329">
        <f t="shared" si="102"/>
        <v>1990</v>
      </c>
      <c r="G3329">
        <f t="shared" si="103"/>
        <v>2</v>
      </c>
      <c r="H3329" t="str">
        <f>IF(ISNUMBER(FIND(",", E3329)), TRIM(MID(E3329, FIND(",", E3329) + 1, LEN(E3329))), E3329)</f>
        <v>Japan</v>
      </c>
    </row>
    <row r="3330" spans="1:8" x14ac:dyDescent="0.25">
      <c r="A3330" s="2">
        <v>32912</v>
      </c>
      <c r="B3330">
        <v>9.7360000000000007</v>
      </c>
      <c r="C3330">
        <v>124.53</v>
      </c>
      <c r="D3330" t="s">
        <v>14</v>
      </c>
      <c r="E3330" t="s">
        <v>577</v>
      </c>
      <c r="F3330">
        <f t="shared" ref="F3330:F3393" si="104">YEAR(A3330)</f>
        <v>1990</v>
      </c>
      <c r="G3330">
        <f t="shared" si="103"/>
        <v>2</v>
      </c>
      <c r="H3330" t="str">
        <f>IF(ISNUMBER(FIND(",", E3330)), TRIM(MID(E3330, FIND(",", E3330) + 1, LEN(E3330))), E3330)</f>
        <v>Philippines</v>
      </c>
    </row>
    <row r="3331" spans="1:8" x14ac:dyDescent="0.25">
      <c r="A3331" s="2">
        <v>32912</v>
      </c>
      <c r="B3331">
        <v>9.766</v>
      </c>
      <c r="C3331">
        <v>124.629</v>
      </c>
      <c r="D3331" t="s">
        <v>14</v>
      </c>
      <c r="E3331" t="s">
        <v>577</v>
      </c>
      <c r="F3331">
        <f t="shared" si="104"/>
        <v>1990</v>
      </c>
      <c r="G3331">
        <f t="shared" ref="G3331:G3394" si="105">MONTH(A3331)</f>
        <v>2</v>
      </c>
      <c r="H3331" t="str">
        <f>IF(ISNUMBER(FIND(",", E3331)), TRIM(MID(E3331, FIND(",", E3331) + 1, LEN(E3331))), E3331)</f>
        <v>Philippines</v>
      </c>
    </row>
    <row r="3332" spans="1:8" x14ac:dyDescent="0.25">
      <c r="A3332" s="2">
        <v>32909</v>
      </c>
      <c r="B3332">
        <v>37.045000000000002</v>
      </c>
      <c r="C3332">
        <v>71.245000000000005</v>
      </c>
      <c r="D3332" t="s">
        <v>14</v>
      </c>
      <c r="E3332" t="s">
        <v>314</v>
      </c>
      <c r="F3332">
        <f t="shared" si="104"/>
        <v>1990</v>
      </c>
      <c r="G3332">
        <f t="shared" si="105"/>
        <v>2</v>
      </c>
      <c r="H3332" t="str">
        <f>IF(ISNUMBER(FIND(",", E3332)), TRIM(MID(E3332, FIND(",", E3332) + 1, LEN(E3332))), E3332)</f>
        <v>Afghanistan</v>
      </c>
    </row>
    <row r="3333" spans="1:8" x14ac:dyDescent="0.25">
      <c r="A3333" s="2">
        <v>32895</v>
      </c>
      <c r="B3333">
        <v>3.9089999999999998</v>
      </c>
      <c r="C3333">
        <v>96.058999999999997</v>
      </c>
      <c r="D3333" t="s">
        <v>14</v>
      </c>
      <c r="E3333" t="s">
        <v>226</v>
      </c>
      <c r="F3333">
        <f t="shared" si="104"/>
        <v>1990</v>
      </c>
      <c r="G3333">
        <f t="shared" si="105"/>
        <v>1</v>
      </c>
      <c r="H3333" t="str">
        <f>IF(ISNUMBER(FIND(",", E3333)), TRIM(MID(E3333, FIND(",", E3333) + 1, LEN(E3333))), E3333)</f>
        <v>Indonesia</v>
      </c>
    </row>
    <row r="3334" spans="1:8" x14ac:dyDescent="0.25">
      <c r="A3334" s="2">
        <v>32887</v>
      </c>
      <c r="B3334">
        <v>-29.888000000000002</v>
      </c>
      <c r="C3334">
        <v>-177.28700000000001</v>
      </c>
      <c r="D3334" t="s">
        <v>14</v>
      </c>
      <c r="E3334" t="s">
        <v>288</v>
      </c>
      <c r="F3334">
        <f t="shared" si="104"/>
        <v>1990</v>
      </c>
      <c r="G3334">
        <f t="shared" si="105"/>
        <v>1</v>
      </c>
      <c r="H3334" t="str">
        <f>IF(ISNUMBER(FIND(",", E3334)), TRIM(MID(E3334, FIND(",", E3334) + 1, LEN(E3334))), E3334)</f>
        <v>New Zealand</v>
      </c>
    </row>
    <row r="3335" spans="1:8" x14ac:dyDescent="0.25">
      <c r="A3335" s="2">
        <v>32882</v>
      </c>
      <c r="B3335">
        <v>24.709</v>
      </c>
      <c r="C3335">
        <v>95.212000000000003</v>
      </c>
      <c r="D3335" t="s">
        <v>14</v>
      </c>
      <c r="E3335" t="s">
        <v>197</v>
      </c>
      <c r="F3335">
        <f t="shared" si="104"/>
        <v>1990</v>
      </c>
      <c r="G3335">
        <f t="shared" si="105"/>
        <v>1</v>
      </c>
      <c r="H3335" t="str">
        <f>IF(ISNUMBER(FIND(",", E3335)), TRIM(MID(E3335, FIND(",", E3335) + 1, LEN(E3335))), E3335)</f>
        <v>Myanmar</v>
      </c>
    </row>
    <row r="3336" spans="1:8" x14ac:dyDescent="0.25">
      <c r="A3336" s="2">
        <v>32877</v>
      </c>
      <c r="B3336">
        <v>-15.509</v>
      </c>
      <c r="C3336">
        <v>-172.887</v>
      </c>
      <c r="D3336" t="s">
        <v>14</v>
      </c>
      <c r="E3336" t="s">
        <v>352</v>
      </c>
      <c r="F3336">
        <f t="shared" si="104"/>
        <v>1990</v>
      </c>
      <c r="G3336">
        <f t="shared" si="105"/>
        <v>1</v>
      </c>
      <c r="H3336" t="str">
        <f>IF(ISNUMBER(FIND(",", E3336)), TRIM(MID(E3336, FIND(",", E3336) + 1, LEN(E3336))), E3336)</f>
        <v>Samoa Islands region</v>
      </c>
    </row>
    <row r="3337" spans="1:8" x14ac:dyDescent="0.25">
      <c r="A3337" s="2">
        <v>32872</v>
      </c>
      <c r="B3337">
        <v>-3.44</v>
      </c>
      <c r="C3337">
        <v>146.04599999999999</v>
      </c>
      <c r="D3337" t="s">
        <v>14</v>
      </c>
      <c r="E3337" t="s">
        <v>380</v>
      </c>
      <c r="F3337">
        <f t="shared" si="104"/>
        <v>1989</v>
      </c>
      <c r="G3337">
        <f t="shared" si="105"/>
        <v>12</v>
      </c>
      <c r="H3337" t="str">
        <f>IF(ISNUMBER(FIND(",", E3337)), TRIM(MID(E3337, FIND(",", E3337) + 1, LEN(E3337))), E3337)</f>
        <v>Bismarck Sea</v>
      </c>
    </row>
    <row r="3338" spans="1:8" x14ac:dyDescent="0.25">
      <c r="A3338" s="2">
        <v>32872</v>
      </c>
      <c r="B3338">
        <v>-3.3679999999999999</v>
      </c>
      <c r="C3338">
        <v>146.303</v>
      </c>
      <c r="D3338" t="s">
        <v>14</v>
      </c>
      <c r="E3338" t="s">
        <v>380</v>
      </c>
      <c r="F3338">
        <f t="shared" si="104"/>
        <v>1989</v>
      </c>
      <c r="G3338">
        <f t="shared" si="105"/>
        <v>12</v>
      </c>
      <c r="H3338" t="str">
        <f>IF(ISNUMBER(FIND(",", E3338)), TRIM(MID(E3338, FIND(",", E3338) + 1, LEN(E3338))), E3338)</f>
        <v>Bismarck Sea</v>
      </c>
    </row>
    <row r="3339" spans="1:8" x14ac:dyDescent="0.25">
      <c r="A3339" s="2">
        <v>32865</v>
      </c>
      <c r="B3339">
        <v>17.465</v>
      </c>
      <c r="C3339">
        <v>145.797</v>
      </c>
      <c r="D3339" t="s">
        <v>14</v>
      </c>
      <c r="E3339" t="s">
        <v>546</v>
      </c>
      <c r="F3339">
        <f t="shared" si="104"/>
        <v>1989</v>
      </c>
      <c r="G3339">
        <f t="shared" si="105"/>
        <v>12</v>
      </c>
      <c r="H3339" t="str">
        <f>IF(ISNUMBER(FIND(",", E3339)), TRIM(MID(E3339, FIND(",", E3339) + 1, LEN(E3339))), E3339)</f>
        <v>Northern Mariana Islands</v>
      </c>
    </row>
    <row r="3340" spans="1:8" x14ac:dyDescent="0.25">
      <c r="A3340" s="2">
        <v>32862</v>
      </c>
      <c r="B3340">
        <v>8.1489999999999991</v>
      </c>
      <c r="C3340">
        <v>126.797</v>
      </c>
      <c r="D3340" t="s">
        <v>14</v>
      </c>
      <c r="E3340" t="s">
        <v>200</v>
      </c>
      <c r="F3340">
        <f t="shared" si="104"/>
        <v>1989</v>
      </c>
      <c r="G3340">
        <f t="shared" si="105"/>
        <v>12</v>
      </c>
      <c r="H3340" t="str">
        <f>IF(ISNUMBER(FIND(",", E3340)), TRIM(MID(E3340, FIND(",", E3340) + 1, LEN(E3340))), E3340)</f>
        <v>Philippines</v>
      </c>
    </row>
    <row r="3341" spans="1:8" x14ac:dyDescent="0.25">
      <c r="A3341" s="2">
        <v>32857</v>
      </c>
      <c r="B3341">
        <v>8.3659999999999997</v>
      </c>
      <c r="C3341">
        <v>126.687</v>
      </c>
      <c r="D3341" t="s">
        <v>14</v>
      </c>
      <c r="E3341" t="s">
        <v>200</v>
      </c>
      <c r="F3341">
        <f t="shared" si="104"/>
        <v>1989</v>
      </c>
      <c r="G3341">
        <f t="shared" si="105"/>
        <v>12</v>
      </c>
      <c r="H3341" t="str">
        <f>IF(ISNUMBER(FIND(",", E3341)), TRIM(MID(E3341, FIND(",", E3341) + 1, LEN(E3341))), E3341)</f>
        <v>Philippines</v>
      </c>
    </row>
    <row r="3342" spans="1:8" x14ac:dyDescent="0.25">
      <c r="A3342" s="2">
        <v>32851</v>
      </c>
      <c r="B3342">
        <v>0.17299999999999999</v>
      </c>
      <c r="C3342">
        <v>123.333</v>
      </c>
      <c r="D3342" t="s">
        <v>14</v>
      </c>
      <c r="E3342" t="s">
        <v>263</v>
      </c>
      <c r="F3342">
        <f t="shared" si="104"/>
        <v>1989</v>
      </c>
      <c r="G3342">
        <f t="shared" si="105"/>
        <v>12</v>
      </c>
      <c r="H3342" t="str">
        <f>IF(ISNUMBER(FIND(",", E3342)), TRIM(MID(E3342, FIND(",", E3342) + 1, LEN(E3342))), E3342)</f>
        <v>Sulawesi, Indonesia</v>
      </c>
    </row>
    <row r="3343" spans="1:8" x14ac:dyDescent="0.25">
      <c r="A3343" s="2">
        <v>32850</v>
      </c>
      <c r="B3343">
        <v>10.128</v>
      </c>
      <c r="C3343">
        <v>126.464</v>
      </c>
      <c r="D3343" t="s">
        <v>14</v>
      </c>
      <c r="E3343" t="s">
        <v>213</v>
      </c>
      <c r="F3343">
        <f t="shared" si="104"/>
        <v>1989</v>
      </c>
      <c r="G3343">
        <f t="shared" si="105"/>
        <v>12</v>
      </c>
      <c r="H3343" t="str">
        <f>IF(ISNUMBER(FIND(",", E3343)), TRIM(MID(E3343, FIND(",", E3343) + 1, LEN(E3343))), E3343)</f>
        <v>Philippine Islands region</v>
      </c>
    </row>
    <row r="3344" spans="1:8" x14ac:dyDescent="0.25">
      <c r="A3344" s="2">
        <v>32849</v>
      </c>
      <c r="B3344">
        <v>-6.4039999999999999</v>
      </c>
      <c r="C3344">
        <v>146.464</v>
      </c>
      <c r="D3344" t="s">
        <v>14</v>
      </c>
      <c r="E3344" t="s">
        <v>243</v>
      </c>
      <c r="F3344">
        <f t="shared" si="104"/>
        <v>1989</v>
      </c>
      <c r="G3344">
        <f t="shared" si="105"/>
        <v>12</v>
      </c>
      <c r="H3344" t="str">
        <f>IF(ISNUMBER(FIND(",", E3344)), TRIM(MID(E3344, FIND(",", E3344) + 1, LEN(E3344))), E3344)</f>
        <v>Papua New Guinea</v>
      </c>
    </row>
    <row r="3345" spans="1:8" x14ac:dyDescent="0.25">
      <c r="A3345" s="2">
        <v>32845</v>
      </c>
      <c r="B3345">
        <v>-7.6159999999999997</v>
      </c>
      <c r="C3345">
        <v>-74.418000000000006</v>
      </c>
      <c r="D3345" t="s">
        <v>14</v>
      </c>
      <c r="E3345" t="s">
        <v>277</v>
      </c>
      <c r="F3345">
        <f t="shared" si="104"/>
        <v>1989</v>
      </c>
      <c r="G3345">
        <f t="shared" si="105"/>
        <v>12</v>
      </c>
      <c r="H3345" t="str">
        <f>IF(ISNUMBER(FIND(",", E3345)), TRIM(MID(E3345, FIND(",", E3345) + 1, LEN(E3345))), E3345)</f>
        <v>northern Peru</v>
      </c>
    </row>
    <row r="3346" spans="1:8" x14ac:dyDescent="0.25">
      <c r="A3346" s="2">
        <v>32841</v>
      </c>
      <c r="B3346">
        <v>-25.475999999999999</v>
      </c>
      <c r="C3346">
        <v>179.71799999999999</v>
      </c>
      <c r="D3346" t="s">
        <v>14</v>
      </c>
      <c r="E3346" t="s">
        <v>256</v>
      </c>
      <c r="F3346">
        <f t="shared" si="104"/>
        <v>1989</v>
      </c>
      <c r="G3346">
        <f t="shared" si="105"/>
        <v>11</v>
      </c>
      <c r="H3346" t="str">
        <f>IF(ISNUMBER(FIND(",", E3346)), TRIM(MID(E3346, FIND(",", E3346) + 1, LEN(E3346))), E3346)</f>
        <v>south of the Fiji Islands</v>
      </c>
    </row>
    <row r="3347" spans="1:8" x14ac:dyDescent="0.25">
      <c r="A3347" s="2">
        <v>32841</v>
      </c>
      <c r="B3347">
        <v>-15.82</v>
      </c>
      <c r="C3347">
        <v>-73.16</v>
      </c>
      <c r="D3347" t="s">
        <v>14</v>
      </c>
      <c r="E3347" t="s">
        <v>229</v>
      </c>
      <c r="F3347">
        <f t="shared" si="104"/>
        <v>1989</v>
      </c>
      <c r="G3347">
        <f t="shared" si="105"/>
        <v>11</v>
      </c>
      <c r="H3347" t="str">
        <f>IF(ISNUMBER(FIND(",", E3347)), TRIM(MID(E3347, FIND(",", E3347) + 1, LEN(E3347))), E3347)</f>
        <v>southern Peru</v>
      </c>
    </row>
    <row r="3348" spans="1:8" x14ac:dyDescent="0.25">
      <c r="A3348" s="2">
        <v>32833</v>
      </c>
      <c r="B3348">
        <v>-50.296999999999997</v>
      </c>
      <c r="C3348">
        <v>162.727</v>
      </c>
      <c r="D3348" t="s">
        <v>14</v>
      </c>
      <c r="E3348" t="s">
        <v>404</v>
      </c>
      <c r="F3348">
        <f t="shared" si="104"/>
        <v>1989</v>
      </c>
      <c r="G3348">
        <f t="shared" si="105"/>
        <v>11</v>
      </c>
      <c r="H3348" t="str">
        <f>IF(ISNUMBER(FIND(",", E3348)), TRIM(MID(E3348, FIND(",", E3348) + 1, LEN(E3348))), E3348)</f>
        <v>New Zealand region</v>
      </c>
    </row>
    <row r="3349" spans="1:8" x14ac:dyDescent="0.25">
      <c r="A3349" s="2">
        <v>32831</v>
      </c>
      <c r="B3349">
        <v>-6.4779999999999998</v>
      </c>
      <c r="C3349">
        <v>154.298</v>
      </c>
      <c r="D3349" t="s">
        <v>14</v>
      </c>
      <c r="E3349" t="s">
        <v>290</v>
      </c>
      <c r="F3349">
        <f t="shared" si="104"/>
        <v>1989</v>
      </c>
      <c r="G3349">
        <f t="shared" si="105"/>
        <v>11</v>
      </c>
      <c r="H3349" t="str">
        <f>IF(ISNUMBER(FIND(",", E3349)), TRIM(MID(E3349, FIND(",", E3349) + 1, LEN(E3349))), E3349)</f>
        <v>Papua New Guinea</v>
      </c>
    </row>
    <row r="3350" spans="1:8" x14ac:dyDescent="0.25">
      <c r="A3350" s="2">
        <v>32828</v>
      </c>
      <c r="B3350">
        <v>-17.724</v>
      </c>
      <c r="C3350">
        <v>-178.93100000000001</v>
      </c>
      <c r="D3350" t="s">
        <v>14</v>
      </c>
      <c r="E3350" t="s">
        <v>53</v>
      </c>
      <c r="F3350">
        <f t="shared" si="104"/>
        <v>1989</v>
      </c>
      <c r="G3350">
        <f t="shared" si="105"/>
        <v>11</v>
      </c>
      <c r="H3350" t="str">
        <f>IF(ISNUMBER(FIND(",", E3350)), TRIM(MID(E3350, FIND(",", E3350) + 1, LEN(E3350))), E3350)</f>
        <v>Fiji region</v>
      </c>
    </row>
    <row r="3351" spans="1:8" x14ac:dyDescent="0.25">
      <c r="A3351" s="2">
        <v>32818</v>
      </c>
      <c r="B3351">
        <v>-11.218</v>
      </c>
      <c r="C3351">
        <v>162.494</v>
      </c>
      <c r="D3351" t="s">
        <v>14</v>
      </c>
      <c r="E3351" t="s">
        <v>221</v>
      </c>
      <c r="F3351">
        <f t="shared" si="104"/>
        <v>1989</v>
      </c>
      <c r="G3351">
        <f t="shared" si="105"/>
        <v>11</v>
      </c>
      <c r="H3351" t="str">
        <f>IF(ISNUMBER(FIND(",", E3351)), TRIM(MID(E3351, FIND(",", E3351) + 1, LEN(E3351))), E3351)</f>
        <v>Solomon Islands</v>
      </c>
    </row>
    <row r="3352" spans="1:8" x14ac:dyDescent="0.25">
      <c r="A3352" s="2">
        <v>32813</v>
      </c>
      <c r="B3352">
        <v>39.679000000000002</v>
      </c>
      <c r="C3352">
        <v>143.17599999999999</v>
      </c>
      <c r="D3352" t="s">
        <v>13</v>
      </c>
      <c r="E3352" t="s">
        <v>189</v>
      </c>
      <c r="F3352">
        <f t="shared" si="104"/>
        <v>1989</v>
      </c>
      <c r="G3352">
        <f t="shared" si="105"/>
        <v>11</v>
      </c>
      <c r="H3352" t="str">
        <f>IF(ISNUMBER(FIND(",", E3352)), TRIM(MID(E3352, FIND(",", E3352) + 1, LEN(E3352))), E3352)</f>
        <v>Japan</v>
      </c>
    </row>
    <row r="3353" spans="1:8" x14ac:dyDescent="0.25">
      <c r="A3353" s="2">
        <v>32813</v>
      </c>
      <c r="B3353">
        <v>39.914999999999999</v>
      </c>
      <c r="C3353">
        <v>142.785</v>
      </c>
      <c r="D3353" t="s">
        <v>14</v>
      </c>
      <c r="E3353" t="s">
        <v>227</v>
      </c>
      <c r="F3353">
        <f t="shared" si="104"/>
        <v>1989</v>
      </c>
      <c r="G3353">
        <f t="shared" si="105"/>
        <v>11</v>
      </c>
      <c r="H3353" t="str">
        <f>IF(ISNUMBER(FIND(",", E3353)), TRIM(MID(E3353, FIND(",", E3353) + 1, LEN(E3353))), E3353)</f>
        <v>Japan</v>
      </c>
    </row>
    <row r="3354" spans="1:8" x14ac:dyDescent="0.25">
      <c r="A3354" s="2">
        <v>32813</v>
      </c>
      <c r="B3354">
        <v>-21.111999999999998</v>
      </c>
      <c r="C3354">
        <v>-67.938999999999993</v>
      </c>
      <c r="D3354" t="s">
        <v>14</v>
      </c>
      <c r="E3354" t="s">
        <v>472</v>
      </c>
      <c r="F3354">
        <f t="shared" si="104"/>
        <v>1989</v>
      </c>
      <c r="G3354">
        <f t="shared" si="105"/>
        <v>11</v>
      </c>
      <c r="H3354" t="str">
        <f>IF(ISNUMBER(FIND(",", E3354)), TRIM(MID(E3354, FIND(",", E3354) + 1, LEN(E3354))), E3354)</f>
        <v>Bolivia</v>
      </c>
    </row>
    <row r="3355" spans="1:8" x14ac:dyDescent="0.25">
      <c r="A3355" s="2">
        <v>32810</v>
      </c>
      <c r="B3355">
        <v>39.667999999999999</v>
      </c>
      <c r="C3355">
        <v>143.32599999999999</v>
      </c>
      <c r="D3355" t="s">
        <v>14</v>
      </c>
      <c r="E3355" t="s">
        <v>189</v>
      </c>
      <c r="F3355">
        <f t="shared" si="104"/>
        <v>1989</v>
      </c>
      <c r="G3355">
        <f t="shared" si="105"/>
        <v>10</v>
      </c>
      <c r="H3355" t="str">
        <f>IF(ISNUMBER(FIND(",", E3355)), TRIM(MID(E3355, FIND(",", E3355) + 1, LEN(E3355))), E3355)</f>
        <v>Japan</v>
      </c>
    </row>
    <row r="3356" spans="1:8" x14ac:dyDescent="0.25">
      <c r="A3356" s="2">
        <v>32808</v>
      </c>
      <c r="B3356">
        <v>-10.968999999999999</v>
      </c>
      <c r="C3356">
        <v>162.404</v>
      </c>
      <c r="D3356" t="s">
        <v>14</v>
      </c>
      <c r="E3356" t="s">
        <v>221</v>
      </c>
      <c r="F3356">
        <f t="shared" si="104"/>
        <v>1989</v>
      </c>
      <c r="G3356">
        <f t="shared" si="105"/>
        <v>10</v>
      </c>
      <c r="H3356" t="str">
        <f>IF(ISNUMBER(FIND(",", E3356)), TRIM(MID(E3356, FIND(",", E3356) + 1, LEN(E3356))), E3356)</f>
        <v>Solomon Islands</v>
      </c>
    </row>
    <row r="3357" spans="1:8" x14ac:dyDescent="0.25">
      <c r="A3357" s="2">
        <v>32808</v>
      </c>
      <c r="B3357">
        <v>39.872</v>
      </c>
      <c r="C3357">
        <v>143.68100000000001</v>
      </c>
      <c r="D3357" t="s">
        <v>14</v>
      </c>
      <c r="E3357" t="s">
        <v>189</v>
      </c>
      <c r="F3357">
        <f t="shared" si="104"/>
        <v>1989</v>
      </c>
      <c r="G3357">
        <f t="shared" si="105"/>
        <v>10</v>
      </c>
      <c r="H3357" t="str">
        <f>IF(ISNUMBER(FIND(",", E3357)), TRIM(MID(E3357, FIND(",", E3357) + 1, LEN(E3357))), E3357)</f>
        <v>Japan</v>
      </c>
    </row>
    <row r="3358" spans="1:8" x14ac:dyDescent="0.25">
      <c r="A3358" s="2">
        <v>32804</v>
      </c>
      <c r="B3358">
        <v>-25.722000000000001</v>
      </c>
      <c r="C3358">
        <v>179.87899999999999</v>
      </c>
      <c r="D3358" t="s">
        <v>14</v>
      </c>
      <c r="E3358" t="s">
        <v>256</v>
      </c>
      <c r="F3358">
        <f t="shared" si="104"/>
        <v>1989</v>
      </c>
      <c r="G3358">
        <f t="shared" si="105"/>
        <v>10</v>
      </c>
      <c r="H3358" t="str">
        <f>IF(ISNUMBER(FIND(",", E3358)), TRIM(MID(E3358, FIND(",", E3358) + 1, LEN(E3358))), E3358)</f>
        <v>south of the Fiji Islands</v>
      </c>
    </row>
    <row r="3359" spans="1:8" x14ac:dyDescent="0.25">
      <c r="A3359" s="2">
        <v>32800</v>
      </c>
      <c r="B3359">
        <v>49.936999999999998</v>
      </c>
      <c r="C3359">
        <v>78.971999999999994</v>
      </c>
      <c r="D3359" t="s">
        <v>13</v>
      </c>
      <c r="E3359" t="s">
        <v>571</v>
      </c>
      <c r="F3359">
        <f t="shared" si="104"/>
        <v>1989</v>
      </c>
      <c r="G3359">
        <f t="shared" si="105"/>
        <v>10</v>
      </c>
      <c r="H3359" t="str">
        <f>IF(ISNUMBER(FIND(",", E3359)), TRIM(MID(E3359, FIND(",", E3359) + 1, LEN(E3359))), E3359)</f>
        <v>eastern Kazakhstan</v>
      </c>
    </row>
    <row r="3360" spans="1:8" x14ac:dyDescent="0.25">
      <c r="A3360" s="2">
        <v>32799</v>
      </c>
      <c r="B3360">
        <v>37.11</v>
      </c>
      <c r="C3360">
        <v>-121.77</v>
      </c>
      <c r="D3360" t="s">
        <v>14</v>
      </c>
      <c r="E3360" t="s">
        <v>568</v>
      </c>
      <c r="F3360">
        <f t="shared" si="104"/>
        <v>1989</v>
      </c>
      <c r="G3360">
        <f t="shared" si="105"/>
        <v>10</v>
      </c>
      <c r="H3360" t="str">
        <f>IF(ISNUMBER(FIND(",", E3360)), TRIM(MID(E3360, FIND(",", E3360) + 1, LEN(E3360))), E3360)</f>
        <v>Northern California</v>
      </c>
    </row>
    <row r="3361" spans="1:8" x14ac:dyDescent="0.25">
      <c r="A3361" s="2">
        <v>32799</v>
      </c>
      <c r="B3361">
        <v>37.04</v>
      </c>
      <c r="C3361">
        <v>-121.88</v>
      </c>
      <c r="E3361" t="s">
        <v>568</v>
      </c>
      <c r="F3361">
        <f t="shared" si="104"/>
        <v>1989</v>
      </c>
      <c r="G3361">
        <f t="shared" si="105"/>
        <v>10</v>
      </c>
      <c r="H3361" t="str">
        <f>IF(ISNUMBER(FIND(",", E3361)), TRIM(MID(E3361, FIND(",", E3361) + 1, LEN(E3361))), E3361)</f>
        <v>Northern California</v>
      </c>
    </row>
    <row r="3362" spans="1:8" x14ac:dyDescent="0.25">
      <c r="A3362" s="2">
        <v>32788</v>
      </c>
      <c r="B3362">
        <v>51.195</v>
      </c>
      <c r="C3362">
        <v>-179.233</v>
      </c>
      <c r="D3362" t="s">
        <v>14</v>
      </c>
      <c r="E3362" t="s">
        <v>207</v>
      </c>
      <c r="F3362">
        <f t="shared" si="104"/>
        <v>1989</v>
      </c>
      <c r="G3362">
        <f t="shared" si="105"/>
        <v>10</v>
      </c>
      <c r="H3362" t="str">
        <f>IF(ISNUMBER(FIND(",", E3362)), TRIM(MID(E3362, FIND(",", E3362) + 1, LEN(E3362))), E3362)</f>
        <v>Aleutian Islands, Alaska</v>
      </c>
    </row>
    <row r="3363" spans="1:8" x14ac:dyDescent="0.25">
      <c r="A3363" s="2">
        <v>32788</v>
      </c>
      <c r="B3363">
        <v>51.207000000000001</v>
      </c>
      <c r="C3363">
        <v>-179.22900000000001</v>
      </c>
      <c r="D3363" t="s">
        <v>14</v>
      </c>
      <c r="E3363" t="s">
        <v>207</v>
      </c>
      <c r="F3363">
        <f t="shared" si="104"/>
        <v>1989</v>
      </c>
      <c r="G3363">
        <f t="shared" si="105"/>
        <v>10</v>
      </c>
      <c r="H3363" t="str">
        <f>IF(ISNUMBER(FIND(",", E3363)), TRIM(MID(E3363, FIND(",", E3363) + 1, LEN(E3363))), E3363)</f>
        <v>Aleutian Islands, Alaska</v>
      </c>
    </row>
    <row r="3364" spans="1:8" x14ac:dyDescent="0.25">
      <c r="A3364" s="2">
        <v>32788</v>
      </c>
      <c r="B3364">
        <v>51.319000000000003</v>
      </c>
      <c r="C3364">
        <v>-178.99700000000001</v>
      </c>
      <c r="D3364" t="s">
        <v>14</v>
      </c>
      <c r="E3364" t="s">
        <v>207</v>
      </c>
      <c r="F3364">
        <f t="shared" si="104"/>
        <v>1989</v>
      </c>
      <c r="G3364">
        <f t="shared" si="105"/>
        <v>10</v>
      </c>
      <c r="H3364" t="str">
        <f>IF(ISNUMBER(FIND(",", E3364)), TRIM(MID(E3364, FIND(",", E3364) + 1, LEN(E3364))), E3364)</f>
        <v>Aleutian Islands, Alaska</v>
      </c>
    </row>
    <row r="3365" spans="1:8" x14ac:dyDescent="0.25">
      <c r="A3365" s="2">
        <v>32788</v>
      </c>
      <c r="B3365">
        <v>-20.11</v>
      </c>
      <c r="C3365">
        <v>169.07599999999999</v>
      </c>
      <c r="D3365" t="s">
        <v>14</v>
      </c>
      <c r="E3365" t="s">
        <v>181</v>
      </c>
      <c r="F3365">
        <f t="shared" si="104"/>
        <v>1989</v>
      </c>
      <c r="G3365">
        <f t="shared" si="105"/>
        <v>10</v>
      </c>
      <c r="H3365" t="str">
        <f>IF(ISNUMBER(FIND(",", E3365)), TRIM(MID(E3365, FIND(",", E3365) + 1, LEN(E3365))), E3365)</f>
        <v>Vanuatu</v>
      </c>
    </row>
    <row r="3366" spans="1:8" x14ac:dyDescent="0.25">
      <c r="A3366" s="2">
        <v>32776</v>
      </c>
      <c r="B3366">
        <v>-20.338999999999999</v>
      </c>
      <c r="C3366">
        <v>169.351</v>
      </c>
      <c r="D3366" t="s">
        <v>14</v>
      </c>
      <c r="E3366" t="s">
        <v>181</v>
      </c>
      <c r="F3366">
        <f t="shared" si="104"/>
        <v>1989</v>
      </c>
      <c r="G3366">
        <f t="shared" si="105"/>
        <v>9</v>
      </c>
      <c r="H3366" t="str">
        <f>IF(ISNUMBER(FIND(",", E3366)), TRIM(MID(E3366, FIND(",", E3366) + 1, LEN(E3366))), E3366)</f>
        <v>Vanuatu</v>
      </c>
    </row>
    <row r="3367" spans="1:8" x14ac:dyDescent="0.25">
      <c r="A3367" s="2">
        <v>32773</v>
      </c>
      <c r="B3367">
        <v>31.533000000000001</v>
      </c>
      <c r="C3367">
        <v>102.413</v>
      </c>
      <c r="D3367" t="s">
        <v>14</v>
      </c>
      <c r="E3367" t="s">
        <v>578</v>
      </c>
      <c r="F3367">
        <f t="shared" si="104"/>
        <v>1989</v>
      </c>
      <c r="G3367">
        <f t="shared" si="105"/>
        <v>9</v>
      </c>
      <c r="H3367" t="str">
        <f>IF(ISNUMBER(FIND(",", E3367)), TRIM(MID(E3367, FIND(",", E3367) + 1, LEN(E3367))), E3367)</f>
        <v>China</v>
      </c>
    </row>
    <row r="3368" spans="1:8" x14ac:dyDescent="0.25">
      <c r="A3368" s="2">
        <v>32771</v>
      </c>
      <c r="B3368">
        <v>51.206000000000003</v>
      </c>
      <c r="C3368">
        <v>178.82300000000001</v>
      </c>
      <c r="D3368" t="s">
        <v>14</v>
      </c>
      <c r="E3368" t="s">
        <v>366</v>
      </c>
      <c r="F3368">
        <f t="shared" si="104"/>
        <v>1989</v>
      </c>
      <c r="G3368">
        <f t="shared" si="105"/>
        <v>9</v>
      </c>
      <c r="H3368" t="str">
        <f>IF(ISNUMBER(FIND(",", E3368)), TRIM(MID(E3368, FIND(",", E3368) + 1, LEN(E3368))), E3368)</f>
        <v>Aleutian Islands, Alaska</v>
      </c>
    </row>
    <row r="3369" spans="1:8" x14ac:dyDescent="0.25">
      <c r="A3369" s="2">
        <v>32768</v>
      </c>
      <c r="B3369">
        <v>40.201000000000001</v>
      </c>
      <c r="C3369">
        <v>51.762999999999998</v>
      </c>
      <c r="D3369" t="s">
        <v>14</v>
      </c>
      <c r="E3369" t="s">
        <v>579</v>
      </c>
      <c r="F3369">
        <f t="shared" si="104"/>
        <v>1989</v>
      </c>
      <c r="G3369">
        <f t="shared" si="105"/>
        <v>9</v>
      </c>
      <c r="H3369" t="str">
        <f>IF(ISNUMBER(FIND(",", E3369)), TRIM(MID(E3369, FIND(",", E3369) + 1, LEN(E3369))), E3369)</f>
        <v>offshore Turkmenistan</v>
      </c>
    </row>
    <row r="3370" spans="1:8" x14ac:dyDescent="0.25">
      <c r="A3370" s="2">
        <v>32767</v>
      </c>
      <c r="B3370">
        <v>16.463000000000001</v>
      </c>
      <c r="C3370">
        <v>-93.66</v>
      </c>
      <c r="D3370" t="s">
        <v>14</v>
      </c>
      <c r="E3370" t="s">
        <v>421</v>
      </c>
      <c r="F3370">
        <f t="shared" si="104"/>
        <v>1989</v>
      </c>
      <c r="G3370">
        <f t="shared" si="105"/>
        <v>9</v>
      </c>
      <c r="H3370" t="str">
        <f>IF(ISNUMBER(FIND(",", E3370)), TRIM(MID(E3370, FIND(",", E3370) + 1, LEN(E3370))), E3370)</f>
        <v>Mexico</v>
      </c>
    </row>
    <row r="3371" spans="1:8" x14ac:dyDescent="0.25">
      <c r="A3371" s="2">
        <v>32767</v>
      </c>
      <c r="B3371">
        <v>40.341000000000001</v>
      </c>
      <c r="C3371">
        <v>51.554000000000002</v>
      </c>
      <c r="D3371" t="s">
        <v>14</v>
      </c>
      <c r="E3371" t="s">
        <v>579</v>
      </c>
      <c r="F3371">
        <f t="shared" si="104"/>
        <v>1989</v>
      </c>
      <c r="G3371">
        <f t="shared" si="105"/>
        <v>9</v>
      </c>
      <c r="H3371" t="str">
        <f>IF(ISNUMBER(FIND(",", E3371)), TRIM(MID(E3371, FIND(",", E3371) + 1, LEN(E3371))), E3371)</f>
        <v>offshore Turkmenistan</v>
      </c>
    </row>
    <row r="3372" spans="1:8" x14ac:dyDescent="0.25">
      <c r="A3372" s="2">
        <v>32765</v>
      </c>
      <c r="B3372">
        <v>1.657</v>
      </c>
      <c r="C3372">
        <v>127.32899999999999</v>
      </c>
      <c r="D3372" t="s">
        <v>14</v>
      </c>
      <c r="E3372" t="s">
        <v>311</v>
      </c>
      <c r="F3372">
        <f t="shared" si="104"/>
        <v>1989</v>
      </c>
      <c r="G3372">
        <f t="shared" si="105"/>
        <v>9</v>
      </c>
      <c r="H3372" t="str">
        <f>IF(ISNUMBER(FIND(",", E3372)), TRIM(MID(E3372, FIND(",", E3372) + 1, LEN(E3372))), E3372)</f>
        <v>Indonesia</v>
      </c>
    </row>
    <row r="3373" spans="1:8" x14ac:dyDescent="0.25">
      <c r="A3373" s="2">
        <v>32764</v>
      </c>
      <c r="B3373">
        <v>-35.421999999999997</v>
      </c>
      <c r="C3373">
        <v>-17.538</v>
      </c>
      <c r="D3373" t="s">
        <v>14</v>
      </c>
      <c r="E3373" t="s">
        <v>422</v>
      </c>
      <c r="F3373">
        <f t="shared" si="104"/>
        <v>1989</v>
      </c>
      <c r="G3373">
        <f t="shared" si="105"/>
        <v>9</v>
      </c>
      <c r="H3373" t="str">
        <f>IF(ISNUMBER(FIND(",", E3373)), TRIM(MID(E3373, FIND(",", E3373) + 1, LEN(E3373))), E3373)</f>
        <v>southern Mid-Atlantic Ridge</v>
      </c>
    </row>
    <row r="3374" spans="1:8" x14ac:dyDescent="0.25">
      <c r="A3374" s="2">
        <v>32755</v>
      </c>
      <c r="B3374">
        <v>-32.956000000000003</v>
      </c>
      <c r="C3374">
        <v>-178.643</v>
      </c>
      <c r="D3374" t="s">
        <v>14</v>
      </c>
      <c r="E3374" t="s">
        <v>262</v>
      </c>
      <c r="F3374">
        <f t="shared" si="104"/>
        <v>1989</v>
      </c>
      <c r="G3374">
        <f t="shared" si="105"/>
        <v>9</v>
      </c>
      <c r="H3374" t="str">
        <f>IF(ISNUMBER(FIND(",", E3374)), TRIM(MID(E3374, FIND(",", E3374) + 1, LEN(E3374))), E3374)</f>
        <v>south of the Kermadec Islands</v>
      </c>
    </row>
    <row r="3375" spans="1:8" x14ac:dyDescent="0.25">
      <c r="A3375" s="2">
        <v>32755</v>
      </c>
      <c r="B3375">
        <v>55.591000000000001</v>
      </c>
      <c r="C3375">
        <v>-156.864</v>
      </c>
      <c r="D3375" t="s">
        <v>14</v>
      </c>
      <c r="E3375" t="s">
        <v>493</v>
      </c>
      <c r="F3375">
        <f t="shared" si="104"/>
        <v>1989</v>
      </c>
      <c r="G3375">
        <f t="shared" si="105"/>
        <v>9</v>
      </c>
      <c r="H3375" t="str">
        <f>IF(ISNUMBER(FIND(",", E3375)), TRIM(MID(E3375, FIND(",", E3375) + 1, LEN(E3375))), E3375)</f>
        <v>south of Alaska</v>
      </c>
    </row>
    <row r="3376" spans="1:8" x14ac:dyDescent="0.25">
      <c r="A3376" s="2">
        <v>32755</v>
      </c>
      <c r="B3376">
        <v>-4.2549999999999999</v>
      </c>
      <c r="C3376">
        <v>136.72</v>
      </c>
      <c r="D3376" t="s">
        <v>14</v>
      </c>
      <c r="E3376" t="s">
        <v>204</v>
      </c>
      <c r="F3376">
        <f t="shared" si="104"/>
        <v>1989</v>
      </c>
      <c r="G3376">
        <f t="shared" si="105"/>
        <v>9</v>
      </c>
      <c r="H3376" t="str">
        <f>IF(ISNUMBER(FIND(",", E3376)), TRIM(MID(E3376, FIND(",", E3376) + 1, LEN(E3376))), E3376)</f>
        <v>Indonesia</v>
      </c>
    </row>
    <row r="3377" spans="1:8" x14ac:dyDescent="0.25">
      <c r="A3377" s="2">
        <v>32749</v>
      </c>
      <c r="B3377">
        <v>18.018999999999998</v>
      </c>
      <c r="C3377">
        <v>-105.69</v>
      </c>
      <c r="D3377" t="s">
        <v>14</v>
      </c>
      <c r="E3377" t="s">
        <v>315</v>
      </c>
      <c r="F3377">
        <f t="shared" si="104"/>
        <v>1989</v>
      </c>
      <c r="G3377">
        <f t="shared" si="105"/>
        <v>8</v>
      </c>
      <c r="H3377" t="str">
        <f>IF(ISNUMBER(FIND(",", E3377)), TRIM(MID(E3377, FIND(",", E3377) + 1, LEN(E3377))), E3377)</f>
        <v>Mexico</v>
      </c>
    </row>
    <row r="3378" spans="1:8" x14ac:dyDescent="0.25">
      <c r="A3378" s="2">
        <v>32741</v>
      </c>
      <c r="B3378">
        <v>24.120999999999999</v>
      </c>
      <c r="C3378">
        <v>122.46599999999999</v>
      </c>
      <c r="D3378" t="s">
        <v>14</v>
      </c>
      <c r="E3378" t="s">
        <v>363</v>
      </c>
      <c r="F3378">
        <f t="shared" si="104"/>
        <v>1989</v>
      </c>
      <c r="G3378">
        <f t="shared" si="105"/>
        <v>8</v>
      </c>
      <c r="H3378" t="str">
        <f>IF(ISNUMBER(FIND(",", E3378)), TRIM(MID(E3378, FIND(",", E3378) + 1, LEN(E3378))), E3378)</f>
        <v>Taiwan region</v>
      </c>
    </row>
    <row r="3379" spans="1:8" x14ac:dyDescent="0.25">
      <c r="A3379" s="2">
        <v>32741</v>
      </c>
      <c r="B3379">
        <v>-4.1079999999999997</v>
      </c>
      <c r="C3379">
        <v>154.535</v>
      </c>
      <c r="D3379" t="s">
        <v>14</v>
      </c>
      <c r="E3379" t="s">
        <v>290</v>
      </c>
      <c r="F3379">
        <f t="shared" si="104"/>
        <v>1989</v>
      </c>
      <c r="G3379">
        <f t="shared" si="105"/>
        <v>8</v>
      </c>
      <c r="H3379" t="str">
        <f>IF(ISNUMBER(FIND(",", E3379)), TRIM(MID(E3379, FIND(",", E3379) + 1, LEN(E3379))), E3379)</f>
        <v>Papua New Guinea</v>
      </c>
    </row>
    <row r="3380" spans="1:8" x14ac:dyDescent="0.25">
      <c r="A3380" s="2">
        <v>32741</v>
      </c>
      <c r="B3380">
        <v>11.954000000000001</v>
      </c>
      <c r="C3380">
        <v>41.767000000000003</v>
      </c>
      <c r="D3380" t="s">
        <v>14</v>
      </c>
      <c r="E3380" t="s">
        <v>580</v>
      </c>
      <c r="F3380">
        <f t="shared" si="104"/>
        <v>1989</v>
      </c>
      <c r="G3380">
        <f t="shared" si="105"/>
        <v>8</v>
      </c>
      <c r="H3380" t="str">
        <f>IF(ISNUMBER(FIND(",", E3380)), TRIM(MID(E3380, FIND(",", E3380) + 1, LEN(E3380))), E3380)</f>
        <v>Ethiopia</v>
      </c>
    </row>
    <row r="3381" spans="1:8" x14ac:dyDescent="0.25">
      <c r="A3381" s="2">
        <v>32741</v>
      </c>
      <c r="B3381">
        <v>11.858000000000001</v>
      </c>
      <c r="C3381">
        <v>41.841000000000001</v>
      </c>
      <c r="D3381" t="s">
        <v>14</v>
      </c>
      <c r="E3381" t="s">
        <v>580</v>
      </c>
      <c r="F3381">
        <f t="shared" si="104"/>
        <v>1989</v>
      </c>
      <c r="G3381">
        <f t="shared" si="105"/>
        <v>8</v>
      </c>
      <c r="H3381" t="str">
        <f>IF(ISNUMBER(FIND(",", E3381)), TRIM(MID(E3381, FIND(",", E3381) + 1, LEN(E3381))), E3381)</f>
        <v>Ethiopia</v>
      </c>
    </row>
    <row r="3382" spans="1:8" x14ac:dyDescent="0.25">
      <c r="A3382" s="2">
        <v>32740</v>
      </c>
      <c r="B3382">
        <v>11.895</v>
      </c>
      <c r="C3382">
        <v>41.807000000000002</v>
      </c>
      <c r="D3382" t="s">
        <v>14</v>
      </c>
      <c r="E3382" t="s">
        <v>580</v>
      </c>
      <c r="F3382">
        <f t="shared" si="104"/>
        <v>1989</v>
      </c>
      <c r="G3382">
        <f t="shared" si="105"/>
        <v>8</v>
      </c>
      <c r="H3382" t="str">
        <f>IF(ISNUMBER(FIND(",", E3382)), TRIM(MID(E3382, FIND(",", E3382) + 1, LEN(E3382))), E3382)</f>
        <v>Ethiopia</v>
      </c>
    </row>
    <row r="3383" spans="1:8" x14ac:dyDescent="0.25">
      <c r="A3383" s="2">
        <v>32740</v>
      </c>
      <c r="B3383">
        <v>11.813000000000001</v>
      </c>
      <c r="C3383">
        <v>41.7</v>
      </c>
      <c r="D3383" t="s">
        <v>14</v>
      </c>
      <c r="E3383" t="s">
        <v>580</v>
      </c>
      <c r="F3383">
        <f t="shared" si="104"/>
        <v>1989</v>
      </c>
      <c r="G3383">
        <f t="shared" si="105"/>
        <v>8</v>
      </c>
      <c r="H3383" t="str">
        <f>IF(ISNUMBER(FIND(",", E3383)), TRIM(MID(E3383, FIND(",", E3383) + 1, LEN(E3383))), E3383)</f>
        <v>Ethiopia</v>
      </c>
    </row>
    <row r="3384" spans="1:8" x14ac:dyDescent="0.25">
      <c r="A3384" s="2">
        <v>32740</v>
      </c>
      <c r="B3384">
        <v>11.803000000000001</v>
      </c>
      <c r="C3384">
        <v>41.945999999999998</v>
      </c>
      <c r="D3384" t="s">
        <v>14</v>
      </c>
      <c r="E3384" t="s">
        <v>569</v>
      </c>
      <c r="F3384">
        <f t="shared" si="104"/>
        <v>1989</v>
      </c>
      <c r="G3384">
        <f t="shared" si="105"/>
        <v>8</v>
      </c>
      <c r="H3384" t="str">
        <f>IF(ISNUMBER(FIND(",", E3384)), TRIM(MID(E3384, FIND(",", E3384) + 1, LEN(E3384))), E3384)</f>
        <v>Djibouti</v>
      </c>
    </row>
    <row r="3385" spans="1:8" x14ac:dyDescent="0.25">
      <c r="A3385" s="2">
        <v>32740</v>
      </c>
      <c r="B3385">
        <v>11.901</v>
      </c>
      <c r="C3385">
        <v>41.811</v>
      </c>
      <c r="D3385" t="s">
        <v>14</v>
      </c>
      <c r="E3385" t="s">
        <v>580</v>
      </c>
      <c r="F3385">
        <f t="shared" si="104"/>
        <v>1989</v>
      </c>
      <c r="G3385">
        <f t="shared" si="105"/>
        <v>8</v>
      </c>
      <c r="H3385" t="str">
        <f>IF(ISNUMBER(FIND(",", E3385)), TRIM(MID(E3385, FIND(",", E3385) + 1, LEN(E3385))), E3385)</f>
        <v>Ethiopia</v>
      </c>
    </row>
    <row r="3386" spans="1:8" x14ac:dyDescent="0.25">
      <c r="A3386" s="2">
        <v>32740</v>
      </c>
      <c r="B3386">
        <v>11.749000000000001</v>
      </c>
      <c r="C3386">
        <v>41.960999999999999</v>
      </c>
      <c r="D3386" t="s">
        <v>14</v>
      </c>
      <c r="E3386" t="s">
        <v>569</v>
      </c>
      <c r="F3386">
        <f t="shared" si="104"/>
        <v>1989</v>
      </c>
      <c r="G3386">
        <f t="shared" si="105"/>
        <v>8</v>
      </c>
      <c r="H3386" t="str">
        <f>IF(ISNUMBER(FIND(",", E3386)), TRIM(MID(E3386, FIND(",", E3386) + 1, LEN(E3386))), E3386)</f>
        <v>Djibouti</v>
      </c>
    </row>
    <row r="3387" spans="1:8" x14ac:dyDescent="0.25">
      <c r="A3387" s="2">
        <v>32734</v>
      </c>
      <c r="B3387">
        <v>-19.018000000000001</v>
      </c>
      <c r="C3387">
        <v>176.73099999999999</v>
      </c>
      <c r="D3387" t="s">
        <v>14</v>
      </c>
      <c r="E3387" t="s">
        <v>256</v>
      </c>
      <c r="F3387">
        <f t="shared" si="104"/>
        <v>1989</v>
      </c>
      <c r="G3387">
        <f t="shared" si="105"/>
        <v>8</v>
      </c>
      <c r="H3387" t="str">
        <f>IF(ISNUMBER(FIND(",", E3387)), TRIM(MID(E3387, FIND(",", E3387) + 1, LEN(E3387))), E3387)</f>
        <v>south of the Fiji Islands</v>
      </c>
    </row>
    <row r="3388" spans="1:8" x14ac:dyDescent="0.25">
      <c r="A3388" s="2">
        <v>32730</v>
      </c>
      <c r="B3388">
        <v>5.9059999999999997</v>
      </c>
      <c r="C3388">
        <v>124.379</v>
      </c>
      <c r="D3388" t="s">
        <v>14</v>
      </c>
      <c r="E3388" t="s">
        <v>200</v>
      </c>
      <c r="F3388">
        <f t="shared" si="104"/>
        <v>1989</v>
      </c>
      <c r="G3388">
        <f t="shared" si="105"/>
        <v>8</v>
      </c>
      <c r="H3388" t="str">
        <f>IF(ISNUMBER(FIND(",", E3388)), TRIM(MID(E3388, FIND(",", E3388) + 1, LEN(E3388))), E3388)</f>
        <v>Philippines</v>
      </c>
    </row>
    <row r="3389" spans="1:8" x14ac:dyDescent="0.25">
      <c r="A3389" s="2">
        <v>32723</v>
      </c>
      <c r="B3389">
        <v>23.087</v>
      </c>
      <c r="C3389">
        <v>121.90600000000001</v>
      </c>
      <c r="D3389" t="s">
        <v>14</v>
      </c>
      <c r="E3389" t="s">
        <v>336</v>
      </c>
      <c r="F3389">
        <f t="shared" si="104"/>
        <v>1989</v>
      </c>
      <c r="G3389">
        <f t="shared" si="105"/>
        <v>8</v>
      </c>
      <c r="H3389" t="str">
        <f>IF(ISNUMBER(FIND(",", E3389)), TRIM(MID(E3389, FIND(",", E3389) + 1, LEN(E3389))), E3389)</f>
        <v>Taiwan</v>
      </c>
    </row>
    <row r="3390" spans="1:8" x14ac:dyDescent="0.25">
      <c r="A3390" s="2">
        <v>32721</v>
      </c>
      <c r="B3390">
        <v>-4.4790000000000001</v>
      </c>
      <c r="C3390">
        <v>138.98400000000001</v>
      </c>
      <c r="D3390" t="s">
        <v>14</v>
      </c>
      <c r="E3390" t="s">
        <v>210</v>
      </c>
      <c r="F3390">
        <f t="shared" si="104"/>
        <v>1989</v>
      </c>
      <c r="G3390">
        <f t="shared" si="105"/>
        <v>8</v>
      </c>
      <c r="H3390" t="str">
        <f>IF(ISNUMBER(FIND(",", E3390)), TRIM(MID(E3390, FIND(",", E3390) + 1, LEN(E3390))), E3390)</f>
        <v>Indonesia</v>
      </c>
    </row>
    <row r="3391" spans="1:8" x14ac:dyDescent="0.25">
      <c r="A3391" s="2">
        <v>32720</v>
      </c>
      <c r="B3391">
        <v>-7.923</v>
      </c>
      <c r="C3391">
        <v>121.09699999999999</v>
      </c>
      <c r="D3391" t="s">
        <v>14</v>
      </c>
      <c r="E3391" t="s">
        <v>438</v>
      </c>
      <c r="F3391">
        <f t="shared" si="104"/>
        <v>1989</v>
      </c>
      <c r="G3391">
        <f t="shared" si="105"/>
        <v>7</v>
      </c>
      <c r="H3391" t="str">
        <f>IF(ISNUMBER(FIND(",", E3391)), TRIM(MID(E3391, FIND(",", E3391) + 1, LEN(E3391))), E3391)</f>
        <v>Flores Sea</v>
      </c>
    </row>
    <row r="3392" spans="1:8" x14ac:dyDescent="0.25">
      <c r="A3392" s="2">
        <v>32711</v>
      </c>
      <c r="B3392">
        <v>2.3149999999999999</v>
      </c>
      <c r="C3392">
        <v>128.18600000000001</v>
      </c>
      <c r="D3392" t="s">
        <v>14</v>
      </c>
      <c r="E3392" t="s">
        <v>311</v>
      </c>
      <c r="F3392">
        <f t="shared" si="104"/>
        <v>1989</v>
      </c>
      <c r="G3392">
        <f t="shared" si="105"/>
        <v>7</v>
      </c>
      <c r="H3392" t="str">
        <f>IF(ISNUMBER(FIND(",", E3392)), TRIM(MID(E3392, FIND(",", E3392) + 1, LEN(E3392))), E3392)</f>
        <v>Indonesia</v>
      </c>
    </row>
    <row r="3393" spans="1:8" x14ac:dyDescent="0.25">
      <c r="A3393" s="2">
        <v>32703</v>
      </c>
      <c r="B3393">
        <v>-8.1129999999999995</v>
      </c>
      <c r="C3393">
        <v>125.09099999999999</v>
      </c>
      <c r="D3393" t="s">
        <v>14</v>
      </c>
      <c r="E3393" t="s">
        <v>553</v>
      </c>
      <c r="F3393">
        <f t="shared" si="104"/>
        <v>1989</v>
      </c>
      <c r="G3393">
        <f t="shared" si="105"/>
        <v>7</v>
      </c>
      <c r="H3393" t="str">
        <f>IF(ISNUMBER(FIND(",", E3393)), TRIM(MID(E3393, FIND(",", E3393) + 1, LEN(E3393))), E3393)</f>
        <v>East Timor region</v>
      </c>
    </row>
    <row r="3394" spans="1:8" x14ac:dyDescent="0.25">
      <c r="A3394" s="2">
        <v>32685</v>
      </c>
      <c r="B3394">
        <v>19.416</v>
      </c>
      <c r="C3394">
        <v>-155.148</v>
      </c>
      <c r="D3394" t="s">
        <v>14</v>
      </c>
      <c r="E3394" t="s">
        <v>436</v>
      </c>
      <c r="F3394">
        <f t="shared" ref="F3394:F3457" si="106">YEAR(A3394)</f>
        <v>1989</v>
      </c>
      <c r="G3394">
        <f t="shared" si="105"/>
        <v>6</v>
      </c>
      <c r="H3394" t="str">
        <f>IF(ISNUMBER(FIND(",", E3394)), TRIM(MID(E3394, FIND(",", E3394) + 1, LEN(E3394))), E3394)</f>
        <v>Hawaii</v>
      </c>
    </row>
    <row r="3395" spans="1:8" x14ac:dyDescent="0.25">
      <c r="A3395" s="2">
        <v>32684</v>
      </c>
      <c r="B3395">
        <v>1.137</v>
      </c>
      <c r="C3395">
        <v>-79.58</v>
      </c>
      <c r="D3395" t="s">
        <v>14</v>
      </c>
      <c r="E3395" t="s">
        <v>457</v>
      </c>
      <c r="F3395">
        <f t="shared" si="106"/>
        <v>1989</v>
      </c>
      <c r="G3395">
        <f t="shared" ref="G3395:G3458" si="107">MONTH(A3395)</f>
        <v>6</v>
      </c>
      <c r="H3395" t="str">
        <f>IF(ISNUMBER(FIND(",", E3395)), TRIM(MID(E3395, FIND(",", E3395) + 1, LEN(E3395))), E3395)</f>
        <v>near the coast of Ecuador</v>
      </c>
    </row>
    <row r="3396" spans="1:8" x14ac:dyDescent="0.25">
      <c r="A3396" s="2">
        <v>32675</v>
      </c>
      <c r="B3396">
        <v>31.844000000000001</v>
      </c>
      <c r="C3396">
        <v>138.066</v>
      </c>
      <c r="D3396" t="s">
        <v>14</v>
      </c>
      <c r="E3396" t="s">
        <v>88</v>
      </c>
      <c r="F3396">
        <f t="shared" si="106"/>
        <v>1989</v>
      </c>
      <c r="G3396">
        <f t="shared" si="107"/>
        <v>6</v>
      </c>
      <c r="H3396" t="str">
        <f>IF(ISNUMBER(FIND(",", E3396)), TRIM(MID(E3396, FIND(",", E3396) + 1, LEN(E3396))), E3396)</f>
        <v>Japan region</v>
      </c>
    </row>
    <row r="3397" spans="1:8" x14ac:dyDescent="0.25">
      <c r="A3397" s="2">
        <v>32659</v>
      </c>
      <c r="B3397">
        <v>-45.302</v>
      </c>
      <c r="C3397">
        <v>167.07</v>
      </c>
      <c r="D3397" t="s">
        <v>14</v>
      </c>
      <c r="E3397" t="s">
        <v>300</v>
      </c>
      <c r="F3397">
        <f t="shared" si="106"/>
        <v>1989</v>
      </c>
      <c r="G3397">
        <f t="shared" si="107"/>
        <v>5</v>
      </c>
      <c r="H3397" t="str">
        <f>IF(ISNUMBER(FIND(",", E3397)), TRIM(MID(E3397, FIND(",", E3397) + 1, LEN(E3397))), E3397)</f>
        <v>South Island of New Zealand</v>
      </c>
    </row>
    <row r="3398" spans="1:8" x14ac:dyDescent="0.25">
      <c r="A3398" s="2">
        <v>32655</v>
      </c>
      <c r="B3398">
        <v>-54.762</v>
      </c>
      <c r="C3398">
        <v>-132.58500000000001</v>
      </c>
      <c r="D3398" t="s">
        <v>14</v>
      </c>
      <c r="E3398" t="s">
        <v>179</v>
      </c>
      <c r="F3398">
        <f t="shared" si="106"/>
        <v>1989</v>
      </c>
      <c r="G3398">
        <f t="shared" si="107"/>
        <v>5</v>
      </c>
      <c r="H3398" t="str">
        <f>IF(ISNUMBER(FIND(",", E3398)), TRIM(MID(E3398, FIND(",", E3398) + 1, LEN(E3398))), E3398)</f>
        <v>Pacific-Antarctic Ridge</v>
      </c>
    </row>
    <row r="3399" spans="1:8" x14ac:dyDescent="0.25">
      <c r="A3399" s="2">
        <v>32652</v>
      </c>
      <c r="B3399">
        <v>56.173999999999999</v>
      </c>
      <c r="C3399">
        <v>164.16399999999999</v>
      </c>
      <c r="D3399" t="s">
        <v>14</v>
      </c>
      <c r="E3399" t="s">
        <v>443</v>
      </c>
      <c r="F3399">
        <f t="shared" si="106"/>
        <v>1989</v>
      </c>
      <c r="G3399">
        <f t="shared" si="107"/>
        <v>5</v>
      </c>
      <c r="H3399" t="str">
        <f>IF(ISNUMBER(FIND(",", E3399)), TRIM(MID(E3399, FIND(",", E3399) + 1, LEN(E3399))), E3399)</f>
        <v>Russia region</v>
      </c>
    </row>
    <row r="3400" spans="1:8" x14ac:dyDescent="0.25">
      <c r="A3400" s="2">
        <v>32651</v>
      </c>
      <c r="B3400">
        <v>-52.506999999999998</v>
      </c>
      <c r="C3400">
        <v>160.596</v>
      </c>
      <c r="D3400" t="s">
        <v>14</v>
      </c>
      <c r="E3400" t="s">
        <v>350</v>
      </c>
      <c r="F3400">
        <f t="shared" si="106"/>
        <v>1989</v>
      </c>
      <c r="G3400">
        <f t="shared" si="107"/>
        <v>5</v>
      </c>
      <c r="H3400" t="str">
        <f>IF(ISNUMBER(FIND(",", E3400)), TRIM(MID(E3400, FIND(",", E3400) + 1, LEN(E3400))), E3400)</f>
        <v>Macquarie Island region</v>
      </c>
    </row>
    <row r="3401" spans="1:8" x14ac:dyDescent="0.25">
      <c r="A3401" s="2">
        <v>32648</v>
      </c>
      <c r="B3401">
        <v>-30.608000000000001</v>
      </c>
      <c r="C3401">
        <v>-178.11</v>
      </c>
      <c r="D3401" t="s">
        <v>14</v>
      </c>
      <c r="E3401" t="s">
        <v>288</v>
      </c>
      <c r="F3401">
        <f t="shared" si="106"/>
        <v>1989</v>
      </c>
      <c r="G3401">
        <f t="shared" si="107"/>
        <v>5</v>
      </c>
      <c r="H3401" t="str">
        <f>IF(ISNUMBER(FIND(",", E3401)), TRIM(MID(E3401, FIND(",", E3401) + 1, LEN(E3401))), E3401)</f>
        <v>New Zealand</v>
      </c>
    </row>
    <row r="3402" spans="1:8" x14ac:dyDescent="0.25">
      <c r="A3402" s="2">
        <v>32647</v>
      </c>
      <c r="B3402">
        <v>54.265000000000001</v>
      </c>
      <c r="C3402">
        <v>-165.6</v>
      </c>
      <c r="D3402" t="s">
        <v>14</v>
      </c>
      <c r="E3402" t="s">
        <v>219</v>
      </c>
      <c r="F3402">
        <f t="shared" si="106"/>
        <v>1989</v>
      </c>
      <c r="G3402">
        <f t="shared" si="107"/>
        <v>5</v>
      </c>
      <c r="H3402" t="str">
        <f>IF(ISNUMBER(FIND(",", E3402)), TRIM(MID(E3402, FIND(",", E3402) + 1, LEN(E3402))), E3402)</f>
        <v>Aleutian Islands, Alaska</v>
      </c>
    </row>
    <row r="3403" spans="1:8" x14ac:dyDescent="0.25">
      <c r="A3403" s="2">
        <v>32642</v>
      </c>
      <c r="B3403">
        <v>-30.614999999999998</v>
      </c>
      <c r="C3403">
        <v>-178.16399999999999</v>
      </c>
      <c r="D3403" t="s">
        <v>14</v>
      </c>
      <c r="E3403" t="s">
        <v>288</v>
      </c>
      <c r="F3403">
        <f t="shared" si="106"/>
        <v>1989</v>
      </c>
      <c r="G3403">
        <f t="shared" si="107"/>
        <v>5</v>
      </c>
      <c r="H3403" t="str">
        <f>IF(ISNUMBER(FIND(",", E3403)), TRIM(MID(E3403, FIND(",", E3403) + 1, LEN(E3403))), E3403)</f>
        <v>New Zealand</v>
      </c>
    </row>
    <row r="3404" spans="1:8" x14ac:dyDescent="0.25">
      <c r="A3404" s="2">
        <v>32636</v>
      </c>
      <c r="B3404">
        <v>-23.46</v>
      </c>
      <c r="C3404">
        <v>-179.86199999999999</v>
      </c>
      <c r="D3404" t="s">
        <v>14</v>
      </c>
      <c r="E3404" t="s">
        <v>256</v>
      </c>
      <c r="F3404">
        <f t="shared" si="106"/>
        <v>1989</v>
      </c>
      <c r="G3404">
        <f t="shared" si="107"/>
        <v>5</v>
      </c>
      <c r="H3404" t="str">
        <f>IF(ISNUMBER(FIND(",", E3404)), TRIM(MID(E3404, FIND(",", E3404) + 1, LEN(E3404))), E3404)</f>
        <v>south of the Fiji Islands</v>
      </c>
    </row>
    <row r="3405" spans="1:8" x14ac:dyDescent="0.25">
      <c r="A3405" s="2">
        <v>32633</v>
      </c>
      <c r="B3405">
        <v>-8.3130000000000006</v>
      </c>
      <c r="C3405">
        <v>-71.402000000000001</v>
      </c>
      <c r="D3405" t="s">
        <v>14</v>
      </c>
      <c r="E3405" t="s">
        <v>326</v>
      </c>
      <c r="F3405">
        <f t="shared" si="106"/>
        <v>1989</v>
      </c>
      <c r="G3405">
        <f t="shared" si="107"/>
        <v>5</v>
      </c>
      <c r="H3405" t="str">
        <f>IF(ISNUMBER(FIND(",", E3405)), TRIM(MID(E3405, FIND(",", E3405) + 1, LEN(E3405))), E3405)</f>
        <v>Brazil</v>
      </c>
    </row>
    <row r="3406" spans="1:8" x14ac:dyDescent="0.25">
      <c r="A3406" s="2">
        <v>32631</v>
      </c>
      <c r="B3406">
        <v>30.077999999999999</v>
      </c>
      <c r="C3406">
        <v>99.445999999999998</v>
      </c>
      <c r="D3406" t="s">
        <v>14</v>
      </c>
      <c r="E3406" t="s">
        <v>578</v>
      </c>
      <c r="F3406">
        <f t="shared" si="106"/>
        <v>1989</v>
      </c>
      <c r="G3406">
        <f t="shared" si="107"/>
        <v>5</v>
      </c>
      <c r="H3406" t="str">
        <f>IF(ISNUMBER(FIND(",", E3406)), TRIM(MID(E3406, FIND(",", E3406) + 1, LEN(E3406))), E3406)</f>
        <v>China</v>
      </c>
    </row>
    <row r="3407" spans="1:8" x14ac:dyDescent="0.25">
      <c r="A3407" s="2">
        <v>32625</v>
      </c>
      <c r="B3407">
        <v>30.632000000000001</v>
      </c>
      <c r="C3407">
        <v>140.65899999999999</v>
      </c>
      <c r="D3407" t="s">
        <v>14</v>
      </c>
      <c r="E3407" t="s">
        <v>88</v>
      </c>
      <c r="F3407">
        <f t="shared" si="106"/>
        <v>1989</v>
      </c>
      <c r="G3407">
        <f t="shared" si="107"/>
        <v>4</v>
      </c>
      <c r="H3407" t="str">
        <f>IF(ISNUMBER(FIND(",", E3407)), TRIM(MID(E3407, FIND(",", E3407) + 1, LEN(E3407))), E3407)</f>
        <v>Japan region</v>
      </c>
    </row>
    <row r="3408" spans="1:8" x14ac:dyDescent="0.25">
      <c r="A3408" s="2">
        <v>32623</v>
      </c>
      <c r="B3408">
        <v>16.782</v>
      </c>
      <c r="C3408">
        <v>-99.278000000000006</v>
      </c>
      <c r="D3408" t="s">
        <v>14</v>
      </c>
      <c r="E3408" t="s">
        <v>192</v>
      </c>
      <c r="F3408">
        <f t="shared" si="106"/>
        <v>1989</v>
      </c>
      <c r="G3408">
        <f t="shared" si="107"/>
        <v>4</v>
      </c>
      <c r="H3408" t="str">
        <f>IF(ISNUMBER(FIND(",", E3408)), TRIM(MID(E3408, FIND(",", E3408) + 1, LEN(E3408))), E3408)</f>
        <v>Mexico</v>
      </c>
    </row>
    <row r="3409" spans="1:8" x14ac:dyDescent="0.25">
      <c r="A3409" s="2">
        <v>32623</v>
      </c>
      <c r="B3409">
        <v>30.001999999999999</v>
      </c>
      <c r="C3409">
        <v>99.382000000000005</v>
      </c>
      <c r="D3409" t="s">
        <v>14</v>
      </c>
      <c r="E3409" t="s">
        <v>578</v>
      </c>
      <c r="F3409">
        <f t="shared" si="106"/>
        <v>1989</v>
      </c>
      <c r="G3409">
        <f t="shared" si="107"/>
        <v>4</v>
      </c>
      <c r="H3409" t="str">
        <f>IF(ISNUMBER(FIND(",", E3409)), TRIM(MID(E3409, FIND(",", E3409) + 1, LEN(E3409))), E3409)</f>
        <v>China</v>
      </c>
    </row>
    <row r="3410" spans="1:8" x14ac:dyDescent="0.25">
      <c r="A3410" s="2">
        <v>32618</v>
      </c>
      <c r="B3410">
        <v>57.173000000000002</v>
      </c>
      <c r="C3410">
        <v>122.096</v>
      </c>
      <c r="D3410" t="s">
        <v>14</v>
      </c>
      <c r="E3410" t="s">
        <v>581</v>
      </c>
      <c r="F3410">
        <f t="shared" si="106"/>
        <v>1989</v>
      </c>
      <c r="G3410">
        <f t="shared" si="107"/>
        <v>4</v>
      </c>
      <c r="H3410" t="str">
        <f>IF(ISNUMBER(FIND(",", E3410)), TRIM(MID(E3410, FIND(",", E3410) + 1, LEN(E3410))), E3410)</f>
        <v>Russia</v>
      </c>
    </row>
    <row r="3411" spans="1:8" x14ac:dyDescent="0.25">
      <c r="A3411" s="2">
        <v>32616</v>
      </c>
      <c r="B3411">
        <v>-23.834</v>
      </c>
      <c r="C3411">
        <v>179.94399999999999</v>
      </c>
      <c r="D3411" t="s">
        <v>16</v>
      </c>
      <c r="E3411" t="s">
        <v>256</v>
      </c>
      <c r="F3411">
        <f t="shared" si="106"/>
        <v>1989</v>
      </c>
      <c r="G3411">
        <f t="shared" si="107"/>
        <v>4</v>
      </c>
      <c r="H3411" t="str">
        <f>IF(ISNUMBER(FIND(",", E3411)), TRIM(MID(E3411, FIND(",", E3411) + 1, LEN(E3411))), E3411)</f>
        <v>south of the Fiji Islands</v>
      </c>
    </row>
    <row r="3412" spans="1:8" x14ac:dyDescent="0.25">
      <c r="A3412" s="2">
        <v>32614</v>
      </c>
      <c r="B3412">
        <v>-21.091000000000001</v>
      </c>
      <c r="C3412">
        <v>-178.84899999999999</v>
      </c>
      <c r="D3412" t="s">
        <v>14</v>
      </c>
      <c r="E3412" t="s">
        <v>53</v>
      </c>
      <c r="F3412">
        <f t="shared" si="106"/>
        <v>1989</v>
      </c>
      <c r="G3412">
        <f t="shared" si="107"/>
        <v>4</v>
      </c>
      <c r="H3412" t="str">
        <f>IF(ISNUMBER(FIND(",", E3412)), TRIM(MID(E3412, FIND(",", E3412) + 1, LEN(E3412))), E3412)</f>
        <v>Fiji region</v>
      </c>
    </row>
    <row r="3413" spans="1:8" x14ac:dyDescent="0.25">
      <c r="A3413" s="2">
        <v>32613</v>
      </c>
      <c r="B3413">
        <v>29.978999999999999</v>
      </c>
      <c r="C3413">
        <v>99.21</v>
      </c>
      <c r="D3413" t="s">
        <v>14</v>
      </c>
      <c r="E3413" t="s">
        <v>578</v>
      </c>
      <c r="F3413">
        <f t="shared" si="106"/>
        <v>1989</v>
      </c>
      <c r="G3413">
        <f t="shared" si="107"/>
        <v>4</v>
      </c>
      <c r="H3413" t="str">
        <f>IF(ISNUMBER(FIND(",", E3413)), TRIM(MID(E3413, FIND(",", E3413) + 1, LEN(E3413))), E3413)</f>
        <v>China</v>
      </c>
    </row>
    <row r="3414" spans="1:8" x14ac:dyDescent="0.25">
      <c r="A3414" s="2">
        <v>32609</v>
      </c>
      <c r="B3414">
        <v>49.512</v>
      </c>
      <c r="C3414">
        <v>159.14699999999999</v>
      </c>
      <c r="D3414" t="s">
        <v>14</v>
      </c>
      <c r="E3414" t="s">
        <v>317</v>
      </c>
      <c r="F3414">
        <f t="shared" si="106"/>
        <v>1989</v>
      </c>
      <c r="G3414">
        <f t="shared" si="107"/>
        <v>4</v>
      </c>
      <c r="H3414" t="str">
        <f>IF(ISNUMBER(FIND(",", E3414)), TRIM(MID(E3414, FIND(",", E3414) + 1, LEN(E3414))), E3414)</f>
        <v>east of the Kuril Islands</v>
      </c>
    </row>
    <row r="3415" spans="1:8" x14ac:dyDescent="0.25">
      <c r="A3415" s="2">
        <v>32604</v>
      </c>
      <c r="B3415">
        <v>-19.309999999999999</v>
      </c>
      <c r="C3415">
        <v>169.11</v>
      </c>
      <c r="D3415" t="s">
        <v>14</v>
      </c>
      <c r="E3415" t="s">
        <v>181</v>
      </c>
      <c r="F3415">
        <f t="shared" si="106"/>
        <v>1989</v>
      </c>
      <c r="G3415">
        <f t="shared" si="107"/>
        <v>4</v>
      </c>
      <c r="H3415" t="str">
        <f>IF(ISNUMBER(FIND(",", E3415)), TRIM(MID(E3415, FIND(",", E3415) + 1, LEN(E3415))), E3415)</f>
        <v>Vanuatu</v>
      </c>
    </row>
    <row r="3416" spans="1:8" x14ac:dyDescent="0.25">
      <c r="A3416" s="2">
        <v>32603</v>
      </c>
      <c r="B3416">
        <v>-21.126999999999999</v>
      </c>
      <c r="C3416">
        <v>-68.869</v>
      </c>
      <c r="D3416" t="s">
        <v>14</v>
      </c>
      <c r="E3416" t="s">
        <v>237</v>
      </c>
      <c r="F3416">
        <f t="shared" si="106"/>
        <v>1989</v>
      </c>
      <c r="G3416">
        <f t="shared" si="107"/>
        <v>4</v>
      </c>
      <c r="H3416" t="str">
        <f>IF(ISNUMBER(FIND(",", E3416)), TRIM(MID(E3416, FIND(",", E3416) + 1, LEN(E3416))), E3416)</f>
        <v>Chile</v>
      </c>
    </row>
    <row r="3417" spans="1:8" x14ac:dyDescent="0.25">
      <c r="A3417" s="2">
        <v>32584</v>
      </c>
      <c r="B3417">
        <v>-34.478000000000002</v>
      </c>
      <c r="C3417">
        <v>-178.309</v>
      </c>
      <c r="D3417" t="s">
        <v>14</v>
      </c>
      <c r="E3417" t="s">
        <v>262</v>
      </c>
      <c r="F3417">
        <f t="shared" si="106"/>
        <v>1989</v>
      </c>
      <c r="G3417">
        <f t="shared" si="107"/>
        <v>3</v>
      </c>
      <c r="H3417" t="str">
        <f>IF(ISNUMBER(FIND(",", E3417)), TRIM(MID(E3417, FIND(",", E3417) + 1, LEN(E3417))), E3417)</f>
        <v>south of the Kermadec Islands</v>
      </c>
    </row>
    <row r="3418" spans="1:8" x14ac:dyDescent="0.25">
      <c r="A3418" s="2">
        <v>32578</v>
      </c>
      <c r="B3418">
        <v>-17.785</v>
      </c>
      <c r="C3418">
        <v>-174.72900000000001</v>
      </c>
      <c r="D3418" t="s">
        <v>14</v>
      </c>
      <c r="E3418" t="s">
        <v>239</v>
      </c>
      <c r="F3418">
        <f t="shared" si="106"/>
        <v>1989</v>
      </c>
      <c r="G3418">
        <f t="shared" si="107"/>
        <v>3</v>
      </c>
      <c r="H3418" t="str">
        <f>IF(ISNUMBER(FIND(",", E3418)), TRIM(MID(E3418, FIND(",", E3418) + 1, LEN(E3418))), E3418)</f>
        <v>Tonga</v>
      </c>
    </row>
    <row r="3419" spans="1:8" x14ac:dyDescent="0.25">
      <c r="A3419" s="2">
        <v>32577</v>
      </c>
      <c r="B3419">
        <v>-13.708</v>
      </c>
      <c r="C3419">
        <v>34.485999999999997</v>
      </c>
      <c r="D3419" t="s">
        <v>14</v>
      </c>
      <c r="E3419" t="s">
        <v>345</v>
      </c>
      <c r="F3419">
        <f t="shared" si="106"/>
        <v>1989</v>
      </c>
      <c r="G3419">
        <f t="shared" si="107"/>
        <v>3</v>
      </c>
      <c r="H3419" t="str">
        <f>IF(ISNUMBER(FIND(",", E3419)), TRIM(MID(E3419, FIND(",", E3419) + 1, LEN(E3419))), E3419)</f>
        <v>Malawi</v>
      </c>
    </row>
    <row r="3420" spans="1:8" x14ac:dyDescent="0.25">
      <c r="A3420" s="2">
        <v>32567</v>
      </c>
      <c r="B3420">
        <v>-7.6369999999999996</v>
      </c>
      <c r="C3420">
        <v>127.502</v>
      </c>
      <c r="D3420" t="s">
        <v>14</v>
      </c>
      <c r="E3420" t="s">
        <v>49</v>
      </c>
      <c r="F3420">
        <f t="shared" si="106"/>
        <v>1989</v>
      </c>
      <c r="G3420">
        <f t="shared" si="107"/>
        <v>2</v>
      </c>
      <c r="H3420" t="str">
        <f>IF(ISNUMBER(FIND(",", E3420)), TRIM(MID(E3420, FIND(",", E3420) + 1, LEN(E3420))), E3420)</f>
        <v>Indonesia</v>
      </c>
    </row>
    <row r="3421" spans="1:8" x14ac:dyDescent="0.25">
      <c r="A3421" s="2">
        <v>32567</v>
      </c>
      <c r="B3421">
        <v>-23.145</v>
      </c>
      <c r="C3421">
        <v>-61.465000000000003</v>
      </c>
      <c r="D3421" t="s">
        <v>14</v>
      </c>
      <c r="E3421" t="s">
        <v>582</v>
      </c>
      <c r="F3421">
        <f t="shared" si="106"/>
        <v>1989</v>
      </c>
      <c r="G3421">
        <f t="shared" si="107"/>
        <v>2</v>
      </c>
      <c r="H3421" t="str">
        <f>IF(ISNUMBER(FIND(",", E3421)), TRIM(MID(E3421, FIND(",", E3421) + 1, LEN(E3421))), E3421)</f>
        <v>Argentina-Paraguay border region</v>
      </c>
    </row>
    <row r="3422" spans="1:8" x14ac:dyDescent="0.25">
      <c r="A3422" s="2">
        <v>32566</v>
      </c>
      <c r="B3422">
        <v>2.3380000000000001</v>
      </c>
      <c r="C3422">
        <v>127.96899999999999</v>
      </c>
      <c r="D3422" t="s">
        <v>14</v>
      </c>
      <c r="E3422" t="s">
        <v>186</v>
      </c>
      <c r="F3422">
        <f t="shared" si="106"/>
        <v>1989</v>
      </c>
      <c r="G3422">
        <f t="shared" si="107"/>
        <v>2</v>
      </c>
      <c r="H3422" t="str">
        <f>IF(ISNUMBER(FIND(",", E3422)), TRIM(MID(E3422, FIND(",", E3422) + 1, LEN(E3422))), E3422)</f>
        <v>Molucca Sea</v>
      </c>
    </row>
    <row r="3423" spans="1:8" x14ac:dyDescent="0.25">
      <c r="A3423" s="2">
        <v>32564</v>
      </c>
      <c r="B3423">
        <v>-29.975999999999999</v>
      </c>
      <c r="C3423">
        <v>-177.76599999999999</v>
      </c>
      <c r="D3423" t="s">
        <v>14</v>
      </c>
      <c r="E3423" t="s">
        <v>288</v>
      </c>
      <c r="F3423">
        <f t="shared" si="106"/>
        <v>1989</v>
      </c>
      <c r="G3423">
        <f t="shared" si="107"/>
        <v>2</v>
      </c>
      <c r="H3423" t="str">
        <f>IF(ISNUMBER(FIND(",", E3423)), TRIM(MID(E3423, FIND(",", E3423) + 1, LEN(E3423))), E3423)</f>
        <v>New Zealand</v>
      </c>
    </row>
    <row r="3424" spans="1:8" x14ac:dyDescent="0.25">
      <c r="A3424" s="2">
        <v>32555</v>
      </c>
      <c r="B3424">
        <v>-56.021999999999998</v>
      </c>
      <c r="C3424">
        <v>-123.2</v>
      </c>
      <c r="D3424" t="s">
        <v>14</v>
      </c>
      <c r="E3424" t="s">
        <v>268</v>
      </c>
      <c r="F3424">
        <f t="shared" si="106"/>
        <v>1989</v>
      </c>
      <c r="G3424">
        <f t="shared" si="107"/>
        <v>2</v>
      </c>
      <c r="H3424" t="str">
        <f>IF(ISNUMBER(FIND(",", E3424)), TRIM(MID(E3424, FIND(",", E3424) + 1, LEN(E3424))), E3424)</f>
        <v>southern East Pacific Rise</v>
      </c>
    </row>
    <row r="3425" spans="1:8" x14ac:dyDescent="0.25">
      <c r="A3425" s="2">
        <v>32553</v>
      </c>
      <c r="B3425">
        <v>-10.477</v>
      </c>
      <c r="C3425">
        <v>161.45599999999999</v>
      </c>
      <c r="D3425" t="s">
        <v>14</v>
      </c>
      <c r="E3425" t="s">
        <v>221</v>
      </c>
      <c r="F3425">
        <f t="shared" si="106"/>
        <v>1989</v>
      </c>
      <c r="G3425">
        <f t="shared" si="107"/>
        <v>2</v>
      </c>
      <c r="H3425" t="str">
        <f>IF(ISNUMBER(FIND(",", E3425)), TRIM(MID(E3425, FIND(",", E3425) + 1, LEN(E3425))), E3425)</f>
        <v>Solomon Islands</v>
      </c>
    </row>
    <row r="3426" spans="1:8" x14ac:dyDescent="0.25">
      <c r="A3426" s="2">
        <v>32549</v>
      </c>
      <c r="B3426">
        <v>2.282</v>
      </c>
      <c r="C3426">
        <v>126.679</v>
      </c>
      <c r="D3426" t="s">
        <v>14</v>
      </c>
      <c r="E3426" t="s">
        <v>186</v>
      </c>
      <c r="F3426">
        <f t="shared" si="106"/>
        <v>1989</v>
      </c>
      <c r="G3426">
        <f t="shared" si="107"/>
        <v>2</v>
      </c>
      <c r="H3426" t="str">
        <f>IF(ISNUMBER(FIND(",", E3426)), TRIM(MID(E3426, FIND(",", E3426) + 1, LEN(E3426))), E3426)</f>
        <v>Molucca Sea</v>
      </c>
    </row>
    <row r="3427" spans="1:8" x14ac:dyDescent="0.25">
      <c r="A3427" s="2">
        <v>32543</v>
      </c>
      <c r="B3427">
        <v>-4.6310000000000002</v>
      </c>
      <c r="C3427">
        <v>153.1</v>
      </c>
      <c r="D3427" t="s">
        <v>14</v>
      </c>
      <c r="E3427" t="s">
        <v>183</v>
      </c>
      <c r="F3427">
        <f t="shared" si="106"/>
        <v>1989</v>
      </c>
      <c r="G3427">
        <f t="shared" si="107"/>
        <v>2</v>
      </c>
      <c r="H3427" t="str">
        <f>IF(ISNUMBER(FIND(",", E3427)), TRIM(MID(E3427, FIND(",", E3427) + 1, LEN(E3427))), E3427)</f>
        <v>Papua New Guinea</v>
      </c>
    </row>
    <row r="3428" spans="1:8" x14ac:dyDescent="0.25">
      <c r="A3428" s="2">
        <v>32543</v>
      </c>
      <c r="B3428">
        <v>5.7549999999999999</v>
      </c>
      <c r="C3428">
        <v>-82.661000000000001</v>
      </c>
      <c r="D3428" t="s">
        <v>14</v>
      </c>
      <c r="E3428" t="s">
        <v>231</v>
      </c>
      <c r="F3428">
        <f t="shared" si="106"/>
        <v>1989</v>
      </c>
      <c r="G3428">
        <f t="shared" si="107"/>
        <v>2</v>
      </c>
      <c r="H3428" t="str">
        <f>IF(ISNUMBER(FIND(",", E3428)), TRIM(MID(E3428, FIND(",", E3428) + 1, LEN(E3428))), E3428)</f>
        <v>south of Panama</v>
      </c>
    </row>
    <row r="3429" spans="1:8" x14ac:dyDescent="0.25">
      <c r="A3429" s="2">
        <v>32535</v>
      </c>
      <c r="B3429">
        <v>56.143999999999998</v>
      </c>
      <c r="C3429">
        <v>164.34800000000001</v>
      </c>
      <c r="D3429" t="s">
        <v>14</v>
      </c>
      <c r="E3429" t="s">
        <v>443</v>
      </c>
      <c r="F3429">
        <f t="shared" si="106"/>
        <v>1989</v>
      </c>
      <c r="G3429">
        <f t="shared" si="107"/>
        <v>1</v>
      </c>
      <c r="H3429" t="str">
        <f>IF(ISNUMBER(FIND(",", E3429)), TRIM(MID(E3429, FIND(",", E3429) + 1, LEN(E3429))), E3429)</f>
        <v>Russia region</v>
      </c>
    </row>
    <row r="3430" spans="1:8" x14ac:dyDescent="0.25">
      <c r="A3430" s="2">
        <v>32530</v>
      </c>
      <c r="B3430">
        <v>41.875999999999998</v>
      </c>
      <c r="C3430">
        <v>144.245</v>
      </c>
      <c r="D3430" t="s">
        <v>14</v>
      </c>
      <c r="E3430" t="s">
        <v>265</v>
      </c>
      <c r="F3430">
        <f t="shared" si="106"/>
        <v>1989</v>
      </c>
      <c r="G3430">
        <f t="shared" si="107"/>
        <v>1</v>
      </c>
      <c r="H3430" t="str">
        <f>IF(ISNUMBER(FIND(",", E3430)), TRIM(MID(E3430, FIND(",", E3430) + 1, LEN(E3430))), E3430)</f>
        <v>Japan region</v>
      </c>
    </row>
    <row r="3431" spans="1:8" x14ac:dyDescent="0.25">
      <c r="A3431" s="2">
        <v>32530</v>
      </c>
      <c r="B3431">
        <v>49.923999999999999</v>
      </c>
      <c r="C3431">
        <v>78.831000000000003</v>
      </c>
      <c r="D3431" t="s">
        <v>13</v>
      </c>
      <c r="E3431" t="s">
        <v>571</v>
      </c>
      <c r="F3431">
        <f t="shared" si="106"/>
        <v>1989</v>
      </c>
      <c r="G3431">
        <f t="shared" si="107"/>
        <v>1</v>
      </c>
      <c r="H3431" t="str">
        <f>IF(ISNUMBER(FIND(",", E3431)), TRIM(MID(E3431, FIND(",", E3431) + 1, LEN(E3431))), E3431)</f>
        <v>eastern Kazakhstan</v>
      </c>
    </row>
    <row r="3432" spans="1:8" x14ac:dyDescent="0.25">
      <c r="A3432" s="2">
        <v>32525</v>
      </c>
      <c r="B3432">
        <v>-6.17</v>
      </c>
      <c r="C3432">
        <v>149.02600000000001</v>
      </c>
      <c r="D3432" t="s">
        <v>14</v>
      </c>
      <c r="E3432" t="s">
        <v>190</v>
      </c>
      <c r="F3432">
        <f t="shared" si="106"/>
        <v>1989</v>
      </c>
      <c r="G3432">
        <f t="shared" si="107"/>
        <v>1</v>
      </c>
      <c r="H3432" t="str">
        <f>IF(ISNUMBER(FIND(",", E3432)), TRIM(MID(E3432, FIND(",", E3432) + 1, LEN(E3432))), E3432)</f>
        <v>Papua New Guinea</v>
      </c>
    </row>
    <row r="3433" spans="1:8" x14ac:dyDescent="0.25">
      <c r="A3433" s="2">
        <v>32520</v>
      </c>
      <c r="B3433">
        <v>46.914999999999999</v>
      </c>
      <c r="C3433">
        <v>153.79499999999999</v>
      </c>
      <c r="D3433" t="s">
        <v>14</v>
      </c>
      <c r="E3433" t="s">
        <v>191</v>
      </c>
      <c r="F3433">
        <f t="shared" si="106"/>
        <v>1989</v>
      </c>
      <c r="G3433">
        <f t="shared" si="107"/>
        <v>1</v>
      </c>
      <c r="H3433" t="str">
        <f>IF(ISNUMBER(FIND(",", E3433)), TRIM(MID(E3433, FIND(",", E3433) + 1, LEN(E3433))), E3433)</f>
        <v>Kuril Islands</v>
      </c>
    </row>
    <row r="3434" spans="1:8" x14ac:dyDescent="0.25">
      <c r="A3434" s="2">
        <v>32518</v>
      </c>
      <c r="B3434">
        <v>-3.17</v>
      </c>
      <c r="C3434">
        <v>130.517</v>
      </c>
      <c r="D3434" t="s">
        <v>14</v>
      </c>
      <c r="E3434" t="s">
        <v>433</v>
      </c>
      <c r="F3434">
        <f t="shared" si="106"/>
        <v>1989</v>
      </c>
      <c r="G3434">
        <f t="shared" si="107"/>
        <v>1</v>
      </c>
      <c r="H3434" t="str">
        <f>IF(ISNUMBER(FIND(",", E3434)), TRIM(MID(E3434, FIND(",", E3434) + 1, LEN(E3434))), E3434)</f>
        <v>Indonesia</v>
      </c>
    </row>
    <row r="3435" spans="1:8" x14ac:dyDescent="0.25">
      <c r="A3435" s="2">
        <v>32517</v>
      </c>
      <c r="B3435">
        <v>47.009</v>
      </c>
      <c r="C3435">
        <v>153.45599999999999</v>
      </c>
      <c r="D3435" t="s">
        <v>14</v>
      </c>
      <c r="E3435" t="s">
        <v>191</v>
      </c>
      <c r="F3435">
        <f t="shared" si="106"/>
        <v>1989</v>
      </c>
      <c r="G3435">
        <f t="shared" si="107"/>
        <v>1</v>
      </c>
      <c r="H3435" t="str">
        <f>IF(ISNUMBER(FIND(",", E3435)), TRIM(MID(E3435, FIND(",", E3435) + 1, LEN(E3435))), E3435)</f>
        <v>Kuril Islands</v>
      </c>
    </row>
    <row r="3436" spans="1:8" x14ac:dyDescent="0.25">
      <c r="A3436" s="2">
        <v>32510</v>
      </c>
      <c r="B3436">
        <v>-18.623000000000001</v>
      </c>
      <c r="C3436">
        <v>-174.505</v>
      </c>
      <c r="D3436" t="s">
        <v>14</v>
      </c>
      <c r="E3436" t="s">
        <v>239</v>
      </c>
      <c r="F3436">
        <f t="shared" si="106"/>
        <v>1989</v>
      </c>
      <c r="G3436">
        <f t="shared" si="107"/>
        <v>1</v>
      </c>
      <c r="H3436" t="str">
        <f>IF(ISNUMBER(FIND(",", E3436)), TRIM(MID(E3436, FIND(",", E3436) + 1, LEN(E3436))), E3436)</f>
        <v>Tonga</v>
      </c>
    </row>
    <row r="3437" spans="1:8" x14ac:dyDescent="0.25">
      <c r="A3437" s="2">
        <v>32501</v>
      </c>
      <c r="B3437">
        <v>-23.571999999999999</v>
      </c>
      <c r="C3437">
        <v>-66.643000000000001</v>
      </c>
      <c r="D3437" t="s">
        <v>14</v>
      </c>
      <c r="E3437" t="s">
        <v>347</v>
      </c>
      <c r="F3437">
        <f t="shared" si="106"/>
        <v>1988</v>
      </c>
      <c r="G3437">
        <f t="shared" si="107"/>
        <v>12</v>
      </c>
      <c r="H3437" t="str">
        <f>IF(ISNUMBER(FIND(",", E3437)), TRIM(MID(E3437, FIND(",", E3437) + 1, LEN(E3437))), E3437)</f>
        <v>Argentina</v>
      </c>
    </row>
    <row r="3438" spans="1:8" x14ac:dyDescent="0.25">
      <c r="A3438" s="2">
        <v>32493</v>
      </c>
      <c r="B3438">
        <v>-29.850999999999999</v>
      </c>
      <c r="C3438">
        <v>-177.80099999999999</v>
      </c>
      <c r="D3438" t="s">
        <v>14</v>
      </c>
      <c r="E3438" t="s">
        <v>288</v>
      </c>
      <c r="F3438">
        <f t="shared" si="106"/>
        <v>1988</v>
      </c>
      <c r="G3438">
        <f t="shared" si="107"/>
        <v>12</v>
      </c>
      <c r="H3438" t="str">
        <f>IF(ISNUMBER(FIND(",", E3438)), TRIM(MID(E3438, FIND(",", E3438) + 1, LEN(E3438))), E3438)</f>
        <v>New Zealand</v>
      </c>
    </row>
    <row r="3439" spans="1:8" x14ac:dyDescent="0.25">
      <c r="A3439" s="2">
        <v>32485</v>
      </c>
      <c r="B3439">
        <v>6.9020000000000001</v>
      </c>
      <c r="C3439">
        <v>-82.742999999999995</v>
      </c>
      <c r="D3439" t="s">
        <v>14</v>
      </c>
      <c r="E3439" t="s">
        <v>231</v>
      </c>
      <c r="F3439">
        <f t="shared" si="106"/>
        <v>1988</v>
      </c>
      <c r="G3439">
        <f t="shared" si="107"/>
        <v>12</v>
      </c>
      <c r="H3439" t="str">
        <f>IF(ISNUMBER(FIND(",", E3439)), TRIM(MID(E3439, FIND(",", E3439) + 1, LEN(E3439))), E3439)</f>
        <v>south of Panama</v>
      </c>
    </row>
    <row r="3440" spans="1:8" x14ac:dyDescent="0.25">
      <c r="A3440" s="2">
        <v>32484</v>
      </c>
      <c r="B3440">
        <v>40.918999999999997</v>
      </c>
      <c r="C3440">
        <v>44.119</v>
      </c>
      <c r="D3440" t="s">
        <v>14</v>
      </c>
      <c r="E3440" t="s">
        <v>583</v>
      </c>
      <c r="F3440">
        <f t="shared" si="106"/>
        <v>1988</v>
      </c>
      <c r="G3440">
        <f t="shared" si="107"/>
        <v>12</v>
      </c>
      <c r="H3440" t="str">
        <f>IF(ISNUMBER(FIND(",", E3440)), TRIM(MID(E3440, FIND(",", E3440) + 1, LEN(E3440))), E3440)</f>
        <v>Armenia</v>
      </c>
    </row>
    <row r="3441" spans="1:8" x14ac:dyDescent="0.25">
      <c r="A3441" s="2">
        <v>32482</v>
      </c>
      <c r="B3441">
        <v>-15.298</v>
      </c>
      <c r="C3441">
        <v>-173.423</v>
      </c>
      <c r="D3441" t="s">
        <v>14</v>
      </c>
      <c r="E3441" t="s">
        <v>239</v>
      </c>
      <c r="F3441">
        <f t="shared" si="106"/>
        <v>1988</v>
      </c>
      <c r="G3441">
        <f t="shared" si="107"/>
        <v>12</v>
      </c>
      <c r="H3441" t="str">
        <f>IF(ISNUMBER(FIND(",", E3441)), TRIM(MID(E3441, FIND(",", E3441) + 1, LEN(E3441))), E3441)</f>
        <v>Tonga</v>
      </c>
    </row>
    <row r="3442" spans="1:8" x14ac:dyDescent="0.25">
      <c r="A3442" s="2">
        <v>32477</v>
      </c>
      <c r="B3442">
        <v>22.760999999999999</v>
      </c>
      <c r="C3442">
        <v>99.786000000000001</v>
      </c>
      <c r="D3442" t="s">
        <v>14</v>
      </c>
      <c r="E3442" t="s">
        <v>393</v>
      </c>
      <c r="F3442">
        <f t="shared" si="106"/>
        <v>1988</v>
      </c>
      <c r="G3442">
        <f t="shared" si="107"/>
        <v>11</v>
      </c>
      <c r="H3442" t="str">
        <f>IF(ISNUMBER(FIND(",", E3442)), TRIM(MID(E3442, FIND(",", E3442) + 1, LEN(E3442))), E3442)</f>
        <v>Myanmar-China border region</v>
      </c>
    </row>
    <row r="3443" spans="1:8" x14ac:dyDescent="0.25">
      <c r="A3443" s="2">
        <v>32472</v>
      </c>
      <c r="B3443">
        <v>-47.933</v>
      </c>
      <c r="C3443">
        <v>99.423000000000002</v>
      </c>
      <c r="D3443" t="s">
        <v>14</v>
      </c>
      <c r="E3443" t="s">
        <v>310</v>
      </c>
      <c r="F3443">
        <f t="shared" si="106"/>
        <v>1988</v>
      </c>
      <c r="G3443">
        <f t="shared" si="107"/>
        <v>11</v>
      </c>
      <c r="H3443" t="str">
        <f>IF(ISNUMBER(FIND(",", E3443)), TRIM(MID(E3443, FIND(",", E3443) + 1, LEN(E3443))), E3443)</f>
        <v>southeast Indian Ridge</v>
      </c>
    </row>
    <row r="3444" spans="1:8" x14ac:dyDescent="0.25">
      <c r="A3444" s="2">
        <v>32465</v>
      </c>
      <c r="B3444">
        <v>-6.07</v>
      </c>
      <c r="C3444">
        <v>149.79499999999999</v>
      </c>
      <c r="D3444" t="s">
        <v>14</v>
      </c>
      <c r="E3444" t="s">
        <v>190</v>
      </c>
      <c r="F3444">
        <f t="shared" si="106"/>
        <v>1988</v>
      </c>
      <c r="G3444">
        <f t="shared" si="107"/>
        <v>11</v>
      </c>
      <c r="H3444" t="str">
        <f>IF(ISNUMBER(FIND(",", E3444)), TRIM(MID(E3444, FIND(",", E3444) + 1, LEN(E3444))), E3444)</f>
        <v>Papua New Guinea</v>
      </c>
    </row>
    <row r="3445" spans="1:8" x14ac:dyDescent="0.25">
      <c r="A3445" s="2">
        <v>32464</v>
      </c>
      <c r="B3445">
        <v>12.329000000000001</v>
      </c>
      <c r="C3445">
        <v>124.535</v>
      </c>
      <c r="D3445" t="s">
        <v>14</v>
      </c>
      <c r="E3445" t="s">
        <v>394</v>
      </c>
      <c r="F3445">
        <f t="shared" si="106"/>
        <v>1988</v>
      </c>
      <c r="G3445">
        <f t="shared" si="107"/>
        <v>11</v>
      </c>
      <c r="H3445" t="str">
        <f>IF(ISNUMBER(FIND(",", E3445)), TRIM(MID(E3445, FIND(",", E3445) + 1, LEN(E3445))), E3445)</f>
        <v>Philippines</v>
      </c>
    </row>
    <row r="3446" spans="1:8" x14ac:dyDescent="0.25">
      <c r="A3446" s="2">
        <v>32461</v>
      </c>
      <c r="B3446">
        <v>-3.5009999999999999</v>
      </c>
      <c r="C3446">
        <v>150.39500000000001</v>
      </c>
      <c r="D3446" t="s">
        <v>14</v>
      </c>
      <c r="E3446" t="s">
        <v>183</v>
      </c>
      <c r="F3446">
        <f t="shared" si="106"/>
        <v>1988</v>
      </c>
      <c r="G3446">
        <f t="shared" si="107"/>
        <v>11</v>
      </c>
      <c r="H3446" t="str">
        <f>IF(ISNUMBER(FIND(",", E3446)), TRIM(MID(E3446, FIND(",", E3446) + 1, LEN(E3446))), E3446)</f>
        <v>Papua New Guinea</v>
      </c>
    </row>
    <row r="3447" spans="1:8" x14ac:dyDescent="0.25">
      <c r="A3447" s="2">
        <v>32454</v>
      </c>
      <c r="B3447">
        <v>-22.18</v>
      </c>
      <c r="C3447">
        <v>175.10499999999999</v>
      </c>
      <c r="D3447" t="s">
        <v>14</v>
      </c>
      <c r="E3447" t="s">
        <v>256</v>
      </c>
      <c r="F3447">
        <f t="shared" si="106"/>
        <v>1988</v>
      </c>
      <c r="G3447">
        <f t="shared" si="107"/>
        <v>11</v>
      </c>
      <c r="H3447" t="str">
        <f>IF(ISNUMBER(FIND(",", E3447)), TRIM(MID(E3447, FIND(",", E3447) + 1, LEN(E3447))), E3447)</f>
        <v>south of the Fiji Islands</v>
      </c>
    </row>
    <row r="3448" spans="1:8" x14ac:dyDescent="0.25">
      <c r="A3448" s="2">
        <v>32453</v>
      </c>
      <c r="B3448">
        <v>23.228000000000002</v>
      </c>
      <c r="C3448">
        <v>99.433999999999997</v>
      </c>
      <c r="D3448" t="s">
        <v>14</v>
      </c>
      <c r="E3448" t="s">
        <v>393</v>
      </c>
      <c r="F3448">
        <f t="shared" si="106"/>
        <v>1988</v>
      </c>
      <c r="G3448">
        <f t="shared" si="107"/>
        <v>11</v>
      </c>
      <c r="H3448" t="str">
        <f>IF(ISNUMBER(FIND(",", E3448)), TRIM(MID(E3448, FIND(",", E3448) + 1, LEN(E3448))), E3448)</f>
        <v>Myanmar-China border region</v>
      </c>
    </row>
    <row r="3449" spans="1:8" x14ac:dyDescent="0.25">
      <c r="A3449" s="2">
        <v>32453</v>
      </c>
      <c r="B3449">
        <v>22.869</v>
      </c>
      <c r="C3449">
        <v>99.570999999999998</v>
      </c>
      <c r="D3449" t="s">
        <v>14</v>
      </c>
      <c r="E3449" t="s">
        <v>393</v>
      </c>
      <c r="F3449">
        <f t="shared" si="106"/>
        <v>1988</v>
      </c>
      <c r="G3449">
        <f t="shared" si="107"/>
        <v>11</v>
      </c>
      <c r="H3449" t="str">
        <f>IF(ISNUMBER(FIND(",", E3449)), TRIM(MID(E3449, FIND(",", E3449) + 1, LEN(E3449))), E3449)</f>
        <v>Myanmar-China border region</v>
      </c>
    </row>
    <row r="3450" spans="1:8" x14ac:dyDescent="0.25">
      <c r="A3450" s="2">
        <v>32452</v>
      </c>
      <c r="B3450">
        <v>-21.998999999999999</v>
      </c>
      <c r="C3450">
        <v>170.233</v>
      </c>
      <c r="D3450" t="s">
        <v>14</v>
      </c>
      <c r="E3450" t="s">
        <v>254</v>
      </c>
      <c r="F3450">
        <f t="shared" si="106"/>
        <v>1988</v>
      </c>
      <c r="G3450">
        <f t="shared" si="107"/>
        <v>11</v>
      </c>
      <c r="H3450" t="str">
        <f>IF(ISNUMBER(FIND(",", E3450)), TRIM(MID(E3450, FIND(",", E3450) + 1, LEN(E3450))), E3450)</f>
        <v>southeast of the Loyalty Islands</v>
      </c>
    </row>
    <row r="3451" spans="1:8" x14ac:dyDescent="0.25">
      <c r="A3451" s="2">
        <v>32452</v>
      </c>
      <c r="B3451">
        <v>34.328000000000003</v>
      </c>
      <c r="C3451">
        <v>91.813000000000002</v>
      </c>
      <c r="D3451" t="s">
        <v>14</v>
      </c>
      <c r="E3451" t="s">
        <v>331</v>
      </c>
      <c r="F3451">
        <f t="shared" si="106"/>
        <v>1988</v>
      </c>
      <c r="G3451">
        <f t="shared" si="107"/>
        <v>11</v>
      </c>
      <c r="H3451" t="str">
        <f>IF(ISNUMBER(FIND(",", E3451)), TRIM(MID(E3451, FIND(",", E3451) + 1, LEN(E3451))), E3451)</f>
        <v>China</v>
      </c>
    </row>
    <row r="3452" spans="1:8" x14ac:dyDescent="0.25">
      <c r="A3452" s="2">
        <v>32450</v>
      </c>
      <c r="B3452">
        <v>13.907999999999999</v>
      </c>
      <c r="C3452">
        <v>-90.501999999999995</v>
      </c>
      <c r="D3452" t="s">
        <v>14</v>
      </c>
      <c r="E3452" t="s">
        <v>371</v>
      </c>
      <c r="F3452">
        <f t="shared" si="106"/>
        <v>1988</v>
      </c>
      <c r="G3452">
        <f t="shared" si="107"/>
        <v>11</v>
      </c>
      <c r="H3452" t="str">
        <f>IF(ISNUMBER(FIND(",", E3452)), TRIM(MID(E3452, FIND(",", E3452) + 1, LEN(E3452))), E3452)</f>
        <v>Guatemala</v>
      </c>
    </row>
    <row r="3453" spans="1:8" x14ac:dyDescent="0.25">
      <c r="A3453" s="2">
        <v>32448</v>
      </c>
      <c r="B3453">
        <v>-57.396000000000001</v>
      </c>
      <c r="C3453">
        <v>-25.238</v>
      </c>
      <c r="D3453" t="s">
        <v>14</v>
      </c>
      <c r="E3453" t="s">
        <v>260</v>
      </c>
      <c r="F3453">
        <f t="shared" si="106"/>
        <v>1988</v>
      </c>
      <c r="G3453">
        <f t="shared" si="107"/>
        <v>11</v>
      </c>
      <c r="H3453" t="str">
        <f>IF(ISNUMBER(FIND(",", E3453)), TRIM(MID(E3453, FIND(",", E3453) + 1, LEN(E3453))), E3453)</f>
        <v>South Sandwich Islands region</v>
      </c>
    </row>
    <row r="3454" spans="1:8" x14ac:dyDescent="0.25">
      <c r="A3454" s="2">
        <v>32426</v>
      </c>
      <c r="B3454">
        <v>-28.591000000000001</v>
      </c>
      <c r="C3454">
        <v>-177.423</v>
      </c>
      <c r="D3454" t="s">
        <v>14</v>
      </c>
      <c r="E3454" t="s">
        <v>240</v>
      </c>
      <c r="F3454">
        <f t="shared" si="106"/>
        <v>1988</v>
      </c>
      <c r="G3454">
        <f t="shared" si="107"/>
        <v>10</v>
      </c>
      <c r="H3454" t="str">
        <f>IF(ISNUMBER(FIND(",", E3454)), TRIM(MID(E3454, FIND(",", E3454) + 1, LEN(E3454))), E3454)</f>
        <v>Kermadec Islands region</v>
      </c>
    </row>
    <row r="3455" spans="1:8" x14ac:dyDescent="0.25">
      <c r="A3455" s="2">
        <v>32424</v>
      </c>
      <c r="B3455">
        <v>-18.829999999999998</v>
      </c>
      <c r="C3455">
        <v>-172.31800000000001</v>
      </c>
      <c r="D3455" t="s">
        <v>14</v>
      </c>
      <c r="E3455" t="s">
        <v>304</v>
      </c>
      <c r="F3455">
        <f t="shared" si="106"/>
        <v>1988</v>
      </c>
      <c r="G3455">
        <f t="shared" si="107"/>
        <v>10</v>
      </c>
      <c r="H3455" t="str">
        <f>IF(ISNUMBER(FIND(",", E3455)), TRIM(MID(E3455, FIND(",", E3455) + 1, LEN(E3455))), E3455)</f>
        <v>Tonga region</v>
      </c>
    </row>
    <row r="3456" spans="1:8" x14ac:dyDescent="0.25">
      <c r="A3456" s="2">
        <v>32420</v>
      </c>
      <c r="B3456">
        <v>-3.5110000000000001</v>
      </c>
      <c r="C3456">
        <v>150.584</v>
      </c>
      <c r="D3456" t="s">
        <v>14</v>
      </c>
      <c r="E3456" t="s">
        <v>183</v>
      </c>
      <c r="F3456">
        <f t="shared" si="106"/>
        <v>1988</v>
      </c>
      <c r="G3456">
        <f t="shared" si="107"/>
        <v>10</v>
      </c>
      <c r="H3456" t="str">
        <f>IF(ISNUMBER(FIND(",", E3456)), TRIM(MID(E3456, FIND(",", E3456) + 1, LEN(E3456))), E3456)</f>
        <v>Papua New Guinea</v>
      </c>
    </row>
    <row r="3457" spans="1:8" x14ac:dyDescent="0.25">
      <c r="A3457" s="2">
        <v>32417</v>
      </c>
      <c r="B3457">
        <v>-35.286000000000001</v>
      </c>
      <c r="C3457">
        <v>-106.105</v>
      </c>
      <c r="D3457" t="s">
        <v>14</v>
      </c>
      <c r="E3457" t="s">
        <v>268</v>
      </c>
      <c r="F3457">
        <f t="shared" si="106"/>
        <v>1988</v>
      </c>
      <c r="G3457">
        <f t="shared" si="107"/>
        <v>10</v>
      </c>
      <c r="H3457" t="str">
        <f>IF(ISNUMBER(FIND(",", E3457)), TRIM(MID(E3457, FIND(",", E3457) + 1, LEN(E3457))), E3457)</f>
        <v>southern East Pacific Rise</v>
      </c>
    </row>
    <row r="3458" spans="1:8" x14ac:dyDescent="0.25">
      <c r="A3458" s="2">
        <v>32401</v>
      </c>
      <c r="B3458">
        <v>-1.43</v>
      </c>
      <c r="C3458">
        <v>-77.840999999999994</v>
      </c>
      <c r="D3458" t="s">
        <v>14</v>
      </c>
      <c r="E3458" t="s">
        <v>316</v>
      </c>
      <c r="F3458">
        <f t="shared" ref="F3458:F3521" si="108">YEAR(A3458)</f>
        <v>1988</v>
      </c>
      <c r="G3458">
        <f t="shared" si="107"/>
        <v>9</v>
      </c>
      <c r="H3458" t="str">
        <f>IF(ISNUMBER(FIND(",", E3458)), TRIM(MID(E3458, FIND(",", E3458) + 1, LEN(E3458))), E3458)</f>
        <v>Ecuador</v>
      </c>
    </row>
    <row r="3459" spans="1:8" x14ac:dyDescent="0.25">
      <c r="A3459" s="2">
        <v>32400</v>
      </c>
      <c r="B3459">
        <v>49.832999999999998</v>
      </c>
      <c r="C3459">
        <v>78.808000000000007</v>
      </c>
      <c r="D3459" t="s">
        <v>13</v>
      </c>
      <c r="E3459" t="s">
        <v>571</v>
      </c>
      <c r="F3459">
        <f t="shared" si="108"/>
        <v>1988</v>
      </c>
      <c r="G3459">
        <f t="shared" ref="G3459:G3522" si="109">MONTH(A3459)</f>
        <v>9</v>
      </c>
      <c r="H3459" t="str">
        <f>IF(ISNUMBER(FIND(",", E3459)), TRIM(MID(E3459, FIND(",", E3459) + 1, LEN(E3459))), E3459)</f>
        <v>eastern Kazakhstan</v>
      </c>
    </row>
    <row r="3460" spans="1:8" x14ac:dyDescent="0.25">
      <c r="A3460" s="2">
        <v>32393</v>
      </c>
      <c r="B3460">
        <v>30.326000000000001</v>
      </c>
      <c r="C3460">
        <v>137.44</v>
      </c>
      <c r="D3460" t="s">
        <v>14</v>
      </c>
      <c r="E3460" t="s">
        <v>88</v>
      </c>
      <c r="F3460">
        <f t="shared" si="108"/>
        <v>1988</v>
      </c>
      <c r="G3460">
        <f t="shared" si="109"/>
        <v>9</v>
      </c>
      <c r="H3460" t="str">
        <f>IF(ISNUMBER(FIND(",", E3460)), TRIM(MID(E3460, FIND(",", E3460) + 1, LEN(E3460))), E3460)</f>
        <v>Japan region</v>
      </c>
    </row>
    <row r="3461" spans="1:8" x14ac:dyDescent="0.25">
      <c r="A3461" s="2">
        <v>32375</v>
      </c>
      <c r="B3461">
        <v>26.733000000000001</v>
      </c>
      <c r="C3461">
        <v>86.593999999999994</v>
      </c>
      <c r="D3461" t="s">
        <v>14</v>
      </c>
      <c r="E3461" t="s">
        <v>584</v>
      </c>
      <c r="F3461">
        <f t="shared" si="108"/>
        <v>1988</v>
      </c>
      <c r="G3461">
        <f t="shared" si="109"/>
        <v>8</v>
      </c>
      <c r="H3461" t="str">
        <f>IF(ISNUMBER(FIND(",", E3461)), TRIM(MID(E3461, FIND(",", E3461) + 1, LEN(E3461))), E3461)</f>
        <v>Nepal-India border region</v>
      </c>
    </row>
    <row r="3462" spans="1:8" x14ac:dyDescent="0.25">
      <c r="A3462" s="2">
        <v>32372</v>
      </c>
      <c r="B3462">
        <v>-27.19</v>
      </c>
      <c r="C3462">
        <v>-71.064999999999998</v>
      </c>
      <c r="D3462" t="s">
        <v>14</v>
      </c>
      <c r="E3462" t="s">
        <v>439</v>
      </c>
      <c r="F3462">
        <f t="shared" si="108"/>
        <v>1988</v>
      </c>
      <c r="G3462">
        <f t="shared" si="109"/>
        <v>8</v>
      </c>
      <c r="H3462" t="str">
        <f>IF(ISNUMBER(FIND(",", E3462)), TRIM(MID(E3462, FIND(",", E3462) + 1, LEN(E3462))), E3462)</f>
        <v>Chile</v>
      </c>
    </row>
    <row r="3463" spans="1:8" x14ac:dyDescent="0.25">
      <c r="A3463" s="2">
        <v>32370</v>
      </c>
      <c r="B3463">
        <v>8.7279999999999998</v>
      </c>
      <c r="C3463">
        <v>126.294</v>
      </c>
      <c r="D3463" t="s">
        <v>14</v>
      </c>
      <c r="E3463" t="s">
        <v>200</v>
      </c>
      <c r="F3463">
        <f t="shared" si="108"/>
        <v>1988</v>
      </c>
      <c r="G3463">
        <f t="shared" si="109"/>
        <v>8</v>
      </c>
      <c r="H3463" t="str">
        <f>IF(ISNUMBER(FIND(",", E3463)), TRIM(MID(E3463, FIND(",", E3463) + 1, LEN(E3463))), E3463)</f>
        <v>Philippines</v>
      </c>
    </row>
    <row r="3464" spans="1:8" x14ac:dyDescent="0.25">
      <c r="A3464" s="2">
        <v>32369</v>
      </c>
      <c r="B3464">
        <v>-27.344000000000001</v>
      </c>
      <c r="C3464">
        <v>-71.088999999999999</v>
      </c>
      <c r="D3464" t="s">
        <v>14</v>
      </c>
      <c r="E3464" t="s">
        <v>439</v>
      </c>
      <c r="F3464">
        <f t="shared" si="108"/>
        <v>1988</v>
      </c>
      <c r="G3464">
        <f t="shared" si="109"/>
        <v>8</v>
      </c>
      <c r="H3464" t="str">
        <f>IF(ISNUMBER(FIND(",", E3464)), TRIM(MID(E3464, FIND(",", E3464) + 1, LEN(E3464))), E3464)</f>
        <v>Chile</v>
      </c>
    </row>
    <row r="3465" spans="1:8" x14ac:dyDescent="0.25">
      <c r="A3465" s="2">
        <v>32369</v>
      </c>
      <c r="B3465">
        <v>54.595999999999997</v>
      </c>
      <c r="C3465">
        <v>152.65100000000001</v>
      </c>
      <c r="D3465" t="s">
        <v>14</v>
      </c>
      <c r="E3465" t="s">
        <v>74</v>
      </c>
      <c r="F3465">
        <f t="shared" si="108"/>
        <v>1988</v>
      </c>
      <c r="G3465">
        <f t="shared" si="109"/>
        <v>8</v>
      </c>
      <c r="H3465" t="str">
        <f>IF(ISNUMBER(FIND(",", E3465)), TRIM(MID(E3465, FIND(",", E3465) + 1, LEN(E3465))), E3465)</f>
        <v>Sea of Okhotsk</v>
      </c>
    </row>
    <row r="3466" spans="1:8" x14ac:dyDescent="0.25">
      <c r="A3466" s="2">
        <v>32366</v>
      </c>
      <c r="B3466">
        <v>-17.978000000000002</v>
      </c>
      <c r="C3466">
        <v>65.358999999999995</v>
      </c>
      <c r="D3466" t="s">
        <v>14</v>
      </c>
      <c r="E3466" t="s">
        <v>220</v>
      </c>
      <c r="F3466">
        <f t="shared" si="108"/>
        <v>1988</v>
      </c>
      <c r="G3466">
        <f t="shared" si="109"/>
        <v>8</v>
      </c>
      <c r="H3466" t="str">
        <f>IF(ISNUMBER(FIND(",", E3466)), TRIM(MID(E3466, FIND(",", E3466) + 1, LEN(E3466))), E3466)</f>
        <v>Mauritius - Reunion region</v>
      </c>
    </row>
    <row r="3467" spans="1:8" x14ac:dyDescent="0.25">
      <c r="A3467" s="2">
        <v>32365</v>
      </c>
      <c r="B3467">
        <v>-14.901999999999999</v>
      </c>
      <c r="C3467">
        <v>167.37899999999999</v>
      </c>
      <c r="D3467" t="s">
        <v>14</v>
      </c>
      <c r="E3467" t="s">
        <v>181</v>
      </c>
      <c r="F3467">
        <f t="shared" si="108"/>
        <v>1988</v>
      </c>
      <c r="G3467">
        <f t="shared" si="109"/>
        <v>8</v>
      </c>
      <c r="H3467" t="str">
        <f>IF(ISNUMBER(FIND(",", E3467)), TRIM(MID(E3467, FIND(",", E3467) + 1, LEN(E3467))), E3467)</f>
        <v>Vanuatu</v>
      </c>
    </row>
    <row r="3468" spans="1:8" x14ac:dyDescent="0.25">
      <c r="A3468" s="2">
        <v>32365</v>
      </c>
      <c r="B3468">
        <v>-10.321999999999999</v>
      </c>
      <c r="C3468">
        <v>160.928</v>
      </c>
      <c r="D3468" t="s">
        <v>14</v>
      </c>
      <c r="E3468" t="s">
        <v>221</v>
      </c>
      <c r="F3468">
        <f t="shared" si="108"/>
        <v>1988</v>
      </c>
      <c r="G3468">
        <f t="shared" si="109"/>
        <v>8</v>
      </c>
      <c r="H3468" t="str">
        <f>IF(ISNUMBER(FIND(",", E3468)), TRIM(MID(E3468, FIND(",", E3468) + 1, LEN(E3468))), E3468)</f>
        <v>Solomon Islands</v>
      </c>
    </row>
    <row r="3469" spans="1:8" x14ac:dyDescent="0.25">
      <c r="A3469" s="2">
        <v>32361</v>
      </c>
      <c r="B3469">
        <v>36.466000000000001</v>
      </c>
      <c r="C3469">
        <v>71.052999999999997</v>
      </c>
      <c r="D3469" t="s">
        <v>14</v>
      </c>
      <c r="E3469" t="s">
        <v>314</v>
      </c>
      <c r="F3469">
        <f t="shared" si="108"/>
        <v>1988</v>
      </c>
      <c r="G3469">
        <f t="shared" si="109"/>
        <v>8</v>
      </c>
      <c r="H3469" t="str">
        <f>IF(ISNUMBER(FIND(",", E3469)), TRIM(MID(E3469, FIND(",", E3469) + 1, LEN(E3469))), E3469)</f>
        <v>Afghanistan</v>
      </c>
    </row>
    <row r="3470" spans="1:8" x14ac:dyDescent="0.25">
      <c r="A3470" s="2">
        <v>32361</v>
      </c>
      <c r="B3470">
        <v>25.09</v>
      </c>
      <c r="C3470">
        <v>95.106999999999999</v>
      </c>
      <c r="D3470" t="s">
        <v>14</v>
      </c>
      <c r="E3470" t="s">
        <v>197</v>
      </c>
      <c r="F3470">
        <f t="shared" si="108"/>
        <v>1988</v>
      </c>
      <c r="G3470">
        <f t="shared" si="109"/>
        <v>8</v>
      </c>
      <c r="H3470" t="str">
        <f>IF(ISNUMBER(FIND(",", E3470)), TRIM(MID(E3470, FIND(",", E3470) + 1, LEN(E3470))), E3470)</f>
        <v>Myanmar</v>
      </c>
    </row>
    <row r="3471" spans="1:8" x14ac:dyDescent="0.25">
      <c r="A3471" s="2">
        <v>32355</v>
      </c>
      <c r="B3471">
        <v>-22.181000000000001</v>
      </c>
      <c r="C3471">
        <v>171.136</v>
      </c>
      <c r="D3471" t="s">
        <v>14</v>
      </c>
      <c r="E3471" t="s">
        <v>254</v>
      </c>
      <c r="F3471">
        <f t="shared" si="108"/>
        <v>1988</v>
      </c>
      <c r="G3471">
        <f t="shared" si="109"/>
        <v>7</v>
      </c>
      <c r="H3471" t="str">
        <f>IF(ISNUMBER(FIND(",", E3471)), TRIM(MID(E3471, FIND(",", E3471) + 1, LEN(E3471))), E3471)</f>
        <v>southeast of the Loyalty Islands</v>
      </c>
    </row>
    <row r="3472" spans="1:8" x14ac:dyDescent="0.25">
      <c r="A3472" s="2">
        <v>32352</v>
      </c>
      <c r="B3472">
        <v>-22.274000000000001</v>
      </c>
      <c r="C3472">
        <v>-65.721999999999994</v>
      </c>
      <c r="D3472" t="s">
        <v>14</v>
      </c>
      <c r="E3472" t="s">
        <v>347</v>
      </c>
      <c r="F3472">
        <f t="shared" si="108"/>
        <v>1988</v>
      </c>
      <c r="G3472">
        <f t="shared" si="109"/>
        <v>7</v>
      </c>
      <c r="H3472" t="str">
        <f>IF(ISNUMBER(FIND(",", E3472)), TRIM(MID(E3472, FIND(",", E3472) + 1, LEN(E3472))), E3472)</f>
        <v>Argentina</v>
      </c>
    </row>
    <row r="3473" spans="1:8" x14ac:dyDescent="0.25">
      <c r="A3473" s="2">
        <v>32351</v>
      </c>
      <c r="B3473">
        <v>-13.114000000000001</v>
      </c>
      <c r="C3473">
        <v>167.15100000000001</v>
      </c>
      <c r="D3473" t="s">
        <v>14</v>
      </c>
      <c r="E3473" t="s">
        <v>181</v>
      </c>
      <c r="F3473">
        <f t="shared" si="108"/>
        <v>1988</v>
      </c>
      <c r="G3473">
        <f t="shared" si="109"/>
        <v>7</v>
      </c>
      <c r="H3473" t="str">
        <f>IF(ISNUMBER(FIND(",", E3473)), TRIM(MID(E3473, FIND(",", E3473) + 1, LEN(E3473))), E3473)</f>
        <v>Vanuatu</v>
      </c>
    </row>
    <row r="3474" spans="1:8" x14ac:dyDescent="0.25">
      <c r="A3474" s="2">
        <v>32349</v>
      </c>
      <c r="B3474">
        <v>-6.07</v>
      </c>
      <c r="C3474">
        <v>133.64599999999999</v>
      </c>
      <c r="D3474" t="s">
        <v>14</v>
      </c>
      <c r="E3474" t="s">
        <v>506</v>
      </c>
      <c r="F3474">
        <f t="shared" si="108"/>
        <v>1988</v>
      </c>
      <c r="G3474">
        <f t="shared" si="109"/>
        <v>7</v>
      </c>
      <c r="H3474" t="str">
        <f>IF(ISNUMBER(FIND(",", E3474)), TRIM(MID(E3474, FIND(",", E3474) + 1, LEN(E3474))), E3474)</f>
        <v>Indonesia</v>
      </c>
    </row>
    <row r="3475" spans="1:8" x14ac:dyDescent="0.25">
      <c r="A3475" s="2">
        <v>32347</v>
      </c>
      <c r="B3475">
        <v>-6.5339999999999998</v>
      </c>
      <c r="C3475">
        <v>152.81200000000001</v>
      </c>
      <c r="D3475" t="s">
        <v>14</v>
      </c>
      <c r="E3475" t="s">
        <v>190</v>
      </c>
      <c r="F3475">
        <f t="shared" si="108"/>
        <v>1988</v>
      </c>
      <c r="G3475">
        <f t="shared" si="109"/>
        <v>7</v>
      </c>
      <c r="H3475" t="str">
        <f>IF(ISNUMBER(FIND(",", E3475)), TRIM(MID(E3475, FIND(",", E3475) + 1, LEN(E3475))), E3475)</f>
        <v>Papua New Guinea</v>
      </c>
    </row>
    <row r="3476" spans="1:8" x14ac:dyDescent="0.25">
      <c r="A3476" s="2">
        <v>32347</v>
      </c>
      <c r="B3476">
        <v>-22.074999999999999</v>
      </c>
      <c r="C3476">
        <v>174.99299999999999</v>
      </c>
      <c r="D3476" t="s">
        <v>14</v>
      </c>
      <c r="E3476" t="s">
        <v>254</v>
      </c>
      <c r="F3476">
        <f t="shared" si="108"/>
        <v>1988</v>
      </c>
      <c r="G3476">
        <f t="shared" si="109"/>
        <v>7</v>
      </c>
      <c r="H3476" t="str">
        <f>IF(ISNUMBER(FIND(",", E3476)), TRIM(MID(E3476, FIND(",", E3476) + 1, LEN(E3476))), E3476)</f>
        <v>southeast of the Loyalty Islands</v>
      </c>
    </row>
    <row r="3477" spans="1:8" x14ac:dyDescent="0.25">
      <c r="A3477" s="2">
        <v>32343</v>
      </c>
      <c r="B3477">
        <v>-19.553000000000001</v>
      </c>
      <c r="C3477">
        <v>-174.98599999999999</v>
      </c>
      <c r="D3477" t="s">
        <v>14</v>
      </c>
      <c r="E3477" t="s">
        <v>239</v>
      </c>
      <c r="F3477">
        <f t="shared" si="108"/>
        <v>1988</v>
      </c>
      <c r="G3477">
        <f t="shared" si="109"/>
        <v>7</v>
      </c>
      <c r="H3477" t="str">
        <f>IF(ISNUMBER(FIND(",", E3477)), TRIM(MID(E3477, FIND(",", E3477) + 1, LEN(E3477))), E3477)</f>
        <v>Tonga</v>
      </c>
    </row>
    <row r="3478" spans="1:8" x14ac:dyDescent="0.25">
      <c r="A3478" s="2">
        <v>32330</v>
      </c>
      <c r="B3478">
        <v>41.832000000000001</v>
      </c>
      <c r="C3478">
        <v>144.197</v>
      </c>
      <c r="D3478" t="s">
        <v>14</v>
      </c>
      <c r="E3478" t="s">
        <v>265</v>
      </c>
      <c r="F3478">
        <f t="shared" si="108"/>
        <v>1988</v>
      </c>
      <c r="G3478">
        <f t="shared" si="109"/>
        <v>7</v>
      </c>
      <c r="H3478" t="str">
        <f>IF(ISNUMBER(FIND(",", E3478)), TRIM(MID(E3478, FIND(",", E3478) + 1, LEN(E3478))), E3478)</f>
        <v>Japan region</v>
      </c>
    </row>
    <row r="3479" spans="1:8" x14ac:dyDescent="0.25">
      <c r="A3479" s="2">
        <v>32329</v>
      </c>
      <c r="B3479">
        <v>-5.9290000000000003</v>
      </c>
      <c r="C3479">
        <v>148.81899999999999</v>
      </c>
      <c r="D3479" t="s">
        <v>14</v>
      </c>
      <c r="E3479" t="s">
        <v>190</v>
      </c>
      <c r="F3479">
        <f t="shared" si="108"/>
        <v>1988</v>
      </c>
      <c r="G3479">
        <f t="shared" si="109"/>
        <v>7</v>
      </c>
      <c r="H3479" t="str">
        <f>IF(ISNUMBER(FIND(",", E3479)), TRIM(MID(E3479, FIND(",", E3479) + 1, LEN(E3479))), E3479)</f>
        <v>Papua New Guinea</v>
      </c>
    </row>
    <row r="3480" spans="1:8" x14ac:dyDescent="0.25">
      <c r="A3480" s="2">
        <v>32327</v>
      </c>
      <c r="B3480">
        <v>8.9309999999999992</v>
      </c>
      <c r="C3480">
        <v>137.88300000000001</v>
      </c>
      <c r="D3480" t="s">
        <v>14</v>
      </c>
      <c r="E3480" t="s">
        <v>458</v>
      </c>
      <c r="F3480">
        <f t="shared" si="108"/>
        <v>1988</v>
      </c>
      <c r="G3480">
        <f t="shared" si="109"/>
        <v>7</v>
      </c>
      <c r="H3480" t="str">
        <f>IF(ISNUMBER(FIND(",", E3480)), TRIM(MID(E3480, FIND(",", E3480) + 1, LEN(E3480))), E3480)</f>
        <v>Federated States of Micronesia</v>
      </c>
    </row>
    <row r="3481" spans="1:8" x14ac:dyDescent="0.25">
      <c r="A3481" s="2">
        <v>32326</v>
      </c>
      <c r="B3481">
        <v>-14.292</v>
      </c>
      <c r="C3481">
        <v>167.238</v>
      </c>
      <c r="D3481" t="s">
        <v>14</v>
      </c>
      <c r="E3481" t="s">
        <v>181</v>
      </c>
      <c r="F3481">
        <f t="shared" si="108"/>
        <v>1988</v>
      </c>
      <c r="G3481">
        <f t="shared" si="109"/>
        <v>7</v>
      </c>
      <c r="H3481" t="str">
        <f>IF(ISNUMBER(FIND(",", E3481)), TRIM(MID(E3481, FIND(",", E3481) + 1, LEN(E3481))), E3481)</f>
        <v>Vanuatu</v>
      </c>
    </row>
    <row r="3482" spans="1:8" x14ac:dyDescent="0.25">
      <c r="A3482" s="2">
        <v>32313</v>
      </c>
      <c r="B3482">
        <v>12.356</v>
      </c>
      <c r="C3482">
        <v>121.083</v>
      </c>
      <c r="D3482" t="s">
        <v>14</v>
      </c>
      <c r="E3482" t="s">
        <v>333</v>
      </c>
      <c r="F3482">
        <f t="shared" si="108"/>
        <v>1988</v>
      </c>
      <c r="G3482">
        <f t="shared" si="109"/>
        <v>6</v>
      </c>
      <c r="H3482" t="str">
        <f>IF(ISNUMBER(FIND(",", E3482)), TRIM(MID(E3482, FIND(",", E3482) + 1, LEN(E3482))), E3482)</f>
        <v>Philippines</v>
      </c>
    </row>
    <row r="3483" spans="1:8" x14ac:dyDescent="0.25">
      <c r="A3483" s="2">
        <v>32312</v>
      </c>
      <c r="B3483">
        <v>26.756</v>
      </c>
      <c r="C3483">
        <v>-110.98099999999999</v>
      </c>
      <c r="D3483" t="s">
        <v>14</v>
      </c>
      <c r="E3483" t="s">
        <v>282</v>
      </c>
      <c r="F3483">
        <f t="shared" si="108"/>
        <v>1988</v>
      </c>
      <c r="G3483">
        <f t="shared" si="109"/>
        <v>6</v>
      </c>
      <c r="H3483" t="str">
        <f>IF(ISNUMBER(FIND(",", E3483)), TRIM(MID(E3483, FIND(",", E3483) + 1, LEN(E3483))), E3483)</f>
        <v>Gulf of California</v>
      </c>
    </row>
    <row r="3484" spans="1:8" x14ac:dyDescent="0.25">
      <c r="A3484" s="2">
        <v>32306</v>
      </c>
      <c r="B3484">
        <v>-10.702</v>
      </c>
      <c r="C3484">
        <v>165.28899999999999</v>
      </c>
      <c r="D3484" t="s">
        <v>14</v>
      </c>
      <c r="E3484" t="s">
        <v>211</v>
      </c>
      <c r="F3484">
        <f t="shared" si="108"/>
        <v>1988</v>
      </c>
      <c r="G3484">
        <f t="shared" si="109"/>
        <v>6</v>
      </c>
      <c r="H3484" t="str">
        <f>IF(ISNUMBER(FIND(",", E3484)), TRIM(MID(E3484, FIND(",", E3484) + 1, LEN(E3484))), E3484)</f>
        <v>Santa Cruz Islands</v>
      </c>
    </row>
    <row r="3485" spans="1:8" x14ac:dyDescent="0.25">
      <c r="A3485" s="2">
        <v>32305</v>
      </c>
      <c r="B3485">
        <v>-15.135999999999999</v>
      </c>
      <c r="C3485">
        <v>-173.416</v>
      </c>
      <c r="D3485" t="s">
        <v>14</v>
      </c>
      <c r="E3485" t="s">
        <v>239</v>
      </c>
      <c r="F3485">
        <f t="shared" si="108"/>
        <v>1988</v>
      </c>
      <c r="G3485">
        <f t="shared" si="109"/>
        <v>6</v>
      </c>
      <c r="H3485" t="str">
        <f>IF(ISNUMBER(FIND(",", E3485)), TRIM(MID(E3485, FIND(",", E3485) + 1, LEN(E3485))), E3485)</f>
        <v>Tonga</v>
      </c>
    </row>
    <row r="3486" spans="1:8" x14ac:dyDescent="0.25">
      <c r="A3486" s="2">
        <v>32299</v>
      </c>
      <c r="B3486">
        <v>-15.379</v>
      </c>
      <c r="C3486">
        <v>167.654</v>
      </c>
      <c r="D3486" t="s">
        <v>14</v>
      </c>
      <c r="E3486" t="s">
        <v>181</v>
      </c>
      <c r="F3486">
        <f t="shared" si="108"/>
        <v>1988</v>
      </c>
      <c r="G3486">
        <f t="shared" si="109"/>
        <v>6</v>
      </c>
      <c r="H3486" t="str">
        <f>IF(ISNUMBER(FIND(",", E3486)), TRIM(MID(E3486, FIND(",", E3486) + 1, LEN(E3486))), E3486)</f>
        <v>Vanuatu</v>
      </c>
    </row>
    <row r="3487" spans="1:8" x14ac:dyDescent="0.25">
      <c r="A3487" s="2">
        <v>32297</v>
      </c>
      <c r="B3487">
        <v>-45.039000000000001</v>
      </c>
      <c r="C3487">
        <v>167.58799999999999</v>
      </c>
      <c r="D3487" t="s">
        <v>14</v>
      </c>
      <c r="E3487" t="s">
        <v>300</v>
      </c>
      <c r="F3487">
        <f t="shared" si="108"/>
        <v>1988</v>
      </c>
      <c r="G3487">
        <f t="shared" si="109"/>
        <v>6</v>
      </c>
      <c r="H3487" t="str">
        <f>IF(ISNUMBER(FIND(",", E3487)), TRIM(MID(E3487, FIND(",", E3487) + 1, LEN(E3487))), E3487)</f>
        <v>South Island of New Zealand</v>
      </c>
    </row>
    <row r="3488" spans="1:8" x14ac:dyDescent="0.25">
      <c r="A3488" s="2">
        <v>32293</v>
      </c>
      <c r="B3488">
        <v>-7.51</v>
      </c>
      <c r="C3488">
        <v>128.35300000000001</v>
      </c>
      <c r="D3488" t="s">
        <v>14</v>
      </c>
      <c r="E3488" t="s">
        <v>49</v>
      </c>
      <c r="F3488">
        <f t="shared" si="108"/>
        <v>1988</v>
      </c>
      <c r="G3488">
        <f t="shared" si="109"/>
        <v>5</v>
      </c>
      <c r="H3488" t="str">
        <f>IF(ISNUMBER(FIND(",", E3488)), TRIM(MID(E3488, FIND(",", E3488) + 1, LEN(E3488))), E3488)</f>
        <v>Indonesia</v>
      </c>
    </row>
    <row r="3489" spans="1:8" x14ac:dyDescent="0.25">
      <c r="A3489" s="2">
        <v>32284</v>
      </c>
      <c r="B3489">
        <v>-33.005000000000003</v>
      </c>
      <c r="C3489">
        <v>-71.852000000000004</v>
      </c>
      <c r="D3489" t="s">
        <v>14</v>
      </c>
      <c r="E3489" t="s">
        <v>286</v>
      </c>
      <c r="F3489">
        <f t="shared" si="108"/>
        <v>1988</v>
      </c>
      <c r="G3489">
        <f t="shared" si="109"/>
        <v>5</v>
      </c>
      <c r="H3489" t="str">
        <f>IF(ISNUMBER(FIND(",", E3489)), TRIM(MID(E3489, FIND(",", E3489) + 1, LEN(E3489))), E3489)</f>
        <v>Chile</v>
      </c>
    </row>
    <row r="3490" spans="1:8" x14ac:dyDescent="0.25">
      <c r="A3490" s="2">
        <v>32280</v>
      </c>
      <c r="B3490">
        <v>-11.430999999999999</v>
      </c>
      <c r="C3490">
        <v>170.738</v>
      </c>
      <c r="D3490" t="s">
        <v>14</v>
      </c>
      <c r="E3490" t="s">
        <v>396</v>
      </c>
      <c r="F3490">
        <f t="shared" si="108"/>
        <v>1988</v>
      </c>
      <c r="G3490">
        <f t="shared" si="109"/>
        <v>5</v>
      </c>
      <c r="H3490" t="str">
        <f>IF(ISNUMBER(FIND(",", E3490)), TRIM(MID(E3490, FIND(",", E3490) + 1, LEN(E3490))), E3490)</f>
        <v>Santa Cruz Islands region</v>
      </c>
    </row>
    <row r="3491" spans="1:8" x14ac:dyDescent="0.25">
      <c r="A3491" s="2">
        <v>32269</v>
      </c>
      <c r="B3491">
        <v>11.487</v>
      </c>
      <c r="C3491">
        <v>-85.91</v>
      </c>
      <c r="D3491" t="s">
        <v>14</v>
      </c>
      <c r="E3491" t="s">
        <v>270</v>
      </c>
      <c r="F3491">
        <f t="shared" si="108"/>
        <v>1988</v>
      </c>
      <c r="G3491">
        <f t="shared" si="109"/>
        <v>5</v>
      </c>
      <c r="H3491" t="str">
        <f>IF(ISNUMBER(FIND(",", E3491)), TRIM(MID(E3491, FIND(",", E3491) + 1, LEN(E3491))), E3491)</f>
        <v>Nicaragua</v>
      </c>
    </row>
    <row r="3492" spans="1:8" x14ac:dyDescent="0.25">
      <c r="A3492" s="2">
        <v>32268</v>
      </c>
      <c r="B3492">
        <v>-26.841999999999999</v>
      </c>
      <c r="C3492">
        <v>-113.64400000000001</v>
      </c>
      <c r="D3492" t="s">
        <v>14</v>
      </c>
      <c r="E3492" t="s">
        <v>59</v>
      </c>
      <c r="F3492">
        <f t="shared" si="108"/>
        <v>1988</v>
      </c>
      <c r="G3492">
        <f t="shared" si="109"/>
        <v>5</v>
      </c>
      <c r="H3492" t="str">
        <f>IF(ISNUMBER(FIND(",", E3492)), TRIM(MID(E3492, FIND(",", E3492) + 1, LEN(E3492))), E3492)</f>
        <v>Easter Island region</v>
      </c>
    </row>
    <row r="3493" spans="1:8" x14ac:dyDescent="0.25">
      <c r="A3493" s="2">
        <v>32268</v>
      </c>
      <c r="B3493">
        <v>-26.899000000000001</v>
      </c>
      <c r="C3493">
        <v>-113.30500000000001</v>
      </c>
      <c r="D3493" t="s">
        <v>14</v>
      </c>
      <c r="E3493" t="s">
        <v>59</v>
      </c>
      <c r="F3493">
        <f t="shared" si="108"/>
        <v>1988</v>
      </c>
      <c r="G3493">
        <f t="shared" si="109"/>
        <v>5</v>
      </c>
      <c r="H3493" t="str">
        <f>IF(ISNUMBER(FIND(",", E3493)), TRIM(MID(E3493, FIND(",", E3493) + 1, LEN(E3493))), E3493)</f>
        <v>Easter Island region</v>
      </c>
    </row>
    <row r="3494" spans="1:8" x14ac:dyDescent="0.25">
      <c r="A3494" s="2">
        <v>32267</v>
      </c>
      <c r="B3494">
        <v>18.506</v>
      </c>
      <c r="C3494">
        <v>145.923</v>
      </c>
      <c r="D3494" t="s">
        <v>14</v>
      </c>
      <c r="E3494" t="s">
        <v>416</v>
      </c>
      <c r="F3494">
        <f t="shared" si="108"/>
        <v>1988</v>
      </c>
      <c r="G3494">
        <f t="shared" si="109"/>
        <v>5</v>
      </c>
      <c r="H3494" t="str">
        <f>IF(ISNUMBER(FIND(",", E3494)), TRIM(MID(E3494, FIND(",", E3494) + 1, LEN(E3494))), E3494)</f>
        <v>Northern Mariana Islands</v>
      </c>
    </row>
    <row r="3495" spans="1:8" x14ac:dyDescent="0.25">
      <c r="A3495" s="2">
        <v>32267</v>
      </c>
      <c r="B3495">
        <v>49.927999999999997</v>
      </c>
      <c r="C3495">
        <v>78.769000000000005</v>
      </c>
      <c r="D3495" t="s">
        <v>13</v>
      </c>
      <c r="E3495" t="s">
        <v>571</v>
      </c>
      <c r="F3495">
        <f t="shared" si="108"/>
        <v>1988</v>
      </c>
      <c r="G3495">
        <f t="shared" si="109"/>
        <v>5</v>
      </c>
      <c r="H3495" t="str">
        <f>IF(ISNUMBER(FIND(",", E3495)), TRIM(MID(E3495, FIND(",", E3495) + 1, LEN(E3495))), E3495)</f>
        <v>eastern Kazakhstan</v>
      </c>
    </row>
    <row r="3496" spans="1:8" x14ac:dyDescent="0.25">
      <c r="A3496" s="2">
        <v>32264</v>
      </c>
      <c r="B3496">
        <v>-56.014000000000003</v>
      </c>
      <c r="C3496">
        <v>-27.8</v>
      </c>
      <c r="D3496" t="s">
        <v>14</v>
      </c>
      <c r="E3496" t="s">
        <v>260</v>
      </c>
      <c r="F3496">
        <f t="shared" si="108"/>
        <v>1988</v>
      </c>
      <c r="G3496">
        <f t="shared" si="109"/>
        <v>5</v>
      </c>
      <c r="H3496" t="str">
        <f>IF(ISNUMBER(FIND(",", E3496)), TRIM(MID(E3496, FIND(",", E3496) + 1, LEN(E3496))), E3496)</f>
        <v>South Sandwich Islands region</v>
      </c>
    </row>
    <row r="3497" spans="1:8" x14ac:dyDescent="0.25">
      <c r="A3497" s="2">
        <v>32258</v>
      </c>
      <c r="B3497">
        <v>-7.81</v>
      </c>
      <c r="C3497">
        <v>158.327</v>
      </c>
      <c r="D3497" t="s">
        <v>14</v>
      </c>
      <c r="E3497" t="s">
        <v>221</v>
      </c>
      <c r="F3497">
        <f t="shared" si="108"/>
        <v>1988</v>
      </c>
      <c r="G3497">
        <f t="shared" si="109"/>
        <v>4</v>
      </c>
      <c r="H3497" t="str">
        <f>IF(ISNUMBER(FIND(",", E3497)), TRIM(MID(E3497, FIND(",", E3497) + 1, LEN(E3497))), E3497)</f>
        <v>Solomon Islands</v>
      </c>
    </row>
    <row r="3498" spans="1:8" x14ac:dyDescent="0.25">
      <c r="A3498" s="2">
        <v>32250</v>
      </c>
      <c r="B3498">
        <v>-58.555</v>
      </c>
      <c r="C3498">
        <v>-25.335000000000001</v>
      </c>
      <c r="D3498" t="s">
        <v>14</v>
      </c>
      <c r="E3498" t="s">
        <v>260</v>
      </c>
      <c r="F3498">
        <f t="shared" si="108"/>
        <v>1988</v>
      </c>
      <c r="G3498">
        <f t="shared" si="109"/>
        <v>4</v>
      </c>
      <c r="H3498" t="str">
        <f>IF(ISNUMBER(FIND(",", E3498)), TRIM(MID(E3498, FIND(",", E3498) + 1, LEN(E3498))), E3498)</f>
        <v>South Sandwich Islands region</v>
      </c>
    </row>
    <row r="3499" spans="1:8" x14ac:dyDescent="0.25">
      <c r="A3499" s="2">
        <v>32246</v>
      </c>
      <c r="B3499">
        <v>-17.332000000000001</v>
      </c>
      <c r="C3499">
        <v>-72.513000000000005</v>
      </c>
      <c r="D3499" t="s">
        <v>14</v>
      </c>
      <c r="E3499" t="s">
        <v>499</v>
      </c>
      <c r="F3499">
        <f t="shared" si="108"/>
        <v>1988</v>
      </c>
      <c r="G3499">
        <f t="shared" si="109"/>
        <v>4</v>
      </c>
      <c r="H3499" t="str">
        <f>IF(ISNUMBER(FIND(",", E3499)), TRIM(MID(E3499, FIND(",", E3499) + 1, LEN(E3499))), E3499)</f>
        <v>near the coast of southern Peru</v>
      </c>
    </row>
    <row r="3500" spans="1:8" x14ac:dyDescent="0.25">
      <c r="A3500" s="2">
        <v>32245</v>
      </c>
      <c r="B3500">
        <v>-17.254000000000001</v>
      </c>
      <c r="C3500">
        <v>-72.254999999999995</v>
      </c>
      <c r="D3500" t="s">
        <v>14</v>
      </c>
      <c r="E3500" t="s">
        <v>499</v>
      </c>
      <c r="F3500">
        <f t="shared" si="108"/>
        <v>1988</v>
      </c>
      <c r="G3500">
        <f t="shared" si="109"/>
        <v>4</v>
      </c>
      <c r="H3500" t="str">
        <f>IF(ISNUMBER(FIND(",", E3500)), TRIM(MID(E3500, FIND(",", E3500) + 1, LEN(E3500))), E3500)</f>
        <v>near the coast of southern Peru</v>
      </c>
    </row>
    <row r="3501" spans="1:8" x14ac:dyDescent="0.25">
      <c r="A3501" s="2">
        <v>32241</v>
      </c>
      <c r="B3501">
        <v>-3.411</v>
      </c>
      <c r="C3501">
        <v>145.78800000000001</v>
      </c>
      <c r="D3501" t="s">
        <v>14</v>
      </c>
      <c r="E3501" t="s">
        <v>216</v>
      </c>
      <c r="F3501">
        <f t="shared" si="108"/>
        <v>1988</v>
      </c>
      <c r="G3501">
        <f t="shared" si="109"/>
        <v>4</v>
      </c>
      <c r="H3501" t="str">
        <f>IF(ISNUMBER(FIND(",", E3501)), TRIM(MID(E3501, FIND(",", E3501) + 1, LEN(E3501))), E3501)</f>
        <v>Papua New Guinea</v>
      </c>
    </row>
    <row r="3502" spans="1:8" x14ac:dyDescent="0.25">
      <c r="A3502" s="2">
        <v>32241</v>
      </c>
      <c r="B3502">
        <v>-3.355</v>
      </c>
      <c r="C3502">
        <v>145.79900000000001</v>
      </c>
      <c r="D3502" t="s">
        <v>14</v>
      </c>
      <c r="E3502" t="s">
        <v>216</v>
      </c>
      <c r="F3502">
        <f t="shared" si="108"/>
        <v>1988</v>
      </c>
      <c r="G3502">
        <f t="shared" si="109"/>
        <v>4</v>
      </c>
      <c r="H3502" t="str">
        <f>IF(ISNUMBER(FIND(",", E3502)), TRIM(MID(E3502, FIND(",", E3502) + 1, LEN(E3502))), E3502)</f>
        <v>Papua New Guinea</v>
      </c>
    </row>
    <row r="3503" spans="1:8" x14ac:dyDescent="0.25">
      <c r="A3503" s="2">
        <v>32236</v>
      </c>
      <c r="B3503">
        <v>49.917000000000002</v>
      </c>
      <c r="C3503">
        <v>78.944999999999993</v>
      </c>
      <c r="D3503" t="s">
        <v>13</v>
      </c>
      <c r="E3503" t="s">
        <v>571</v>
      </c>
      <c r="F3503">
        <f t="shared" si="108"/>
        <v>1988</v>
      </c>
      <c r="G3503">
        <f t="shared" si="109"/>
        <v>4</v>
      </c>
      <c r="H3503" t="str">
        <f>IF(ISNUMBER(FIND(",", E3503)), TRIM(MID(E3503, FIND(",", E3503) + 1, LEN(E3503))), E3503)</f>
        <v>eastern Kazakhstan</v>
      </c>
    </row>
    <row r="3504" spans="1:8" x14ac:dyDescent="0.25">
      <c r="A3504" s="2">
        <v>32235</v>
      </c>
      <c r="B3504">
        <v>-15.393000000000001</v>
      </c>
      <c r="C3504">
        <v>-173.018</v>
      </c>
      <c r="D3504" t="s">
        <v>14</v>
      </c>
      <c r="E3504" t="s">
        <v>239</v>
      </c>
      <c r="F3504">
        <f t="shared" si="108"/>
        <v>1988</v>
      </c>
      <c r="G3504">
        <f t="shared" si="109"/>
        <v>4</v>
      </c>
      <c r="H3504" t="str">
        <f>IF(ISNUMBER(FIND(",", E3504)), TRIM(MID(E3504, FIND(",", E3504) + 1, LEN(E3504))), E3504)</f>
        <v>Tonga</v>
      </c>
    </row>
    <row r="3505" spans="1:8" x14ac:dyDescent="0.25">
      <c r="A3505" s="2">
        <v>32232</v>
      </c>
      <c r="B3505">
        <v>-24.931000000000001</v>
      </c>
      <c r="C3505">
        <v>-70.457999999999998</v>
      </c>
      <c r="D3505" t="s">
        <v>14</v>
      </c>
      <c r="E3505" t="s">
        <v>289</v>
      </c>
      <c r="F3505">
        <f t="shared" si="108"/>
        <v>1988</v>
      </c>
      <c r="G3505">
        <f t="shared" si="109"/>
        <v>3</v>
      </c>
      <c r="H3505" t="str">
        <f>IF(ISNUMBER(FIND(",", E3505)), TRIM(MID(E3505, FIND(",", E3505) + 1, LEN(E3505))), E3505)</f>
        <v>Chile</v>
      </c>
    </row>
    <row r="3506" spans="1:8" x14ac:dyDescent="0.25">
      <c r="A3506" s="2">
        <v>32227</v>
      </c>
      <c r="B3506">
        <v>62.100999999999999</v>
      </c>
      <c r="C3506">
        <v>-124.152</v>
      </c>
      <c r="D3506" t="s">
        <v>14</v>
      </c>
      <c r="E3506" t="s">
        <v>585</v>
      </c>
      <c r="F3506">
        <f t="shared" si="108"/>
        <v>1988</v>
      </c>
      <c r="G3506">
        <f t="shared" si="109"/>
        <v>3</v>
      </c>
      <c r="H3506" t="str">
        <f>IF(ISNUMBER(FIND(",", E3506)), TRIM(MID(E3506, FIND(",", E3506) + 1, LEN(E3506))), E3506)</f>
        <v>Canada</v>
      </c>
    </row>
    <row r="3507" spans="1:8" x14ac:dyDescent="0.25">
      <c r="A3507" s="2">
        <v>32225</v>
      </c>
      <c r="B3507">
        <v>10.763999999999999</v>
      </c>
      <c r="C3507">
        <v>-43.55</v>
      </c>
      <c r="D3507" t="s">
        <v>14</v>
      </c>
      <c r="E3507" t="s">
        <v>325</v>
      </c>
      <c r="F3507">
        <f t="shared" si="108"/>
        <v>1988</v>
      </c>
      <c r="G3507">
        <f t="shared" si="109"/>
        <v>3</v>
      </c>
      <c r="H3507" t="str">
        <f>IF(ISNUMBER(FIND(",", E3507)), TRIM(MID(E3507, FIND(",", E3507) + 1, LEN(E3507))), E3507)</f>
        <v>northern Mid-Atlantic Ridge</v>
      </c>
    </row>
    <row r="3508" spans="1:8" x14ac:dyDescent="0.25">
      <c r="A3508" s="2">
        <v>32223</v>
      </c>
      <c r="B3508">
        <v>77.584999999999994</v>
      </c>
      <c r="C3508">
        <v>125.48699999999999</v>
      </c>
      <c r="D3508" t="s">
        <v>14</v>
      </c>
      <c r="E3508" t="s">
        <v>586</v>
      </c>
      <c r="F3508">
        <f t="shared" si="108"/>
        <v>1988</v>
      </c>
      <c r="G3508">
        <f t="shared" si="109"/>
        <v>3</v>
      </c>
      <c r="H3508" t="str">
        <f>IF(ISNUMBER(FIND(",", E3508)), TRIM(MID(E3508, FIND(",", E3508) + 1, LEN(E3508))), E3508)</f>
        <v>Laptev Sea</v>
      </c>
    </row>
    <row r="3509" spans="1:8" x14ac:dyDescent="0.25">
      <c r="A3509" s="2">
        <v>32220</v>
      </c>
      <c r="B3509">
        <v>-3.5920000000000001</v>
      </c>
      <c r="C3509">
        <v>146.69800000000001</v>
      </c>
      <c r="D3509" t="s">
        <v>14</v>
      </c>
      <c r="E3509" t="s">
        <v>380</v>
      </c>
      <c r="F3509">
        <f t="shared" si="108"/>
        <v>1988</v>
      </c>
      <c r="G3509">
        <f t="shared" si="109"/>
        <v>3</v>
      </c>
      <c r="H3509" t="str">
        <f>IF(ISNUMBER(FIND(",", E3509)), TRIM(MID(E3509, FIND(",", E3509) + 1, LEN(E3509))), E3509)</f>
        <v>Bismarck Sea</v>
      </c>
    </row>
    <row r="3510" spans="1:8" x14ac:dyDescent="0.25">
      <c r="A3510" s="2">
        <v>32212</v>
      </c>
      <c r="B3510">
        <v>-20.984999999999999</v>
      </c>
      <c r="C3510">
        <v>-178.57400000000001</v>
      </c>
      <c r="D3510" t="s">
        <v>14</v>
      </c>
      <c r="E3510" t="s">
        <v>53</v>
      </c>
      <c r="F3510">
        <f t="shared" si="108"/>
        <v>1988</v>
      </c>
      <c r="G3510">
        <f t="shared" si="109"/>
        <v>3</v>
      </c>
      <c r="H3510" t="str">
        <f>IF(ISNUMBER(FIND(",", E3510)), TRIM(MID(E3510, FIND(",", E3510) + 1, LEN(E3510))), E3510)</f>
        <v>Fiji region</v>
      </c>
    </row>
    <row r="3511" spans="1:8" x14ac:dyDescent="0.25">
      <c r="A3511" s="2">
        <v>32212</v>
      </c>
      <c r="B3511">
        <v>10.255000000000001</v>
      </c>
      <c r="C3511">
        <v>-60.569000000000003</v>
      </c>
      <c r="D3511" t="s">
        <v>14</v>
      </c>
      <c r="E3511" t="s">
        <v>587</v>
      </c>
      <c r="F3511">
        <f t="shared" si="108"/>
        <v>1988</v>
      </c>
      <c r="G3511">
        <f t="shared" si="109"/>
        <v>3</v>
      </c>
      <c r="H3511" t="str">
        <f>IF(ISNUMBER(FIND(",", E3511)), TRIM(MID(E3511, FIND(",", E3511) + 1, LEN(E3511))), E3511)</f>
        <v>Trinidad and Tobago</v>
      </c>
    </row>
    <row r="3512" spans="1:8" x14ac:dyDescent="0.25">
      <c r="A3512" s="2">
        <v>32208</v>
      </c>
      <c r="B3512">
        <v>57.719000000000001</v>
      </c>
      <c r="C3512">
        <v>-142.88900000000001</v>
      </c>
      <c r="D3512" t="s">
        <v>13</v>
      </c>
      <c r="E3512" t="s">
        <v>195</v>
      </c>
      <c r="F3512">
        <f t="shared" si="108"/>
        <v>1988</v>
      </c>
      <c r="G3512">
        <f t="shared" si="109"/>
        <v>3</v>
      </c>
      <c r="H3512" t="str">
        <f>IF(ISNUMBER(FIND(",", E3512)), TRIM(MID(E3512, FIND(",", E3512) + 1, LEN(E3512))), E3512)</f>
        <v>Gulf of Alaska</v>
      </c>
    </row>
    <row r="3513" spans="1:8" x14ac:dyDescent="0.25">
      <c r="A3513" s="2">
        <v>32208</v>
      </c>
      <c r="B3513">
        <v>57.262999999999998</v>
      </c>
      <c r="C3513">
        <v>-142.749</v>
      </c>
      <c r="D3513" t="s">
        <v>14</v>
      </c>
      <c r="E3513" t="s">
        <v>195</v>
      </c>
      <c r="F3513">
        <f t="shared" si="108"/>
        <v>1988</v>
      </c>
      <c r="G3513">
        <f t="shared" si="109"/>
        <v>3</v>
      </c>
      <c r="H3513" t="str">
        <f>IF(ISNUMBER(FIND(",", E3513)), TRIM(MID(E3513, FIND(",", E3513) + 1, LEN(E3513))), E3513)</f>
        <v>Gulf of Alaska</v>
      </c>
    </row>
    <row r="3514" spans="1:8" x14ac:dyDescent="0.25">
      <c r="A3514" s="2">
        <v>32202</v>
      </c>
      <c r="B3514">
        <v>55.155999999999999</v>
      </c>
      <c r="C3514">
        <v>167.416</v>
      </c>
      <c r="D3514" t="s">
        <v>14</v>
      </c>
      <c r="E3514" t="s">
        <v>443</v>
      </c>
      <c r="F3514">
        <f t="shared" si="108"/>
        <v>1988</v>
      </c>
      <c r="G3514">
        <f t="shared" si="109"/>
        <v>2</v>
      </c>
      <c r="H3514" t="str">
        <f>IF(ISNUMBER(FIND(",", E3514)), TRIM(MID(E3514, FIND(",", E3514) + 1, LEN(E3514))), E3514)</f>
        <v>Russia region</v>
      </c>
    </row>
    <row r="3515" spans="1:8" x14ac:dyDescent="0.25">
      <c r="A3515" s="2">
        <v>32199</v>
      </c>
      <c r="B3515">
        <v>-37.29</v>
      </c>
      <c r="C3515">
        <v>47.917999999999999</v>
      </c>
      <c r="D3515" t="s">
        <v>14</v>
      </c>
      <c r="E3515" t="s">
        <v>94</v>
      </c>
      <c r="F3515">
        <f t="shared" si="108"/>
        <v>1988</v>
      </c>
      <c r="G3515">
        <f t="shared" si="109"/>
        <v>2</v>
      </c>
      <c r="H3515" t="str">
        <f>IF(ISNUMBER(FIND(",", E3515)), TRIM(MID(E3515, FIND(",", E3515) + 1, LEN(E3515))), E3515)</f>
        <v>Southwest Indian Ridge</v>
      </c>
    </row>
    <row r="3516" spans="1:8" x14ac:dyDescent="0.25">
      <c r="A3516" s="2">
        <v>32197</v>
      </c>
      <c r="B3516">
        <v>13.465999999999999</v>
      </c>
      <c r="C3516">
        <v>124.55200000000001</v>
      </c>
      <c r="D3516" t="s">
        <v>14</v>
      </c>
      <c r="E3516" t="s">
        <v>558</v>
      </c>
      <c r="F3516">
        <f t="shared" si="108"/>
        <v>1988</v>
      </c>
      <c r="G3516">
        <f t="shared" si="109"/>
        <v>2</v>
      </c>
      <c r="H3516" t="str">
        <f>IF(ISNUMBER(FIND(",", E3516)), TRIM(MID(E3516, FIND(",", E3516) + 1, LEN(E3516))), E3516)</f>
        <v>Philippines</v>
      </c>
    </row>
    <row r="3517" spans="1:8" x14ac:dyDescent="0.25">
      <c r="A3517" s="2">
        <v>32195</v>
      </c>
      <c r="B3517">
        <v>-20.943999999999999</v>
      </c>
      <c r="C3517">
        <v>-69.760000000000005</v>
      </c>
      <c r="D3517" t="s">
        <v>14</v>
      </c>
      <c r="E3517" t="s">
        <v>237</v>
      </c>
      <c r="F3517">
        <f t="shared" si="108"/>
        <v>1988</v>
      </c>
      <c r="G3517">
        <f t="shared" si="109"/>
        <v>2</v>
      </c>
      <c r="H3517" t="str">
        <f>IF(ISNUMBER(FIND(",", E3517)), TRIM(MID(E3517, FIND(",", E3517) + 1, LEN(E3517))), E3517)</f>
        <v>Chile</v>
      </c>
    </row>
    <row r="3518" spans="1:8" x14ac:dyDescent="0.25">
      <c r="A3518" s="2">
        <v>32193</v>
      </c>
      <c r="B3518">
        <v>-7.157</v>
      </c>
      <c r="C3518">
        <v>127.024</v>
      </c>
      <c r="D3518" t="s">
        <v>14</v>
      </c>
      <c r="E3518" t="s">
        <v>49</v>
      </c>
      <c r="F3518">
        <f t="shared" si="108"/>
        <v>1988</v>
      </c>
      <c r="G3518">
        <f t="shared" si="109"/>
        <v>2</v>
      </c>
      <c r="H3518" t="str">
        <f>IF(ISNUMBER(FIND(",", E3518)), TRIM(MID(E3518, FIND(",", E3518) + 1, LEN(E3518))), E3518)</f>
        <v>Indonesia</v>
      </c>
    </row>
    <row r="3519" spans="1:8" x14ac:dyDescent="0.25">
      <c r="A3519" s="2">
        <v>32186</v>
      </c>
      <c r="B3519">
        <v>49.954000000000001</v>
      </c>
      <c r="C3519">
        <v>78.91</v>
      </c>
      <c r="D3519" t="s">
        <v>13</v>
      </c>
      <c r="E3519" t="s">
        <v>571</v>
      </c>
      <c r="F3519">
        <f t="shared" si="108"/>
        <v>1988</v>
      </c>
      <c r="G3519">
        <f t="shared" si="109"/>
        <v>2</v>
      </c>
      <c r="H3519" t="str">
        <f>IF(ISNUMBER(FIND(",", E3519)), TRIM(MID(E3519, FIND(",", E3519) + 1, LEN(E3519))), E3519)</f>
        <v>eastern Kazakhstan</v>
      </c>
    </row>
    <row r="3520" spans="1:8" x14ac:dyDescent="0.25">
      <c r="A3520" s="2">
        <v>32180</v>
      </c>
      <c r="B3520">
        <v>50.808999999999997</v>
      </c>
      <c r="C3520">
        <v>173.446</v>
      </c>
      <c r="D3520" t="s">
        <v>14</v>
      </c>
      <c r="E3520" t="s">
        <v>588</v>
      </c>
      <c r="F3520">
        <f t="shared" si="108"/>
        <v>1988</v>
      </c>
      <c r="G3520">
        <f t="shared" si="109"/>
        <v>2</v>
      </c>
      <c r="H3520" t="str">
        <f>IF(ISNUMBER(FIND(",", E3520)), TRIM(MID(E3520, FIND(",", E3520) + 1, LEN(E3520))), E3520)</f>
        <v>south of the Aleutian Islands</v>
      </c>
    </row>
    <row r="3521" spans="1:8" x14ac:dyDescent="0.25">
      <c r="A3521" s="2">
        <v>32180</v>
      </c>
      <c r="B3521">
        <v>60.302</v>
      </c>
      <c r="C3521">
        <v>-153.28200000000001</v>
      </c>
      <c r="D3521" t="s">
        <v>14</v>
      </c>
      <c r="E3521" t="s">
        <v>497</v>
      </c>
      <c r="F3521">
        <f t="shared" si="108"/>
        <v>1988</v>
      </c>
      <c r="G3521">
        <f t="shared" si="109"/>
        <v>2</v>
      </c>
      <c r="H3521" t="str">
        <f>IF(ISNUMBER(FIND(",", E3521)), TRIM(MID(E3521, FIND(",", E3521) + 1, LEN(E3521))), E3521)</f>
        <v>Southern Alaska</v>
      </c>
    </row>
    <row r="3522" spans="1:8" x14ac:dyDescent="0.25">
      <c r="A3522" s="2">
        <v>32179</v>
      </c>
      <c r="B3522">
        <v>-16.189</v>
      </c>
      <c r="C3522">
        <v>-173.76499999999999</v>
      </c>
      <c r="D3522" t="s">
        <v>14</v>
      </c>
      <c r="E3522" t="s">
        <v>239</v>
      </c>
      <c r="F3522">
        <f t="shared" ref="F3522:F3585" si="110">YEAR(A3522)</f>
        <v>1988</v>
      </c>
      <c r="G3522">
        <f t="shared" si="109"/>
        <v>2</v>
      </c>
      <c r="H3522" t="str">
        <f>IF(ISNUMBER(FIND(",", E3522)), TRIM(MID(E3522, FIND(",", E3522) + 1, LEN(E3522))), E3522)</f>
        <v>Tonga</v>
      </c>
    </row>
    <row r="3523" spans="1:8" x14ac:dyDescent="0.25">
      <c r="A3523" s="2">
        <v>32179</v>
      </c>
      <c r="B3523">
        <v>-17.96</v>
      </c>
      <c r="C3523">
        <v>-66.921000000000006</v>
      </c>
      <c r="D3523" t="s">
        <v>14</v>
      </c>
      <c r="E3523" t="s">
        <v>589</v>
      </c>
      <c r="F3523">
        <f t="shared" si="110"/>
        <v>1988</v>
      </c>
      <c r="G3523">
        <f t="shared" ref="G3523:G3586" si="111">MONTH(A3523)</f>
        <v>2</v>
      </c>
      <c r="H3523" t="str">
        <f>IF(ISNUMBER(FIND(",", E3523)), TRIM(MID(E3523, FIND(",", E3523) + 1, LEN(E3523))), E3523)</f>
        <v>Bolivia</v>
      </c>
    </row>
    <row r="3524" spans="1:8" x14ac:dyDescent="0.25">
      <c r="A3524" s="2">
        <v>32179</v>
      </c>
      <c r="B3524">
        <v>-6.5540000000000003</v>
      </c>
      <c r="C3524">
        <v>131.97399999999999</v>
      </c>
      <c r="D3524" t="s">
        <v>14</v>
      </c>
      <c r="E3524" t="s">
        <v>411</v>
      </c>
      <c r="F3524">
        <f t="shared" si="110"/>
        <v>1988</v>
      </c>
      <c r="G3524">
        <f t="shared" si="111"/>
        <v>2</v>
      </c>
      <c r="H3524" t="str">
        <f>IF(ISNUMBER(FIND(",", E3524)), TRIM(MID(E3524, FIND(",", E3524) + 1, LEN(E3524))), E3524)</f>
        <v>Indonesia</v>
      </c>
    </row>
    <row r="3525" spans="1:8" x14ac:dyDescent="0.25">
      <c r="A3525" s="2">
        <v>32178</v>
      </c>
      <c r="B3525">
        <v>-24.992999999999999</v>
      </c>
      <c r="C3525">
        <v>-70.617999999999995</v>
      </c>
      <c r="D3525" t="s">
        <v>14</v>
      </c>
      <c r="E3525" t="s">
        <v>413</v>
      </c>
      <c r="F3525">
        <f t="shared" si="110"/>
        <v>1988</v>
      </c>
      <c r="G3525">
        <f t="shared" si="111"/>
        <v>2</v>
      </c>
      <c r="H3525" t="str">
        <f>IF(ISNUMBER(FIND(",", E3525)), TRIM(MID(E3525, FIND(",", E3525) + 1, LEN(E3525))), E3525)</f>
        <v>Chile</v>
      </c>
    </row>
    <row r="3526" spans="1:8" x14ac:dyDescent="0.25">
      <c r="A3526" s="2">
        <v>32178</v>
      </c>
      <c r="B3526">
        <v>-24.786999999999999</v>
      </c>
      <c r="C3526">
        <v>-70.477000000000004</v>
      </c>
      <c r="D3526" t="s">
        <v>14</v>
      </c>
      <c r="E3526" t="s">
        <v>289</v>
      </c>
      <c r="F3526">
        <f t="shared" si="110"/>
        <v>1988</v>
      </c>
      <c r="G3526">
        <f t="shared" si="111"/>
        <v>2</v>
      </c>
      <c r="H3526" t="str">
        <f>IF(ISNUMBER(FIND(",", E3526)), TRIM(MID(E3526, FIND(",", E3526) + 1, LEN(E3526))), E3526)</f>
        <v>Chile</v>
      </c>
    </row>
    <row r="3527" spans="1:8" x14ac:dyDescent="0.25">
      <c r="A3527" s="2">
        <v>32164</v>
      </c>
      <c r="B3527">
        <v>-19.896000000000001</v>
      </c>
      <c r="C3527">
        <v>133.85599999999999</v>
      </c>
      <c r="D3527" t="s">
        <v>14</v>
      </c>
      <c r="E3527" t="s">
        <v>590</v>
      </c>
      <c r="F3527">
        <f t="shared" si="110"/>
        <v>1988</v>
      </c>
      <c r="G3527">
        <f t="shared" si="111"/>
        <v>1</v>
      </c>
      <c r="H3527" t="str">
        <f>IF(ISNUMBER(FIND(",", E3527)), TRIM(MID(E3527, FIND(",", E3527) + 1, LEN(E3527))), E3527)</f>
        <v>Australia</v>
      </c>
    </row>
    <row r="3528" spans="1:8" x14ac:dyDescent="0.25">
      <c r="A3528" s="2">
        <v>32164</v>
      </c>
      <c r="B3528">
        <v>-19.873000000000001</v>
      </c>
      <c r="C3528">
        <v>133.845</v>
      </c>
      <c r="D3528" t="s">
        <v>14</v>
      </c>
      <c r="E3528" t="s">
        <v>590</v>
      </c>
      <c r="F3528">
        <f t="shared" si="110"/>
        <v>1988</v>
      </c>
      <c r="G3528">
        <f t="shared" si="111"/>
        <v>1</v>
      </c>
      <c r="H3528" t="str">
        <f>IF(ISNUMBER(FIND(",", E3528)), TRIM(MID(E3528, FIND(",", E3528) + 1, LEN(E3528))), E3528)</f>
        <v>Australia</v>
      </c>
    </row>
    <row r="3529" spans="1:8" x14ac:dyDescent="0.25">
      <c r="A3529" s="2">
        <v>32164</v>
      </c>
      <c r="B3529">
        <v>-19.864999999999998</v>
      </c>
      <c r="C3529">
        <v>133.798</v>
      </c>
      <c r="D3529" t="s">
        <v>14</v>
      </c>
      <c r="E3529" t="s">
        <v>590</v>
      </c>
      <c r="F3529">
        <f t="shared" si="110"/>
        <v>1988</v>
      </c>
      <c r="G3529">
        <f t="shared" si="111"/>
        <v>1</v>
      </c>
      <c r="H3529" t="str">
        <f>IF(ISNUMBER(FIND(",", E3529)), TRIM(MID(E3529, FIND(",", E3529) + 1, LEN(E3529))), E3529)</f>
        <v>Australia</v>
      </c>
    </row>
    <row r="3530" spans="1:8" x14ac:dyDescent="0.25">
      <c r="A3530" s="2">
        <v>32163</v>
      </c>
      <c r="B3530">
        <v>-18.187000000000001</v>
      </c>
      <c r="C3530">
        <v>168.19399999999999</v>
      </c>
      <c r="D3530" t="s">
        <v>14</v>
      </c>
      <c r="E3530" t="s">
        <v>181</v>
      </c>
      <c r="F3530">
        <f t="shared" si="110"/>
        <v>1988</v>
      </c>
      <c r="G3530">
        <f t="shared" si="111"/>
        <v>1</v>
      </c>
      <c r="H3530" t="str">
        <f>IF(ISNUMBER(FIND(",", E3530)), TRIM(MID(E3530, FIND(",", E3530) + 1, LEN(E3530))), E3530)</f>
        <v>Vanuatu</v>
      </c>
    </row>
    <row r="3531" spans="1:8" x14ac:dyDescent="0.25">
      <c r="A3531" s="2">
        <v>32161</v>
      </c>
      <c r="B3531">
        <v>-24.664999999999999</v>
      </c>
      <c r="C3531">
        <v>-70.507000000000005</v>
      </c>
      <c r="D3531" t="s">
        <v>14</v>
      </c>
      <c r="E3531" t="s">
        <v>289</v>
      </c>
      <c r="F3531">
        <f t="shared" si="110"/>
        <v>1988</v>
      </c>
      <c r="G3531">
        <f t="shared" si="111"/>
        <v>1</v>
      </c>
      <c r="H3531" t="str">
        <f>IF(ISNUMBER(FIND(",", E3531)), TRIM(MID(E3531, FIND(",", E3531) + 1, LEN(E3531))), E3531)</f>
        <v>Chile</v>
      </c>
    </row>
    <row r="3532" spans="1:8" x14ac:dyDescent="0.25">
      <c r="A3532" s="2">
        <v>32157</v>
      </c>
      <c r="B3532">
        <v>-20.768999999999998</v>
      </c>
      <c r="C3532">
        <v>-175.982</v>
      </c>
      <c r="D3532" t="s">
        <v>14</v>
      </c>
      <c r="E3532" t="s">
        <v>239</v>
      </c>
      <c r="F3532">
        <f t="shared" si="110"/>
        <v>1988</v>
      </c>
      <c r="G3532">
        <f t="shared" si="111"/>
        <v>1</v>
      </c>
      <c r="H3532" t="str">
        <f>IF(ISNUMBER(FIND(",", E3532)), TRIM(MID(E3532, FIND(",", E3532) + 1, LEN(E3532))), E3532)</f>
        <v>Tonga</v>
      </c>
    </row>
    <row r="3533" spans="1:8" x14ac:dyDescent="0.25">
      <c r="A3533" s="2">
        <v>32154</v>
      </c>
      <c r="B3533">
        <v>-28.706</v>
      </c>
      <c r="C3533">
        <v>-177.417</v>
      </c>
      <c r="D3533" t="s">
        <v>14</v>
      </c>
      <c r="E3533" t="s">
        <v>240</v>
      </c>
      <c r="F3533">
        <f t="shared" si="110"/>
        <v>1988</v>
      </c>
      <c r="G3533">
        <f t="shared" si="111"/>
        <v>1</v>
      </c>
      <c r="H3533" t="str">
        <f>IF(ISNUMBER(FIND(",", E3533)), TRIM(MID(E3533, FIND(",", E3533) + 1, LEN(E3533))), E3533)</f>
        <v>Kermadec Islands region</v>
      </c>
    </row>
    <row r="3534" spans="1:8" x14ac:dyDescent="0.25">
      <c r="A3534" s="2">
        <v>32138</v>
      </c>
      <c r="B3534">
        <v>49.863999999999997</v>
      </c>
      <c r="C3534">
        <v>78.757999999999996</v>
      </c>
      <c r="D3534" t="s">
        <v>13</v>
      </c>
      <c r="E3534" t="s">
        <v>571</v>
      </c>
      <c r="F3534">
        <f t="shared" si="110"/>
        <v>1987</v>
      </c>
      <c r="G3534">
        <f t="shared" si="111"/>
        <v>12</v>
      </c>
      <c r="H3534" t="str">
        <f>IF(ISNUMBER(FIND(",", E3534)), TRIM(MID(E3534, FIND(",", E3534) + 1, LEN(E3534))), E3534)</f>
        <v>eastern Kazakhstan</v>
      </c>
    </row>
    <row r="3535" spans="1:8" x14ac:dyDescent="0.25">
      <c r="A3535" s="2">
        <v>32128</v>
      </c>
      <c r="B3535">
        <v>35.411999999999999</v>
      </c>
      <c r="C3535">
        <v>140.31299999999999</v>
      </c>
      <c r="D3535" t="s">
        <v>14</v>
      </c>
      <c r="E3535" t="s">
        <v>227</v>
      </c>
      <c r="F3535">
        <f t="shared" si="110"/>
        <v>1987</v>
      </c>
      <c r="G3535">
        <f t="shared" si="111"/>
        <v>12</v>
      </c>
      <c r="H3535" t="str">
        <f>IF(ISNUMBER(FIND(",", E3535)), TRIM(MID(E3535, FIND(",", E3535) + 1, LEN(E3535))), E3535)</f>
        <v>Japan</v>
      </c>
    </row>
    <row r="3536" spans="1:8" x14ac:dyDescent="0.25">
      <c r="A3536" s="2">
        <v>32124</v>
      </c>
      <c r="B3536">
        <v>49.988999999999997</v>
      </c>
      <c r="C3536">
        <v>78.843999999999994</v>
      </c>
      <c r="D3536" t="s">
        <v>13</v>
      </c>
      <c r="E3536" t="s">
        <v>571</v>
      </c>
      <c r="F3536">
        <f t="shared" si="110"/>
        <v>1987</v>
      </c>
      <c r="G3536">
        <f t="shared" si="111"/>
        <v>12</v>
      </c>
      <c r="H3536" t="str">
        <f>IF(ISNUMBER(FIND(",", E3536)), TRIM(MID(E3536, FIND(",", E3536) + 1, LEN(E3536))), E3536)</f>
        <v>eastern Kazakhstan</v>
      </c>
    </row>
    <row r="3537" spans="1:8" x14ac:dyDescent="0.25">
      <c r="A3537" s="2">
        <v>32123</v>
      </c>
      <c r="B3537">
        <v>29.763000000000002</v>
      </c>
      <c r="C3537">
        <v>140.09299999999999</v>
      </c>
      <c r="D3537" t="s">
        <v>14</v>
      </c>
      <c r="E3537" t="s">
        <v>88</v>
      </c>
      <c r="F3537">
        <f t="shared" si="110"/>
        <v>1987</v>
      </c>
      <c r="G3537">
        <f t="shared" si="111"/>
        <v>12</v>
      </c>
      <c r="H3537" t="str">
        <f>IF(ISNUMBER(FIND(",", E3537)), TRIM(MID(E3537, FIND(",", E3537) + 1, LEN(E3537))), E3537)</f>
        <v>Japan region</v>
      </c>
    </row>
    <row r="3538" spans="1:8" x14ac:dyDescent="0.25">
      <c r="A3538" s="2">
        <v>32118</v>
      </c>
      <c r="B3538">
        <v>-13.542999999999999</v>
      </c>
      <c r="C3538">
        <v>167.53800000000001</v>
      </c>
      <c r="D3538" t="s">
        <v>14</v>
      </c>
      <c r="E3538" t="s">
        <v>181</v>
      </c>
      <c r="F3538">
        <f t="shared" si="110"/>
        <v>1987</v>
      </c>
      <c r="G3538">
        <f t="shared" si="111"/>
        <v>12</v>
      </c>
      <c r="H3538" t="str">
        <f>IF(ISNUMBER(FIND(",", E3538)), TRIM(MID(E3538, FIND(",", E3538) + 1, LEN(E3538))), E3538)</f>
        <v>Vanuatu</v>
      </c>
    </row>
    <row r="3539" spans="1:8" x14ac:dyDescent="0.25">
      <c r="A3539" s="2">
        <v>32118</v>
      </c>
      <c r="B3539">
        <v>-13.592000000000001</v>
      </c>
      <c r="C3539">
        <v>167.517</v>
      </c>
      <c r="D3539" t="s">
        <v>14</v>
      </c>
      <c r="E3539" t="s">
        <v>181</v>
      </c>
      <c r="F3539">
        <f t="shared" si="110"/>
        <v>1987</v>
      </c>
      <c r="G3539">
        <f t="shared" si="111"/>
        <v>12</v>
      </c>
      <c r="H3539" t="str">
        <f>IF(ISNUMBER(FIND(",", E3539)), TRIM(MID(E3539, FIND(",", E3539) + 1, LEN(E3539))), E3539)</f>
        <v>Vanuatu</v>
      </c>
    </row>
    <row r="3540" spans="1:8" x14ac:dyDescent="0.25">
      <c r="A3540" s="2">
        <v>32115</v>
      </c>
      <c r="B3540">
        <v>-5.7779999999999996</v>
      </c>
      <c r="C3540">
        <v>154.62</v>
      </c>
      <c r="D3540" t="s">
        <v>14</v>
      </c>
      <c r="E3540" t="s">
        <v>290</v>
      </c>
      <c r="F3540">
        <f t="shared" si="110"/>
        <v>1987</v>
      </c>
      <c r="G3540">
        <f t="shared" si="111"/>
        <v>12</v>
      </c>
      <c r="H3540" t="str">
        <f>IF(ISNUMBER(FIND(",", E3540)), TRIM(MID(E3540, FIND(",", E3540) + 1, LEN(E3540))), E3540)</f>
        <v>Papua New Guinea</v>
      </c>
    </row>
    <row r="3541" spans="1:8" x14ac:dyDescent="0.25">
      <c r="A3541" s="2">
        <v>32111</v>
      </c>
      <c r="B3541">
        <v>58.679000000000002</v>
      </c>
      <c r="C3541">
        <v>-142.786</v>
      </c>
      <c r="D3541" t="s">
        <v>16</v>
      </c>
      <c r="E3541" t="s">
        <v>195</v>
      </c>
      <c r="F3541">
        <f t="shared" si="110"/>
        <v>1987</v>
      </c>
      <c r="G3541">
        <f t="shared" si="111"/>
        <v>11</v>
      </c>
      <c r="H3541" t="str">
        <f>IF(ISNUMBER(FIND(",", E3541)), TRIM(MID(E3541, FIND(",", E3541) + 1, LEN(E3541))), E3541)</f>
        <v>Gulf of Alaska</v>
      </c>
    </row>
    <row r="3542" spans="1:8" x14ac:dyDescent="0.25">
      <c r="A3542" s="2">
        <v>32111</v>
      </c>
      <c r="B3542">
        <v>58.83</v>
      </c>
      <c r="C3542">
        <v>-142.602</v>
      </c>
      <c r="D3542" t="s">
        <v>14</v>
      </c>
      <c r="E3542" t="s">
        <v>195</v>
      </c>
      <c r="F3542">
        <f t="shared" si="110"/>
        <v>1987</v>
      </c>
      <c r="G3542">
        <f t="shared" si="111"/>
        <v>11</v>
      </c>
      <c r="H3542" t="str">
        <f>IF(ISNUMBER(FIND(",", E3542)), TRIM(MID(E3542, FIND(",", E3542) + 1, LEN(E3542))), E3542)</f>
        <v>Gulf of Alaska</v>
      </c>
    </row>
    <row r="3543" spans="1:8" x14ac:dyDescent="0.25">
      <c r="A3543" s="2">
        <v>32109</v>
      </c>
      <c r="B3543">
        <v>-0.28699999999999998</v>
      </c>
      <c r="C3543">
        <v>124.837</v>
      </c>
      <c r="D3543" t="s">
        <v>14</v>
      </c>
      <c r="E3543" t="s">
        <v>186</v>
      </c>
      <c r="F3543">
        <f t="shared" si="110"/>
        <v>1987</v>
      </c>
      <c r="G3543">
        <f t="shared" si="111"/>
        <v>11</v>
      </c>
      <c r="H3543" t="str">
        <f>IF(ISNUMBER(FIND(",", E3543)), TRIM(MID(E3543, FIND(",", E3543) + 1, LEN(E3543))), E3543)</f>
        <v>Molucca Sea</v>
      </c>
    </row>
    <row r="3544" spans="1:8" x14ac:dyDescent="0.25">
      <c r="A3544" s="2">
        <v>32108</v>
      </c>
      <c r="B3544">
        <v>-16.332000000000001</v>
      </c>
      <c r="C3544">
        <v>168.19200000000001</v>
      </c>
      <c r="D3544" t="s">
        <v>14</v>
      </c>
      <c r="E3544" t="s">
        <v>181</v>
      </c>
      <c r="F3544">
        <f t="shared" si="110"/>
        <v>1987</v>
      </c>
      <c r="G3544">
        <f t="shared" si="111"/>
        <v>11</v>
      </c>
      <c r="H3544" t="str">
        <f>IF(ISNUMBER(FIND(",", E3544)), TRIM(MID(E3544, FIND(",", E3544) + 1, LEN(E3544))), E3544)</f>
        <v>Vanuatu</v>
      </c>
    </row>
    <row r="3545" spans="1:8" x14ac:dyDescent="0.25">
      <c r="A3545" s="2">
        <v>32108</v>
      </c>
      <c r="B3545">
        <v>-0.2</v>
      </c>
      <c r="C3545">
        <v>125.003</v>
      </c>
      <c r="D3545" t="s">
        <v>14</v>
      </c>
      <c r="E3545" t="s">
        <v>186</v>
      </c>
      <c r="F3545">
        <f t="shared" si="110"/>
        <v>1987</v>
      </c>
      <c r="G3545">
        <f t="shared" si="111"/>
        <v>11</v>
      </c>
      <c r="H3545" t="str">
        <f>IF(ISNUMBER(FIND(",", E3545)), TRIM(MID(E3545, FIND(",", E3545) + 1, LEN(E3545))), E3545)</f>
        <v>Molucca Sea</v>
      </c>
    </row>
    <row r="3546" spans="1:8" x14ac:dyDescent="0.25">
      <c r="A3546" s="2">
        <v>32107</v>
      </c>
      <c r="B3546">
        <v>-16.38</v>
      </c>
      <c r="C3546">
        <v>168.21100000000001</v>
      </c>
      <c r="D3546" t="s">
        <v>14</v>
      </c>
      <c r="E3546" t="s">
        <v>181</v>
      </c>
      <c r="F3546">
        <f t="shared" si="110"/>
        <v>1987</v>
      </c>
      <c r="G3546">
        <f t="shared" si="111"/>
        <v>11</v>
      </c>
      <c r="H3546" t="str">
        <f>IF(ISNUMBER(FIND(",", E3546)), TRIM(MID(E3546, FIND(",", E3546) + 1, LEN(E3546))), E3546)</f>
        <v>Vanuatu</v>
      </c>
    </row>
    <row r="3547" spans="1:8" x14ac:dyDescent="0.25">
      <c r="A3547" s="2">
        <v>32107</v>
      </c>
      <c r="B3547">
        <v>-8.2650000000000006</v>
      </c>
      <c r="C3547">
        <v>124.148</v>
      </c>
      <c r="D3547" t="s">
        <v>14</v>
      </c>
      <c r="E3547" t="s">
        <v>462</v>
      </c>
      <c r="F3547">
        <f t="shared" si="110"/>
        <v>1987</v>
      </c>
      <c r="G3547">
        <f t="shared" si="111"/>
        <v>11</v>
      </c>
      <c r="H3547" t="str">
        <f>IF(ISNUMBER(FIND(",", E3547)), TRIM(MID(E3547, FIND(",", E3547) + 1, LEN(E3547))), E3547)</f>
        <v>Indonesia</v>
      </c>
    </row>
    <row r="3548" spans="1:8" x14ac:dyDescent="0.25">
      <c r="A3548" s="2">
        <v>32106</v>
      </c>
      <c r="B3548">
        <v>-5.625</v>
      </c>
      <c r="C3548">
        <v>149.39099999999999</v>
      </c>
      <c r="D3548" t="s">
        <v>14</v>
      </c>
      <c r="E3548" t="s">
        <v>190</v>
      </c>
      <c r="F3548">
        <f t="shared" si="110"/>
        <v>1987</v>
      </c>
      <c r="G3548">
        <f t="shared" si="111"/>
        <v>11</v>
      </c>
      <c r="H3548" t="str">
        <f>IF(ISNUMBER(FIND(",", E3548)), TRIM(MID(E3548, FIND(",", E3548) + 1, LEN(E3548))), E3548)</f>
        <v>Papua New Guinea</v>
      </c>
    </row>
    <row r="3549" spans="1:8" x14ac:dyDescent="0.25">
      <c r="A3549" s="2">
        <v>32105</v>
      </c>
      <c r="B3549">
        <v>33.070999999999998</v>
      </c>
      <c r="C3549">
        <v>-115.953</v>
      </c>
      <c r="D3549" t="s">
        <v>14</v>
      </c>
      <c r="E3549" t="s">
        <v>521</v>
      </c>
      <c r="F3549">
        <f t="shared" si="110"/>
        <v>1987</v>
      </c>
      <c r="G3549">
        <f t="shared" si="111"/>
        <v>11</v>
      </c>
      <c r="H3549" t="str">
        <f>IF(ISNUMBER(FIND(",", E3549)), TRIM(MID(E3549, FIND(",", E3549) + 1, LEN(E3549))), E3549)</f>
        <v>Southern California</v>
      </c>
    </row>
    <row r="3550" spans="1:8" x14ac:dyDescent="0.25">
      <c r="A3550" s="2">
        <v>32099</v>
      </c>
      <c r="B3550">
        <v>12.907</v>
      </c>
      <c r="C3550">
        <v>124.773</v>
      </c>
      <c r="D3550" t="s">
        <v>14</v>
      </c>
      <c r="E3550" t="s">
        <v>394</v>
      </c>
      <c r="F3550">
        <f t="shared" si="110"/>
        <v>1987</v>
      </c>
      <c r="G3550">
        <f t="shared" si="111"/>
        <v>11</v>
      </c>
      <c r="H3550" t="str">
        <f>IF(ISNUMBER(FIND(",", E3550)), TRIM(MID(E3550, FIND(",", E3550) + 1, LEN(E3550))), E3550)</f>
        <v>Philippines</v>
      </c>
    </row>
    <row r="3551" spans="1:8" x14ac:dyDescent="0.25">
      <c r="A3551" s="2">
        <v>32098</v>
      </c>
      <c r="B3551">
        <v>58.792000000000002</v>
      </c>
      <c r="C3551">
        <v>-143.19499999999999</v>
      </c>
      <c r="D3551" t="s">
        <v>14</v>
      </c>
      <c r="E3551" t="s">
        <v>195</v>
      </c>
      <c r="F3551">
        <f t="shared" si="110"/>
        <v>1987</v>
      </c>
      <c r="G3551">
        <f t="shared" si="111"/>
        <v>11</v>
      </c>
      <c r="H3551" t="str">
        <f>IF(ISNUMBER(FIND(",", E3551)), TRIM(MID(E3551, FIND(",", E3551) + 1, LEN(E3551))), E3551)</f>
        <v>Gulf of Alaska</v>
      </c>
    </row>
    <row r="3552" spans="1:8" x14ac:dyDescent="0.25">
      <c r="A3552" s="2">
        <v>32098</v>
      </c>
      <c r="B3552">
        <v>12.541</v>
      </c>
      <c r="C3552">
        <v>-86.980999999999995</v>
      </c>
      <c r="D3552" t="s">
        <v>14</v>
      </c>
      <c r="E3552" t="s">
        <v>270</v>
      </c>
      <c r="F3552">
        <f t="shared" si="110"/>
        <v>1987</v>
      </c>
      <c r="G3552">
        <f t="shared" si="111"/>
        <v>11</v>
      </c>
      <c r="H3552" t="str">
        <f>IF(ISNUMBER(FIND(",", E3552)), TRIM(MID(E3552, FIND(",", E3552) + 1, LEN(E3552))), E3552)</f>
        <v>Nicaragua</v>
      </c>
    </row>
    <row r="3553" spans="1:8" x14ac:dyDescent="0.25">
      <c r="A3553" s="2">
        <v>32096</v>
      </c>
      <c r="B3553">
        <v>49.871000000000002</v>
      </c>
      <c r="C3553">
        <v>78.790999999999997</v>
      </c>
      <c r="D3553" t="s">
        <v>13</v>
      </c>
      <c r="E3553" t="s">
        <v>571</v>
      </c>
      <c r="F3553">
        <f t="shared" si="110"/>
        <v>1987</v>
      </c>
      <c r="G3553">
        <f t="shared" si="111"/>
        <v>11</v>
      </c>
      <c r="H3553" t="str">
        <f>IF(ISNUMBER(FIND(",", E3553)), TRIM(MID(E3553, FIND(",", E3553) + 1, LEN(E3553))), E3553)</f>
        <v>eastern Kazakhstan</v>
      </c>
    </row>
    <row r="3554" spans="1:8" x14ac:dyDescent="0.25">
      <c r="A3554" s="2">
        <v>32095</v>
      </c>
      <c r="B3554">
        <v>19.693999999999999</v>
      </c>
      <c r="C3554">
        <v>-108.90300000000001</v>
      </c>
      <c r="D3554" t="s">
        <v>14</v>
      </c>
      <c r="E3554" t="s">
        <v>271</v>
      </c>
      <c r="F3554">
        <f t="shared" si="110"/>
        <v>1987</v>
      </c>
      <c r="G3554">
        <f t="shared" si="111"/>
        <v>11</v>
      </c>
      <c r="H3554" t="str">
        <f>IF(ISNUMBER(FIND(",", E3554)), TRIM(MID(E3554, FIND(",", E3554) + 1, LEN(E3554))), E3554)</f>
        <v>Revilla Gigedo Islands region</v>
      </c>
    </row>
    <row r="3555" spans="1:8" x14ac:dyDescent="0.25">
      <c r="A3555" s="2">
        <v>32088</v>
      </c>
      <c r="B3555">
        <v>5.6769999999999996</v>
      </c>
      <c r="C3555">
        <v>126.55500000000001</v>
      </c>
      <c r="D3555" t="s">
        <v>14</v>
      </c>
      <c r="E3555" t="s">
        <v>200</v>
      </c>
      <c r="F3555">
        <f t="shared" si="110"/>
        <v>1987</v>
      </c>
      <c r="G3555">
        <f t="shared" si="111"/>
        <v>11</v>
      </c>
      <c r="H3555" t="str">
        <f>IF(ISNUMBER(FIND(",", E3555)), TRIM(MID(E3555, FIND(",", E3555) + 1, LEN(E3555))), E3555)</f>
        <v>Philippines</v>
      </c>
    </row>
    <row r="3556" spans="1:8" x14ac:dyDescent="0.25">
      <c r="A3556" s="2">
        <v>32084</v>
      </c>
      <c r="B3556">
        <v>-17.146000000000001</v>
      </c>
      <c r="C3556">
        <v>-173.73099999999999</v>
      </c>
      <c r="D3556" t="s">
        <v>14</v>
      </c>
      <c r="E3556" t="s">
        <v>239</v>
      </c>
      <c r="F3556">
        <f t="shared" si="110"/>
        <v>1987</v>
      </c>
      <c r="G3556">
        <f t="shared" si="111"/>
        <v>11</v>
      </c>
      <c r="H3556" t="str">
        <f>IF(ISNUMBER(FIND(",", E3556)), TRIM(MID(E3556, FIND(",", E3556) + 1, LEN(E3556))), E3556)</f>
        <v>Tonga</v>
      </c>
    </row>
    <row r="3557" spans="1:8" x14ac:dyDescent="0.25">
      <c r="A3557" s="2">
        <v>32082</v>
      </c>
      <c r="B3557">
        <v>-28.645</v>
      </c>
      <c r="C3557">
        <v>-177.37100000000001</v>
      </c>
      <c r="D3557" t="s">
        <v>14</v>
      </c>
      <c r="E3557" t="s">
        <v>240</v>
      </c>
      <c r="F3557">
        <f t="shared" si="110"/>
        <v>1987</v>
      </c>
      <c r="G3557">
        <f t="shared" si="111"/>
        <v>11</v>
      </c>
      <c r="H3557" t="str">
        <f>IF(ISNUMBER(FIND(",", E3557)), TRIM(MID(E3557, FIND(",", E3557) + 1, LEN(E3557))), E3557)</f>
        <v>Kermadec Islands region</v>
      </c>
    </row>
    <row r="3558" spans="1:8" x14ac:dyDescent="0.25">
      <c r="A3558" s="2">
        <v>32079</v>
      </c>
      <c r="B3558">
        <v>4.8310000000000004</v>
      </c>
      <c r="C3558">
        <v>127.729</v>
      </c>
      <c r="D3558" t="s">
        <v>14</v>
      </c>
      <c r="E3558" t="s">
        <v>372</v>
      </c>
      <c r="F3558">
        <f t="shared" si="110"/>
        <v>1987</v>
      </c>
      <c r="G3558">
        <f t="shared" si="111"/>
        <v>10</v>
      </c>
      <c r="H3558" t="str">
        <f>IF(ISNUMBER(FIND(",", E3558)), TRIM(MID(E3558, FIND(",", E3558) + 1, LEN(E3558))), E3558)</f>
        <v>Indonesia</v>
      </c>
    </row>
    <row r="3559" spans="1:8" x14ac:dyDescent="0.25">
      <c r="A3559" s="2">
        <v>32077</v>
      </c>
      <c r="B3559">
        <v>-28.695</v>
      </c>
      <c r="C3559">
        <v>-62.988</v>
      </c>
      <c r="D3559" t="s">
        <v>14</v>
      </c>
      <c r="E3559" t="s">
        <v>232</v>
      </c>
      <c r="F3559">
        <f t="shared" si="110"/>
        <v>1987</v>
      </c>
      <c r="G3559">
        <f t="shared" si="111"/>
        <v>10</v>
      </c>
      <c r="H3559" t="str">
        <f>IF(ISNUMBER(FIND(",", E3559)), TRIM(MID(E3559, FIND(",", E3559) + 1, LEN(E3559))), E3559)</f>
        <v>Argentina</v>
      </c>
    </row>
    <row r="3560" spans="1:8" x14ac:dyDescent="0.25">
      <c r="A3560" s="2">
        <v>32075</v>
      </c>
      <c r="B3560">
        <v>-2.242</v>
      </c>
      <c r="C3560">
        <v>138.41200000000001</v>
      </c>
      <c r="D3560" t="s">
        <v>14</v>
      </c>
      <c r="E3560" t="s">
        <v>210</v>
      </c>
      <c r="F3560">
        <f t="shared" si="110"/>
        <v>1987</v>
      </c>
      <c r="G3560">
        <f t="shared" si="111"/>
        <v>10</v>
      </c>
      <c r="H3560" t="str">
        <f>IF(ISNUMBER(FIND(",", E3560)), TRIM(MID(E3560, FIND(",", E3560) + 1, LEN(E3560))), E3560)</f>
        <v>Indonesia</v>
      </c>
    </row>
    <row r="3561" spans="1:8" x14ac:dyDescent="0.25">
      <c r="A3561" s="2">
        <v>32075</v>
      </c>
      <c r="B3561">
        <v>5.4859999999999998</v>
      </c>
      <c r="C3561">
        <v>36.826999999999998</v>
      </c>
      <c r="D3561" t="s">
        <v>14</v>
      </c>
      <c r="E3561" t="s">
        <v>580</v>
      </c>
      <c r="F3561">
        <f t="shared" si="110"/>
        <v>1987</v>
      </c>
      <c r="G3561">
        <f t="shared" si="111"/>
        <v>10</v>
      </c>
      <c r="H3561" t="str">
        <f>IF(ISNUMBER(FIND(",", E3561)), TRIM(MID(E3561, FIND(",", E3561) + 1, LEN(E3561))), E3561)</f>
        <v>Ethiopia</v>
      </c>
    </row>
    <row r="3562" spans="1:8" x14ac:dyDescent="0.25">
      <c r="A3562" s="2">
        <v>32066</v>
      </c>
      <c r="B3562">
        <v>-6.2169999999999996</v>
      </c>
      <c r="C3562">
        <v>149.11799999999999</v>
      </c>
      <c r="D3562" t="s">
        <v>14</v>
      </c>
      <c r="E3562" t="s">
        <v>190</v>
      </c>
      <c r="F3562">
        <f t="shared" si="110"/>
        <v>1987</v>
      </c>
      <c r="G3562">
        <f t="shared" si="111"/>
        <v>10</v>
      </c>
      <c r="H3562" t="str">
        <f>IF(ISNUMBER(FIND(",", E3562)), TRIM(MID(E3562, FIND(",", E3562) + 1, LEN(E3562))), E3562)</f>
        <v>Papua New Guinea</v>
      </c>
    </row>
    <row r="3563" spans="1:8" x14ac:dyDescent="0.25">
      <c r="A3563" s="2">
        <v>32062</v>
      </c>
      <c r="B3563">
        <v>-7.2690000000000001</v>
      </c>
      <c r="C3563">
        <v>154.423</v>
      </c>
      <c r="D3563" t="s">
        <v>14</v>
      </c>
      <c r="E3563" t="s">
        <v>290</v>
      </c>
      <c r="F3563">
        <f t="shared" si="110"/>
        <v>1987</v>
      </c>
      <c r="G3563">
        <f t="shared" si="111"/>
        <v>10</v>
      </c>
      <c r="H3563" t="str">
        <f>IF(ISNUMBER(FIND(",", E3563)), TRIM(MID(E3563, FIND(",", E3563) + 1, LEN(E3563))), E3563)</f>
        <v>Papua New Guinea</v>
      </c>
    </row>
    <row r="3564" spans="1:8" x14ac:dyDescent="0.25">
      <c r="A3564" s="2">
        <v>32058</v>
      </c>
      <c r="B3564">
        <v>-19.611000000000001</v>
      </c>
      <c r="C3564">
        <v>-173.02699999999999</v>
      </c>
      <c r="D3564" t="s">
        <v>14</v>
      </c>
      <c r="E3564" t="s">
        <v>239</v>
      </c>
      <c r="F3564">
        <f t="shared" si="110"/>
        <v>1987</v>
      </c>
      <c r="G3564">
        <f t="shared" si="111"/>
        <v>10</v>
      </c>
      <c r="H3564" t="str">
        <f>IF(ISNUMBER(FIND(",", E3564)), TRIM(MID(E3564, FIND(",", E3564) + 1, LEN(E3564))), E3564)</f>
        <v>Tonga</v>
      </c>
    </row>
    <row r="3565" spans="1:8" x14ac:dyDescent="0.25">
      <c r="A3565" s="2">
        <v>32056</v>
      </c>
      <c r="B3565">
        <v>52.984999999999999</v>
      </c>
      <c r="C3565">
        <v>159.90899999999999</v>
      </c>
      <c r="D3565" t="s">
        <v>14</v>
      </c>
      <c r="E3565" t="s">
        <v>318</v>
      </c>
      <c r="F3565">
        <f t="shared" si="110"/>
        <v>1987</v>
      </c>
      <c r="G3565">
        <f t="shared" si="111"/>
        <v>10</v>
      </c>
      <c r="H3565" t="str">
        <f>IF(ISNUMBER(FIND(",", E3565)), TRIM(MID(E3565, FIND(",", E3565) + 1, LEN(E3565))), E3565)</f>
        <v>Russia</v>
      </c>
    </row>
    <row r="3566" spans="1:8" x14ac:dyDescent="0.25">
      <c r="A3566" s="2">
        <v>32056</v>
      </c>
      <c r="B3566">
        <v>-17.975999999999999</v>
      </c>
      <c r="C3566">
        <v>-172.16800000000001</v>
      </c>
      <c r="D3566" t="s">
        <v>14</v>
      </c>
      <c r="E3566" t="s">
        <v>304</v>
      </c>
      <c r="F3566">
        <f t="shared" si="110"/>
        <v>1987</v>
      </c>
      <c r="G3566">
        <f t="shared" si="111"/>
        <v>10</v>
      </c>
      <c r="H3566" t="str">
        <f>IF(ISNUMBER(FIND(",", E3566)), TRIM(MID(E3566, FIND(",", E3566) + 1, LEN(E3566))), E3566)</f>
        <v>Tonga region</v>
      </c>
    </row>
    <row r="3567" spans="1:8" x14ac:dyDescent="0.25">
      <c r="A3567" s="2">
        <v>32054</v>
      </c>
      <c r="B3567">
        <v>10.801</v>
      </c>
      <c r="C3567">
        <v>-85.932000000000002</v>
      </c>
      <c r="D3567" t="s">
        <v>14</v>
      </c>
      <c r="E3567" t="s">
        <v>202</v>
      </c>
      <c r="F3567">
        <f t="shared" si="110"/>
        <v>1987</v>
      </c>
      <c r="G3567">
        <f t="shared" si="111"/>
        <v>10</v>
      </c>
      <c r="H3567" t="str">
        <f>IF(ISNUMBER(FIND(",", E3567)), TRIM(MID(E3567, FIND(",", E3567) + 1, LEN(E3567))), E3567)</f>
        <v>Costa Rica</v>
      </c>
    </row>
    <row r="3568" spans="1:8" x14ac:dyDescent="0.25">
      <c r="A3568" s="2">
        <v>32053</v>
      </c>
      <c r="B3568">
        <v>36.465000000000003</v>
      </c>
      <c r="C3568">
        <v>71.460999999999999</v>
      </c>
      <c r="D3568" t="s">
        <v>14</v>
      </c>
      <c r="E3568" t="s">
        <v>314</v>
      </c>
      <c r="F3568">
        <f t="shared" si="110"/>
        <v>1987</v>
      </c>
      <c r="G3568">
        <f t="shared" si="111"/>
        <v>10</v>
      </c>
      <c r="H3568" t="str">
        <f>IF(ISNUMBER(FIND(",", E3568)), TRIM(MID(E3568, FIND(",", E3568) + 1, LEN(E3568))), E3568)</f>
        <v>Afghanistan</v>
      </c>
    </row>
    <row r="3569" spans="1:8" x14ac:dyDescent="0.25">
      <c r="A3569" s="2">
        <v>32053</v>
      </c>
      <c r="B3569">
        <v>-5.468</v>
      </c>
      <c r="C3569">
        <v>131.02500000000001</v>
      </c>
      <c r="D3569" t="s">
        <v>14</v>
      </c>
      <c r="E3569" t="s">
        <v>187</v>
      </c>
      <c r="F3569">
        <f t="shared" si="110"/>
        <v>1987</v>
      </c>
      <c r="G3569">
        <f t="shared" si="111"/>
        <v>10</v>
      </c>
      <c r="H3569" t="str">
        <f>IF(ISNUMBER(FIND(",", E3569)), TRIM(MID(E3569, FIND(",", E3569) + 1, LEN(E3569))), E3569)</f>
        <v>Banda Sea</v>
      </c>
    </row>
    <row r="3570" spans="1:8" x14ac:dyDescent="0.25">
      <c r="A3570" s="2">
        <v>32050</v>
      </c>
      <c r="B3570">
        <v>-18.178000000000001</v>
      </c>
      <c r="C3570">
        <v>168.02199999999999</v>
      </c>
      <c r="D3570" t="s">
        <v>14</v>
      </c>
      <c r="E3570" t="s">
        <v>181</v>
      </c>
      <c r="F3570">
        <f t="shared" si="110"/>
        <v>1987</v>
      </c>
      <c r="G3570">
        <f t="shared" si="111"/>
        <v>9</v>
      </c>
      <c r="H3570" t="str">
        <f>IF(ISNUMBER(FIND(",", E3570)), TRIM(MID(E3570, FIND(",", E3570) + 1, LEN(E3570))), E3570)</f>
        <v>Vanuatu</v>
      </c>
    </row>
    <row r="3571" spans="1:8" x14ac:dyDescent="0.25">
      <c r="A3571" s="2">
        <v>32048</v>
      </c>
      <c r="B3571">
        <v>-18.562000000000001</v>
      </c>
      <c r="C3571">
        <v>168.25899999999999</v>
      </c>
      <c r="D3571" t="s">
        <v>14</v>
      </c>
      <c r="E3571" t="s">
        <v>181</v>
      </c>
      <c r="F3571">
        <f t="shared" si="110"/>
        <v>1987</v>
      </c>
      <c r="G3571">
        <f t="shared" si="111"/>
        <v>9</v>
      </c>
      <c r="H3571" t="str">
        <f>IF(ISNUMBER(FIND(",", E3571)), TRIM(MID(E3571, FIND(",", E3571) + 1, LEN(E3571))), E3571)</f>
        <v>Vanuatu</v>
      </c>
    </row>
    <row r="3572" spans="1:8" x14ac:dyDescent="0.25">
      <c r="A3572" s="2">
        <v>32048</v>
      </c>
      <c r="B3572">
        <v>-18.471</v>
      </c>
      <c r="C3572">
        <v>168.172</v>
      </c>
      <c r="D3572" t="s">
        <v>14</v>
      </c>
      <c r="E3572" t="s">
        <v>181</v>
      </c>
      <c r="F3572">
        <f t="shared" si="110"/>
        <v>1987</v>
      </c>
      <c r="G3572">
        <f t="shared" si="111"/>
        <v>9</v>
      </c>
      <c r="H3572" t="str">
        <f>IF(ISNUMBER(FIND(",", E3572)), TRIM(MID(E3572, FIND(",", E3572) + 1, LEN(E3572))), E3572)</f>
        <v>Vanuatu</v>
      </c>
    </row>
    <row r="3573" spans="1:8" x14ac:dyDescent="0.25">
      <c r="A3573" s="2">
        <v>32043</v>
      </c>
      <c r="B3573">
        <v>-50.536999999999999</v>
      </c>
      <c r="C3573">
        <v>139.61500000000001</v>
      </c>
      <c r="D3573" t="s">
        <v>14</v>
      </c>
      <c r="E3573" t="s">
        <v>235</v>
      </c>
      <c r="F3573">
        <f t="shared" si="110"/>
        <v>1987</v>
      </c>
      <c r="G3573">
        <f t="shared" si="111"/>
        <v>9</v>
      </c>
      <c r="H3573" t="str">
        <f>IF(ISNUMBER(FIND(",", E3573)), TRIM(MID(E3573, FIND(",", E3573) + 1, LEN(E3573))), E3573)</f>
        <v>western Indian-Antarctic Ridge</v>
      </c>
    </row>
    <row r="3574" spans="1:8" x14ac:dyDescent="0.25">
      <c r="A3574" s="2">
        <v>32043</v>
      </c>
      <c r="B3574">
        <v>-50.759</v>
      </c>
      <c r="C3574">
        <v>139.357</v>
      </c>
      <c r="D3574" t="s">
        <v>14</v>
      </c>
      <c r="E3574" t="s">
        <v>235</v>
      </c>
      <c r="F3574">
        <f t="shared" si="110"/>
        <v>1987</v>
      </c>
      <c r="G3574">
        <f t="shared" si="111"/>
        <v>9</v>
      </c>
      <c r="H3574" t="str">
        <f>IF(ISNUMBER(FIND(",", E3574)), TRIM(MID(E3574, FIND(",", E3574) + 1, LEN(E3574))), E3574)</f>
        <v>western Indian-Antarctic Ridge</v>
      </c>
    </row>
    <row r="3575" spans="1:8" x14ac:dyDescent="0.25">
      <c r="A3575" s="2">
        <v>32042</v>
      </c>
      <c r="B3575">
        <v>-1.0089999999999999</v>
      </c>
      <c r="C3575">
        <v>-78.031999999999996</v>
      </c>
      <c r="D3575" t="s">
        <v>14</v>
      </c>
      <c r="E3575" t="s">
        <v>316</v>
      </c>
      <c r="F3575">
        <f t="shared" si="110"/>
        <v>1987</v>
      </c>
      <c r="G3575">
        <f t="shared" si="111"/>
        <v>9</v>
      </c>
      <c r="H3575" t="str">
        <f>IF(ISNUMBER(FIND(",", E3575)), TRIM(MID(E3575, FIND(",", E3575) + 1, LEN(E3575))), E3575)</f>
        <v>Ecuador</v>
      </c>
    </row>
    <row r="3576" spans="1:8" x14ac:dyDescent="0.25">
      <c r="A3576" s="2">
        <v>32037</v>
      </c>
      <c r="B3576">
        <v>-4.0739999999999998</v>
      </c>
      <c r="C3576">
        <v>145.72900000000001</v>
      </c>
      <c r="D3576" t="s">
        <v>14</v>
      </c>
      <c r="E3576" t="s">
        <v>216</v>
      </c>
      <c r="F3576">
        <f t="shared" si="110"/>
        <v>1987</v>
      </c>
      <c r="G3576">
        <f t="shared" si="111"/>
        <v>9</v>
      </c>
      <c r="H3576" t="str">
        <f>IF(ISNUMBER(FIND(",", E3576)), TRIM(MID(E3576, FIND(",", E3576) + 1, LEN(E3576))), E3576)</f>
        <v>Papua New Guinea</v>
      </c>
    </row>
    <row r="3577" spans="1:8" x14ac:dyDescent="0.25">
      <c r="A3577" s="2">
        <v>32027</v>
      </c>
      <c r="B3577">
        <v>-31.071000000000002</v>
      </c>
      <c r="C3577">
        <v>-177.87799999999999</v>
      </c>
      <c r="D3577" t="s">
        <v>14</v>
      </c>
      <c r="E3577" t="s">
        <v>240</v>
      </c>
      <c r="F3577">
        <f t="shared" si="110"/>
        <v>1987</v>
      </c>
      <c r="G3577">
        <f t="shared" si="111"/>
        <v>9</v>
      </c>
      <c r="H3577" t="str">
        <f>IF(ISNUMBER(FIND(",", E3577)), TRIM(MID(E3577, FIND(",", E3577) + 1, LEN(E3577))), E3577)</f>
        <v>Kermadec Islands region</v>
      </c>
    </row>
    <row r="3578" spans="1:8" x14ac:dyDescent="0.25">
      <c r="A3578" s="2">
        <v>32024</v>
      </c>
      <c r="B3578">
        <v>49.37</v>
      </c>
      <c r="C3578">
        <v>156.31899999999999</v>
      </c>
      <c r="D3578" t="s">
        <v>14</v>
      </c>
      <c r="E3578" t="s">
        <v>191</v>
      </c>
      <c r="F3578">
        <f t="shared" si="110"/>
        <v>1987</v>
      </c>
      <c r="G3578">
        <f t="shared" si="111"/>
        <v>9</v>
      </c>
      <c r="H3578" t="str">
        <f>IF(ISNUMBER(FIND(",", E3578)), TRIM(MID(E3578, FIND(",", E3578) + 1, LEN(E3578))), E3578)</f>
        <v>Kuril Islands</v>
      </c>
    </row>
    <row r="3579" spans="1:8" x14ac:dyDescent="0.25">
      <c r="A3579" s="2">
        <v>32023</v>
      </c>
      <c r="B3579">
        <v>-59.585999999999999</v>
      </c>
      <c r="C3579">
        <v>158.99700000000001</v>
      </c>
      <c r="D3579" t="s">
        <v>14</v>
      </c>
      <c r="E3579" t="s">
        <v>350</v>
      </c>
      <c r="F3579">
        <f t="shared" si="110"/>
        <v>1987</v>
      </c>
      <c r="G3579">
        <f t="shared" si="111"/>
        <v>9</v>
      </c>
      <c r="H3579" t="str">
        <f>IF(ISNUMBER(FIND(",", E3579)), TRIM(MID(E3579, FIND(",", E3579) + 1, LEN(E3579))), E3579)</f>
        <v>Macquarie Island region</v>
      </c>
    </row>
    <row r="3580" spans="1:8" x14ac:dyDescent="0.25">
      <c r="A3580" s="2">
        <v>32023</v>
      </c>
      <c r="B3580">
        <v>-58.936</v>
      </c>
      <c r="C3580">
        <v>158.50800000000001</v>
      </c>
      <c r="D3580" t="s">
        <v>14</v>
      </c>
      <c r="E3580" t="s">
        <v>350</v>
      </c>
      <c r="F3580">
        <f t="shared" si="110"/>
        <v>1987</v>
      </c>
      <c r="G3580">
        <f t="shared" si="111"/>
        <v>9</v>
      </c>
      <c r="H3580" t="str">
        <f>IF(ISNUMBER(FIND(",", E3580)), TRIM(MID(E3580, FIND(",", E3580) + 1, LEN(E3580))), E3580)</f>
        <v>Macquarie Island region</v>
      </c>
    </row>
    <row r="3581" spans="1:8" x14ac:dyDescent="0.25">
      <c r="A3581" s="2">
        <v>32021</v>
      </c>
      <c r="B3581">
        <v>-23.100999999999999</v>
      </c>
      <c r="C3581">
        <v>-66.503</v>
      </c>
      <c r="D3581" t="s">
        <v>14</v>
      </c>
      <c r="E3581" t="s">
        <v>347</v>
      </c>
      <c r="F3581">
        <f t="shared" si="110"/>
        <v>1987</v>
      </c>
      <c r="G3581">
        <f t="shared" si="111"/>
        <v>9</v>
      </c>
      <c r="H3581" t="str">
        <f>IF(ISNUMBER(FIND(",", E3581)), TRIM(MID(E3581, FIND(",", E3581) + 1, LEN(E3581))), E3581)</f>
        <v>Argentina</v>
      </c>
    </row>
    <row r="3582" spans="1:8" x14ac:dyDescent="0.25">
      <c r="A3582" s="2">
        <v>32015</v>
      </c>
      <c r="B3582">
        <v>-20.707000000000001</v>
      </c>
      <c r="C3582">
        <v>-178.44200000000001</v>
      </c>
      <c r="D3582" t="s">
        <v>14</v>
      </c>
      <c r="E3582" t="s">
        <v>53</v>
      </c>
      <c r="F3582">
        <f t="shared" si="110"/>
        <v>1987</v>
      </c>
      <c r="G3582">
        <f t="shared" si="111"/>
        <v>8</v>
      </c>
      <c r="H3582" t="str">
        <f>IF(ISNUMBER(FIND(",", E3582)), TRIM(MID(E3582, FIND(",", E3582) + 1, LEN(E3582))), E3582)</f>
        <v>Fiji region</v>
      </c>
    </row>
    <row r="3583" spans="1:8" x14ac:dyDescent="0.25">
      <c r="A3583" s="2">
        <v>32005</v>
      </c>
      <c r="B3583">
        <v>-34.954999999999998</v>
      </c>
      <c r="C3583">
        <v>179.85400000000001</v>
      </c>
      <c r="D3583" t="s">
        <v>14</v>
      </c>
      <c r="E3583" t="s">
        <v>262</v>
      </c>
      <c r="F3583">
        <f t="shared" si="110"/>
        <v>1987</v>
      </c>
      <c r="G3583">
        <f t="shared" si="111"/>
        <v>8</v>
      </c>
      <c r="H3583" t="str">
        <f>IF(ISNUMBER(FIND(",", E3583)), TRIM(MID(E3583, FIND(",", E3583) + 1, LEN(E3583))), E3583)</f>
        <v>south of the Kermadec Islands</v>
      </c>
    </row>
    <row r="3584" spans="1:8" x14ac:dyDescent="0.25">
      <c r="A3584" s="2">
        <v>32004</v>
      </c>
      <c r="B3584">
        <v>-28.099</v>
      </c>
      <c r="C3584">
        <v>-70.790000000000006</v>
      </c>
      <c r="D3584" t="s">
        <v>14</v>
      </c>
      <c r="E3584" t="s">
        <v>264</v>
      </c>
      <c r="F3584">
        <f t="shared" si="110"/>
        <v>1987</v>
      </c>
      <c r="G3584">
        <f t="shared" si="111"/>
        <v>8</v>
      </c>
      <c r="H3584" t="str">
        <f>IF(ISNUMBER(FIND(",", E3584)), TRIM(MID(E3584, FIND(",", E3584) + 1, LEN(E3584))), E3584)</f>
        <v>Chile</v>
      </c>
    </row>
    <row r="3585" spans="1:8" x14ac:dyDescent="0.25">
      <c r="A3585" s="2">
        <v>32002</v>
      </c>
      <c r="B3585">
        <v>-17.893000000000001</v>
      </c>
      <c r="C3585">
        <v>-70.897999999999996</v>
      </c>
      <c r="D3585" t="s">
        <v>14</v>
      </c>
      <c r="E3585" t="s">
        <v>229</v>
      </c>
      <c r="F3585">
        <f t="shared" si="110"/>
        <v>1987</v>
      </c>
      <c r="G3585">
        <f t="shared" si="111"/>
        <v>8</v>
      </c>
      <c r="H3585" t="str">
        <f>IF(ISNUMBER(FIND(",", E3585)), TRIM(MID(E3585, FIND(",", E3585) + 1, LEN(E3585))), E3585)</f>
        <v>southern Peru</v>
      </c>
    </row>
    <row r="3586" spans="1:8" x14ac:dyDescent="0.25">
      <c r="A3586" s="2">
        <v>31997</v>
      </c>
      <c r="B3586">
        <v>-19.091999999999999</v>
      </c>
      <c r="C3586">
        <v>-70.006</v>
      </c>
      <c r="D3586" t="s">
        <v>14</v>
      </c>
      <c r="E3586" t="s">
        <v>237</v>
      </c>
      <c r="F3586">
        <f t="shared" ref="F3586:F3649" si="112">YEAR(A3586)</f>
        <v>1987</v>
      </c>
      <c r="G3586">
        <f t="shared" si="111"/>
        <v>8</v>
      </c>
      <c r="H3586" t="str">
        <f>IF(ISNUMBER(FIND(",", E3586)), TRIM(MID(E3586, FIND(",", E3586) + 1, LEN(E3586))), E3586)</f>
        <v>Chile</v>
      </c>
    </row>
    <row r="3587" spans="1:8" x14ac:dyDescent="0.25">
      <c r="A3587" s="2">
        <v>31975</v>
      </c>
      <c r="B3587">
        <v>1.4330000000000001</v>
      </c>
      <c r="C3587">
        <v>-85.356999999999999</v>
      </c>
      <c r="D3587" t="s">
        <v>14</v>
      </c>
      <c r="E3587" t="s">
        <v>267</v>
      </c>
      <c r="F3587">
        <f t="shared" si="112"/>
        <v>1987</v>
      </c>
      <c r="G3587">
        <f t="shared" ref="G3587:G3650" si="113">MONTH(A3587)</f>
        <v>7</v>
      </c>
      <c r="H3587" t="str">
        <f>IF(ISNUMBER(FIND(",", E3587)), TRIM(MID(E3587, FIND(",", E3587) + 1, LEN(E3587))), E3587)</f>
        <v>off the coast of Ecuador</v>
      </c>
    </row>
    <row r="3588" spans="1:8" x14ac:dyDescent="0.25">
      <c r="A3588" s="2">
        <v>31973</v>
      </c>
      <c r="B3588">
        <v>17.509</v>
      </c>
      <c r="C3588">
        <v>-97.15</v>
      </c>
      <c r="D3588" t="s">
        <v>14</v>
      </c>
      <c r="E3588" t="s">
        <v>251</v>
      </c>
      <c r="F3588">
        <f t="shared" si="112"/>
        <v>1987</v>
      </c>
      <c r="G3588">
        <f t="shared" si="113"/>
        <v>7</v>
      </c>
      <c r="H3588" t="str">
        <f>IF(ISNUMBER(FIND(",", E3588)), TRIM(MID(E3588, FIND(",", E3588) + 1, LEN(E3588))), E3588)</f>
        <v>Mexico</v>
      </c>
    </row>
    <row r="3589" spans="1:8" x14ac:dyDescent="0.25">
      <c r="A3589" s="2">
        <v>31968</v>
      </c>
      <c r="B3589">
        <v>55.128999999999998</v>
      </c>
      <c r="C3589">
        <v>165.51</v>
      </c>
      <c r="D3589" t="s">
        <v>14</v>
      </c>
      <c r="E3589" t="s">
        <v>443</v>
      </c>
      <c r="F3589">
        <f t="shared" si="112"/>
        <v>1987</v>
      </c>
      <c r="G3589">
        <f t="shared" si="113"/>
        <v>7</v>
      </c>
      <c r="H3589" t="str">
        <f>IF(ISNUMBER(FIND(",", E3589)), TRIM(MID(E3589, FIND(",", E3589) + 1, LEN(E3589))), E3589)</f>
        <v>Russia region</v>
      </c>
    </row>
    <row r="3590" spans="1:8" x14ac:dyDescent="0.25">
      <c r="A3590" s="2">
        <v>31966</v>
      </c>
      <c r="B3590">
        <v>-27.039000000000001</v>
      </c>
      <c r="C3590">
        <v>-108.22199999999999</v>
      </c>
      <c r="D3590" t="s">
        <v>14</v>
      </c>
      <c r="E3590" t="s">
        <v>59</v>
      </c>
      <c r="F3590">
        <f t="shared" si="112"/>
        <v>1987</v>
      </c>
      <c r="G3590">
        <f t="shared" si="113"/>
        <v>7</v>
      </c>
      <c r="H3590" t="str">
        <f>IF(ISNUMBER(FIND(",", E3590)), TRIM(MID(E3590, FIND(",", E3590) + 1, LEN(E3590))), E3590)</f>
        <v>Easter Island region</v>
      </c>
    </row>
    <row r="3591" spans="1:8" x14ac:dyDescent="0.25">
      <c r="A3591" s="2">
        <v>31964</v>
      </c>
      <c r="B3591">
        <v>-13.954000000000001</v>
      </c>
      <c r="C3591">
        <v>167.84700000000001</v>
      </c>
      <c r="D3591" t="s">
        <v>14</v>
      </c>
      <c r="E3591" t="s">
        <v>181</v>
      </c>
      <c r="F3591">
        <f t="shared" si="112"/>
        <v>1987</v>
      </c>
      <c r="G3591">
        <f t="shared" si="113"/>
        <v>7</v>
      </c>
      <c r="H3591" t="str">
        <f>IF(ISNUMBER(FIND(",", E3591)), TRIM(MID(E3591, FIND(",", E3591) + 1, LEN(E3591))), E3591)</f>
        <v>Vanuatu</v>
      </c>
    </row>
    <row r="3592" spans="1:8" x14ac:dyDescent="0.25">
      <c r="A3592" s="2">
        <v>31964</v>
      </c>
      <c r="B3592">
        <v>-14.038</v>
      </c>
      <c r="C3592">
        <v>167.923</v>
      </c>
      <c r="D3592" t="s">
        <v>14</v>
      </c>
      <c r="E3592" t="s">
        <v>181</v>
      </c>
      <c r="F3592">
        <f t="shared" si="112"/>
        <v>1987</v>
      </c>
      <c r="G3592">
        <f t="shared" si="113"/>
        <v>7</v>
      </c>
      <c r="H3592" t="str">
        <f>IF(ISNUMBER(FIND(",", E3592)), TRIM(MID(E3592, FIND(",", E3592) + 1, LEN(E3592))), E3592)</f>
        <v>Vanuatu</v>
      </c>
    </row>
    <row r="3593" spans="1:8" x14ac:dyDescent="0.25">
      <c r="A3593" s="2">
        <v>31964</v>
      </c>
      <c r="B3593">
        <v>-27.059000000000001</v>
      </c>
      <c r="C3593">
        <v>-108.351</v>
      </c>
      <c r="D3593" t="s">
        <v>14</v>
      </c>
      <c r="E3593" t="s">
        <v>59</v>
      </c>
      <c r="F3593">
        <f t="shared" si="112"/>
        <v>1987</v>
      </c>
      <c r="G3593">
        <f t="shared" si="113"/>
        <v>7</v>
      </c>
      <c r="H3593" t="str">
        <f>IF(ISNUMBER(FIND(",", E3593)), TRIM(MID(E3593, FIND(",", E3593) + 1, LEN(E3593))), E3593)</f>
        <v>Easter Island region</v>
      </c>
    </row>
    <row r="3594" spans="1:8" x14ac:dyDescent="0.25">
      <c r="A3594" s="2">
        <v>31955</v>
      </c>
      <c r="B3594">
        <v>-2.09</v>
      </c>
      <c r="C3594">
        <v>138.18899999999999</v>
      </c>
      <c r="D3594" t="s">
        <v>14</v>
      </c>
      <c r="E3594" t="s">
        <v>210</v>
      </c>
      <c r="F3594">
        <f t="shared" si="112"/>
        <v>1987</v>
      </c>
      <c r="G3594">
        <f t="shared" si="113"/>
        <v>6</v>
      </c>
      <c r="H3594" t="str">
        <f>IF(ISNUMBER(FIND(",", E3594)), TRIM(MID(E3594, FIND(",", E3594) + 1, LEN(E3594))), E3594)</f>
        <v>Indonesia</v>
      </c>
    </row>
    <row r="3595" spans="1:8" x14ac:dyDescent="0.25">
      <c r="A3595" s="2">
        <v>31954</v>
      </c>
      <c r="B3595">
        <v>-21.189</v>
      </c>
      <c r="C3595">
        <v>169.25200000000001</v>
      </c>
      <c r="D3595" t="s">
        <v>14</v>
      </c>
      <c r="E3595" t="s">
        <v>254</v>
      </c>
      <c r="F3595">
        <f t="shared" si="112"/>
        <v>1987</v>
      </c>
      <c r="G3595">
        <f t="shared" si="113"/>
        <v>6</v>
      </c>
      <c r="H3595" t="str">
        <f>IF(ISNUMBER(FIND(",", E3595)), TRIM(MID(E3595, FIND(",", E3595) + 1, LEN(E3595))), E3595)</f>
        <v>southeast of the Loyalty Islands</v>
      </c>
    </row>
    <row r="3596" spans="1:8" x14ac:dyDescent="0.25">
      <c r="A3596" s="2">
        <v>31952</v>
      </c>
      <c r="B3596">
        <v>-21.131</v>
      </c>
      <c r="C3596">
        <v>173.709</v>
      </c>
      <c r="D3596" t="s">
        <v>14</v>
      </c>
      <c r="E3596" t="s">
        <v>281</v>
      </c>
      <c r="F3596">
        <f t="shared" si="112"/>
        <v>1987</v>
      </c>
      <c r="G3596">
        <f t="shared" si="113"/>
        <v>6</v>
      </c>
      <c r="H3596" t="str">
        <f>IF(ISNUMBER(FIND(",", E3596)), TRIM(MID(E3596, FIND(",", E3596) + 1, LEN(E3596))), E3596)</f>
        <v>Vanuatu region</v>
      </c>
    </row>
    <row r="3597" spans="1:8" x14ac:dyDescent="0.25">
      <c r="A3597" s="2">
        <v>31949</v>
      </c>
      <c r="B3597">
        <v>54.180999999999997</v>
      </c>
      <c r="C3597">
        <v>-162.65100000000001</v>
      </c>
      <c r="D3597" t="s">
        <v>14</v>
      </c>
      <c r="E3597" t="s">
        <v>285</v>
      </c>
      <c r="F3597">
        <f t="shared" si="112"/>
        <v>1987</v>
      </c>
      <c r="G3597">
        <f t="shared" si="113"/>
        <v>6</v>
      </c>
      <c r="H3597" t="str">
        <f>IF(ISNUMBER(FIND(",", E3597)), TRIM(MID(E3597, FIND(",", E3597) + 1, LEN(E3597))), E3597)</f>
        <v>Alaska Peninsula</v>
      </c>
    </row>
    <row r="3598" spans="1:8" x14ac:dyDescent="0.25">
      <c r="A3598" s="2">
        <v>31948</v>
      </c>
      <c r="B3598">
        <v>49.912999999999997</v>
      </c>
      <c r="C3598">
        <v>78.734999999999999</v>
      </c>
      <c r="D3598" t="s">
        <v>13</v>
      </c>
      <c r="E3598" t="s">
        <v>571</v>
      </c>
      <c r="F3598">
        <f t="shared" si="112"/>
        <v>1987</v>
      </c>
      <c r="G3598">
        <f t="shared" si="113"/>
        <v>6</v>
      </c>
      <c r="H3598" t="str">
        <f>IF(ISNUMBER(FIND(",", E3598)), TRIM(MID(E3598, FIND(",", E3598) + 1, LEN(E3598))), E3598)</f>
        <v>eastern Kazakhstan</v>
      </c>
    </row>
    <row r="3599" spans="1:8" x14ac:dyDescent="0.25">
      <c r="A3599" s="2">
        <v>31946</v>
      </c>
      <c r="B3599">
        <v>-10.725</v>
      </c>
      <c r="C3599">
        <v>162.35599999999999</v>
      </c>
      <c r="D3599" t="s">
        <v>14</v>
      </c>
      <c r="E3599" t="s">
        <v>221</v>
      </c>
      <c r="F3599">
        <f t="shared" si="112"/>
        <v>1987</v>
      </c>
      <c r="G3599">
        <f t="shared" si="113"/>
        <v>6</v>
      </c>
      <c r="H3599" t="str">
        <f>IF(ISNUMBER(FIND(",", E3599)), TRIM(MID(E3599, FIND(",", E3599) + 1, LEN(E3599))), E3599)</f>
        <v>Solomon Islands</v>
      </c>
    </row>
    <row r="3600" spans="1:8" x14ac:dyDescent="0.25">
      <c r="A3600" s="2">
        <v>31945</v>
      </c>
      <c r="B3600">
        <v>-5.5860000000000003</v>
      </c>
      <c r="C3600">
        <v>130.84399999999999</v>
      </c>
      <c r="D3600" t="s">
        <v>14</v>
      </c>
      <c r="E3600" t="s">
        <v>187</v>
      </c>
      <c r="F3600">
        <f t="shared" si="112"/>
        <v>1987</v>
      </c>
      <c r="G3600">
        <f t="shared" si="113"/>
        <v>6</v>
      </c>
      <c r="H3600" t="str">
        <f>IF(ISNUMBER(FIND(",", E3600)), TRIM(MID(E3600, FIND(",", E3600) + 1, LEN(E3600))), E3600)</f>
        <v>Banda Sea</v>
      </c>
    </row>
    <row r="3601" spans="1:8" x14ac:dyDescent="0.25">
      <c r="A3601" s="2">
        <v>31942</v>
      </c>
      <c r="B3601">
        <v>10.423999999999999</v>
      </c>
      <c r="C3601">
        <v>126.062</v>
      </c>
      <c r="D3601" t="s">
        <v>14</v>
      </c>
      <c r="E3601" t="s">
        <v>213</v>
      </c>
      <c r="F3601">
        <f t="shared" si="112"/>
        <v>1987</v>
      </c>
      <c r="G3601">
        <f t="shared" si="113"/>
        <v>6</v>
      </c>
      <c r="H3601" t="str">
        <f>IF(ISNUMBER(FIND(",", E3601)), TRIM(MID(E3601, FIND(",", E3601) + 1, LEN(E3601))), E3601)</f>
        <v>Philippine Islands region</v>
      </c>
    </row>
    <row r="3602" spans="1:8" x14ac:dyDescent="0.25">
      <c r="A3602" s="2">
        <v>31941</v>
      </c>
      <c r="B3602">
        <v>44.670999999999999</v>
      </c>
      <c r="C3602">
        <v>150.392</v>
      </c>
      <c r="D3602" t="s">
        <v>16</v>
      </c>
      <c r="E3602" t="s">
        <v>317</v>
      </c>
      <c r="F3602">
        <f t="shared" si="112"/>
        <v>1987</v>
      </c>
      <c r="G3602">
        <f t="shared" si="113"/>
        <v>6</v>
      </c>
      <c r="H3602" t="str">
        <f>IF(ISNUMBER(FIND(",", E3602)), TRIM(MID(E3602, FIND(",", E3602) + 1, LEN(E3602))), E3602)</f>
        <v>east of the Kuril Islands</v>
      </c>
    </row>
    <row r="3603" spans="1:8" x14ac:dyDescent="0.25">
      <c r="A3603" s="2">
        <v>31938</v>
      </c>
      <c r="B3603">
        <v>-60.387</v>
      </c>
      <c r="C3603">
        <v>-27.283000000000001</v>
      </c>
      <c r="D3603" t="s">
        <v>14</v>
      </c>
      <c r="E3603" t="s">
        <v>260</v>
      </c>
      <c r="F3603">
        <f t="shared" si="112"/>
        <v>1987</v>
      </c>
      <c r="G3603">
        <f t="shared" si="113"/>
        <v>6</v>
      </c>
      <c r="H3603" t="str">
        <f>IF(ISNUMBER(FIND(",", E3603)), TRIM(MID(E3603, FIND(",", E3603) + 1, LEN(E3603))), E3603)</f>
        <v>South Sandwich Islands region</v>
      </c>
    </row>
    <row r="3604" spans="1:8" x14ac:dyDescent="0.25">
      <c r="A3604" s="2">
        <v>31937</v>
      </c>
      <c r="B3604">
        <v>-6.3019999999999996</v>
      </c>
      <c r="C3604">
        <v>148.85</v>
      </c>
      <c r="D3604" t="s">
        <v>14</v>
      </c>
      <c r="E3604" t="s">
        <v>190</v>
      </c>
      <c r="F3604">
        <f t="shared" si="112"/>
        <v>1987</v>
      </c>
      <c r="G3604">
        <f t="shared" si="113"/>
        <v>6</v>
      </c>
      <c r="H3604" t="str">
        <f>IF(ISNUMBER(FIND(",", E3604)), TRIM(MID(E3604, FIND(",", E3604) + 1, LEN(E3604))), E3604)</f>
        <v>Papua New Guinea</v>
      </c>
    </row>
    <row r="3605" spans="1:8" x14ac:dyDescent="0.25">
      <c r="A3605" s="2">
        <v>31935</v>
      </c>
      <c r="B3605">
        <v>20.431000000000001</v>
      </c>
      <c r="C3605">
        <v>121.339</v>
      </c>
      <c r="D3605" t="s">
        <v>14</v>
      </c>
      <c r="E3605" t="s">
        <v>400</v>
      </c>
      <c r="F3605">
        <f t="shared" si="112"/>
        <v>1987</v>
      </c>
      <c r="G3605">
        <f t="shared" si="113"/>
        <v>6</v>
      </c>
      <c r="H3605" t="str">
        <f>IF(ISNUMBER(FIND(",", E3605)), TRIM(MID(E3605, FIND(",", E3605) + 1, LEN(E3605))), E3605)</f>
        <v>Philippines</v>
      </c>
    </row>
    <row r="3606" spans="1:8" x14ac:dyDescent="0.25">
      <c r="A3606" s="2">
        <v>31934</v>
      </c>
      <c r="B3606">
        <v>10.698</v>
      </c>
      <c r="C3606">
        <v>126.02200000000001</v>
      </c>
      <c r="D3606" t="s">
        <v>14</v>
      </c>
      <c r="E3606" t="s">
        <v>213</v>
      </c>
      <c r="F3606">
        <f t="shared" si="112"/>
        <v>1987</v>
      </c>
      <c r="G3606">
        <f t="shared" si="113"/>
        <v>6</v>
      </c>
      <c r="H3606" t="str">
        <f>IF(ISNUMBER(FIND(",", E3606)), TRIM(MID(E3606, FIND(",", E3606) + 1, LEN(E3606))), E3606)</f>
        <v>Philippine Islands region</v>
      </c>
    </row>
    <row r="3607" spans="1:8" x14ac:dyDescent="0.25">
      <c r="A3607" s="2">
        <v>31933</v>
      </c>
      <c r="B3607">
        <v>5.3710000000000004</v>
      </c>
      <c r="C3607">
        <v>127.494</v>
      </c>
      <c r="D3607" t="s">
        <v>14</v>
      </c>
      <c r="E3607" t="s">
        <v>213</v>
      </c>
      <c r="F3607">
        <f t="shared" si="112"/>
        <v>1987</v>
      </c>
      <c r="G3607">
        <f t="shared" si="113"/>
        <v>6</v>
      </c>
      <c r="H3607" t="str">
        <f>IF(ISNUMBER(FIND(",", E3607)), TRIM(MID(E3607, FIND(",", E3607) + 1, LEN(E3607))), E3607)</f>
        <v>Philippine Islands region</v>
      </c>
    </row>
    <row r="3608" spans="1:8" x14ac:dyDescent="0.25">
      <c r="A3608" s="2">
        <v>31933</v>
      </c>
      <c r="B3608">
        <v>41.584000000000003</v>
      </c>
      <c r="C3608">
        <v>88.736999999999995</v>
      </c>
      <c r="D3608" t="s">
        <v>13</v>
      </c>
      <c r="E3608" t="s">
        <v>482</v>
      </c>
      <c r="F3608">
        <f t="shared" si="112"/>
        <v>1987</v>
      </c>
      <c r="G3608">
        <f t="shared" si="113"/>
        <v>6</v>
      </c>
      <c r="H3608" t="str">
        <f>IF(ISNUMBER(FIND(",", E3608)), TRIM(MID(E3608, FIND(",", E3608) + 1, LEN(E3608))), E3608)</f>
        <v>China</v>
      </c>
    </row>
    <row r="3609" spans="1:8" x14ac:dyDescent="0.25">
      <c r="A3609" s="2">
        <v>31916</v>
      </c>
      <c r="B3609">
        <v>-30.344000000000001</v>
      </c>
      <c r="C3609">
        <v>-71.512</v>
      </c>
      <c r="D3609" t="s">
        <v>14</v>
      </c>
      <c r="E3609" t="s">
        <v>193</v>
      </c>
      <c r="F3609">
        <f t="shared" si="112"/>
        <v>1987</v>
      </c>
      <c r="G3609">
        <f t="shared" si="113"/>
        <v>5</v>
      </c>
      <c r="H3609" t="str">
        <f>IF(ISNUMBER(FIND(",", E3609)), TRIM(MID(E3609, FIND(",", E3609) + 1, LEN(E3609))), E3609)</f>
        <v>Chile</v>
      </c>
    </row>
    <row r="3610" spans="1:8" x14ac:dyDescent="0.25">
      <c r="A3610" s="2">
        <v>31915</v>
      </c>
      <c r="B3610">
        <v>8.27</v>
      </c>
      <c r="C3610">
        <v>125.331</v>
      </c>
      <c r="D3610" t="s">
        <v>14</v>
      </c>
      <c r="E3610" t="s">
        <v>200</v>
      </c>
      <c r="F3610">
        <f t="shared" si="112"/>
        <v>1987</v>
      </c>
      <c r="G3610">
        <f t="shared" si="113"/>
        <v>5</v>
      </c>
      <c r="H3610" t="str">
        <f>IF(ISNUMBER(FIND(",", E3610)), TRIM(MID(E3610, FIND(",", E3610) + 1, LEN(E3610))), E3610)</f>
        <v>Philippines</v>
      </c>
    </row>
    <row r="3611" spans="1:8" x14ac:dyDescent="0.25">
      <c r="A3611" s="2">
        <v>31915</v>
      </c>
      <c r="B3611">
        <v>49.170999999999999</v>
      </c>
      <c r="C3611">
        <v>147.68</v>
      </c>
      <c r="D3611" t="s">
        <v>14</v>
      </c>
      <c r="E3611" t="s">
        <v>74</v>
      </c>
      <c r="F3611">
        <f t="shared" si="112"/>
        <v>1987</v>
      </c>
      <c r="G3611">
        <f t="shared" si="113"/>
        <v>5</v>
      </c>
      <c r="H3611" t="str">
        <f>IF(ISNUMBER(FIND(",", E3611)), TRIM(MID(E3611, FIND(",", E3611) + 1, LEN(E3611))), E3611)</f>
        <v>Sea of Okhotsk</v>
      </c>
    </row>
    <row r="3612" spans="1:8" x14ac:dyDescent="0.25">
      <c r="A3612" s="2">
        <v>31915</v>
      </c>
      <c r="B3612">
        <v>25.213000000000001</v>
      </c>
      <c r="C3612">
        <v>94.162999999999997</v>
      </c>
      <c r="D3612" t="s">
        <v>14</v>
      </c>
      <c r="E3612" t="s">
        <v>303</v>
      </c>
      <c r="F3612">
        <f t="shared" si="112"/>
        <v>1987</v>
      </c>
      <c r="G3612">
        <f t="shared" si="113"/>
        <v>5</v>
      </c>
      <c r="H3612" t="str">
        <f>IF(ISNUMBER(FIND(",", E3612)), TRIM(MID(E3612, FIND(",", E3612) + 1, LEN(E3612))), E3612)</f>
        <v>Myanmar-India border region</v>
      </c>
    </row>
    <row r="3613" spans="1:8" x14ac:dyDescent="0.25">
      <c r="A3613" s="2">
        <v>31909</v>
      </c>
      <c r="B3613">
        <v>-5.2610000000000001</v>
      </c>
      <c r="C3613">
        <v>151.39599999999999</v>
      </c>
      <c r="D3613" t="s">
        <v>14</v>
      </c>
      <c r="E3613" t="s">
        <v>190</v>
      </c>
      <c r="F3613">
        <f t="shared" si="112"/>
        <v>1987</v>
      </c>
      <c r="G3613">
        <f t="shared" si="113"/>
        <v>5</v>
      </c>
      <c r="H3613" t="str">
        <f>IF(ISNUMBER(FIND(",", E3613)), TRIM(MID(E3613, FIND(",", E3613) + 1, LEN(E3613))), E3613)</f>
        <v>Papua New Guinea</v>
      </c>
    </row>
    <row r="3614" spans="1:8" x14ac:dyDescent="0.25">
      <c r="A3614" s="2">
        <v>31909</v>
      </c>
      <c r="B3614">
        <v>7.077</v>
      </c>
      <c r="C3614">
        <v>126.714</v>
      </c>
      <c r="D3614" t="s">
        <v>14</v>
      </c>
      <c r="E3614" t="s">
        <v>200</v>
      </c>
      <c r="F3614">
        <f t="shared" si="112"/>
        <v>1987</v>
      </c>
      <c r="G3614">
        <f t="shared" si="113"/>
        <v>5</v>
      </c>
      <c r="H3614" t="str">
        <f>IF(ISNUMBER(FIND(",", E3614)), TRIM(MID(E3614, FIND(",", E3614) + 1, LEN(E3614))), E3614)</f>
        <v>Philippines</v>
      </c>
    </row>
    <row r="3615" spans="1:8" x14ac:dyDescent="0.25">
      <c r="A3615" s="2">
        <v>31908</v>
      </c>
      <c r="B3615">
        <v>4.4960000000000004</v>
      </c>
      <c r="C3615">
        <v>127.71</v>
      </c>
      <c r="D3615" t="s">
        <v>14</v>
      </c>
      <c r="E3615" t="s">
        <v>372</v>
      </c>
      <c r="F3615">
        <f t="shared" si="112"/>
        <v>1987</v>
      </c>
      <c r="G3615">
        <f t="shared" si="113"/>
        <v>5</v>
      </c>
      <c r="H3615" t="str">
        <f>IF(ISNUMBER(FIND(",", E3615)), TRIM(MID(E3615, FIND(",", E3615) + 1, LEN(E3615))), E3615)</f>
        <v>Indonesia</v>
      </c>
    </row>
    <row r="3616" spans="1:8" x14ac:dyDescent="0.25">
      <c r="A3616" s="2">
        <v>31904</v>
      </c>
      <c r="B3616">
        <v>46.732999999999997</v>
      </c>
      <c r="C3616">
        <v>139.22499999999999</v>
      </c>
      <c r="D3616" t="s">
        <v>14</v>
      </c>
      <c r="E3616" t="s">
        <v>419</v>
      </c>
      <c r="F3616">
        <f t="shared" si="112"/>
        <v>1987</v>
      </c>
      <c r="G3616">
        <f t="shared" si="113"/>
        <v>5</v>
      </c>
      <c r="H3616" t="str">
        <f>IF(ISNUMBER(FIND(",", E3616)), TRIM(MID(E3616, FIND(",", E3616) + 1, LEN(E3616))), E3616)</f>
        <v>Russia</v>
      </c>
    </row>
    <row r="3617" spans="1:8" x14ac:dyDescent="0.25">
      <c r="A3617" s="2">
        <v>31903</v>
      </c>
      <c r="B3617">
        <v>-5.68</v>
      </c>
      <c r="C3617">
        <v>152.69800000000001</v>
      </c>
      <c r="D3617" t="s">
        <v>14</v>
      </c>
      <c r="E3617" t="s">
        <v>190</v>
      </c>
      <c r="F3617">
        <f t="shared" si="112"/>
        <v>1987</v>
      </c>
      <c r="G3617">
        <f t="shared" si="113"/>
        <v>5</v>
      </c>
      <c r="H3617" t="str">
        <f>IF(ISNUMBER(FIND(",", E3617)), TRIM(MID(E3617, FIND(",", E3617) + 1, LEN(E3617))), E3617)</f>
        <v>Papua New Guinea</v>
      </c>
    </row>
    <row r="3618" spans="1:8" x14ac:dyDescent="0.25">
      <c r="A3618" s="2">
        <v>31903</v>
      </c>
      <c r="B3618">
        <v>51.274999999999999</v>
      </c>
      <c r="C3618">
        <v>-179.85300000000001</v>
      </c>
      <c r="D3618" t="s">
        <v>14</v>
      </c>
      <c r="E3618" t="s">
        <v>207</v>
      </c>
      <c r="F3618">
        <f t="shared" si="112"/>
        <v>1987</v>
      </c>
      <c r="G3618">
        <f t="shared" si="113"/>
        <v>5</v>
      </c>
      <c r="H3618" t="str">
        <f>IF(ISNUMBER(FIND(",", E3618)), TRIM(MID(E3618, FIND(",", E3618) + 1, LEN(E3618))), E3618)</f>
        <v>Aleutian Islands, Alaska</v>
      </c>
    </row>
    <row r="3619" spans="1:8" x14ac:dyDescent="0.25">
      <c r="A3619" s="2">
        <v>31902</v>
      </c>
      <c r="B3619">
        <v>36.445999999999998</v>
      </c>
      <c r="C3619">
        <v>70.67</v>
      </c>
      <c r="D3619" t="s">
        <v>14</v>
      </c>
      <c r="E3619" t="s">
        <v>314</v>
      </c>
      <c r="F3619">
        <f t="shared" si="112"/>
        <v>1987</v>
      </c>
      <c r="G3619">
        <f t="shared" si="113"/>
        <v>5</v>
      </c>
      <c r="H3619" t="str">
        <f>IF(ISNUMBER(FIND(",", E3619)), TRIM(MID(E3619, FIND(",", E3619) + 1, LEN(E3619))), E3619)</f>
        <v>Afghanistan</v>
      </c>
    </row>
    <row r="3620" spans="1:8" x14ac:dyDescent="0.25">
      <c r="A3620" s="2">
        <v>31902</v>
      </c>
      <c r="B3620">
        <v>5.8000000000000003E-2</v>
      </c>
      <c r="C3620">
        <v>-19.154</v>
      </c>
      <c r="D3620" t="s">
        <v>14</v>
      </c>
      <c r="E3620" t="s">
        <v>291</v>
      </c>
      <c r="F3620">
        <f t="shared" si="112"/>
        <v>1987</v>
      </c>
      <c r="G3620">
        <f t="shared" si="113"/>
        <v>5</v>
      </c>
      <c r="H3620" t="str">
        <f>IF(ISNUMBER(FIND(",", E3620)), TRIM(MID(E3620, FIND(",", E3620) + 1, LEN(E3620))), E3620)</f>
        <v>central Mid-Atlantic Ridge</v>
      </c>
    </row>
    <row r="3621" spans="1:8" x14ac:dyDescent="0.25">
      <c r="A3621" s="2">
        <v>31896</v>
      </c>
      <c r="B3621">
        <v>-18.991</v>
      </c>
      <c r="C3621">
        <v>-177.696</v>
      </c>
      <c r="D3621" t="s">
        <v>14</v>
      </c>
      <c r="E3621" t="s">
        <v>53</v>
      </c>
      <c r="F3621">
        <f t="shared" si="112"/>
        <v>1987</v>
      </c>
      <c r="G3621">
        <f t="shared" si="113"/>
        <v>4</v>
      </c>
      <c r="H3621" t="str">
        <f>IF(ISNUMBER(FIND(",", E3621)), TRIM(MID(E3621, FIND(",", E3621) + 1, LEN(E3621))), E3621)</f>
        <v>Fiji region</v>
      </c>
    </row>
    <row r="3622" spans="1:8" x14ac:dyDescent="0.25">
      <c r="A3622" s="2">
        <v>31892</v>
      </c>
      <c r="B3622">
        <v>2.4089999999999998</v>
      </c>
      <c r="C3622">
        <v>98.906000000000006</v>
      </c>
      <c r="D3622" t="s">
        <v>14</v>
      </c>
      <c r="E3622" t="s">
        <v>226</v>
      </c>
      <c r="F3622">
        <f t="shared" si="112"/>
        <v>1987</v>
      </c>
      <c r="G3622">
        <f t="shared" si="113"/>
        <v>4</v>
      </c>
      <c r="H3622" t="str">
        <f>IF(ISNUMBER(FIND(",", E3622)), TRIM(MID(E3622, FIND(",", E3622) + 1, LEN(E3622))), E3622)</f>
        <v>Indonesia</v>
      </c>
    </row>
    <row r="3623" spans="1:8" x14ac:dyDescent="0.25">
      <c r="A3623" s="2">
        <v>31892</v>
      </c>
      <c r="B3623">
        <v>16.010000000000002</v>
      </c>
      <c r="C3623">
        <v>120.244</v>
      </c>
      <c r="D3623" t="s">
        <v>13</v>
      </c>
      <c r="E3623" t="s">
        <v>297</v>
      </c>
      <c r="F3623">
        <f t="shared" si="112"/>
        <v>1987</v>
      </c>
      <c r="G3623">
        <f t="shared" si="113"/>
        <v>4</v>
      </c>
      <c r="H3623" t="str">
        <f>IF(ISNUMBER(FIND(",", E3623)), TRIM(MID(E3623, FIND(",", E3623) + 1, LEN(E3623))), E3623)</f>
        <v>Philippines</v>
      </c>
    </row>
    <row r="3624" spans="1:8" x14ac:dyDescent="0.25">
      <c r="A3624" s="2">
        <v>31892</v>
      </c>
      <c r="B3624">
        <v>15.917</v>
      </c>
      <c r="C3624">
        <v>120.259</v>
      </c>
      <c r="D3624" t="s">
        <v>14</v>
      </c>
      <c r="E3624" t="s">
        <v>297</v>
      </c>
      <c r="F3624">
        <f t="shared" si="112"/>
        <v>1987</v>
      </c>
      <c r="G3624">
        <f t="shared" si="113"/>
        <v>4</v>
      </c>
      <c r="H3624" t="str">
        <f>IF(ISNUMBER(FIND(",", E3624)), TRIM(MID(E3624, FIND(",", E3624) + 1, LEN(E3624))), E3624)</f>
        <v>Philippines</v>
      </c>
    </row>
    <row r="3625" spans="1:8" x14ac:dyDescent="0.25">
      <c r="A3625" s="2">
        <v>31889</v>
      </c>
      <c r="B3625">
        <v>37.167999999999999</v>
      </c>
      <c r="C3625">
        <v>141.40100000000001</v>
      </c>
      <c r="D3625" t="s">
        <v>14</v>
      </c>
      <c r="E3625" t="s">
        <v>227</v>
      </c>
      <c r="F3625">
        <f t="shared" si="112"/>
        <v>1987</v>
      </c>
      <c r="G3625">
        <f t="shared" si="113"/>
        <v>4</v>
      </c>
      <c r="H3625" t="str">
        <f>IF(ISNUMBER(FIND(",", E3625)), TRIM(MID(E3625, FIND(",", E3625) + 1, LEN(E3625))), E3625)</f>
        <v>Japan</v>
      </c>
    </row>
    <row r="3626" spans="1:8" x14ac:dyDescent="0.25">
      <c r="A3626" s="2">
        <v>31888</v>
      </c>
      <c r="B3626">
        <v>-22.792999999999999</v>
      </c>
      <c r="C3626">
        <v>170.32599999999999</v>
      </c>
      <c r="D3626" t="s">
        <v>14</v>
      </c>
      <c r="E3626" t="s">
        <v>254</v>
      </c>
      <c r="F3626">
        <f t="shared" si="112"/>
        <v>1987</v>
      </c>
      <c r="G3626">
        <f t="shared" si="113"/>
        <v>4</v>
      </c>
      <c r="H3626" t="str">
        <f>IF(ISNUMBER(FIND(",", E3626)), TRIM(MID(E3626, FIND(",", E3626) + 1, LEN(E3626))), E3626)</f>
        <v>southeast of the Loyalty Islands</v>
      </c>
    </row>
    <row r="3627" spans="1:8" x14ac:dyDescent="0.25">
      <c r="A3627" s="2">
        <v>31884</v>
      </c>
      <c r="B3627">
        <v>49.886000000000003</v>
      </c>
      <c r="C3627">
        <v>78.691000000000003</v>
      </c>
      <c r="D3627" t="s">
        <v>13</v>
      </c>
      <c r="E3627" t="s">
        <v>571</v>
      </c>
      <c r="F3627">
        <f t="shared" si="112"/>
        <v>1987</v>
      </c>
      <c r="G3627">
        <f t="shared" si="113"/>
        <v>4</v>
      </c>
      <c r="H3627" t="str">
        <f>IF(ISNUMBER(FIND(",", E3627)), TRIM(MID(E3627, FIND(",", E3627) + 1, LEN(E3627))), E3627)</f>
        <v>eastern Kazakhstan</v>
      </c>
    </row>
    <row r="3628" spans="1:8" x14ac:dyDescent="0.25">
      <c r="A3628" s="2">
        <v>31876</v>
      </c>
      <c r="B3628">
        <v>1.23</v>
      </c>
      <c r="C3628">
        <v>128.38999999999999</v>
      </c>
      <c r="D3628" t="s">
        <v>14</v>
      </c>
      <c r="E3628" t="s">
        <v>311</v>
      </c>
      <c r="F3628">
        <f t="shared" si="112"/>
        <v>1987</v>
      </c>
      <c r="G3628">
        <f t="shared" si="113"/>
        <v>4</v>
      </c>
      <c r="H3628" t="str">
        <f>IF(ISNUMBER(FIND(",", E3628)), TRIM(MID(E3628, FIND(",", E3628) + 1, LEN(E3628))), E3628)</f>
        <v>Indonesia</v>
      </c>
    </row>
    <row r="3629" spans="1:8" x14ac:dyDescent="0.25">
      <c r="A3629" s="2">
        <v>31875</v>
      </c>
      <c r="B3629">
        <v>11.657999999999999</v>
      </c>
      <c r="C3629">
        <v>-86.414000000000001</v>
      </c>
      <c r="D3629" t="s">
        <v>14</v>
      </c>
      <c r="E3629" t="s">
        <v>448</v>
      </c>
      <c r="F3629">
        <f t="shared" si="112"/>
        <v>1987</v>
      </c>
      <c r="G3629">
        <f t="shared" si="113"/>
        <v>4</v>
      </c>
      <c r="H3629" t="str">
        <f>IF(ISNUMBER(FIND(",", E3629)), TRIM(MID(E3629, FIND(",", E3629) + 1, LEN(E3629))), E3629)</f>
        <v>near the coast of Nicaragua</v>
      </c>
    </row>
    <row r="3630" spans="1:8" x14ac:dyDescent="0.25">
      <c r="A3630" s="2">
        <v>31874</v>
      </c>
      <c r="B3630">
        <v>37.378</v>
      </c>
      <c r="C3630">
        <v>141.69300000000001</v>
      </c>
      <c r="D3630" t="s">
        <v>14</v>
      </c>
      <c r="E3630" t="s">
        <v>227</v>
      </c>
      <c r="F3630">
        <f t="shared" si="112"/>
        <v>1987</v>
      </c>
      <c r="G3630">
        <f t="shared" si="113"/>
        <v>4</v>
      </c>
      <c r="H3630" t="str">
        <f>IF(ISNUMBER(FIND(",", E3630)), TRIM(MID(E3630, FIND(",", E3630) + 1, LEN(E3630))), E3630)</f>
        <v>Japan</v>
      </c>
    </row>
    <row r="3631" spans="1:8" x14ac:dyDescent="0.25">
      <c r="A3631" s="2">
        <v>31870</v>
      </c>
      <c r="B3631">
        <v>49.927999999999997</v>
      </c>
      <c r="C3631">
        <v>78.828999999999994</v>
      </c>
      <c r="D3631" t="s">
        <v>13</v>
      </c>
      <c r="E3631" t="s">
        <v>571</v>
      </c>
      <c r="F3631">
        <f t="shared" si="112"/>
        <v>1987</v>
      </c>
      <c r="G3631">
        <f t="shared" si="113"/>
        <v>4</v>
      </c>
      <c r="H3631" t="str">
        <f>IF(ISNUMBER(FIND(",", E3631)), TRIM(MID(E3631, FIND(",", E3631) + 1, LEN(E3631))), E3631)</f>
        <v>eastern Kazakhstan</v>
      </c>
    </row>
    <row r="3632" spans="1:8" x14ac:dyDescent="0.25">
      <c r="A3632" s="2">
        <v>31868</v>
      </c>
      <c r="B3632">
        <v>-22.902999999999999</v>
      </c>
      <c r="C3632">
        <v>-66.248000000000005</v>
      </c>
      <c r="D3632" t="s">
        <v>14</v>
      </c>
      <c r="E3632" t="s">
        <v>347</v>
      </c>
      <c r="F3632">
        <f t="shared" si="112"/>
        <v>1987</v>
      </c>
      <c r="G3632">
        <f t="shared" si="113"/>
        <v>4</v>
      </c>
      <c r="H3632" t="str">
        <f>IF(ISNUMBER(FIND(",", E3632)), TRIM(MID(E3632, FIND(",", E3632) + 1, LEN(E3632))), E3632)</f>
        <v>Argentina</v>
      </c>
    </row>
    <row r="3633" spans="1:8" x14ac:dyDescent="0.25">
      <c r="A3633" s="2">
        <v>31862</v>
      </c>
      <c r="B3633">
        <v>-13.721</v>
      </c>
      <c r="C3633">
        <v>167.26900000000001</v>
      </c>
      <c r="D3633" t="s">
        <v>14</v>
      </c>
      <c r="E3633" t="s">
        <v>181</v>
      </c>
      <c r="F3633">
        <f t="shared" si="112"/>
        <v>1987</v>
      </c>
      <c r="G3633">
        <f t="shared" si="113"/>
        <v>3</v>
      </c>
      <c r="H3633" t="str">
        <f>IF(ISNUMBER(FIND(",", E3633)), TRIM(MID(E3633, FIND(",", E3633) + 1, LEN(E3633))), E3633)</f>
        <v>Vanuatu</v>
      </c>
    </row>
    <row r="3634" spans="1:8" x14ac:dyDescent="0.25">
      <c r="A3634" s="2">
        <v>31858</v>
      </c>
      <c r="B3634">
        <v>51.633000000000003</v>
      </c>
      <c r="C3634">
        <v>-173.58600000000001</v>
      </c>
      <c r="D3634" t="s">
        <v>14</v>
      </c>
      <c r="E3634" t="s">
        <v>207</v>
      </c>
      <c r="F3634">
        <f t="shared" si="112"/>
        <v>1987</v>
      </c>
      <c r="G3634">
        <f t="shared" si="113"/>
        <v>3</v>
      </c>
      <c r="H3634" t="str">
        <f>IF(ISNUMBER(FIND(",", E3634)), TRIM(MID(E3634, FIND(",", E3634) + 1, LEN(E3634))), E3634)</f>
        <v>Aleutian Islands, Alaska</v>
      </c>
    </row>
    <row r="3635" spans="1:8" x14ac:dyDescent="0.25">
      <c r="A3635" s="2">
        <v>31857</v>
      </c>
      <c r="B3635">
        <v>52.033999999999999</v>
      </c>
      <c r="C3635">
        <v>-177.49700000000001</v>
      </c>
      <c r="D3635" t="s">
        <v>14</v>
      </c>
      <c r="E3635" t="s">
        <v>207</v>
      </c>
      <c r="F3635">
        <f t="shared" si="112"/>
        <v>1987</v>
      </c>
      <c r="G3635">
        <f t="shared" si="113"/>
        <v>3</v>
      </c>
      <c r="H3635" t="str">
        <f>IF(ISNUMBER(FIND(",", E3635)), TRIM(MID(E3635, FIND(",", E3635) + 1, LEN(E3635))), E3635)</f>
        <v>Aleutian Islands, Alaska</v>
      </c>
    </row>
    <row r="3636" spans="1:8" x14ac:dyDescent="0.25">
      <c r="A3636" s="2">
        <v>31855</v>
      </c>
      <c r="B3636">
        <v>-20.359000000000002</v>
      </c>
      <c r="C3636">
        <v>-176.09299999999999</v>
      </c>
      <c r="D3636" t="s">
        <v>14</v>
      </c>
      <c r="E3636" t="s">
        <v>53</v>
      </c>
      <c r="F3636">
        <f t="shared" si="112"/>
        <v>1987</v>
      </c>
      <c r="G3636">
        <f t="shared" si="113"/>
        <v>3</v>
      </c>
      <c r="H3636" t="str">
        <f>IF(ISNUMBER(FIND(",", E3636)), TRIM(MID(E3636, FIND(",", E3636) + 1, LEN(E3636))), E3636)</f>
        <v>Fiji region</v>
      </c>
    </row>
    <row r="3637" spans="1:8" x14ac:dyDescent="0.25">
      <c r="A3637" s="2">
        <v>31854</v>
      </c>
      <c r="B3637">
        <v>32.052</v>
      </c>
      <c r="C3637">
        <v>131.77500000000001</v>
      </c>
      <c r="D3637" t="s">
        <v>14</v>
      </c>
      <c r="E3637" t="s">
        <v>357</v>
      </c>
      <c r="F3637">
        <f t="shared" si="112"/>
        <v>1987</v>
      </c>
      <c r="G3637">
        <f t="shared" si="113"/>
        <v>3</v>
      </c>
      <c r="H3637" t="str">
        <f>IF(ISNUMBER(FIND(",", E3637)), TRIM(MID(E3637, FIND(",", E3637) + 1, LEN(E3637))), E3637)</f>
        <v>Japan</v>
      </c>
    </row>
    <row r="3638" spans="1:8" x14ac:dyDescent="0.25">
      <c r="A3638" s="2">
        <v>31854</v>
      </c>
      <c r="B3638">
        <v>2.1080000000000001</v>
      </c>
      <c r="C3638">
        <v>126.51900000000001</v>
      </c>
      <c r="D3638" t="s">
        <v>14</v>
      </c>
      <c r="E3638" t="s">
        <v>186</v>
      </c>
      <c r="F3638">
        <f t="shared" si="112"/>
        <v>1987</v>
      </c>
      <c r="G3638">
        <f t="shared" si="113"/>
        <v>3</v>
      </c>
      <c r="H3638" t="str">
        <f>IF(ISNUMBER(FIND(",", E3638)), TRIM(MID(E3638, FIND(",", E3638) + 1, LEN(E3638))), E3638)</f>
        <v>Molucca Sea</v>
      </c>
    </row>
    <row r="3639" spans="1:8" x14ac:dyDescent="0.25">
      <c r="A3639" s="2">
        <v>31849</v>
      </c>
      <c r="B3639">
        <v>-23.859000000000002</v>
      </c>
      <c r="C3639">
        <v>-177.285</v>
      </c>
      <c r="D3639" t="s">
        <v>14</v>
      </c>
      <c r="E3639" t="s">
        <v>256</v>
      </c>
      <c r="F3639">
        <f t="shared" si="112"/>
        <v>1987</v>
      </c>
      <c r="G3639">
        <f t="shared" si="113"/>
        <v>3</v>
      </c>
      <c r="H3639" t="str">
        <f>IF(ISNUMBER(FIND(",", E3639)), TRIM(MID(E3639, FIND(",", E3639) + 1, LEN(E3639))), E3639)</f>
        <v>south of the Fiji Islands</v>
      </c>
    </row>
    <row r="3640" spans="1:8" x14ac:dyDescent="0.25">
      <c r="A3640" s="2">
        <v>31848</v>
      </c>
      <c r="B3640">
        <v>15.545</v>
      </c>
      <c r="C3640">
        <v>-94.619</v>
      </c>
      <c r="D3640" t="s">
        <v>14</v>
      </c>
      <c r="E3640" t="s">
        <v>535</v>
      </c>
      <c r="F3640">
        <f t="shared" si="112"/>
        <v>1987</v>
      </c>
      <c r="G3640">
        <f t="shared" si="113"/>
        <v>3</v>
      </c>
      <c r="H3640" t="str">
        <f>IF(ISNUMBER(FIND(",", E3640)), TRIM(MID(E3640, FIND(",", E3640) + 1, LEN(E3640))), E3640)</f>
        <v>Mexico</v>
      </c>
    </row>
    <row r="3641" spans="1:8" x14ac:dyDescent="0.25">
      <c r="A3641" s="2">
        <v>31842</v>
      </c>
      <c r="B3641">
        <v>-24.096</v>
      </c>
      <c r="C3641">
        <v>-70.084999999999994</v>
      </c>
      <c r="D3641" t="s">
        <v>14</v>
      </c>
      <c r="E3641" t="s">
        <v>289</v>
      </c>
      <c r="F3641">
        <f t="shared" si="112"/>
        <v>1987</v>
      </c>
      <c r="G3641">
        <f t="shared" si="113"/>
        <v>3</v>
      </c>
      <c r="H3641" t="str">
        <f>IF(ISNUMBER(FIND(",", E3641)), TRIM(MID(E3641, FIND(",", E3641) + 1, LEN(E3641))), E3641)</f>
        <v>Chile</v>
      </c>
    </row>
    <row r="3642" spans="1:8" x14ac:dyDescent="0.25">
      <c r="A3642" s="2">
        <v>31842</v>
      </c>
      <c r="B3642">
        <v>8.3000000000000004E-2</v>
      </c>
      <c r="C3642">
        <v>-77.786000000000001</v>
      </c>
      <c r="D3642" t="s">
        <v>14</v>
      </c>
      <c r="E3642" t="s">
        <v>591</v>
      </c>
      <c r="F3642">
        <f t="shared" si="112"/>
        <v>1987</v>
      </c>
      <c r="G3642">
        <f t="shared" si="113"/>
        <v>3</v>
      </c>
      <c r="H3642" t="str">
        <f>IF(ISNUMBER(FIND(",", E3642)), TRIM(MID(E3642, FIND(",", E3642) + 1, LEN(E3642))), E3642)</f>
        <v>Colombia-Ecuador border region</v>
      </c>
    </row>
    <row r="3643" spans="1:8" x14ac:dyDescent="0.25">
      <c r="A3643" s="2">
        <v>31842</v>
      </c>
      <c r="B3643">
        <v>4.1000000000000002E-2</v>
      </c>
      <c r="C3643">
        <v>-77.664000000000001</v>
      </c>
      <c r="D3643" t="s">
        <v>14</v>
      </c>
      <c r="E3643" t="s">
        <v>591</v>
      </c>
      <c r="F3643">
        <f t="shared" si="112"/>
        <v>1987</v>
      </c>
      <c r="G3643">
        <f t="shared" si="113"/>
        <v>3</v>
      </c>
      <c r="H3643" t="str">
        <f>IF(ISNUMBER(FIND(",", E3643)), TRIM(MID(E3643, FIND(",", E3643) + 1, LEN(E3643))), E3643)</f>
        <v>Colombia-Ecuador border region</v>
      </c>
    </row>
    <row r="3644" spans="1:8" x14ac:dyDescent="0.25">
      <c r="A3644" s="2">
        <v>31841</v>
      </c>
      <c r="B3644">
        <v>-24.44</v>
      </c>
      <c r="C3644">
        <v>-70.570999999999998</v>
      </c>
      <c r="D3644" t="s">
        <v>14</v>
      </c>
      <c r="E3644" t="s">
        <v>413</v>
      </c>
      <c r="F3644">
        <f t="shared" si="112"/>
        <v>1987</v>
      </c>
      <c r="G3644">
        <f t="shared" si="113"/>
        <v>3</v>
      </c>
      <c r="H3644" t="str">
        <f>IF(ISNUMBER(FIND(",", E3644)), TRIM(MID(E3644, FIND(",", E3644) + 1, LEN(E3644))), E3644)</f>
        <v>Chile</v>
      </c>
    </row>
    <row r="3645" spans="1:8" x14ac:dyDescent="0.25">
      <c r="A3645" s="2">
        <v>31841</v>
      </c>
      <c r="B3645">
        <v>-24.396000000000001</v>
      </c>
      <c r="C3645">
        <v>-70.099000000000004</v>
      </c>
      <c r="D3645" t="s">
        <v>14</v>
      </c>
      <c r="E3645" t="s">
        <v>289</v>
      </c>
      <c r="F3645">
        <f t="shared" si="112"/>
        <v>1987</v>
      </c>
      <c r="G3645">
        <f t="shared" si="113"/>
        <v>3</v>
      </c>
      <c r="H3645" t="str">
        <f>IF(ISNUMBER(FIND(",", E3645)), TRIM(MID(E3645, FIND(",", E3645) + 1, LEN(E3645))), E3645)</f>
        <v>Chile</v>
      </c>
    </row>
    <row r="3646" spans="1:8" x14ac:dyDescent="0.25">
      <c r="A3646" s="2">
        <v>31838</v>
      </c>
      <c r="B3646">
        <v>-45.704000000000001</v>
      </c>
      <c r="C3646">
        <v>96.03</v>
      </c>
      <c r="D3646" t="s">
        <v>14</v>
      </c>
      <c r="E3646" t="s">
        <v>310</v>
      </c>
      <c r="F3646">
        <f t="shared" si="112"/>
        <v>1987</v>
      </c>
      <c r="G3646">
        <f t="shared" si="113"/>
        <v>3</v>
      </c>
      <c r="H3646" t="str">
        <f>IF(ISNUMBER(FIND(",", E3646)), TRIM(MID(E3646, FIND(",", E3646) + 1, LEN(E3646))), E3646)</f>
        <v>southeast Indian Ridge</v>
      </c>
    </row>
    <row r="3647" spans="1:8" x14ac:dyDescent="0.25">
      <c r="A3647" s="2">
        <v>31838</v>
      </c>
      <c r="B3647">
        <v>-38.051000000000002</v>
      </c>
      <c r="C3647">
        <v>176.87299999999999</v>
      </c>
      <c r="D3647" t="s">
        <v>14</v>
      </c>
      <c r="E3647" t="s">
        <v>188</v>
      </c>
      <c r="F3647">
        <f t="shared" si="112"/>
        <v>1987</v>
      </c>
      <c r="G3647">
        <f t="shared" si="113"/>
        <v>3</v>
      </c>
      <c r="H3647" t="str">
        <f>IF(ISNUMBER(FIND(",", E3647)), TRIM(MID(E3647, FIND(",", E3647) + 1, LEN(E3647))), E3647)</f>
        <v>North Island of New Zealand</v>
      </c>
    </row>
    <row r="3648" spans="1:8" x14ac:dyDescent="0.25">
      <c r="A3648" s="2">
        <v>31835</v>
      </c>
      <c r="B3648">
        <v>53.457999999999998</v>
      </c>
      <c r="C3648">
        <v>-167.279</v>
      </c>
      <c r="D3648" t="s">
        <v>14</v>
      </c>
      <c r="E3648" t="s">
        <v>219</v>
      </c>
      <c r="F3648">
        <f t="shared" si="112"/>
        <v>1987</v>
      </c>
      <c r="G3648">
        <f t="shared" si="113"/>
        <v>2</v>
      </c>
      <c r="H3648" t="str">
        <f>IF(ISNUMBER(FIND(",", E3648)), TRIM(MID(E3648, FIND(",", E3648) + 1, LEN(E3648))), E3648)</f>
        <v>Aleutian Islands, Alaska</v>
      </c>
    </row>
    <row r="3649" spans="1:8" x14ac:dyDescent="0.25">
      <c r="A3649" s="2">
        <v>31831</v>
      </c>
      <c r="B3649">
        <v>-15.853</v>
      </c>
      <c r="C3649">
        <v>167.97200000000001</v>
      </c>
      <c r="D3649" t="s">
        <v>14</v>
      </c>
      <c r="E3649" t="s">
        <v>181</v>
      </c>
      <c r="F3649">
        <f t="shared" si="112"/>
        <v>1987</v>
      </c>
      <c r="G3649">
        <f t="shared" si="113"/>
        <v>2</v>
      </c>
      <c r="H3649" t="str">
        <f>IF(ISNUMBER(FIND(",", E3649)), TRIM(MID(E3649, FIND(",", E3649) + 1, LEN(E3649))), E3649)</f>
        <v>Vanuatu</v>
      </c>
    </row>
    <row r="3650" spans="1:8" x14ac:dyDescent="0.25">
      <c r="A3650" s="2">
        <v>31831</v>
      </c>
      <c r="B3650">
        <v>-58.027999999999999</v>
      </c>
      <c r="C3650">
        <v>-25.462</v>
      </c>
      <c r="D3650" t="s">
        <v>14</v>
      </c>
      <c r="E3650" t="s">
        <v>260</v>
      </c>
      <c r="F3650">
        <f t="shared" ref="F3650:F3713" si="114">YEAR(A3650)</f>
        <v>1987</v>
      </c>
      <c r="G3650">
        <f t="shared" si="113"/>
        <v>2</v>
      </c>
      <c r="H3650" t="str">
        <f>IF(ISNUMBER(FIND(",", E3650)), TRIM(MID(E3650, FIND(",", E3650) + 1, LEN(E3650))), E3650)</f>
        <v>South Sandwich Islands region</v>
      </c>
    </row>
    <row r="3651" spans="1:8" x14ac:dyDescent="0.25">
      <c r="A3651" s="2">
        <v>31826</v>
      </c>
      <c r="B3651">
        <v>51.28</v>
      </c>
      <c r="C3651">
        <v>-179.26</v>
      </c>
      <c r="D3651" t="s">
        <v>14</v>
      </c>
      <c r="E3651" t="s">
        <v>207</v>
      </c>
      <c r="F3651">
        <f t="shared" si="114"/>
        <v>1987</v>
      </c>
      <c r="G3651">
        <f t="shared" ref="G3651:G3714" si="115">MONTH(A3651)</f>
        <v>2</v>
      </c>
      <c r="H3651" t="str">
        <f>IF(ISNUMBER(FIND(",", E3651)), TRIM(MID(E3651, FIND(",", E3651) + 1, LEN(E3651))), E3651)</f>
        <v>Aleutian Islands, Alaska</v>
      </c>
    </row>
    <row r="3652" spans="1:8" x14ac:dyDescent="0.25">
      <c r="A3652" s="2">
        <v>31825</v>
      </c>
      <c r="B3652">
        <v>-32.659999999999997</v>
      </c>
      <c r="C3652">
        <v>-179.19800000000001</v>
      </c>
      <c r="D3652" t="s">
        <v>14</v>
      </c>
      <c r="E3652" t="s">
        <v>262</v>
      </c>
      <c r="F3652">
        <f t="shared" si="114"/>
        <v>1987</v>
      </c>
      <c r="G3652">
        <f t="shared" si="115"/>
        <v>2</v>
      </c>
      <c r="H3652" t="str">
        <f>IF(ISNUMBER(FIND(",", E3652)), TRIM(MID(E3652, FIND(",", E3652) + 1, LEN(E3652))), E3652)</f>
        <v>south of the Kermadec Islands</v>
      </c>
    </row>
    <row r="3653" spans="1:8" x14ac:dyDescent="0.25">
      <c r="A3653" s="2">
        <v>31824</v>
      </c>
      <c r="B3653">
        <v>0.85599999999999998</v>
      </c>
      <c r="C3653">
        <v>126.19199999999999</v>
      </c>
      <c r="D3653" t="s">
        <v>14</v>
      </c>
      <c r="E3653" t="s">
        <v>186</v>
      </c>
      <c r="F3653">
        <f t="shared" si="114"/>
        <v>1987</v>
      </c>
      <c r="G3653">
        <f t="shared" si="115"/>
        <v>2</v>
      </c>
      <c r="H3653" t="str">
        <f>IF(ISNUMBER(FIND(",", E3653)), TRIM(MID(E3653, FIND(",", E3653) + 1, LEN(E3653))), E3653)</f>
        <v>Molucca Sea</v>
      </c>
    </row>
    <row r="3654" spans="1:8" x14ac:dyDescent="0.25">
      <c r="A3654" s="2">
        <v>31821</v>
      </c>
      <c r="B3654">
        <v>0.68899999999999995</v>
      </c>
      <c r="C3654">
        <v>126.157</v>
      </c>
      <c r="D3654" t="s">
        <v>14</v>
      </c>
      <c r="E3654" t="s">
        <v>186</v>
      </c>
      <c r="F3654">
        <f t="shared" si="114"/>
        <v>1987</v>
      </c>
      <c r="G3654">
        <f t="shared" si="115"/>
        <v>2</v>
      </c>
      <c r="H3654" t="str">
        <f>IF(ISNUMBER(FIND(",", E3654)), TRIM(MID(E3654, FIND(",", E3654) + 1, LEN(E3654))), E3654)</f>
        <v>Molucca Sea</v>
      </c>
    </row>
    <row r="3655" spans="1:8" x14ac:dyDescent="0.25">
      <c r="A3655" s="2">
        <v>31819</v>
      </c>
      <c r="B3655">
        <v>43.116999999999997</v>
      </c>
      <c r="C3655">
        <v>132.22499999999999</v>
      </c>
      <c r="D3655" t="s">
        <v>14</v>
      </c>
      <c r="E3655" t="s">
        <v>344</v>
      </c>
      <c r="F3655">
        <f t="shared" si="114"/>
        <v>1987</v>
      </c>
      <c r="G3655">
        <f t="shared" si="115"/>
        <v>2</v>
      </c>
      <c r="H3655" t="str">
        <f>IF(ISNUMBER(FIND(",", E3655)), TRIM(MID(E3655, FIND(",", E3655) + 1, LEN(E3655))), E3655)</f>
        <v>Russia</v>
      </c>
    </row>
    <row r="3656" spans="1:8" x14ac:dyDescent="0.25">
      <c r="A3656" s="2">
        <v>31819</v>
      </c>
      <c r="B3656">
        <v>-15.847</v>
      </c>
      <c r="C3656">
        <v>167.4</v>
      </c>
      <c r="D3656" t="s">
        <v>14</v>
      </c>
      <c r="E3656" t="s">
        <v>181</v>
      </c>
      <c r="F3656">
        <f t="shared" si="114"/>
        <v>1987</v>
      </c>
      <c r="G3656">
        <f t="shared" si="115"/>
        <v>2</v>
      </c>
      <c r="H3656" t="str">
        <f>IF(ISNUMBER(FIND(",", E3656)), TRIM(MID(E3656, FIND(",", E3656) + 1, LEN(E3656))), E3656)</f>
        <v>Vanuatu</v>
      </c>
    </row>
    <row r="3657" spans="1:8" x14ac:dyDescent="0.25">
      <c r="A3657" s="2">
        <v>31818</v>
      </c>
      <c r="B3657">
        <v>-19.398</v>
      </c>
      <c r="C3657">
        <v>-177.45400000000001</v>
      </c>
      <c r="D3657" t="s">
        <v>14</v>
      </c>
      <c r="E3657" t="s">
        <v>53</v>
      </c>
      <c r="F3657">
        <f t="shared" si="114"/>
        <v>1987</v>
      </c>
      <c r="G3657">
        <f t="shared" si="115"/>
        <v>2</v>
      </c>
      <c r="H3657" t="str">
        <f>IF(ISNUMBER(FIND(",", E3657)), TRIM(MID(E3657, FIND(",", E3657) + 1, LEN(E3657))), E3657)</f>
        <v>Fiji region</v>
      </c>
    </row>
    <row r="3658" spans="1:8" x14ac:dyDescent="0.25">
      <c r="A3658" s="2">
        <v>31816</v>
      </c>
      <c r="B3658">
        <v>-6.0229999999999997</v>
      </c>
      <c r="C3658">
        <v>147.66499999999999</v>
      </c>
      <c r="D3658" t="s">
        <v>14</v>
      </c>
      <c r="E3658" t="s">
        <v>243</v>
      </c>
      <c r="F3658">
        <f t="shared" si="114"/>
        <v>1987</v>
      </c>
      <c r="G3658">
        <f t="shared" si="115"/>
        <v>2</v>
      </c>
      <c r="H3658" t="str">
        <f>IF(ISNUMBER(FIND(",", E3658)), TRIM(MID(E3658, FIND(",", E3658) + 1, LEN(E3658))), E3658)</f>
        <v>Papua New Guinea</v>
      </c>
    </row>
    <row r="3659" spans="1:8" x14ac:dyDescent="0.25">
      <c r="A3659" s="2">
        <v>31816</v>
      </c>
      <c r="B3659">
        <v>1.619</v>
      </c>
      <c r="C3659">
        <v>126.536</v>
      </c>
      <c r="D3659" t="s">
        <v>14</v>
      </c>
      <c r="E3659" t="s">
        <v>186</v>
      </c>
      <c r="F3659">
        <f t="shared" si="114"/>
        <v>1987</v>
      </c>
      <c r="G3659">
        <f t="shared" si="115"/>
        <v>2</v>
      </c>
      <c r="H3659" t="str">
        <f>IF(ISNUMBER(FIND(",", E3659)), TRIM(MID(E3659, FIND(",", E3659) + 1, LEN(E3659))), E3659)</f>
        <v>Molucca Sea</v>
      </c>
    </row>
    <row r="3660" spans="1:8" x14ac:dyDescent="0.25">
      <c r="A3660" s="2">
        <v>31815</v>
      </c>
      <c r="B3660">
        <v>52.387</v>
      </c>
      <c r="C3660">
        <v>-168.32300000000001</v>
      </c>
      <c r="D3660" t="s">
        <v>14</v>
      </c>
      <c r="E3660" t="s">
        <v>219</v>
      </c>
      <c r="F3660">
        <f t="shared" si="114"/>
        <v>1987</v>
      </c>
      <c r="G3660">
        <f t="shared" si="115"/>
        <v>2</v>
      </c>
      <c r="H3660" t="str">
        <f>IF(ISNUMBER(FIND(",", E3660)), TRIM(MID(E3660, FIND(",", E3660) + 1, LEN(E3660))), E3660)</f>
        <v>Aleutian Islands, Alaska</v>
      </c>
    </row>
    <row r="3661" spans="1:8" x14ac:dyDescent="0.25">
      <c r="A3661" s="2">
        <v>31815</v>
      </c>
      <c r="B3661">
        <v>-5.8220000000000001</v>
      </c>
      <c r="C3661">
        <v>147.636</v>
      </c>
      <c r="D3661" t="s">
        <v>14</v>
      </c>
      <c r="E3661" t="s">
        <v>243</v>
      </c>
      <c r="F3661">
        <f t="shared" si="114"/>
        <v>1987</v>
      </c>
      <c r="G3661">
        <f t="shared" si="115"/>
        <v>2</v>
      </c>
      <c r="H3661" t="str">
        <f>IF(ISNUMBER(FIND(",", E3661)), TRIM(MID(E3661, FIND(",", E3661) + 1, LEN(E3661))), E3661)</f>
        <v>Papua New Guinea</v>
      </c>
    </row>
    <row r="3662" spans="1:8" x14ac:dyDescent="0.25">
      <c r="A3662" s="2">
        <v>31814</v>
      </c>
      <c r="B3662">
        <v>37.023000000000003</v>
      </c>
      <c r="C3662">
        <v>141.72499999999999</v>
      </c>
      <c r="D3662" t="s">
        <v>14</v>
      </c>
      <c r="E3662" t="s">
        <v>227</v>
      </c>
      <c r="F3662">
        <f t="shared" si="114"/>
        <v>1987</v>
      </c>
      <c r="G3662">
        <f t="shared" si="115"/>
        <v>2</v>
      </c>
      <c r="H3662" t="str">
        <f>IF(ISNUMBER(FIND(",", E3662)), TRIM(MID(E3662, FIND(",", E3662) + 1, LEN(E3662))), E3662)</f>
        <v>Japan</v>
      </c>
    </row>
    <row r="3663" spans="1:8" x14ac:dyDescent="0.25">
      <c r="A3663" s="2">
        <v>31814</v>
      </c>
      <c r="B3663">
        <v>37.015999999999998</v>
      </c>
      <c r="C3663">
        <v>141.714</v>
      </c>
      <c r="D3663" t="s">
        <v>14</v>
      </c>
      <c r="E3663" t="s">
        <v>227</v>
      </c>
      <c r="F3663">
        <f t="shared" si="114"/>
        <v>1987</v>
      </c>
      <c r="G3663">
        <f t="shared" si="115"/>
        <v>2</v>
      </c>
      <c r="H3663" t="str">
        <f>IF(ISNUMBER(FIND(",", E3663)), TRIM(MID(E3663, FIND(",", E3663) + 1, LEN(E3663))), E3663)</f>
        <v>Japan</v>
      </c>
    </row>
    <row r="3664" spans="1:8" x14ac:dyDescent="0.25">
      <c r="A3664" s="2">
        <v>31807</v>
      </c>
      <c r="B3664">
        <v>-60.156999999999996</v>
      </c>
      <c r="C3664">
        <v>-27.012</v>
      </c>
      <c r="D3664" t="s">
        <v>14</v>
      </c>
      <c r="E3664" t="s">
        <v>260</v>
      </c>
      <c r="F3664">
        <f t="shared" si="114"/>
        <v>1987</v>
      </c>
      <c r="G3664">
        <f t="shared" si="115"/>
        <v>1</v>
      </c>
      <c r="H3664" t="str">
        <f>IF(ISNUMBER(FIND(",", E3664)), TRIM(MID(E3664, FIND(",", E3664) + 1, LEN(E3664))), E3664)</f>
        <v>South Sandwich Islands region</v>
      </c>
    </row>
    <row r="3665" spans="1:8" x14ac:dyDescent="0.25">
      <c r="A3665" s="2">
        <v>31806</v>
      </c>
      <c r="B3665">
        <v>1.3180000000000001</v>
      </c>
      <c r="C3665">
        <v>126.217</v>
      </c>
      <c r="D3665" t="s">
        <v>14</v>
      </c>
      <c r="E3665" t="s">
        <v>186</v>
      </c>
      <c r="F3665">
        <f t="shared" si="114"/>
        <v>1987</v>
      </c>
      <c r="G3665">
        <f t="shared" si="115"/>
        <v>1</v>
      </c>
      <c r="H3665" t="str">
        <f>IF(ISNUMBER(FIND(",", E3665)), TRIM(MID(E3665, FIND(",", E3665) + 1, LEN(E3665))), E3665)</f>
        <v>Molucca Sea</v>
      </c>
    </row>
    <row r="3666" spans="1:8" x14ac:dyDescent="0.25">
      <c r="A3666" s="2">
        <v>31801</v>
      </c>
      <c r="B3666">
        <v>41.478999999999999</v>
      </c>
      <c r="C3666">
        <v>79.343999999999994</v>
      </c>
      <c r="D3666" t="s">
        <v>14</v>
      </c>
      <c r="E3666" t="s">
        <v>454</v>
      </c>
      <c r="F3666">
        <f t="shared" si="114"/>
        <v>1987</v>
      </c>
      <c r="G3666">
        <f t="shared" si="115"/>
        <v>1</v>
      </c>
      <c r="H3666" t="str">
        <f>IF(ISNUMBER(FIND(",", E3666)), TRIM(MID(E3666, FIND(",", E3666) + 1, LEN(E3666))), E3666)</f>
        <v>Kyrgyzstan-Xinjiang border region</v>
      </c>
    </row>
    <row r="3667" spans="1:8" x14ac:dyDescent="0.25">
      <c r="A3667" s="2">
        <v>31791</v>
      </c>
      <c r="B3667">
        <v>42.594999999999999</v>
      </c>
      <c r="C3667">
        <v>142.80600000000001</v>
      </c>
      <c r="D3667" t="s">
        <v>14</v>
      </c>
      <c r="E3667" t="s">
        <v>265</v>
      </c>
      <c r="F3667">
        <f t="shared" si="114"/>
        <v>1987</v>
      </c>
      <c r="G3667">
        <f t="shared" si="115"/>
        <v>1</v>
      </c>
      <c r="H3667" t="str">
        <f>IF(ISNUMBER(FIND(",", E3667)), TRIM(MID(E3667, FIND(",", E3667) + 1, LEN(E3667))), E3667)</f>
        <v>Japan region</v>
      </c>
    </row>
    <row r="3668" spans="1:8" x14ac:dyDescent="0.25">
      <c r="A3668" s="2">
        <v>31786</v>
      </c>
      <c r="B3668">
        <v>-19.434000000000001</v>
      </c>
      <c r="C3668">
        <v>-176.43299999999999</v>
      </c>
      <c r="D3668" t="s">
        <v>14</v>
      </c>
      <c r="E3668" t="s">
        <v>53</v>
      </c>
      <c r="F3668">
        <f t="shared" si="114"/>
        <v>1987</v>
      </c>
      <c r="G3668">
        <f t="shared" si="115"/>
        <v>1</v>
      </c>
      <c r="H3668" t="str">
        <f>IF(ISNUMBER(FIND(",", E3668)), TRIM(MID(E3668, FIND(",", E3668) + 1, LEN(E3668))), E3668)</f>
        <v>Fiji region</v>
      </c>
    </row>
    <row r="3669" spans="1:8" x14ac:dyDescent="0.25">
      <c r="A3669" s="2">
        <v>31786</v>
      </c>
      <c r="B3669">
        <v>39.875</v>
      </c>
      <c r="C3669">
        <v>141.62</v>
      </c>
      <c r="D3669" t="s">
        <v>14</v>
      </c>
      <c r="E3669" t="s">
        <v>293</v>
      </c>
      <c r="F3669">
        <f t="shared" si="114"/>
        <v>1987</v>
      </c>
      <c r="G3669">
        <f t="shared" si="115"/>
        <v>1</v>
      </c>
      <c r="H3669" t="str">
        <f>IF(ISNUMBER(FIND(",", E3669)), TRIM(MID(E3669, FIND(",", E3669) + 1, LEN(E3669))), E3669)</f>
        <v>Japan</v>
      </c>
    </row>
    <row r="3670" spans="1:8" x14ac:dyDescent="0.25">
      <c r="A3670" s="2">
        <v>31782</v>
      </c>
      <c r="B3670">
        <v>52.502000000000002</v>
      </c>
      <c r="C3670">
        <v>-169.40600000000001</v>
      </c>
      <c r="D3670" t="s">
        <v>14</v>
      </c>
      <c r="E3670" t="s">
        <v>219</v>
      </c>
      <c r="F3670">
        <f t="shared" si="114"/>
        <v>1987</v>
      </c>
      <c r="G3670">
        <f t="shared" si="115"/>
        <v>1</v>
      </c>
      <c r="H3670" t="str">
        <f>IF(ISNUMBER(FIND(",", E3670)), TRIM(MID(E3670, FIND(",", E3670) + 1, LEN(E3670))), E3670)</f>
        <v>Aleutian Islands, Alaska</v>
      </c>
    </row>
    <row r="3671" spans="1:8" x14ac:dyDescent="0.25">
      <c r="A3671" s="2">
        <v>31781</v>
      </c>
      <c r="B3671">
        <v>5.851</v>
      </c>
      <c r="C3671">
        <v>-82.635999999999996</v>
      </c>
      <c r="D3671" t="s">
        <v>14</v>
      </c>
      <c r="E3671" t="s">
        <v>231</v>
      </c>
      <c r="F3671">
        <f t="shared" si="114"/>
        <v>1987</v>
      </c>
      <c r="G3671">
        <f t="shared" si="115"/>
        <v>1</v>
      </c>
      <c r="H3671" t="str">
        <f>IF(ISNUMBER(FIND(",", E3671)), TRIM(MID(E3671, FIND(",", E3671) + 1, LEN(E3671))), E3671)</f>
        <v>south of Panama</v>
      </c>
    </row>
    <row r="3672" spans="1:8" x14ac:dyDescent="0.25">
      <c r="A3672" s="2">
        <v>31780</v>
      </c>
      <c r="B3672">
        <v>-15.019</v>
      </c>
      <c r="C3672">
        <v>168.01499999999999</v>
      </c>
      <c r="D3672" t="s">
        <v>14</v>
      </c>
      <c r="E3672" t="s">
        <v>181</v>
      </c>
      <c r="F3672">
        <f t="shared" si="114"/>
        <v>1987</v>
      </c>
      <c r="G3672">
        <f t="shared" si="115"/>
        <v>1</v>
      </c>
      <c r="H3672" t="str">
        <f>IF(ISNUMBER(FIND(",", E3672)), TRIM(MID(E3672, FIND(",", E3672) + 1, LEN(E3672))), E3672)</f>
        <v>Vanuatu</v>
      </c>
    </row>
    <row r="3673" spans="1:8" x14ac:dyDescent="0.25">
      <c r="A3673" s="2">
        <v>31780</v>
      </c>
      <c r="B3673">
        <v>-3.4180000000000001</v>
      </c>
      <c r="C3673">
        <v>146.32499999999999</v>
      </c>
      <c r="D3673" t="s">
        <v>14</v>
      </c>
      <c r="E3673" t="s">
        <v>380</v>
      </c>
      <c r="F3673">
        <f t="shared" si="114"/>
        <v>1987</v>
      </c>
      <c r="G3673">
        <f t="shared" si="115"/>
        <v>1</v>
      </c>
      <c r="H3673" t="str">
        <f>IF(ISNUMBER(FIND(",", E3673)), TRIM(MID(E3673, FIND(",", E3673) + 1, LEN(E3673))), E3673)</f>
        <v>Bismarck Sea</v>
      </c>
    </row>
    <row r="3674" spans="1:8" x14ac:dyDescent="0.25">
      <c r="A3674" s="2">
        <v>31780</v>
      </c>
      <c r="B3674">
        <v>-3.468</v>
      </c>
      <c r="C3674">
        <v>146.25399999999999</v>
      </c>
      <c r="D3674" t="s">
        <v>14</v>
      </c>
      <c r="E3674" t="s">
        <v>380</v>
      </c>
      <c r="F3674">
        <f t="shared" si="114"/>
        <v>1987</v>
      </c>
      <c r="G3674">
        <f t="shared" si="115"/>
        <v>1</v>
      </c>
      <c r="H3674" t="str">
        <f>IF(ISNUMBER(FIND(",", E3674)), TRIM(MID(E3674, FIND(",", E3674) + 1, LEN(E3674))), E3674)</f>
        <v>Bismarck Sea</v>
      </c>
    </row>
    <row r="3675" spans="1:8" x14ac:dyDescent="0.25">
      <c r="A3675" s="2">
        <v>31774</v>
      </c>
      <c r="B3675">
        <v>-38.643999999999998</v>
      </c>
      <c r="C3675">
        <v>78.638000000000005</v>
      </c>
      <c r="D3675" t="s">
        <v>14</v>
      </c>
      <c r="E3675" t="s">
        <v>377</v>
      </c>
      <c r="F3675">
        <f t="shared" si="114"/>
        <v>1986</v>
      </c>
      <c r="G3675">
        <f t="shared" si="115"/>
        <v>12</v>
      </c>
      <c r="H3675" t="str">
        <f>IF(ISNUMBER(FIND(",", E3675)), TRIM(MID(E3675, FIND(",", E3675) + 1, LEN(E3675))), E3675)</f>
        <v>Mid-Indian Ridge</v>
      </c>
    </row>
    <row r="3676" spans="1:8" x14ac:dyDescent="0.25">
      <c r="A3676" s="2">
        <v>31771</v>
      </c>
      <c r="B3676">
        <v>-44.460999999999999</v>
      </c>
      <c r="C3676">
        <v>-79.02</v>
      </c>
      <c r="D3676" t="s">
        <v>14</v>
      </c>
      <c r="E3676" t="s">
        <v>194</v>
      </c>
      <c r="F3676">
        <f t="shared" si="114"/>
        <v>1986</v>
      </c>
      <c r="G3676">
        <f t="shared" si="115"/>
        <v>12</v>
      </c>
      <c r="H3676" t="str">
        <f>IF(ISNUMBER(FIND(",", E3676)), TRIM(MID(E3676, FIND(",", E3676) + 1, LEN(E3676))), E3676)</f>
        <v>Chile</v>
      </c>
    </row>
    <row r="3677" spans="1:8" x14ac:dyDescent="0.25">
      <c r="A3677" s="2">
        <v>31768</v>
      </c>
      <c r="B3677">
        <v>-56.920999999999999</v>
      </c>
      <c r="C3677">
        <v>-48.866999999999997</v>
      </c>
      <c r="D3677" t="s">
        <v>14</v>
      </c>
      <c r="E3677" t="s">
        <v>56</v>
      </c>
      <c r="F3677">
        <f t="shared" si="114"/>
        <v>1986</v>
      </c>
      <c r="G3677">
        <f t="shared" si="115"/>
        <v>12</v>
      </c>
      <c r="H3677" t="str">
        <f>IF(ISNUMBER(FIND(",", E3677)), TRIM(MID(E3677, FIND(",", E3677) + 1, LEN(E3677))), E3677)</f>
        <v>Scotia Sea</v>
      </c>
    </row>
    <row r="3678" spans="1:8" x14ac:dyDescent="0.25">
      <c r="A3678" s="2">
        <v>31767</v>
      </c>
      <c r="B3678">
        <v>-28.044</v>
      </c>
      <c r="C3678">
        <v>-176.67400000000001</v>
      </c>
      <c r="D3678" t="s">
        <v>14</v>
      </c>
      <c r="E3678" t="s">
        <v>240</v>
      </c>
      <c r="F3678">
        <f t="shared" si="114"/>
        <v>1986</v>
      </c>
      <c r="G3678">
        <f t="shared" si="115"/>
        <v>12</v>
      </c>
      <c r="H3678" t="str">
        <f>IF(ISNUMBER(FIND(",", E3678)), TRIM(MID(E3678, FIND(",", E3678) + 1, LEN(E3678))), E3678)</f>
        <v>Kermadec Islands region</v>
      </c>
    </row>
    <row r="3679" spans="1:8" x14ac:dyDescent="0.25">
      <c r="A3679" s="2">
        <v>31765</v>
      </c>
      <c r="B3679">
        <v>-10.057</v>
      </c>
      <c r="C3679">
        <v>119.01900000000001</v>
      </c>
      <c r="D3679" t="s">
        <v>14</v>
      </c>
      <c r="E3679" t="s">
        <v>592</v>
      </c>
      <c r="F3679">
        <f t="shared" si="114"/>
        <v>1986</v>
      </c>
      <c r="G3679">
        <f t="shared" si="115"/>
        <v>12</v>
      </c>
      <c r="H3679" t="str">
        <f>IF(ISNUMBER(FIND(",", E3679)), TRIM(MID(E3679, FIND(",", E3679) + 1, LEN(E3679))), E3679)</f>
        <v>Indonesia</v>
      </c>
    </row>
    <row r="3680" spans="1:8" x14ac:dyDescent="0.25">
      <c r="A3680" s="2">
        <v>31753</v>
      </c>
      <c r="B3680">
        <v>18.850000000000001</v>
      </c>
      <c r="C3680">
        <v>-107.196</v>
      </c>
      <c r="D3680" t="s">
        <v>14</v>
      </c>
      <c r="E3680" t="s">
        <v>315</v>
      </c>
      <c r="F3680">
        <f t="shared" si="114"/>
        <v>1986</v>
      </c>
      <c r="G3680">
        <f t="shared" si="115"/>
        <v>12</v>
      </c>
      <c r="H3680" t="str">
        <f>IF(ISNUMBER(FIND(",", E3680)), TRIM(MID(E3680, FIND(",", E3680) + 1, LEN(E3680))), E3680)</f>
        <v>Mexico</v>
      </c>
    </row>
    <row r="3681" spans="1:8" x14ac:dyDescent="0.25">
      <c r="A3681" s="2">
        <v>31747</v>
      </c>
      <c r="B3681">
        <v>-27.364000000000001</v>
      </c>
      <c r="C3681">
        <v>-176.245</v>
      </c>
      <c r="D3681" t="s">
        <v>14</v>
      </c>
      <c r="E3681" t="s">
        <v>240</v>
      </c>
      <c r="F3681">
        <f t="shared" si="114"/>
        <v>1986</v>
      </c>
      <c r="G3681">
        <f t="shared" si="115"/>
        <v>12</v>
      </c>
      <c r="H3681" t="str">
        <f>IF(ISNUMBER(FIND(",", E3681)), TRIM(MID(E3681, FIND(",", E3681) + 1, LEN(E3681))), E3681)</f>
        <v>Kermadec Islands region</v>
      </c>
    </row>
    <row r="3682" spans="1:8" x14ac:dyDescent="0.25">
      <c r="A3682" s="2">
        <v>31739</v>
      </c>
      <c r="B3682">
        <v>-3.4129999999999998</v>
      </c>
      <c r="C3682">
        <v>-77.388000000000005</v>
      </c>
      <c r="D3682" t="s">
        <v>14</v>
      </c>
      <c r="E3682" t="s">
        <v>414</v>
      </c>
      <c r="F3682">
        <f t="shared" si="114"/>
        <v>1986</v>
      </c>
      <c r="G3682">
        <f t="shared" si="115"/>
        <v>11</v>
      </c>
      <c r="H3682" t="str">
        <f>IF(ISNUMBER(FIND(",", E3682)), TRIM(MID(E3682, FIND(",", E3682) + 1, LEN(E3682))), E3682)</f>
        <v>Peru-Ecuador border region</v>
      </c>
    </row>
    <row r="3683" spans="1:8" x14ac:dyDescent="0.25">
      <c r="A3683" s="2">
        <v>31730</v>
      </c>
      <c r="B3683">
        <v>23.945</v>
      </c>
      <c r="C3683">
        <v>121.801</v>
      </c>
      <c r="D3683" t="s">
        <v>14</v>
      </c>
      <c r="E3683" t="s">
        <v>336</v>
      </c>
      <c r="F3683">
        <f t="shared" si="114"/>
        <v>1986</v>
      </c>
      <c r="G3683">
        <f t="shared" si="115"/>
        <v>11</v>
      </c>
      <c r="H3683" t="str">
        <f>IF(ISNUMBER(FIND(",", E3683)), TRIM(MID(E3683, FIND(",", E3683) + 1, LEN(E3683))), E3683)</f>
        <v>Taiwan</v>
      </c>
    </row>
    <row r="3684" spans="1:8" x14ac:dyDescent="0.25">
      <c r="A3684" s="2">
        <v>31730</v>
      </c>
      <c r="B3684">
        <v>23.901</v>
      </c>
      <c r="C3684">
        <v>121.574</v>
      </c>
      <c r="D3684" t="s">
        <v>16</v>
      </c>
      <c r="E3684" t="s">
        <v>336</v>
      </c>
      <c r="F3684">
        <f t="shared" si="114"/>
        <v>1986</v>
      </c>
      <c r="G3684">
        <f t="shared" si="115"/>
        <v>11</v>
      </c>
      <c r="H3684" t="str">
        <f>IF(ISNUMBER(FIND(",", E3684)), TRIM(MID(E3684, FIND(",", E3684) + 1, LEN(E3684))), E3684)</f>
        <v>Taiwan</v>
      </c>
    </row>
    <row r="3685" spans="1:8" x14ac:dyDescent="0.25">
      <c r="A3685" s="2">
        <v>31730</v>
      </c>
      <c r="B3685">
        <v>23.975999999999999</v>
      </c>
      <c r="C3685">
        <v>121.723</v>
      </c>
      <c r="D3685" t="s">
        <v>14</v>
      </c>
      <c r="E3685" t="s">
        <v>336</v>
      </c>
      <c r="F3685">
        <f t="shared" si="114"/>
        <v>1986</v>
      </c>
      <c r="G3685">
        <f t="shared" si="115"/>
        <v>11</v>
      </c>
      <c r="H3685" t="str">
        <f>IF(ISNUMBER(FIND(",", E3685)), TRIM(MID(E3685, FIND(",", E3685) + 1, LEN(E3685))), E3685)</f>
        <v>Taiwan</v>
      </c>
    </row>
    <row r="3686" spans="1:8" x14ac:dyDescent="0.25">
      <c r="A3686" s="2">
        <v>31723</v>
      </c>
      <c r="B3686">
        <v>-28.45</v>
      </c>
      <c r="C3686">
        <v>-176.37100000000001</v>
      </c>
      <c r="D3686" t="s">
        <v>14</v>
      </c>
      <c r="E3686" t="s">
        <v>240</v>
      </c>
      <c r="F3686">
        <f t="shared" si="114"/>
        <v>1986</v>
      </c>
      <c r="G3686">
        <f t="shared" si="115"/>
        <v>11</v>
      </c>
      <c r="H3686" t="str">
        <f>IF(ISNUMBER(FIND(",", E3686)), TRIM(MID(E3686, FIND(",", E3686) + 1, LEN(E3686))), E3686)</f>
        <v>Kermadec Islands region</v>
      </c>
    </row>
    <row r="3687" spans="1:8" x14ac:dyDescent="0.25">
      <c r="A3687" s="2">
        <v>31715</v>
      </c>
      <c r="B3687">
        <v>-21.672000000000001</v>
      </c>
      <c r="C3687">
        <v>-176.55099999999999</v>
      </c>
      <c r="D3687" t="s">
        <v>14</v>
      </c>
      <c r="E3687" t="s">
        <v>53</v>
      </c>
      <c r="F3687">
        <f t="shared" si="114"/>
        <v>1986</v>
      </c>
      <c r="G3687">
        <f t="shared" si="115"/>
        <v>10</v>
      </c>
      <c r="H3687" t="str">
        <f>IF(ISNUMBER(FIND(",", E3687)), TRIM(MID(E3687, FIND(",", E3687) + 1, LEN(E3687))), E3687)</f>
        <v>Fiji region</v>
      </c>
    </row>
    <row r="3688" spans="1:8" x14ac:dyDescent="0.25">
      <c r="A3688" s="2">
        <v>31710</v>
      </c>
      <c r="B3688">
        <v>-17.675999999999998</v>
      </c>
      <c r="C3688">
        <v>168.17</v>
      </c>
      <c r="D3688" t="s">
        <v>14</v>
      </c>
      <c r="E3688" t="s">
        <v>181</v>
      </c>
      <c r="F3688">
        <f t="shared" si="114"/>
        <v>1986</v>
      </c>
      <c r="G3688">
        <f t="shared" si="115"/>
        <v>10</v>
      </c>
      <c r="H3688" t="str">
        <f>IF(ISNUMBER(FIND(",", E3688)), TRIM(MID(E3688, FIND(",", E3688) + 1, LEN(E3688))), E3688)</f>
        <v>Vanuatu</v>
      </c>
    </row>
    <row r="3689" spans="1:8" x14ac:dyDescent="0.25">
      <c r="A3689" s="2">
        <v>31709</v>
      </c>
      <c r="B3689">
        <v>-10.884</v>
      </c>
      <c r="C3689">
        <v>165.37799999999999</v>
      </c>
      <c r="D3689" t="s">
        <v>14</v>
      </c>
      <c r="E3689" t="s">
        <v>211</v>
      </c>
      <c r="F3689">
        <f t="shared" si="114"/>
        <v>1986</v>
      </c>
      <c r="G3689">
        <f t="shared" si="115"/>
        <v>10</v>
      </c>
      <c r="H3689" t="str">
        <f>IF(ISNUMBER(FIND(",", E3689)), TRIM(MID(E3689, FIND(",", E3689) + 1, LEN(E3689))), E3689)</f>
        <v>Santa Cruz Islands</v>
      </c>
    </row>
    <row r="3690" spans="1:8" x14ac:dyDescent="0.25">
      <c r="A3690" s="2">
        <v>31709</v>
      </c>
      <c r="B3690">
        <v>-5.6479999999999997</v>
      </c>
      <c r="C3690">
        <v>153.93600000000001</v>
      </c>
      <c r="D3690" t="s">
        <v>14</v>
      </c>
      <c r="E3690" t="s">
        <v>183</v>
      </c>
      <c r="F3690">
        <f t="shared" si="114"/>
        <v>1986</v>
      </c>
      <c r="G3690">
        <f t="shared" si="115"/>
        <v>10</v>
      </c>
      <c r="H3690" t="str">
        <f>IF(ISNUMBER(FIND(",", E3690)), TRIM(MID(E3690, FIND(",", E3690) + 1, LEN(E3690))), E3690)</f>
        <v>Papua New Guinea</v>
      </c>
    </row>
    <row r="3691" spans="1:8" x14ac:dyDescent="0.25">
      <c r="A3691" s="2">
        <v>31708</v>
      </c>
      <c r="B3691">
        <v>-11.051</v>
      </c>
      <c r="C3691">
        <v>165.66200000000001</v>
      </c>
      <c r="D3691" t="s">
        <v>14</v>
      </c>
      <c r="E3691" t="s">
        <v>211</v>
      </c>
      <c r="F3691">
        <f t="shared" si="114"/>
        <v>1986</v>
      </c>
      <c r="G3691">
        <f t="shared" si="115"/>
        <v>10</v>
      </c>
      <c r="H3691" t="str">
        <f>IF(ISNUMBER(FIND(",", E3691)), TRIM(MID(E3691, FIND(",", E3691) + 1, LEN(E3691))), E3691)</f>
        <v>Santa Cruz Islands</v>
      </c>
    </row>
    <row r="3692" spans="1:8" x14ac:dyDescent="0.25">
      <c r="A3692" s="2">
        <v>31708</v>
      </c>
      <c r="B3692">
        <v>-10.997</v>
      </c>
      <c r="C3692">
        <v>165.31399999999999</v>
      </c>
      <c r="D3692" t="s">
        <v>14</v>
      </c>
      <c r="E3692" t="s">
        <v>211</v>
      </c>
      <c r="F3692">
        <f t="shared" si="114"/>
        <v>1986</v>
      </c>
      <c r="G3692">
        <f t="shared" si="115"/>
        <v>10</v>
      </c>
      <c r="H3692" t="str">
        <f>IF(ISNUMBER(FIND(",", E3692)), TRIM(MID(E3692, FIND(",", E3692) + 1, LEN(E3692))), E3692)</f>
        <v>Santa Cruz Islands</v>
      </c>
    </row>
    <row r="3693" spans="1:8" x14ac:dyDescent="0.25">
      <c r="A3693" s="2">
        <v>31708</v>
      </c>
      <c r="B3693">
        <v>-15.573</v>
      </c>
      <c r="C3693">
        <v>167.62700000000001</v>
      </c>
      <c r="D3693" t="s">
        <v>14</v>
      </c>
      <c r="E3693" t="s">
        <v>181</v>
      </c>
      <c r="F3693">
        <f t="shared" si="114"/>
        <v>1986</v>
      </c>
      <c r="G3693">
        <f t="shared" si="115"/>
        <v>10</v>
      </c>
      <c r="H3693" t="str">
        <f>IF(ISNUMBER(FIND(",", E3693)), TRIM(MID(E3693, FIND(",", E3693) + 1, LEN(E3693))), E3693)</f>
        <v>Vanuatu</v>
      </c>
    </row>
    <row r="3694" spans="1:8" x14ac:dyDescent="0.25">
      <c r="A3694" s="2">
        <v>31705</v>
      </c>
      <c r="B3694">
        <v>-28.157</v>
      </c>
      <c r="C3694">
        <v>-176.29400000000001</v>
      </c>
      <c r="D3694" t="s">
        <v>14</v>
      </c>
      <c r="E3694" t="s">
        <v>240</v>
      </c>
      <c r="F3694">
        <f t="shared" si="114"/>
        <v>1986</v>
      </c>
      <c r="G3694">
        <f t="shared" si="115"/>
        <v>10</v>
      </c>
      <c r="H3694" t="str">
        <f>IF(ISNUMBER(FIND(",", E3694)), TRIM(MID(E3694, FIND(",", E3694) + 1, LEN(E3694))), E3694)</f>
        <v>Kermadec Islands region</v>
      </c>
    </row>
    <row r="3695" spans="1:8" x14ac:dyDescent="0.25">
      <c r="A3695" s="2">
        <v>31702</v>
      </c>
      <c r="B3695">
        <v>-5.2850000000000001</v>
      </c>
      <c r="C3695">
        <v>131.45599999999999</v>
      </c>
      <c r="D3695" t="s">
        <v>14</v>
      </c>
      <c r="E3695" t="s">
        <v>187</v>
      </c>
      <c r="F3695">
        <f t="shared" si="114"/>
        <v>1986</v>
      </c>
      <c r="G3695">
        <f t="shared" si="115"/>
        <v>10</v>
      </c>
      <c r="H3695" t="str">
        <f>IF(ISNUMBER(FIND(",", E3695)), TRIM(MID(E3695, FIND(",", E3695) + 1, LEN(E3695))), E3695)</f>
        <v>Banda Sea</v>
      </c>
    </row>
    <row r="3696" spans="1:8" x14ac:dyDescent="0.25">
      <c r="A3696" s="2">
        <v>31699</v>
      </c>
      <c r="B3696">
        <v>-5.0529999999999999</v>
      </c>
      <c r="C3696">
        <v>153.65600000000001</v>
      </c>
      <c r="D3696" t="s">
        <v>14</v>
      </c>
      <c r="E3696" t="s">
        <v>183</v>
      </c>
      <c r="F3696">
        <f t="shared" si="114"/>
        <v>1986</v>
      </c>
      <c r="G3696">
        <f t="shared" si="115"/>
        <v>10</v>
      </c>
      <c r="H3696" t="str">
        <f>IF(ISNUMBER(FIND(",", E3696)), TRIM(MID(E3696, FIND(",", E3696) + 1, LEN(E3696))), E3696)</f>
        <v>Papua New Guinea</v>
      </c>
    </row>
    <row r="3697" spans="1:8" x14ac:dyDescent="0.25">
      <c r="A3697" s="2">
        <v>31699</v>
      </c>
      <c r="B3697">
        <v>-43.094000000000001</v>
      </c>
      <c r="C3697">
        <v>41.69</v>
      </c>
      <c r="D3697" t="s">
        <v>14</v>
      </c>
      <c r="E3697" t="s">
        <v>369</v>
      </c>
      <c r="F3697">
        <f t="shared" si="114"/>
        <v>1986</v>
      </c>
      <c r="G3697">
        <f t="shared" si="115"/>
        <v>10</v>
      </c>
      <c r="H3697" t="str">
        <f>IF(ISNUMBER(FIND(",", E3697)), TRIM(MID(E3697, FIND(",", E3697) + 1, LEN(E3697))), E3697)</f>
        <v>Prince Edward Islands region</v>
      </c>
    </row>
    <row r="3698" spans="1:8" x14ac:dyDescent="0.25">
      <c r="A3698" s="2">
        <v>31672</v>
      </c>
      <c r="B3698">
        <v>10.452</v>
      </c>
      <c r="C3698">
        <v>56.984000000000002</v>
      </c>
      <c r="D3698" t="s">
        <v>14</v>
      </c>
      <c r="E3698" t="s">
        <v>432</v>
      </c>
      <c r="F3698">
        <f t="shared" si="114"/>
        <v>1986</v>
      </c>
      <c r="G3698">
        <f t="shared" si="115"/>
        <v>9</v>
      </c>
      <c r="H3698" t="str">
        <f>IF(ISNUMBER(FIND(",", E3698)), TRIM(MID(E3698, FIND(",", E3698) + 1, LEN(E3698))), E3698)</f>
        <v>Carlsberg Ridge</v>
      </c>
    </row>
    <row r="3699" spans="1:8" x14ac:dyDescent="0.25">
      <c r="A3699" s="2">
        <v>31671</v>
      </c>
      <c r="B3699">
        <v>19.364999999999998</v>
      </c>
      <c r="C3699">
        <v>146.36500000000001</v>
      </c>
      <c r="D3699" t="s">
        <v>14</v>
      </c>
      <c r="E3699" t="s">
        <v>72</v>
      </c>
      <c r="F3699">
        <f t="shared" si="114"/>
        <v>1986</v>
      </c>
      <c r="G3699">
        <f t="shared" si="115"/>
        <v>9</v>
      </c>
      <c r="H3699" t="str">
        <f>IF(ISNUMBER(FIND(",", E3699)), TRIM(MID(E3699, FIND(",", E3699) + 1, LEN(E3699))), E3699)</f>
        <v>Mariana Islands region</v>
      </c>
    </row>
    <row r="3700" spans="1:8" x14ac:dyDescent="0.25">
      <c r="A3700" s="2">
        <v>31669</v>
      </c>
      <c r="B3700">
        <v>-6.4740000000000002</v>
      </c>
      <c r="C3700">
        <v>154.96100000000001</v>
      </c>
      <c r="D3700" t="s">
        <v>14</v>
      </c>
      <c r="E3700" t="s">
        <v>290</v>
      </c>
      <c r="F3700">
        <f t="shared" si="114"/>
        <v>1986</v>
      </c>
      <c r="G3700">
        <f t="shared" si="115"/>
        <v>9</v>
      </c>
      <c r="H3700" t="str">
        <f>IF(ISNUMBER(FIND(",", E3700)), TRIM(MID(E3700, FIND(",", E3700) + 1, LEN(E3700))), E3700)</f>
        <v>Papua New Guinea</v>
      </c>
    </row>
    <row r="3701" spans="1:8" x14ac:dyDescent="0.25">
      <c r="A3701" s="2">
        <v>31668</v>
      </c>
      <c r="B3701">
        <v>-31.853999999999999</v>
      </c>
      <c r="C3701">
        <v>-179.798</v>
      </c>
      <c r="D3701" t="s">
        <v>14</v>
      </c>
      <c r="E3701" t="s">
        <v>240</v>
      </c>
      <c r="F3701">
        <f t="shared" si="114"/>
        <v>1986</v>
      </c>
      <c r="G3701">
        <f t="shared" si="115"/>
        <v>9</v>
      </c>
      <c r="H3701" t="str">
        <f>IF(ISNUMBER(FIND(",", E3701)), TRIM(MID(E3701, FIND(",", E3701) + 1, LEN(E3701))), E3701)</f>
        <v>Kermadec Islands region</v>
      </c>
    </row>
    <row r="3702" spans="1:8" x14ac:dyDescent="0.25">
      <c r="A3702" s="2">
        <v>31668</v>
      </c>
      <c r="B3702">
        <v>-60.82</v>
      </c>
      <c r="C3702">
        <v>-36.817</v>
      </c>
      <c r="D3702" t="s">
        <v>14</v>
      </c>
      <c r="E3702" t="s">
        <v>56</v>
      </c>
      <c r="F3702">
        <f t="shared" si="114"/>
        <v>1986</v>
      </c>
      <c r="G3702">
        <f t="shared" si="115"/>
        <v>9</v>
      </c>
      <c r="H3702" t="str">
        <f>IF(ISNUMBER(FIND(",", E3702)), TRIM(MID(E3702, FIND(",", E3702) + 1, LEN(E3702))), E3702)</f>
        <v>Scotia Sea</v>
      </c>
    </row>
    <row r="3703" spans="1:8" x14ac:dyDescent="0.25">
      <c r="A3703" s="2">
        <v>31667</v>
      </c>
      <c r="B3703">
        <v>56.183999999999997</v>
      </c>
      <c r="C3703">
        <v>-153.44300000000001</v>
      </c>
      <c r="D3703" t="s">
        <v>14</v>
      </c>
      <c r="E3703" t="s">
        <v>374</v>
      </c>
      <c r="F3703">
        <f t="shared" si="114"/>
        <v>1986</v>
      </c>
      <c r="G3703">
        <f t="shared" si="115"/>
        <v>9</v>
      </c>
      <c r="H3703" t="str">
        <f>IF(ISNUMBER(FIND(",", E3703)), TRIM(MID(E3703, FIND(",", E3703) + 1, LEN(E3703))), E3703)</f>
        <v>Alaska</v>
      </c>
    </row>
    <row r="3704" spans="1:8" x14ac:dyDescent="0.25">
      <c r="A3704" s="2">
        <v>31666</v>
      </c>
      <c r="B3704">
        <v>-5.1529999999999996</v>
      </c>
      <c r="C3704">
        <v>152.52099999999999</v>
      </c>
      <c r="D3704" t="s">
        <v>14</v>
      </c>
      <c r="E3704" t="s">
        <v>190</v>
      </c>
      <c r="F3704">
        <f t="shared" si="114"/>
        <v>1986</v>
      </c>
      <c r="G3704">
        <f t="shared" si="115"/>
        <v>9</v>
      </c>
      <c r="H3704" t="str">
        <f>IF(ISNUMBER(FIND(",", E3704)), TRIM(MID(E3704, FIND(",", E3704) + 1, LEN(E3704))), E3704)</f>
        <v>Papua New Guinea</v>
      </c>
    </row>
    <row r="3705" spans="1:8" x14ac:dyDescent="0.25">
      <c r="A3705" s="2">
        <v>31660</v>
      </c>
      <c r="B3705">
        <v>-59.517000000000003</v>
      </c>
      <c r="C3705">
        <v>-29.677</v>
      </c>
      <c r="D3705" t="s">
        <v>14</v>
      </c>
      <c r="E3705" t="s">
        <v>260</v>
      </c>
      <c r="F3705">
        <f t="shared" si="114"/>
        <v>1986</v>
      </c>
      <c r="G3705">
        <f t="shared" si="115"/>
        <v>9</v>
      </c>
      <c r="H3705" t="str">
        <f>IF(ISNUMBER(FIND(",", E3705)), TRIM(MID(E3705, FIND(",", E3705) + 1, LEN(E3705))), E3705)</f>
        <v>South Sandwich Islands region</v>
      </c>
    </row>
    <row r="3706" spans="1:8" x14ac:dyDescent="0.25">
      <c r="A3706" s="2">
        <v>31654</v>
      </c>
      <c r="B3706">
        <v>45.524000000000001</v>
      </c>
      <c r="C3706">
        <v>26.268999999999998</v>
      </c>
      <c r="D3706" t="s">
        <v>14</v>
      </c>
      <c r="E3706" t="s">
        <v>575</v>
      </c>
      <c r="F3706">
        <f t="shared" si="114"/>
        <v>1986</v>
      </c>
      <c r="G3706">
        <f t="shared" si="115"/>
        <v>8</v>
      </c>
      <c r="H3706" t="str">
        <f>IF(ISNUMBER(FIND(",", E3706)), TRIM(MID(E3706, FIND(",", E3706) + 1, LEN(E3706))), E3706)</f>
        <v>Romania</v>
      </c>
    </row>
    <row r="3707" spans="1:8" x14ac:dyDescent="0.25">
      <c r="A3707" s="2">
        <v>31647</v>
      </c>
      <c r="B3707">
        <v>-34.499000000000002</v>
      </c>
      <c r="C3707">
        <v>179.43799999999999</v>
      </c>
      <c r="D3707" t="s">
        <v>14</v>
      </c>
      <c r="E3707" t="s">
        <v>262</v>
      </c>
      <c r="F3707">
        <f t="shared" si="114"/>
        <v>1986</v>
      </c>
      <c r="G3707">
        <f t="shared" si="115"/>
        <v>8</v>
      </c>
      <c r="H3707" t="str">
        <f>IF(ISNUMBER(FIND(",", E3707)), TRIM(MID(E3707, FIND(",", E3707) + 1, LEN(E3707))), E3707)</f>
        <v>south of the Kermadec Islands</v>
      </c>
    </row>
    <row r="3708" spans="1:8" x14ac:dyDescent="0.25">
      <c r="A3708" s="2">
        <v>31644</v>
      </c>
      <c r="B3708">
        <v>34.540999999999997</v>
      </c>
      <c r="C3708">
        <v>91.575000000000003</v>
      </c>
      <c r="D3708" t="s">
        <v>14</v>
      </c>
      <c r="E3708" t="s">
        <v>331</v>
      </c>
      <c r="F3708">
        <f t="shared" si="114"/>
        <v>1986</v>
      </c>
      <c r="G3708">
        <f t="shared" si="115"/>
        <v>8</v>
      </c>
      <c r="H3708" t="str">
        <f>IF(ISNUMBER(FIND(",", E3708)), TRIM(MID(E3708, FIND(",", E3708) + 1, LEN(E3708))), E3708)</f>
        <v>China</v>
      </c>
    </row>
    <row r="3709" spans="1:8" x14ac:dyDescent="0.25">
      <c r="A3709" s="2">
        <v>31644</v>
      </c>
      <c r="B3709">
        <v>-5.2859999999999996</v>
      </c>
      <c r="C3709">
        <v>151.37100000000001</v>
      </c>
      <c r="D3709" t="s">
        <v>14</v>
      </c>
      <c r="E3709" t="s">
        <v>190</v>
      </c>
      <c r="F3709">
        <f t="shared" si="114"/>
        <v>1986</v>
      </c>
      <c r="G3709">
        <f t="shared" si="115"/>
        <v>8</v>
      </c>
      <c r="H3709" t="str">
        <f>IF(ISNUMBER(FIND(",", E3709)), TRIM(MID(E3709, FIND(",", E3709) + 1, LEN(E3709))), E3709)</f>
        <v>Papua New Guinea</v>
      </c>
    </row>
    <row r="3710" spans="1:8" x14ac:dyDescent="0.25">
      <c r="A3710" s="2">
        <v>31642</v>
      </c>
      <c r="B3710">
        <v>-20.481000000000002</v>
      </c>
      <c r="C3710">
        <v>-174.13399999999999</v>
      </c>
      <c r="D3710" t="s">
        <v>14</v>
      </c>
      <c r="E3710" t="s">
        <v>239</v>
      </c>
      <c r="F3710">
        <f t="shared" si="114"/>
        <v>1986</v>
      </c>
      <c r="G3710">
        <f t="shared" si="115"/>
        <v>8</v>
      </c>
      <c r="H3710" t="str">
        <f>IF(ISNUMBER(FIND(",", E3710)), TRIM(MID(E3710, FIND(",", E3710) + 1, LEN(E3710))), E3710)</f>
        <v>Tonga</v>
      </c>
    </row>
    <row r="3711" spans="1:8" x14ac:dyDescent="0.25">
      <c r="A3711" s="2">
        <v>31641</v>
      </c>
      <c r="B3711">
        <v>2.157</v>
      </c>
      <c r="C3711">
        <v>127.13500000000001</v>
      </c>
      <c r="D3711" t="s">
        <v>14</v>
      </c>
      <c r="E3711" t="s">
        <v>186</v>
      </c>
      <c r="F3711">
        <f t="shared" si="114"/>
        <v>1986</v>
      </c>
      <c r="G3711">
        <f t="shared" si="115"/>
        <v>8</v>
      </c>
      <c r="H3711" t="str">
        <f>IF(ISNUMBER(FIND(",", E3711)), TRIM(MID(E3711, FIND(",", E3711) + 1, LEN(E3711))), E3711)</f>
        <v>Molucca Sea</v>
      </c>
    </row>
    <row r="3712" spans="1:8" x14ac:dyDescent="0.25">
      <c r="A3712" s="2">
        <v>31641</v>
      </c>
      <c r="B3712">
        <v>2.2879999999999998</v>
      </c>
      <c r="C3712">
        <v>127.001</v>
      </c>
      <c r="D3712" t="s">
        <v>14</v>
      </c>
      <c r="E3712" t="s">
        <v>186</v>
      </c>
      <c r="F3712">
        <f t="shared" si="114"/>
        <v>1986</v>
      </c>
      <c r="G3712">
        <f t="shared" si="115"/>
        <v>8</v>
      </c>
      <c r="H3712" t="str">
        <f>IF(ISNUMBER(FIND(",", E3712)), TRIM(MID(E3712, FIND(",", E3712) + 1, LEN(E3712))), E3712)</f>
        <v>Molucca Sea</v>
      </c>
    </row>
    <row r="3713" spans="1:8" x14ac:dyDescent="0.25">
      <c r="A3713" s="2">
        <v>31640</v>
      </c>
      <c r="B3713">
        <v>1.9059999999999999</v>
      </c>
      <c r="C3713">
        <v>126.47799999999999</v>
      </c>
      <c r="D3713" t="s">
        <v>14</v>
      </c>
      <c r="E3713" t="s">
        <v>186</v>
      </c>
      <c r="F3713">
        <f t="shared" si="114"/>
        <v>1986</v>
      </c>
      <c r="G3713">
        <f t="shared" si="115"/>
        <v>8</v>
      </c>
      <c r="H3713" t="str">
        <f>IF(ISNUMBER(FIND(",", E3713)), TRIM(MID(E3713, FIND(",", E3713) + 1, LEN(E3713))), E3713)</f>
        <v>Molucca Sea</v>
      </c>
    </row>
    <row r="3714" spans="1:8" x14ac:dyDescent="0.25">
      <c r="A3714" s="2">
        <v>31639</v>
      </c>
      <c r="B3714">
        <v>1.9119999999999999</v>
      </c>
      <c r="C3714">
        <v>126.47</v>
      </c>
      <c r="D3714" t="s">
        <v>14</v>
      </c>
      <c r="E3714" t="s">
        <v>186</v>
      </c>
      <c r="F3714">
        <f t="shared" ref="F3714:F3777" si="116">YEAR(A3714)</f>
        <v>1986</v>
      </c>
      <c r="G3714">
        <f t="shared" si="115"/>
        <v>8</v>
      </c>
      <c r="H3714" t="str">
        <f>IF(ISNUMBER(FIND(",", E3714)), TRIM(MID(E3714, FIND(",", E3714) + 1, LEN(E3714))), E3714)</f>
        <v>Molucca Sea</v>
      </c>
    </row>
    <row r="3715" spans="1:8" x14ac:dyDescent="0.25">
      <c r="A3715" s="2">
        <v>31638</v>
      </c>
      <c r="B3715">
        <v>1.804</v>
      </c>
      <c r="C3715">
        <v>126.482</v>
      </c>
      <c r="D3715" t="s">
        <v>14</v>
      </c>
      <c r="E3715" t="s">
        <v>186</v>
      </c>
      <c r="F3715">
        <f t="shared" si="116"/>
        <v>1986</v>
      </c>
      <c r="G3715">
        <f t="shared" ref="G3715:G3778" si="117">MONTH(A3715)</f>
        <v>8</v>
      </c>
      <c r="H3715" t="str">
        <f>IF(ISNUMBER(FIND(",", E3715)), TRIM(MID(E3715, FIND(",", E3715) + 1, LEN(E3715))), E3715)</f>
        <v>Molucca Sea</v>
      </c>
    </row>
    <row r="3716" spans="1:8" x14ac:dyDescent="0.25">
      <c r="A3716" s="2">
        <v>31634</v>
      </c>
      <c r="B3716">
        <v>1.9550000000000001</v>
      </c>
      <c r="C3716">
        <v>128.24700000000001</v>
      </c>
      <c r="D3716" t="s">
        <v>14</v>
      </c>
      <c r="E3716" t="s">
        <v>311</v>
      </c>
      <c r="F3716">
        <f t="shared" si="116"/>
        <v>1986</v>
      </c>
      <c r="G3716">
        <f t="shared" si="117"/>
        <v>8</v>
      </c>
      <c r="H3716" t="str">
        <f>IF(ISNUMBER(FIND(",", E3716)), TRIM(MID(E3716, FIND(",", E3716) + 1, LEN(E3716))), E3716)</f>
        <v>Indonesia</v>
      </c>
    </row>
    <row r="3717" spans="1:8" x14ac:dyDescent="0.25">
      <c r="A3717" s="2">
        <v>31618</v>
      </c>
      <c r="B3717">
        <v>26.457999999999998</v>
      </c>
      <c r="C3717">
        <v>125.916</v>
      </c>
      <c r="D3717" t="s">
        <v>14</v>
      </c>
      <c r="E3717" t="s">
        <v>269</v>
      </c>
      <c r="F3717">
        <f t="shared" si="116"/>
        <v>1986</v>
      </c>
      <c r="G3717">
        <f t="shared" si="117"/>
        <v>7</v>
      </c>
      <c r="H3717" t="str">
        <f>IF(ISNUMBER(FIND(",", E3717)), TRIM(MID(E3717, FIND(",", E3717) + 1, LEN(E3717))), E3717)</f>
        <v>northeast of Taiwan</v>
      </c>
    </row>
    <row r="3718" spans="1:8" x14ac:dyDescent="0.25">
      <c r="A3718" s="2">
        <v>31614</v>
      </c>
      <c r="B3718">
        <v>37.494999999999997</v>
      </c>
      <c r="C3718">
        <v>-118.43600000000001</v>
      </c>
      <c r="D3718" t="s">
        <v>14</v>
      </c>
      <c r="E3718" t="s">
        <v>464</v>
      </c>
      <c r="F3718">
        <f t="shared" si="116"/>
        <v>1986</v>
      </c>
      <c r="G3718">
        <f t="shared" si="117"/>
        <v>7</v>
      </c>
      <c r="H3718" t="str">
        <f>IF(ISNUMBER(FIND(",", E3718)), TRIM(MID(E3718, FIND(",", E3718) + 1, LEN(E3718))), E3718)</f>
        <v>Central California</v>
      </c>
    </row>
    <row r="3719" spans="1:8" x14ac:dyDescent="0.25">
      <c r="A3719" s="2">
        <v>31612</v>
      </c>
      <c r="B3719">
        <v>47.234999999999999</v>
      </c>
      <c r="C3719">
        <v>151.09899999999999</v>
      </c>
      <c r="D3719" t="s">
        <v>14</v>
      </c>
      <c r="E3719" t="s">
        <v>191</v>
      </c>
      <c r="F3719">
        <f t="shared" si="116"/>
        <v>1986</v>
      </c>
      <c r="G3719">
        <f t="shared" si="117"/>
        <v>7</v>
      </c>
      <c r="H3719" t="str">
        <f>IF(ISNUMBER(FIND(",", E3719)), TRIM(MID(E3719, FIND(",", E3719) + 1, LEN(E3719))), E3719)</f>
        <v>Kuril Islands</v>
      </c>
    </row>
    <row r="3720" spans="1:8" x14ac:dyDescent="0.25">
      <c r="A3720" s="2">
        <v>31609</v>
      </c>
      <c r="B3720">
        <v>-19.544</v>
      </c>
      <c r="C3720">
        <v>169.268</v>
      </c>
      <c r="D3720" t="s">
        <v>14</v>
      </c>
      <c r="E3720" t="s">
        <v>181</v>
      </c>
      <c r="F3720">
        <f t="shared" si="116"/>
        <v>1986</v>
      </c>
      <c r="G3720">
        <f t="shared" si="117"/>
        <v>7</v>
      </c>
      <c r="H3720" t="str">
        <f>IF(ISNUMBER(FIND(",", E3720)), TRIM(MID(E3720, FIND(",", E3720) + 1, LEN(E3720))), E3720)</f>
        <v>Vanuatu</v>
      </c>
    </row>
    <row r="3721" spans="1:8" x14ac:dyDescent="0.25">
      <c r="A3721" s="2">
        <v>31603</v>
      </c>
      <c r="B3721">
        <v>1.8680000000000001</v>
      </c>
      <c r="C3721">
        <v>126.372</v>
      </c>
      <c r="D3721" t="s">
        <v>14</v>
      </c>
      <c r="E3721" t="s">
        <v>186</v>
      </c>
      <c r="F3721">
        <f t="shared" si="116"/>
        <v>1986</v>
      </c>
      <c r="G3721">
        <f t="shared" si="117"/>
        <v>7</v>
      </c>
      <c r="H3721" t="str">
        <f>IF(ISNUMBER(FIND(",", E3721)), TRIM(MID(E3721, FIND(",", E3721) + 1, LEN(E3721))), E3721)</f>
        <v>Molucca Sea</v>
      </c>
    </row>
    <row r="3722" spans="1:8" x14ac:dyDescent="0.25">
      <c r="A3722" s="2">
        <v>31602</v>
      </c>
      <c r="B3722">
        <v>1.9410000000000001</v>
      </c>
      <c r="C3722">
        <v>126.494</v>
      </c>
      <c r="D3722" t="s">
        <v>14</v>
      </c>
      <c r="E3722" t="s">
        <v>186</v>
      </c>
      <c r="F3722">
        <f t="shared" si="116"/>
        <v>1986</v>
      </c>
      <c r="G3722">
        <f t="shared" si="117"/>
        <v>7</v>
      </c>
      <c r="H3722" t="str">
        <f>IF(ISNUMBER(FIND(",", E3722)), TRIM(MID(E3722, FIND(",", E3722) + 1, LEN(E3722))), E3722)</f>
        <v>Molucca Sea</v>
      </c>
    </row>
    <row r="3723" spans="1:8" x14ac:dyDescent="0.25">
      <c r="A3723" s="2">
        <v>31600</v>
      </c>
      <c r="B3723">
        <v>10.345000000000001</v>
      </c>
      <c r="C3723">
        <v>56.820999999999998</v>
      </c>
      <c r="D3723" t="s">
        <v>14</v>
      </c>
      <c r="E3723" t="s">
        <v>432</v>
      </c>
      <c r="F3723">
        <f t="shared" si="116"/>
        <v>1986</v>
      </c>
      <c r="G3723">
        <f t="shared" si="117"/>
        <v>7</v>
      </c>
      <c r="H3723" t="str">
        <f>IF(ISNUMBER(FIND(",", E3723)), TRIM(MID(E3723, FIND(",", E3723) + 1, LEN(E3723))), E3723)</f>
        <v>Carlsberg Ridge</v>
      </c>
    </row>
    <row r="3724" spans="1:8" x14ac:dyDescent="0.25">
      <c r="A3724" s="2">
        <v>31592</v>
      </c>
      <c r="B3724">
        <v>-28.015000000000001</v>
      </c>
      <c r="C3724">
        <v>-177.828</v>
      </c>
      <c r="D3724" t="s">
        <v>14</v>
      </c>
      <c r="E3724" t="s">
        <v>240</v>
      </c>
      <c r="F3724">
        <f t="shared" si="116"/>
        <v>1986</v>
      </c>
      <c r="G3724">
        <f t="shared" si="117"/>
        <v>6</v>
      </c>
      <c r="H3724" t="str">
        <f>IF(ISNUMBER(FIND(",", E3724)), TRIM(MID(E3724, FIND(",", E3724) + 1, LEN(E3724))), E3724)</f>
        <v>Kermadec Islands region</v>
      </c>
    </row>
    <row r="3725" spans="1:8" x14ac:dyDescent="0.25">
      <c r="A3725" s="2">
        <v>31591</v>
      </c>
      <c r="B3725">
        <v>-20.059000000000001</v>
      </c>
      <c r="C3725">
        <v>-175.95099999999999</v>
      </c>
      <c r="D3725" t="s">
        <v>14</v>
      </c>
      <c r="E3725" t="s">
        <v>239</v>
      </c>
      <c r="F3725">
        <f t="shared" si="116"/>
        <v>1986</v>
      </c>
      <c r="G3725">
        <f t="shared" si="117"/>
        <v>6</v>
      </c>
      <c r="H3725" t="str">
        <f>IF(ISNUMBER(FIND(",", E3725)), TRIM(MID(E3725, FIND(",", E3725) + 1, LEN(E3725))), E3725)</f>
        <v>Tonga</v>
      </c>
    </row>
    <row r="3726" spans="1:8" x14ac:dyDescent="0.25">
      <c r="A3726" s="2">
        <v>31587</v>
      </c>
      <c r="B3726">
        <v>-9.8000000000000004E-2</v>
      </c>
      <c r="C3726">
        <v>-17.814</v>
      </c>
      <c r="D3726" t="s">
        <v>14</v>
      </c>
      <c r="E3726" t="s">
        <v>378</v>
      </c>
      <c r="F3726">
        <f t="shared" si="116"/>
        <v>1986</v>
      </c>
      <c r="G3726">
        <f t="shared" si="117"/>
        <v>6</v>
      </c>
      <c r="H3726" t="str">
        <f>IF(ISNUMBER(FIND(",", E3726)), TRIM(MID(E3726, FIND(",", E3726) + 1, LEN(E3726))), E3726)</f>
        <v>north of Ascension Island</v>
      </c>
    </row>
    <row r="3727" spans="1:8" x14ac:dyDescent="0.25">
      <c r="A3727" s="2">
        <v>31587</v>
      </c>
      <c r="B3727">
        <v>-4.4409999999999998</v>
      </c>
      <c r="C3727">
        <v>144.01</v>
      </c>
      <c r="D3727" t="s">
        <v>14</v>
      </c>
      <c r="E3727" t="s">
        <v>216</v>
      </c>
      <c r="F3727">
        <f t="shared" si="116"/>
        <v>1986</v>
      </c>
      <c r="G3727">
        <f t="shared" si="117"/>
        <v>6</v>
      </c>
      <c r="H3727" t="str">
        <f>IF(ISNUMBER(FIND(",", E3727)), TRIM(MID(E3727, FIND(",", E3727) + 1, LEN(E3727))), E3727)</f>
        <v>Papua New Guinea</v>
      </c>
    </row>
    <row r="3728" spans="1:8" x14ac:dyDescent="0.25">
      <c r="A3728" s="2">
        <v>31587</v>
      </c>
      <c r="B3728">
        <v>34.795000000000002</v>
      </c>
      <c r="C3728">
        <v>140.72200000000001</v>
      </c>
      <c r="D3728" t="s">
        <v>14</v>
      </c>
      <c r="E3728" t="s">
        <v>227</v>
      </c>
      <c r="F3728">
        <f t="shared" si="116"/>
        <v>1986</v>
      </c>
      <c r="G3728">
        <f t="shared" si="117"/>
        <v>6</v>
      </c>
      <c r="H3728" t="str">
        <f>IF(ISNUMBER(FIND(",", E3728)), TRIM(MID(E3728, FIND(",", E3728) + 1, LEN(E3728))), E3728)</f>
        <v>Japan</v>
      </c>
    </row>
    <row r="3729" spans="1:8" x14ac:dyDescent="0.25">
      <c r="A3729" s="2">
        <v>31582</v>
      </c>
      <c r="B3729">
        <v>-30.873999999999999</v>
      </c>
      <c r="C3729">
        <v>-177.65199999999999</v>
      </c>
      <c r="D3729" t="s">
        <v>14</v>
      </c>
      <c r="E3729" t="s">
        <v>288</v>
      </c>
      <c r="F3729">
        <f t="shared" si="116"/>
        <v>1986</v>
      </c>
      <c r="G3729">
        <f t="shared" si="117"/>
        <v>6</v>
      </c>
      <c r="H3729" t="str">
        <f>IF(ISNUMBER(FIND(",", E3729)), TRIM(MID(E3729, FIND(",", E3729) + 1, LEN(E3729))), E3729)</f>
        <v>New Zealand</v>
      </c>
    </row>
    <row r="3730" spans="1:8" x14ac:dyDescent="0.25">
      <c r="A3730" s="2">
        <v>31582</v>
      </c>
      <c r="B3730">
        <v>56.384999999999998</v>
      </c>
      <c r="C3730">
        <v>-152.93799999999999</v>
      </c>
      <c r="D3730" t="s">
        <v>14</v>
      </c>
      <c r="E3730" t="s">
        <v>374</v>
      </c>
      <c r="F3730">
        <f t="shared" si="116"/>
        <v>1986</v>
      </c>
      <c r="G3730">
        <f t="shared" si="117"/>
        <v>6</v>
      </c>
      <c r="H3730" t="str">
        <f>IF(ISNUMBER(FIND(",", E3730)), TRIM(MID(E3730, FIND(",", E3730) + 1, LEN(E3730))), E3730)</f>
        <v>Alaska</v>
      </c>
    </row>
    <row r="3731" spans="1:8" x14ac:dyDescent="0.25">
      <c r="A3731" s="2">
        <v>31581</v>
      </c>
      <c r="B3731">
        <v>51.677</v>
      </c>
      <c r="C3731">
        <v>-176.84100000000001</v>
      </c>
      <c r="D3731" t="s">
        <v>14</v>
      </c>
      <c r="E3731" t="s">
        <v>207</v>
      </c>
      <c r="F3731">
        <f t="shared" si="116"/>
        <v>1986</v>
      </c>
      <c r="G3731">
        <f t="shared" si="117"/>
        <v>6</v>
      </c>
      <c r="H3731" t="str">
        <f>IF(ISNUMBER(FIND(",", E3731)), TRIM(MID(E3731, FIND(",", E3731) + 1, LEN(E3731))), E3731)</f>
        <v>Aleutian Islands, Alaska</v>
      </c>
    </row>
    <row r="3732" spans="1:8" x14ac:dyDescent="0.25">
      <c r="A3732" s="2">
        <v>31580</v>
      </c>
      <c r="B3732">
        <v>5.6619999999999999</v>
      </c>
      <c r="C3732">
        <v>125.255</v>
      </c>
      <c r="D3732" t="s">
        <v>14</v>
      </c>
      <c r="E3732" t="s">
        <v>200</v>
      </c>
      <c r="F3732">
        <f t="shared" si="116"/>
        <v>1986</v>
      </c>
      <c r="G3732">
        <f t="shared" si="117"/>
        <v>6</v>
      </c>
      <c r="H3732" t="str">
        <f>IF(ISNUMBER(FIND(",", E3732)), TRIM(MID(E3732, FIND(",", E3732) + 1, LEN(E3732))), E3732)</f>
        <v>Philippines</v>
      </c>
    </row>
    <row r="3733" spans="1:8" x14ac:dyDescent="0.25">
      <c r="A3733" s="2">
        <v>31579</v>
      </c>
      <c r="B3733">
        <v>-21.984999999999999</v>
      </c>
      <c r="C3733">
        <v>-178.86799999999999</v>
      </c>
      <c r="D3733" t="s">
        <v>14</v>
      </c>
      <c r="E3733" t="s">
        <v>53</v>
      </c>
      <c r="F3733">
        <f t="shared" si="116"/>
        <v>1986</v>
      </c>
      <c r="G3733">
        <f t="shared" si="117"/>
        <v>6</v>
      </c>
      <c r="H3733" t="str">
        <f>IF(ISNUMBER(FIND(",", E3733)), TRIM(MID(E3733, FIND(",", E3733) + 1, LEN(E3733))), E3733)</f>
        <v>Fiji region</v>
      </c>
    </row>
    <row r="3734" spans="1:8" x14ac:dyDescent="0.25">
      <c r="A3734" s="2">
        <v>31574</v>
      </c>
      <c r="B3734">
        <v>10.574999999999999</v>
      </c>
      <c r="C3734">
        <v>-62.911999999999999</v>
      </c>
      <c r="D3734" t="s">
        <v>14</v>
      </c>
      <c r="E3734" t="s">
        <v>536</v>
      </c>
      <c r="F3734">
        <f t="shared" si="116"/>
        <v>1986</v>
      </c>
      <c r="G3734">
        <f t="shared" si="117"/>
        <v>6</v>
      </c>
      <c r="H3734" t="str">
        <f>IF(ISNUMBER(FIND(",", E3734)), TRIM(MID(E3734, FIND(",", E3734) + 1, LEN(E3734))), E3734)</f>
        <v>Venezuela</v>
      </c>
    </row>
    <row r="3735" spans="1:8" x14ac:dyDescent="0.25">
      <c r="A3735" s="2">
        <v>31558</v>
      </c>
      <c r="B3735">
        <v>-20.215</v>
      </c>
      <c r="C3735">
        <v>178.95099999999999</v>
      </c>
      <c r="D3735" t="s">
        <v>14</v>
      </c>
      <c r="E3735" t="s">
        <v>256</v>
      </c>
      <c r="F3735">
        <f t="shared" si="116"/>
        <v>1986</v>
      </c>
      <c r="G3735">
        <f t="shared" si="117"/>
        <v>5</v>
      </c>
      <c r="H3735" t="str">
        <f>IF(ISNUMBER(FIND(",", E3735)), TRIM(MID(E3735, FIND(",", E3735) + 1, LEN(E3735))), E3735)</f>
        <v>south of the Fiji Islands</v>
      </c>
    </row>
    <row r="3736" spans="1:8" x14ac:dyDescent="0.25">
      <c r="A3736" s="2">
        <v>31558</v>
      </c>
      <c r="B3736">
        <v>-21.815000000000001</v>
      </c>
      <c r="C3736">
        <v>-179.02500000000001</v>
      </c>
      <c r="D3736" t="s">
        <v>14</v>
      </c>
      <c r="E3736" t="s">
        <v>53</v>
      </c>
      <c r="F3736">
        <f t="shared" si="116"/>
        <v>1986</v>
      </c>
      <c r="G3736">
        <f t="shared" si="117"/>
        <v>5</v>
      </c>
      <c r="H3736" t="str">
        <f>IF(ISNUMBER(FIND(",", E3736)), TRIM(MID(E3736, FIND(",", E3736) + 1, LEN(E3736))), E3736)</f>
        <v>Fiji region</v>
      </c>
    </row>
    <row r="3737" spans="1:8" x14ac:dyDescent="0.25">
      <c r="A3737" s="2">
        <v>31553</v>
      </c>
      <c r="B3737">
        <v>43.808</v>
      </c>
      <c r="C3737">
        <v>148.40899999999999</v>
      </c>
      <c r="D3737" t="s">
        <v>14</v>
      </c>
      <c r="E3737" t="s">
        <v>317</v>
      </c>
      <c r="F3737">
        <f t="shared" si="116"/>
        <v>1986</v>
      </c>
      <c r="G3737">
        <f t="shared" si="117"/>
        <v>5</v>
      </c>
      <c r="H3737" t="str">
        <f>IF(ISNUMBER(FIND(",", E3737)), TRIM(MID(E3737, FIND(",", E3737) + 1, LEN(E3737))), E3737)</f>
        <v>east of the Kuril Islands</v>
      </c>
    </row>
    <row r="3738" spans="1:8" x14ac:dyDescent="0.25">
      <c r="A3738" s="2">
        <v>31552</v>
      </c>
      <c r="B3738">
        <v>24.114000000000001</v>
      </c>
      <c r="C3738">
        <v>121.651</v>
      </c>
      <c r="D3738" t="s">
        <v>14</v>
      </c>
      <c r="E3738" t="s">
        <v>336</v>
      </c>
      <c r="F3738">
        <f t="shared" si="116"/>
        <v>1986</v>
      </c>
      <c r="G3738">
        <f t="shared" si="117"/>
        <v>5</v>
      </c>
      <c r="H3738" t="str">
        <f>IF(ISNUMBER(FIND(",", E3738)), TRIM(MID(E3738, FIND(",", E3738) + 1, LEN(E3738))), E3738)</f>
        <v>Taiwan</v>
      </c>
    </row>
    <row r="3739" spans="1:8" x14ac:dyDescent="0.25">
      <c r="A3739" s="2">
        <v>31552</v>
      </c>
      <c r="B3739">
        <v>24.145</v>
      </c>
      <c r="C3739">
        <v>121.643</v>
      </c>
      <c r="D3739" t="s">
        <v>14</v>
      </c>
      <c r="E3739" t="s">
        <v>336</v>
      </c>
      <c r="F3739">
        <f t="shared" si="116"/>
        <v>1986</v>
      </c>
      <c r="G3739">
        <f t="shared" si="117"/>
        <v>5</v>
      </c>
      <c r="H3739" t="str">
        <f>IF(ISNUMBER(FIND(",", E3739)), TRIM(MID(E3739, FIND(",", E3739) + 1, LEN(E3739))), E3739)</f>
        <v>Taiwan</v>
      </c>
    </row>
    <row r="3740" spans="1:8" x14ac:dyDescent="0.25">
      <c r="A3740" s="2">
        <v>31549</v>
      </c>
      <c r="B3740">
        <v>52.26</v>
      </c>
      <c r="C3740">
        <v>-174.322</v>
      </c>
      <c r="D3740" t="s">
        <v>14</v>
      </c>
      <c r="E3740" t="s">
        <v>207</v>
      </c>
      <c r="F3740">
        <f t="shared" si="116"/>
        <v>1986</v>
      </c>
      <c r="G3740">
        <f t="shared" si="117"/>
        <v>5</v>
      </c>
      <c r="H3740" t="str">
        <f>IF(ISNUMBER(FIND(",", E3740)), TRIM(MID(E3740, FIND(",", E3740) + 1, LEN(E3740))), E3740)</f>
        <v>Aleutian Islands, Alaska</v>
      </c>
    </row>
    <row r="3741" spans="1:8" x14ac:dyDescent="0.25">
      <c r="A3741" s="2">
        <v>31547</v>
      </c>
      <c r="B3741">
        <v>52.316000000000003</v>
      </c>
      <c r="C3741">
        <v>-174.678</v>
      </c>
      <c r="D3741" t="s">
        <v>14</v>
      </c>
      <c r="E3741" t="s">
        <v>207</v>
      </c>
      <c r="F3741">
        <f t="shared" si="116"/>
        <v>1986</v>
      </c>
      <c r="G3741">
        <f t="shared" si="117"/>
        <v>5</v>
      </c>
      <c r="H3741" t="str">
        <f>IF(ISNUMBER(FIND(",", E3741)), TRIM(MID(E3741, FIND(",", E3741) + 1, LEN(E3741))), E3741)</f>
        <v>Aleutian Islands, Alaska</v>
      </c>
    </row>
    <row r="3742" spans="1:8" x14ac:dyDescent="0.25">
      <c r="A3742" s="2">
        <v>31543</v>
      </c>
      <c r="B3742">
        <v>26.753</v>
      </c>
      <c r="C3742">
        <v>125.268</v>
      </c>
      <c r="D3742" t="s">
        <v>14</v>
      </c>
      <c r="E3742" t="s">
        <v>269</v>
      </c>
      <c r="F3742">
        <f t="shared" si="116"/>
        <v>1986</v>
      </c>
      <c r="G3742">
        <f t="shared" si="117"/>
        <v>5</v>
      </c>
      <c r="H3742" t="str">
        <f>IF(ISNUMBER(FIND(",", E3742)), TRIM(MID(E3742, FIND(",", E3742) + 1, LEN(E3742))), E3742)</f>
        <v>northeast of Taiwan</v>
      </c>
    </row>
    <row r="3743" spans="1:8" x14ac:dyDescent="0.25">
      <c r="A3743" s="2">
        <v>31540</v>
      </c>
      <c r="B3743">
        <v>4.6340000000000003</v>
      </c>
      <c r="C3743">
        <v>125.42</v>
      </c>
      <c r="D3743" t="s">
        <v>14</v>
      </c>
      <c r="E3743" t="s">
        <v>518</v>
      </c>
      <c r="F3743">
        <f t="shared" si="116"/>
        <v>1986</v>
      </c>
      <c r="G3743">
        <f t="shared" si="117"/>
        <v>5</v>
      </c>
      <c r="H3743" t="str">
        <f>IF(ISNUMBER(FIND(",", E3743)), TRIM(MID(E3743, FIND(",", E3743) + 1, LEN(E3743))), E3743)</f>
        <v>Indonesia</v>
      </c>
    </row>
    <row r="3744" spans="1:8" x14ac:dyDescent="0.25">
      <c r="A3744" s="2">
        <v>31540</v>
      </c>
      <c r="B3744">
        <v>51.384</v>
      </c>
      <c r="C3744">
        <v>-175.37100000000001</v>
      </c>
      <c r="D3744" t="s">
        <v>14</v>
      </c>
      <c r="E3744" t="s">
        <v>207</v>
      </c>
      <c r="F3744">
        <f t="shared" si="116"/>
        <v>1986</v>
      </c>
      <c r="G3744">
        <f t="shared" si="117"/>
        <v>5</v>
      </c>
      <c r="H3744" t="str">
        <f>IF(ISNUMBER(FIND(",", E3744)), TRIM(MID(E3744, FIND(",", E3744) + 1, LEN(E3744))), E3744)</f>
        <v>Aleutian Islands, Alaska</v>
      </c>
    </row>
    <row r="3745" spans="1:8" x14ac:dyDescent="0.25">
      <c r="A3745" s="2">
        <v>31539</v>
      </c>
      <c r="B3745">
        <v>51.555</v>
      </c>
      <c r="C3745">
        <v>-174.81100000000001</v>
      </c>
      <c r="D3745" t="s">
        <v>14</v>
      </c>
      <c r="E3745" t="s">
        <v>207</v>
      </c>
      <c r="F3745">
        <f t="shared" si="116"/>
        <v>1986</v>
      </c>
      <c r="G3745">
        <f t="shared" si="117"/>
        <v>5</v>
      </c>
      <c r="H3745" t="str">
        <f>IF(ISNUMBER(FIND(",", E3745)), TRIM(MID(E3745, FIND(",", E3745) + 1, LEN(E3745))), E3745)</f>
        <v>Aleutian Islands, Alaska</v>
      </c>
    </row>
    <row r="3746" spans="1:8" x14ac:dyDescent="0.25">
      <c r="A3746" s="2">
        <v>31539</v>
      </c>
      <c r="B3746">
        <v>51.445</v>
      </c>
      <c r="C3746">
        <v>-174.79900000000001</v>
      </c>
      <c r="D3746" t="s">
        <v>14</v>
      </c>
      <c r="E3746" t="s">
        <v>207</v>
      </c>
      <c r="F3746">
        <f t="shared" si="116"/>
        <v>1986</v>
      </c>
      <c r="G3746">
        <f t="shared" si="117"/>
        <v>5</v>
      </c>
      <c r="H3746" t="str">
        <f>IF(ISNUMBER(FIND(",", E3746)), TRIM(MID(E3746, FIND(",", E3746) + 1, LEN(E3746))), E3746)</f>
        <v>Aleutian Islands, Alaska</v>
      </c>
    </row>
    <row r="3747" spans="1:8" x14ac:dyDescent="0.25">
      <c r="A3747" s="2">
        <v>31539</v>
      </c>
      <c r="B3747">
        <v>51.424999999999997</v>
      </c>
      <c r="C3747">
        <v>-174.809</v>
      </c>
      <c r="D3747" t="s">
        <v>14</v>
      </c>
      <c r="E3747" t="s">
        <v>207</v>
      </c>
      <c r="F3747">
        <f t="shared" si="116"/>
        <v>1986</v>
      </c>
      <c r="G3747">
        <f t="shared" si="117"/>
        <v>5</v>
      </c>
      <c r="H3747" t="str">
        <f>IF(ISNUMBER(FIND(",", E3747)), TRIM(MID(E3747, FIND(",", E3747) + 1, LEN(E3747))), E3747)</f>
        <v>Aleutian Islands, Alaska</v>
      </c>
    </row>
    <row r="3748" spans="1:8" x14ac:dyDescent="0.25">
      <c r="A3748" s="2">
        <v>31534</v>
      </c>
      <c r="B3748">
        <v>55.182000000000002</v>
      </c>
      <c r="C3748">
        <v>163.69800000000001</v>
      </c>
      <c r="D3748" t="s">
        <v>14</v>
      </c>
      <c r="E3748" t="s">
        <v>318</v>
      </c>
      <c r="F3748">
        <f t="shared" si="116"/>
        <v>1986</v>
      </c>
      <c r="G3748">
        <f t="shared" si="117"/>
        <v>5</v>
      </c>
      <c r="H3748" t="str">
        <f>IF(ISNUMBER(FIND(",", E3748)), TRIM(MID(E3748, FIND(",", E3748) + 1, LEN(E3748))), E3748)</f>
        <v>Russia</v>
      </c>
    </row>
    <row r="3749" spans="1:8" x14ac:dyDescent="0.25">
      <c r="A3749" s="2">
        <v>31533</v>
      </c>
      <c r="B3749">
        <v>-21.832999999999998</v>
      </c>
      <c r="C3749">
        <v>170.291</v>
      </c>
      <c r="D3749" t="s">
        <v>14</v>
      </c>
      <c r="E3749" t="s">
        <v>254</v>
      </c>
      <c r="F3749">
        <f t="shared" si="116"/>
        <v>1986</v>
      </c>
      <c r="G3749">
        <f t="shared" si="117"/>
        <v>5</v>
      </c>
      <c r="H3749" t="str">
        <f>IF(ISNUMBER(FIND(",", E3749)), TRIM(MID(E3749, FIND(",", E3749) + 1, LEN(E3749))), E3749)</f>
        <v>southeast of the Loyalty Islands</v>
      </c>
    </row>
    <row r="3750" spans="1:8" x14ac:dyDescent="0.25">
      <c r="A3750" s="2">
        <v>31532</v>
      </c>
      <c r="B3750">
        <v>18.370999999999999</v>
      </c>
      <c r="C3750">
        <v>-103.001</v>
      </c>
      <c r="D3750" t="s">
        <v>14</v>
      </c>
      <c r="E3750" t="s">
        <v>248</v>
      </c>
      <c r="F3750">
        <f t="shared" si="116"/>
        <v>1986</v>
      </c>
      <c r="G3750">
        <f t="shared" si="117"/>
        <v>4</v>
      </c>
      <c r="H3750" t="str">
        <f>IF(ISNUMBER(FIND(",", E3750)), TRIM(MID(E3750, FIND(",", E3750) + 1, LEN(E3750))), E3750)</f>
        <v>Mexico</v>
      </c>
    </row>
    <row r="3751" spans="1:8" x14ac:dyDescent="0.25">
      <c r="A3751" s="2">
        <v>31522</v>
      </c>
      <c r="B3751">
        <v>-2.407</v>
      </c>
      <c r="C3751">
        <v>139.35400000000001</v>
      </c>
      <c r="D3751" t="s">
        <v>14</v>
      </c>
      <c r="E3751" t="s">
        <v>241</v>
      </c>
      <c r="F3751">
        <f t="shared" si="116"/>
        <v>1986</v>
      </c>
      <c r="G3751">
        <f t="shared" si="117"/>
        <v>4</v>
      </c>
      <c r="H3751" t="str">
        <f>IF(ISNUMBER(FIND(",", E3751)), TRIM(MID(E3751, FIND(",", E3751) + 1, LEN(E3751))), E3751)</f>
        <v>Indonesia</v>
      </c>
    </row>
    <row r="3752" spans="1:8" x14ac:dyDescent="0.25">
      <c r="A3752" s="2">
        <v>31518</v>
      </c>
      <c r="B3752">
        <v>43.945</v>
      </c>
      <c r="C3752">
        <v>147.49700000000001</v>
      </c>
      <c r="D3752" t="s">
        <v>14</v>
      </c>
      <c r="E3752" t="s">
        <v>191</v>
      </c>
      <c r="F3752">
        <f t="shared" si="116"/>
        <v>1986</v>
      </c>
      <c r="G3752">
        <f t="shared" si="117"/>
        <v>4</v>
      </c>
      <c r="H3752" t="str">
        <f>IF(ISNUMBER(FIND(",", E3752)), TRIM(MID(E3752, FIND(",", E3752) + 1, LEN(E3752))), E3752)</f>
        <v>Kuril Islands</v>
      </c>
    </row>
    <row r="3753" spans="1:8" x14ac:dyDescent="0.25">
      <c r="A3753" s="2">
        <v>31516</v>
      </c>
      <c r="B3753">
        <v>-57.81</v>
      </c>
      <c r="C3753">
        <v>-24.452000000000002</v>
      </c>
      <c r="D3753" t="s">
        <v>14</v>
      </c>
      <c r="E3753" t="s">
        <v>260</v>
      </c>
      <c r="F3753">
        <f t="shared" si="116"/>
        <v>1986</v>
      </c>
      <c r="G3753">
        <f t="shared" si="117"/>
        <v>4</v>
      </c>
      <c r="H3753" t="str">
        <f>IF(ISNUMBER(FIND(",", E3753)), TRIM(MID(E3753, FIND(",", E3753) + 1, LEN(E3753))), E3753)</f>
        <v>South Sandwich Islands region</v>
      </c>
    </row>
    <row r="3754" spans="1:8" x14ac:dyDescent="0.25">
      <c r="A3754" s="2">
        <v>31516</v>
      </c>
      <c r="B3754">
        <v>-13.919</v>
      </c>
      <c r="C3754">
        <v>166.887</v>
      </c>
      <c r="D3754" t="s">
        <v>14</v>
      </c>
      <c r="E3754" t="s">
        <v>181</v>
      </c>
      <c r="F3754">
        <f t="shared" si="116"/>
        <v>1986</v>
      </c>
      <c r="G3754">
        <f t="shared" si="117"/>
        <v>4</v>
      </c>
      <c r="H3754" t="str">
        <f>IF(ISNUMBER(FIND(",", E3754)), TRIM(MID(E3754, FIND(",", E3754) + 1, LEN(E3754))), E3754)</f>
        <v>Vanuatu</v>
      </c>
    </row>
    <row r="3755" spans="1:8" x14ac:dyDescent="0.25">
      <c r="A3755" s="2">
        <v>31512</v>
      </c>
      <c r="B3755">
        <v>-0.93799999999999994</v>
      </c>
      <c r="C3755">
        <v>126.797</v>
      </c>
      <c r="D3755" t="s">
        <v>14</v>
      </c>
      <c r="E3755" t="s">
        <v>186</v>
      </c>
      <c r="F3755">
        <f t="shared" si="116"/>
        <v>1986</v>
      </c>
      <c r="G3755">
        <f t="shared" si="117"/>
        <v>4</v>
      </c>
      <c r="H3755" t="str">
        <f>IF(ISNUMBER(FIND(",", E3755)), TRIM(MID(E3755, FIND(",", E3755) + 1, LEN(E3755))), E3755)</f>
        <v>Molucca Sea</v>
      </c>
    </row>
    <row r="3756" spans="1:8" x14ac:dyDescent="0.25">
      <c r="A3756" s="2">
        <v>31497</v>
      </c>
      <c r="B3756">
        <v>-7.1340000000000003</v>
      </c>
      <c r="C3756">
        <v>-71.617999999999995</v>
      </c>
      <c r="D3756" t="s">
        <v>14</v>
      </c>
      <c r="E3756" t="s">
        <v>479</v>
      </c>
      <c r="F3756">
        <f t="shared" si="116"/>
        <v>1986</v>
      </c>
      <c r="G3756">
        <f t="shared" si="117"/>
        <v>3</v>
      </c>
      <c r="H3756" t="str">
        <f>IF(ISNUMBER(FIND(",", E3756)), TRIM(MID(E3756, FIND(",", E3756) + 1, LEN(E3756))), E3756)</f>
        <v>Brazil</v>
      </c>
    </row>
    <row r="3757" spans="1:8" x14ac:dyDescent="0.25">
      <c r="A3757" s="2">
        <v>31495</v>
      </c>
      <c r="B3757">
        <v>-2.4580000000000002</v>
      </c>
      <c r="C3757">
        <v>138.72399999999999</v>
      </c>
      <c r="D3757" t="s">
        <v>14</v>
      </c>
      <c r="E3757" t="s">
        <v>210</v>
      </c>
      <c r="F3757">
        <f t="shared" si="116"/>
        <v>1986</v>
      </c>
      <c r="G3757">
        <f t="shared" si="117"/>
        <v>3</v>
      </c>
      <c r="H3757" t="str">
        <f>IF(ISNUMBER(FIND(",", E3757)), TRIM(MID(E3757, FIND(",", E3757) + 1, LEN(E3757))), E3757)</f>
        <v>Indonesia</v>
      </c>
    </row>
    <row r="3758" spans="1:8" x14ac:dyDescent="0.25">
      <c r="A3758" s="2">
        <v>31495</v>
      </c>
      <c r="B3758">
        <v>28.591999999999999</v>
      </c>
      <c r="C3758">
        <v>129.98599999999999</v>
      </c>
      <c r="D3758" t="s">
        <v>14</v>
      </c>
      <c r="E3758" t="s">
        <v>340</v>
      </c>
      <c r="F3758">
        <f t="shared" si="116"/>
        <v>1986</v>
      </c>
      <c r="G3758">
        <f t="shared" si="117"/>
        <v>3</v>
      </c>
      <c r="H3758" t="str">
        <f>IF(ISNUMBER(FIND(",", E3758)), TRIM(MID(E3758, FIND(",", E3758) + 1, LEN(E3758))), E3758)</f>
        <v>Japan</v>
      </c>
    </row>
    <row r="3759" spans="1:8" x14ac:dyDescent="0.25">
      <c r="A3759" s="2">
        <v>31493</v>
      </c>
      <c r="B3759">
        <v>-4.4720000000000004</v>
      </c>
      <c r="C3759">
        <v>-104.84399999999999</v>
      </c>
      <c r="D3759" t="s">
        <v>14</v>
      </c>
      <c r="E3759" t="s">
        <v>381</v>
      </c>
      <c r="F3759">
        <f t="shared" si="116"/>
        <v>1986</v>
      </c>
      <c r="G3759">
        <f t="shared" si="117"/>
        <v>3</v>
      </c>
      <c r="H3759" t="str">
        <f>IF(ISNUMBER(FIND(",", E3759)), TRIM(MID(E3759, FIND(",", E3759) + 1, LEN(E3759))), E3759)</f>
        <v>central East Pacific Rise</v>
      </c>
    </row>
    <row r="3760" spans="1:8" x14ac:dyDescent="0.25">
      <c r="A3760" s="2">
        <v>31486</v>
      </c>
      <c r="B3760">
        <v>-19.173999999999999</v>
      </c>
      <c r="C3760">
        <v>-67.444000000000003</v>
      </c>
      <c r="D3760" t="s">
        <v>14</v>
      </c>
      <c r="E3760" t="s">
        <v>589</v>
      </c>
      <c r="F3760">
        <f t="shared" si="116"/>
        <v>1986</v>
      </c>
      <c r="G3760">
        <f t="shared" si="117"/>
        <v>3</v>
      </c>
      <c r="H3760" t="str">
        <f>IF(ISNUMBER(FIND(",", E3760)), TRIM(MID(E3760, FIND(",", E3760) + 1, LEN(E3760))), E3760)</f>
        <v>Bolivia</v>
      </c>
    </row>
    <row r="3761" spans="1:8" x14ac:dyDescent="0.25">
      <c r="A3761" s="2">
        <v>31485</v>
      </c>
      <c r="B3761">
        <v>-30.103000000000002</v>
      </c>
      <c r="C3761">
        <v>-176.46199999999999</v>
      </c>
      <c r="D3761" t="s">
        <v>14</v>
      </c>
      <c r="E3761" t="s">
        <v>240</v>
      </c>
      <c r="F3761">
        <f t="shared" si="116"/>
        <v>1986</v>
      </c>
      <c r="G3761">
        <f t="shared" si="117"/>
        <v>3</v>
      </c>
      <c r="H3761" t="str">
        <f>IF(ISNUMBER(FIND(",", E3761)), TRIM(MID(E3761, FIND(",", E3761) + 1, LEN(E3761))), E3761)</f>
        <v>Kermadec Islands region</v>
      </c>
    </row>
    <row r="3762" spans="1:8" x14ac:dyDescent="0.25">
      <c r="A3762" s="2">
        <v>31484</v>
      </c>
      <c r="B3762">
        <v>-7.0090000000000003</v>
      </c>
      <c r="C3762">
        <v>155.66200000000001</v>
      </c>
      <c r="D3762" t="s">
        <v>14</v>
      </c>
      <c r="E3762" t="s">
        <v>221</v>
      </c>
      <c r="F3762">
        <f t="shared" si="116"/>
        <v>1986</v>
      </c>
      <c r="G3762">
        <f t="shared" si="117"/>
        <v>3</v>
      </c>
      <c r="H3762" t="str">
        <f>IF(ISNUMBER(FIND(",", E3762)), TRIM(MID(E3762, FIND(",", E3762) + 1, LEN(E3762))), E3762)</f>
        <v>Solomon Islands</v>
      </c>
    </row>
    <row r="3763" spans="1:8" x14ac:dyDescent="0.25">
      <c r="A3763" s="2">
        <v>31478</v>
      </c>
      <c r="B3763">
        <v>-4.9630000000000001</v>
      </c>
      <c r="C3763">
        <v>151.77099999999999</v>
      </c>
      <c r="D3763" t="s">
        <v>14</v>
      </c>
      <c r="E3763" t="s">
        <v>190</v>
      </c>
      <c r="F3763">
        <f t="shared" si="116"/>
        <v>1986</v>
      </c>
      <c r="G3763">
        <f t="shared" si="117"/>
        <v>3</v>
      </c>
      <c r="H3763" t="str">
        <f>IF(ISNUMBER(FIND(",", E3763)), TRIM(MID(E3763, FIND(",", E3763) + 1, LEN(E3763))), E3763)</f>
        <v>Papua New Guinea</v>
      </c>
    </row>
    <row r="3764" spans="1:8" x14ac:dyDescent="0.25">
      <c r="A3764" s="2">
        <v>31477</v>
      </c>
      <c r="B3764">
        <v>40.35</v>
      </c>
      <c r="C3764">
        <v>51.603999999999999</v>
      </c>
      <c r="D3764" t="s">
        <v>14</v>
      </c>
      <c r="E3764" t="s">
        <v>579</v>
      </c>
      <c r="F3764">
        <f t="shared" si="116"/>
        <v>1986</v>
      </c>
      <c r="G3764">
        <f t="shared" si="117"/>
        <v>3</v>
      </c>
      <c r="H3764" t="str">
        <f>IF(ISNUMBER(FIND(",", E3764)), TRIM(MID(E3764, FIND(",", E3764) + 1, LEN(E3764))), E3764)</f>
        <v>offshore Turkmenistan</v>
      </c>
    </row>
    <row r="3765" spans="1:8" x14ac:dyDescent="0.25">
      <c r="A3765" s="2">
        <v>31476</v>
      </c>
      <c r="B3765">
        <v>-18.838000000000001</v>
      </c>
      <c r="C3765">
        <v>169.691</v>
      </c>
      <c r="D3765" t="s">
        <v>14</v>
      </c>
      <c r="E3765" t="s">
        <v>181</v>
      </c>
      <c r="F3765">
        <f t="shared" si="116"/>
        <v>1986</v>
      </c>
      <c r="G3765">
        <f t="shared" si="117"/>
        <v>3</v>
      </c>
      <c r="H3765" t="str">
        <f>IF(ISNUMBER(FIND(",", E3765)), TRIM(MID(E3765, FIND(",", E3765) + 1, LEN(E3765))), E3765)</f>
        <v>Vanuatu</v>
      </c>
    </row>
    <row r="3766" spans="1:8" x14ac:dyDescent="0.25">
      <c r="A3766" s="2">
        <v>31467</v>
      </c>
      <c r="B3766">
        <v>-8.9139999999999997</v>
      </c>
      <c r="C3766">
        <v>156.78100000000001</v>
      </c>
      <c r="D3766" t="s">
        <v>14</v>
      </c>
      <c r="E3766" t="s">
        <v>221</v>
      </c>
      <c r="F3766">
        <f t="shared" si="116"/>
        <v>1986</v>
      </c>
      <c r="G3766">
        <f t="shared" si="117"/>
        <v>2</v>
      </c>
      <c r="H3766" t="str">
        <f>IF(ISNUMBER(FIND(",", E3766)), TRIM(MID(E3766, FIND(",", E3766) + 1, LEN(E3766))), E3766)</f>
        <v>Solomon Islands</v>
      </c>
    </row>
    <row r="3767" spans="1:8" x14ac:dyDescent="0.25">
      <c r="A3767" s="2">
        <v>31455</v>
      </c>
      <c r="B3767">
        <v>36.43</v>
      </c>
      <c r="C3767">
        <v>140.97900000000001</v>
      </c>
      <c r="D3767" t="s">
        <v>14</v>
      </c>
      <c r="E3767" t="s">
        <v>227</v>
      </c>
      <c r="F3767">
        <f t="shared" si="116"/>
        <v>1986</v>
      </c>
      <c r="G3767">
        <f t="shared" si="117"/>
        <v>2</v>
      </c>
      <c r="H3767" t="str">
        <f>IF(ISNUMBER(FIND(",", E3767)), TRIM(MID(E3767, FIND(",", E3767) + 1, LEN(E3767))), E3767)</f>
        <v>Japan</v>
      </c>
    </row>
    <row r="3768" spans="1:8" x14ac:dyDescent="0.25">
      <c r="A3768" s="2">
        <v>31446</v>
      </c>
      <c r="B3768">
        <v>27.899000000000001</v>
      </c>
      <c r="C3768">
        <v>139.488</v>
      </c>
      <c r="D3768" t="s">
        <v>14</v>
      </c>
      <c r="E3768" t="s">
        <v>233</v>
      </c>
      <c r="F3768">
        <f t="shared" si="116"/>
        <v>1986</v>
      </c>
      <c r="G3768">
        <f t="shared" si="117"/>
        <v>2</v>
      </c>
      <c r="H3768" t="str">
        <f>IF(ISNUMBER(FIND(",", E3768)), TRIM(MID(E3768, FIND(",", E3768) + 1, LEN(E3768))), E3768)</f>
        <v>Japan region</v>
      </c>
    </row>
    <row r="3769" spans="1:8" x14ac:dyDescent="0.25">
      <c r="A3769" s="2">
        <v>31434</v>
      </c>
      <c r="B3769">
        <v>-10.169</v>
      </c>
      <c r="C3769">
        <v>161.06800000000001</v>
      </c>
      <c r="D3769" t="s">
        <v>14</v>
      </c>
      <c r="E3769" t="s">
        <v>221</v>
      </c>
      <c r="F3769">
        <f t="shared" si="116"/>
        <v>1986</v>
      </c>
      <c r="G3769">
        <f t="shared" si="117"/>
        <v>1</v>
      </c>
      <c r="H3769" t="str">
        <f>IF(ISNUMBER(FIND(",", E3769)), TRIM(MID(E3769, FIND(",", E3769) + 1, LEN(E3769))), E3769)</f>
        <v>Solomon Islands</v>
      </c>
    </row>
    <row r="3770" spans="1:8" x14ac:dyDescent="0.25">
      <c r="A3770" s="2">
        <v>31427</v>
      </c>
      <c r="B3770">
        <v>-21.291</v>
      </c>
      <c r="C3770">
        <v>170.233</v>
      </c>
      <c r="D3770" t="s">
        <v>13</v>
      </c>
      <c r="E3770" t="s">
        <v>254</v>
      </c>
      <c r="F3770">
        <f t="shared" si="116"/>
        <v>1986</v>
      </c>
      <c r="G3770">
        <f t="shared" si="117"/>
        <v>1</v>
      </c>
      <c r="H3770" t="str">
        <f>IF(ISNUMBER(FIND(",", E3770)), TRIM(MID(E3770, FIND(",", E3770) + 1, LEN(E3770))), E3770)</f>
        <v>southeast of the Loyalty Islands</v>
      </c>
    </row>
    <row r="3771" spans="1:8" x14ac:dyDescent="0.25">
      <c r="A3771" s="2">
        <v>31427</v>
      </c>
      <c r="B3771">
        <v>-21.459</v>
      </c>
      <c r="C3771">
        <v>170.43700000000001</v>
      </c>
      <c r="D3771" t="s">
        <v>14</v>
      </c>
      <c r="E3771" t="s">
        <v>254</v>
      </c>
      <c r="F3771">
        <f t="shared" si="116"/>
        <v>1986</v>
      </c>
      <c r="G3771">
        <f t="shared" si="117"/>
        <v>1</v>
      </c>
      <c r="H3771" t="str">
        <f>IF(ISNUMBER(FIND(",", E3771)), TRIM(MID(E3771, FIND(",", E3771) + 1, LEN(E3771))), E3771)</f>
        <v>southeast of the Loyalty Islands</v>
      </c>
    </row>
    <row r="3772" spans="1:8" x14ac:dyDescent="0.25">
      <c r="A3772" s="2">
        <v>31415</v>
      </c>
      <c r="B3772">
        <v>-0.97</v>
      </c>
      <c r="C3772">
        <v>126.91800000000001</v>
      </c>
      <c r="D3772" t="s">
        <v>14</v>
      </c>
      <c r="E3772" t="s">
        <v>186</v>
      </c>
      <c r="F3772">
        <f t="shared" si="116"/>
        <v>1986</v>
      </c>
      <c r="G3772">
        <f t="shared" si="117"/>
        <v>1</v>
      </c>
      <c r="H3772" t="str">
        <f>IF(ISNUMBER(FIND(",", E3772)), TRIM(MID(E3772, FIND(",", E3772) + 1, LEN(E3772))), E3772)</f>
        <v>Molucca Sea</v>
      </c>
    </row>
    <row r="3773" spans="1:8" x14ac:dyDescent="0.25">
      <c r="A3773" s="2">
        <v>31411</v>
      </c>
      <c r="B3773">
        <v>-5.56</v>
      </c>
      <c r="C3773">
        <v>150.69999999999999</v>
      </c>
      <c r="D3773" t="s">
        <v>14</v>
      </c>
      <c r="E3773" t="s">
        <v>190</v>
      </c>
      <c r="F3773">
        <f t="shared" si="116"/>
        <v>1985</v>
      </c>
      <c r="G3773">
        <f t="shared" si="117"/>
        <v>12</v>
      </c>
      <c r="H3773" t="str">
        <f>IF(ISNUMBER(FIND(",", E3773)), TRIM(MID(E3773, FIND(",", E3773) + 1, LEN(E3773))), E3773)</f>
        <v>Papua New Guinea</v>
      </c>
    </row>
    <row r="3774" spans="1:8" x14ac:dyDescent="0.25">
      <c r="A3774" s="2">
        <v>31409</v>
      </c>
      <c r="B3774">
        <v>-5.8620000000000001</v>
      </c>
      <c r="C3774">
        <v>104.199</v>
      </c>
      <c r="D3774" t="s">
        <v>14</v>
      </c>
      <c r="E3774" t="s">
        <v>308</v>
      </c>
      <c r="F3774">
        <f t="shared" si="116"/>
        <v>1985</v>
      </c>
      <c r="G3774">
        <f t="shared" si="117"/>
        <v>12</v>
      </c>
      <c r="H3774" t="str">
        <f>IF(ISNUMBER(FIND(",", E3774)), TRIM(MID(E3774, FIND(",", E3774) + 1, LEN(E3774))), E3774)</f>
        <v>Indonesia</v>
      </c>
    </row>
    <row r="3775" spans="1:8" x14ac:dyDescent="0.25">
      <c r="A3775" s="2">
        <v>31409</v>
      </c>
      <c r="B3775">
        <v>-13.188000000000001</v>
      </c>
      <c r="C3775">
        <v>166.565</v>
      </c>
      <c r="D3775" t="s">
        <v>14</v>
      </c>
      <c r="E3775" t="s">
        <v>181</v>
      </c>
      <c r="F3775">
        <f t="shared" si="116"/>
        <v>1985</v>
      </c>
      <c r="G3775">
        <f t="shared" si="117"/>
        <v>12</v>
      </c>
      <c r="H3775" t="str">
        <f>IF(ISNUMBER(FIND(",", E3775)), TRIM(MID(E3775, FIND(",", E3775) + 1, LEN(E3775))), E3775)</f>
        <v>Vanuatu</v>
      </c>
    </row>
    <row r="3776" spans="1:8" x14ac:dyDescent="0.25">
      <c r="A3776" s="2">
        <v>31408</v>
      </c>
      <c r="B3776">
        <v>-5.7830000000000004</v>
      </c>
      <c r="C3776">
        <v>104.053</v>
      </c>
      <c r="D3776" t="s">
        <v>14</v>
      </c>
      <c r="E3776" t="s">
        <v>308</v>
      </c>
      <c r="F3776">
        <f t="shared" si="116"/>
        <v>1985</v>
      </c>
      <c r="G3776">
        <f t="shared" si="117"/>
        <v>12</v>
      </c>
      <c r="H3776" t="str">
        <f>IF(ISNUMBER(FIND(",", E3776)), TRIM(MID(E3776, FIND(",", E3776) + 1, LEN(E3776))), E3776)</f>
        <v>Indonesia</v>
      </c>
    </row>
    <row r="3777" spans="1:8" x14ac:dyDescent="0.25">
      <c r="A3777" s="2">
        <v>31406</v>
      </c>
      <c r="B3777">
        <v>-21.664000000000001</v>
      </c>
      <c r="C3777">
        <v>-178.477</v>
      </c>
      <c r="D3777" t="s">
        <v>14</v>
      </c>
      <c r="E3777" t="s">
        <v>53</v>
      </c>
      <c r="F3777">
        <f t="shared" si="116"/>
        <v>1985</v>
      </c>
      <c r="G3777">
        <f t="shared" si="117"/>
        <v>12</v>
      </c>
      <c r="H3777" t="str">
        <f>IF(ISNUMBER(FIND(",", E3777)), TRIM(MID(E3777, FIND(",", E3777) + 1, LEN(E3777))), E3777)</f>
        <v>Fiji region</v>
      </c>
    </row>
    <row r="3778" spans="1:8" x14ac:dyDescent="0.25">
      <c r="A3778" s="2">
        <v>31405</v>
      </c>
      <c r="B3778">
        <v>-35.006999999999998</v>
      </c>
      <c r="C3778">
        <v>54.23</v>
      </c>
      <c r="D3778" t="s">
        <v>14</v>
      </c>
      <c r="E3778" t="s">
        <v>473</v>
      </c>
      <c r="F3778">
        <f t="shared" ref="F3778:F3841" si="118">YEAR(A3778)</f>
        <v>1985</v>
      </c>
      <c r="G3778">
        <f t="shared" si="117"/>
        <v>12</v>
      </c>
      <c r="H3778" t="str">
        <f>IF(ISNUMBER(FIND(",", E3778)), TRIM(MID(E3778, FIND(",", E3778) + 1, LEN(E3778))), E3778)</f>
        <v>South Indian Ocean</v>
      </c>
    </row>
    <row r="3779" spans="1:8" x14ac:dyDescent="0.25">
      <c r="A3779" s="2">
        <v>31404</v>
      </c>
      <c r="B3779">
        <v>62.161999999999999</v>
      </c>
      <c r="C3779">
        <v>-124.30500000000001</v>
      </c>
      <c r="D3779" t="s">
        <v>14</v>
      </c>
      <c r="E3779" t="s">
        <v>585</v>
      </c>
      <c r="F3779">
        <f t="shared" si="118"/>
        <v>1985</v>
      </c>
      <c r="G3779">
        <f t="shared" ref="G3779:G3842" si="119">MONTH(A3779)</f>
        <v>12</v>
      </c>
      <c r="H3779" t="str">
        <f>IF(ISNUMBER(FIND(",", E3779)), TRIM(MID(E3779, FIND(",", E3779) + 1, LEN(E3779))), E3779)</f>
        <v>Canada</v>
      </c>
    </row>
    <row r="3780" spans="1:8" x14ac:dyDescent="0.25">
      <c r="A3780" s="2">
        <v>31402</v>
      </c>
      <c r="B3780">
        <v>-14.148999999999999</v>
      </c>
      <c r="C3780">
        <v>166.625</v>
      </c>
      <c r="D3780" t="s">
        <v>14</v>
      </c>
      <c r="E3780" t="s">
        <v>181</v>
      </c>
      <c r="F3780">
        <f t="shared" si="118"/>
        <v>1985</v>
      </c>
      <c r="G3780">
        <f t="shared" si="119"/>
        <v>12</v>
      </c>
      <c r="H3780" t="str">
        <f>IF(ISNUMBER(FIND(",", E3780)), TRIM(MID(E3780, FIND(",", E3780) + 1, LEN(E3780))), E3780)</f>
        <v>Vanuatu</v>
      </c>
    </row>
    <row r="3781" spans="1:8" x14ac:dyDescent="0.25">
      <c r="A3781" s="2">
        <v>31402</v>
      </c>
      <c r="B3781">
        <v>-14.114000000000001</v>
      </c>
      <c r="C3781">
        <v>166.715</v>
      </c>
      <c r="D3781" t="s">
        <v>14</v>
      </c>
      <c r="E3781" t="s">
        <v>181</v>
      </c>
      <c r="F3781">
        <f t="shared" si="118"/>
        <v>1985</v>
      </c>
      <c r="G3781">
        <f t="shared" si="119"/>
        <v>12</v>
      </c>
      <c r="H3781" t="str">
        <f>IF(ISNUMBER(FIND(",", E3781)), TRIM(MID(E3781, FIND(",", E3781) + 1, LEN(E3781))), E3781)</f>
        <v>Vanuatu</v>
      </c>
    </row>
    <row r="3782" spans="1:8" x14ac:dyDescent="0.25">
      <c r="A3782" s="2">
        <v>31402</v>
      </c>
      <c r="B3782">
        <v>-14.012</v>
      </c>
      <c r="C3782">
        <v>166.63200000000001</v>
      </c>
      <c r="D3782" t="s">
        <v>14</v>
      </c>
      <c r="E3782" t="s">
        <v>181</v>
      </c>
      <c r="F3782">
        <f t="shared" si="118"/>
        <v>1985</v>
      </c>
      <c r="G3782">
        <f t="shared" si="119"/>
        <v>12</v>
      </c>
      <c r="H3782" t="str">
        <f>IF(ISNUMBER(FIND(",", E3782)), TRIM(MID(E3782, FIND(",", E3782) + 1, LEN(E3782))), E3782)</f>
        <v>Vanuatu</v>
      </c>
    </row>
    <row r="3783" spans="1:8" x14ac:dyDescent="0.25">
      <c r="A3783" s="2">
        <v>31397</v>
      </c>
      <c r="B3783">
        <v>-14.083</v>
      </c>
      <c r="C3783">
        <v>166.31899999999999</v>
      </c>
      <c r="D3783" t="s">
        <v>14</v>
      </c>
      <c r="E3783" t="s">
        <v>181</v>
      </c>
      <c r="F3783">
        <f t="shared" si="118"/>
        <v>1985</v>
      </c>
      <c r="G3783">
        <f t="shared" si="119"/>
        <v>12</v>
      </c>
      <c r="H3783" t="str">
        <f>IF(ISNUMBER(FIND(",", E3783)), TRIM(MID(E3783, FIND(",", E3783) + 1, LEN(E3783))), E3783)</f>
        <v>Vanuatu</v>
      </c>
    </row>
    <row r="3784" spans="1:8" x14ac:dyDescent="0.25">
      <c r="A3784" s="2">
        <v>31397</v>
      </c>
      <c r="B3784">
        <v>-14.092000000000001</v>
      </c>
      <c r="C3784">
        <v>166.226</v>
      </c>
      <c r="D3784" t="s">
        <v>14</v>
      </c>
      <c r="E3784" t="s">
        <v>181</v>
      </c>
      <c r="F3784">
        <f t="shared" si="118"/>
        <v>1985</v>
      </c>
      <c r="G3784">
        <f t="shared" si="119"/>
        <v>12</v>
      </c>
      <c r="H3784" t="str">
        <f>IF(ISNUMBER(FIND(",", E3784)), TRIM(MID(E3784, FIND(",", E3784) + 1, LEN(E3784))), E3784)</f>
        <v>Vanuatu</v>
      </c>
    </row>
    <row r="3785" spans="1:8" x14ac:dyDescent="0.25">
      <c r="A3785" s="2">
        <v>31397</v>
      </c>
      <c r="B3785">
        <v>11.718999999999999</v>
      </c>
      <c r="C3785">
        <v>-85.878</v>
      </c>
      <c r="D3785" t="s">
        <v>14</v>
      </c>
      <c r="E3785" t="s">
        <v>270</v>
      </c>
      <c r="F3785">
        <f t="shared" si="118"/>
        <v>1985</v>
      </c>
      <c r="G3785">
        <f t="shared" si="119"/>
        <v>12</v>
      </c>
      <c r="H3785" t="str">
        <f>IF(ISNUMBER(FIND(",", E3785)), TRIM(MID(E3785, FIND(",", E3785) + 1, LEN(E3785))), E3785)</f>
        <v>Nicaragua</v>
      </c>
    </row>
    <row r="3786" spans="1:8" x14ac:dyDescent="0.25">
      <c r="A3786" s="2">
        <v>31395</v>
      </c>
      <c r="B3786">
        <v>3.7010000000000001</v>
      </c>
      <c r="C3786">
        <v>126.572</v>
      </c>
      <c r="D3786" t="s">
        <v>14</v>
      </c>
      <c r="E3786" t="s">
        <v>372</v>
      </c>
      <c r="F3786">
        <f t="shared" si="118"/>
        <v>1985</v>
      </c>
      <c r="G3786">
        <f t="shared" si="119"/>
        <v>12</v>
      </c>
      <c r="H3786" t="str">
        <f>IF(ISNUMBER(FIND(",", E3786)), TRIM(MID(E3786, FIND(",", E3786) + 1, LEN(E3786))), E3786)</f>
        <v>Indonesia</v>
      </c>
    </row>
    <row r="3787" spans="1:8" x14ac:dyDescent="0.25">
      <c r="A3787" s="2">
        <v>31379</v>
      </c>
      <c r="B3787">
        <v>-13.981999999999999</v>
      </c>
      <c r="C3787">
        <v>166.28399999999999</v>
      </c>
      <c r="D3787" t="s">
        <v>14</v>
      </c>
      <c r="E3787" t="s">
        <v>181</v>
      </c>
      <c r="F3787">
        <f t="shared" si="118"/>
        <v>1985</v>
      </c>
      <c r="G3787">
        <f t="shared" si="119"/>
        <v>11</v>
      </c>
      <c r="H3787" t="str">
        <f>IF(ISNUMBER(FIND(",", E3787)), TRIM(MID(E3787, FIND(",", E3787) + 1, LEN(E3787))), E3787)</f>
        <v>Vanuatu</v>
      </c>
    </row>
    <row r="3788" spans="1:8" x14ac:dyDescent="0.25">
      <c r="A3788" s="2">
        <v>31379</v>
      </c>
      <c r="B3788">
        <v>-14.029</v>
      </c>
      <c r="C3788">
        <v>166.33500000000001</v>
      </c>
      <c r="D3788" t="s">
        <v>14</v>
      </c>
      <c r="E3788" t="s">
        <v>181</v>
      </c>
      <c r="F3788">
        <f t="shared" si="118"/>
        <v>1985</v>
      </c>
      <c r="G3788">
        <f t="shared" si="119"/>
        <v>11</v>
      </c>
      <c r="H3788" t="str">
        <f>IF(ISNUMBER(FIND(",", E3788)), TRIM(MID(E3788, FIND(",", E3788) + 1, LEN(E3788))), E3788)</f>
        <v>Vanuatu</v>
      </c>
    </row>
    <row r="3789" spans="1:8" x14ac:dyDescent="0.25">
      <c r="A3789" s="2">
        <v>31373</v>
      </c>
      <c r="B3789">
        <v>-5.9729999999999999</v>
      </c>
      <c r="C3789">
        <v>149.458</v>
      </c>
      <c r="D3789" t="s">
        <v>14</v>
      </c>
      <c r="E3789" t="s">
        <v>190</v>
      </c>
      <c r="F3789">
        <f t="shared" si="118"/>
        <v>1985</v>
      </c>
      <c r="G3789">
        <f t="shared" si="119"/>
        <v>11</v>
      </c>
      <c r="H3789" t="str">
        <f>IF(ISNUMBER(FIND(",", E3789)), TRIM(MID(E3789, FIND(",", E3789) + 1, LEN(E3789))), E3789)</f>
        <v>Papua New Guinea</v>
      </c>
    </row>
    <row r="3790" spans="1:8" x14ac:dyDescent="0.25">
      <c r="A3790" s="2">
        <v>31368</v>
      </c>
      <c r="B3790">
        <v>-1.6679999999999999</v>
      </c>
      <c r="C3790">
        <v>134.94300000000001</v>
      </c>
      <c r="D3790" t="s">
        <v>14</v>
      </c>
      <c r="E3790" t="s">
        <v>241</v>
      </c>
      <c r="F3790">
        <f t="shared" si="118"/>
        <v>1985</v>
      </c>
      <c r="G3790">
        <f t="shared" si="119"/>
        <v>11</v>
      </c>
      <c r="H3790" t="str">
        <f>IF(ISNUMBER(FIND(",", E3790)), TRIM(MID(E3790, FIND(",", E3790) + 1, LEN(E3790))), E3790)</f>
        <v>Indonesia</v>
      </c>
    </row>
    <row r="3791" spans="1:8" x14ac:dyDescent="0.25">
      <c r="A3791" s="2">
        <v>31367</v>
      </c>
      <c r="B3791">
        <v>-38.587000000000003</v>
      </c>
      <c r="C3791">
        <v>78.307000000000002</v>
      </c>
      <c r="D3791" t="s">
        <v>14</v>
      </c>
      <c r="E3791" t="s">
        <v>377</v>
      </c>
      <c r="F3791">
        <f t="shared" si="118"/>
        <v>1985</v>
      </c>
      <c r="G3791">
        <f t="shared" si="119"/>
        <v>11</v>
      </c>
      <c r="H3791" t="str">
        <f>IF(ISNUMBER(FIND(",", E3791)), TRIM(MID(E3791, FIND(",", E3791) + 1, LEN(E3791))), E3791)</f>
        <v>Mid-Indian Ridge</v>
      </c>
    </row>
    <row r="3792" spans="1:8" x14ac:dyDescent="0.25">
      <c r="A3792" s="2">
        <v>31363</v>
      </c>
      <c r="B3792">
        <v>-36.521999999999998</v>
      </c>
      <c r="C3792">
        <v>-98.210999999999999</v>
      </c>
      <c r="D3792" t="s">
        <v>14</v>
      </c>
      <c r="E3792" t="s">
        <v>364</v>
      </c>
      <c r="F3792">
        <f t="shared" si="118"/>
        <v>1985</v>
      </c>
      <c r="G3792">
        <f t="shared" si="119"/>
        <v>11</v>
      </c>
      <c r="H3792" t="str">
        <f>IF(ISNUMBER(FIND(",", E3792)), TRIM(MID(E3792, FIND(",", E3792) + 1, LEN(E3792))), E3792)</f>
        <v>southeast of Easter Island</v>
      </c>
    </row>
    <row r="3793" spans="1:8" x14ac:dyDescent="0.25">
      <c r="A3793" s="2">
        <v>31359</v>
      </c>
      <c r="B3793">
        <v>27.977</v>
      </c>
      <c r="C3793">
        <v>140.649</v>
      </c>
      <c r="D3793" t="s">
        <v>14</v>
      </c>
      <c r="E3793" t="s">
        <v>233</v>
      </c>
      <c r="F3793">
        <f t="shared" si="118"/>
        <v>1985</v>
      </c>
      <c r="G3793">
        <f t="shared" si="119"/>
        <v>11</v>
      </c>
      <c r="H3793" t="str">
        <f>IF(ISNUMBER(FIND(",", E3793)), TRIM(MID(E3793, FIND(",", E3793) + 1, LEN(E3793))), E3793)</f>
        <v>Japan region</v>
      </c>
    </row>
    <row r="3794" spans="1:8" x14ac:dyDescent="0.25">
      <c r="A3794" s="2">
        <v>31358</v>
      </c>
      <c r="B3794">
        <v>-35.180999999999997</v>
      </c>
      <c r="C3794">
        <v>-179.227</v>
      </c>
      <c r="D3794" t="s">
        <v>14</v>
      </c>
      <c r="E3794" t="s">
        <v>276</v>
      </c>
      <c r="F3794">
        <f t="shared" si="118"/>
        <v>1985</v>
      </c>
      <c r="G3794">
        <f t="shared" si="119"/>
        <v>11</v>
      </c>
      <c r="H3794" t="str">
        <f>IF(ISNUMBER(FIND(",", E3794)), TRIM(MID(E3794, FIND(",", E3794) + 1, LEN(E3794))), E3794)</f>
        <v>east of the North Island of New Zealand</v>
      </c>
    </row>
    <row r="3795" spans="1:8" x14ac:dyDescent="0.25">
      <c r="A3795" s="2">
        <v>31357</v>
      </c>
      <c r="B3795">
        <v>-58.802</v>
      </c>
      <c r="C3795">
        <v>-26.324999999999999</v>
      </c>
      <c r="D3795" t="s">
        <v>14</v>
      </c>
      <c r="E3795" t="s">
        <v>260</v>
      </c>
      <c r="F3795">
        <f t="shared" si="118"/>
        <v>1985</v>
      </c>
      <c r="G3795">
        <f t="shared" si="119"/>
        <v>11</v>
      </c>
      <c r="H3795" t="str">
        <f>IF(ISNUMBER(FIND(",", E3795)), TRIM(MID(E3795, FIND(",", E3795) + 1, LEN(E3795))), E3795)</f>
        <v>South Sandwich Islands region</v>
      </c>
    </row>
    <row r="3796" spans="1:8" x14ac:dyDescent="0.25">
      <c r="A3796" s="2">
        <v>31353</v>
      </c>
      <c r="B3796">
        <v>-18.015999999999998</v>
      </c>
      <c r="C3796">
        <v>176.06200000000001</v>
      </c>
      <c r="D3796" t="s">
        <v>14</v>
      </c>
      <c r="E3796" t="s">
        <v>53</v>
      </c>
      <c r="F3796">
        <f t="shared" si="118"/>
        <v>1985</v>
      </c>
      <c r="G3796">
        <f t="shared" si="119"/>
        <v>11</v>
      </c>
      <c r="H3796" t="str">
        <f>IF(ISNUMBER(FIND(",", E3796)), TRIM(MID(E3796, FIND(",", E3796) + 1, LEN(E3796))), E3796)</f>
        <v>Fiji region</v>
      </c>
    </row>
    <row r="3797" spans="1:8" x14ac:dyDescent="0.25">
      <c r="A3797" s="2">
        <v>31351</v>
      </c>
      <c r="B3797">
        <v>-28.741</v>
      </c>
      <c r="C3797">
        <v>-63.197000000000003</v>
      </c>
      <c r="D3797" t="s">
        <v>14</v>
      </c>
      <c r="E3797" t="s">
        <v>232</v>
      </c>
      <c r="F3797">
        <f t="shared" si="118"/>
        <v>1985</v>
      </c>
      <c r="G3797">
        <f t="shared" si="119"/>
        <v>10</v>
      </c>
      <c r="H3797" t="str">
        <f>IF(ISNUMBER(FIND(",", E3797)), TRIM(MID(E3797, FIND(",", E3797) + 1, LEN(E3797))), E3797)</f>
        <v>Argentina</v>
      </c>
    </row>
    <row r="3798" spans="1:8" x14ac:dyDescent="0.25">
      <c r="A3798" s="2">
        <v>31351</v>
      </c>
      <c r="B3798">
        <v>53.2</v>
      </c>
      <c r="C3798">
        <v>-166.917</v>
      </c>
      <c r="D3798" t="s">
        <v>14</v>
      </c>
      <c r="E3798" t="s">
        <v>219</v>
      </c>
      <c r="F3798">
        <f t="shared" si="118"/>
        <v>1985</v>
      </c>
      <c r="G3798">
        <f t="shared" si="119"/>
        <v>10</v>
      </c>
      <c r="H3798" t="str">
        <f>IF(ISNUMBER(FIND(",", E3798)), TRIM(MID(E3798, FIND(",", E3798) + 1, LEN(E3798))), E3798)</f>
        <v>Aleutian Islands, Alaska</v>
      </c>
    </row>
    <row r="3799" spans="1:8" x14ac:dyDescent="0.25">
      <c r="A3799" s="2">
        <v>31349</v>
      </c>
      <c r="B3799">
        <v>-9.5470000000000006</v>
      </c>
      <c r="C3799">
        <v>151.04900000000001</v>
      </c>
      <c r="D3799" t="s">
        <v>14</v>
      </c>
      <c r="E3799" t="s">
        <v>507</v>
      </c>
      <c r="F3799">
        <f t="shared" si="118"/>
        <v>1985</v>
      </c>
      <c r="G3799">
        <f t="shared" si="119"/>
        <v>10</v>
      </c>
      <c r="H3799" t="str">
        <f>IF(ISNUMBER(FIND(",", E3799)), TRIM(MID(E3799, FIND(",", E3799) + 1, LEN(E3799))), E3799)</f>
        <v>D'Entrecasteaux Islands region</v>
      </c>
    </row>
    <row r="3800" spans="1:8" x14ac:dyDescent="0.25">
      <c r="A3800" s="2">
        <v>31349</v>
      </c>
      <c r="B3800">
        <v>36.682000000000002</v>
      </c>
      <c r="C3800">
        <v>54.771999999999998</v>
      </c>
      <c r="D3800" t="s">
        <v>14</v>
      </c>
      <c r="E3800" t="s">
        <v>470</v>
      </c>
      <c r="F3800">
        <f t="shared" si="118"/>
        <v>1985</v>
      </c>
      <c r="G3800">
        <f t="shared" si="119"/>
        <v>10</v>
      </c>
      <c r="H3800" t="str">
        <f>IF(ISNUMBER(FIND(",", E3800)), TRIM(MID(E3800, FIND(",", E3800) + 1, LEN(E3800))), E3800)</f>
        <v>northern Iran</v>
      </c>
    </row>
    <row r="3801" spans="1:8" x14ac:dyDescent="0.25">
      <c r="A3801" s="2">
        <v>31332</v>
      </c>
      <c r="B3801">
        <v>0.86799999999999999</v>
      </c>
      <c r="C3801">
        <v>-29.966999999999999</v>
      </c>
      <c r="D3801" t="s">
        <v>14</v>
      </c>
      <c r="E3801" t="s">
        <v>291</v>
      </c>
      <c r="F3801">
        <f t="shared" si="118"/>
        <v>1985</v>
      </c>
      <c r="G3801">
        <f t="shared" si="119"/>
        <v>10</v>
      </c>
      <c r="H3801" t="str">
        <f>IF(ISNUMBER(FIND(",", E3801)), TRIM(MID(E3801, FIND(",", E3801) + 1, LEN(E3801))), E3801)</f>
        <v>central Mid-Atlantic Ridge</v>
      </c>
    </row>
    <row r="3802" spans="1:8" x14ac:dyDescent="0.25">
      <c r="A3802" s="2">
        <v>31332</v>
      </c>
      <c r="B3802">
        <v>-21.652999999999999</v>
      </c>
      <c r="C3802">
        <v>-176.31200000000001</v>
      </c>
      <c r="D3802" t="s">
        <v>14</v>
      </c>
      <c r="E3802" t="s">
        <v>53</v>
      </c>
      <c r="F3802">
        <f t="shared" si="118"/>
        <v>1985</v>
      </c>
      <c r="G3802">
        <f t="shared" si="119"/>
        <v>10</v>
      </c>
      <c r="H3802" t="str">
        <f>IF(ISNUMBER(FIND(",", E3802)), TRIM(MID(E3802, FIND(",", E3802) + 1, LEN(E3802))), E3802)</f>
        <v>Fiji region</v>
      </c>
    </row>
    <row r="3803" spans="1:8" x14ac:dyDescent="0.25">
      <c r="A3803" s="2">
        <v>31329</v>
      </c>
      <c r="B3803">
        <v>54.731999999999999</v>
      </c>
      <c r="C3803">
        <v>-159.637</v>
      </c>
      <c r="D3803" t="s">
        <v>14</v>
      </c>
      <c r="E3803" t="s">
        <v>493</v>
      </c>
      <c r="F3803">
        <f t="shared" si="118"/>
        <v>1985</v>
      </c>
      <c r="G3803">
        <f t="shared" si="119"/>
        <v>10</v>
      </c>
      <c r="H3803" t="str">
        <f>IF(ISNUMBER(FIND(",", E3803)), TRIM(MID(E3803, FIND(",", E3803) + 1, LEN(E3803))), E3803)</f>
        <v>south of Alaska</v>
      </c>
    </row>
    <row r="3804" spans="1:8" x14ac:dyDescent="0.25">
      <c r="A3804" s="2">
        <v>31329</v>
      </c>
      <c r="B3804">
        <v>-6.7430000000000003</v>
      </c>
      <c r="C3804">
        <v>107.006</v>
      </c>
      <c r="D3804" t="s">
        <v>14</v>
      </c>
      <c r="E3804" t="s">
        <v>358</v>
      </c>
      <c r="F3804">
        <f t="shared" si="118"/>
        <v>1985</v>
      </c>
      <c r="G3804">
        <f t="shared" si="119"/>
        <v>10</v>
      </c>
      <c r="H3804" t="str">
        <f>IF(ISNUMBER(FIND(",", E3804)), TRIM(MID(E3804, FIND(",", E3804) + 1, LEN(E3804))), E3804)</f>
        <v>Indonesia</v>
      </c>
    </row>
    <row r="3805" spans="1:8" x14ac:dyDescent="0.25">
      <c r="A3805" s="2">
        <v>31326</v>
      </c>
      <c r="B3805">
        <v>-18.963999999999999</v>
      </c>
      <c r="C3805">
        <v>169.55099999999999</v>
      </c>
      <c r="D3805" t="s">
        <v>14</v>
      </c>
      <c r="E3805" t="s">
        <v>181</v>
      </c>
      <c r="F3805">
        <f t="shared" si="118"/>
        <v>1985</v>
      </c>
      <c r="G3805">
        <f t="shared" si="119"/>
        <v>10</v>
      </c>
      <c r="H3805" t="str">
        <f>IF(ISNUMBER(FIND(",", E3805)), TRIM(MID(E3805, FIND(",", E3805) + 1, LEN(E3805))), E3805)</f>
        <v>Vanuatu</v>
      </c>
    </row>
    <row r="3806" spans="1:8" x14ac:dyDescent="0.25">
      <c r="A3806" s="2">
        <v>31325</v>
      </c>
      <c r="B3806">
        <v>62.168999999999997</v>
      </c>
      <c r="C3806">
        <v>-124.256</v>
      </c>
      <c r="D3806" t="s">
        <v>14</v>
      </c>
      <c r="E3806" t="s">
        <v>585</v>
      </c>
      <c r="F3806">
        <f t="shared" si="118"/>
        <v>1985</v>
      </c>
      <c r="G3806">
        <f t="shared" si="119"/>
        <v>10</v>
      </c>
      <c r="H3806" t="str">
        <f>IF(ISNUMBER(FIND(",", E3806)), TRIM(MID(E3806, FIND(",", E3806) + 1, LEN(E3806))), E3806)</f>
        <v>Canada</v>
      </c>
    </row>
    <row r="3807" spans="1:8" x14ac:dyDescent="0.25">
      <c r="A3807" s="2">
        <v>31317</v>
      </c>
      <c r="B3807">
        <v>-9.7959999999999994</v>
      </c>
      <c r="C3807">
        <v>159.91399999999999</v>
      </c>
      <c r="D3807" t="s">
        <v>14</v>
      </c>
      <c r="E3807" t="s">
        <v>221</v>
      </c>
      <c r="F3807">
        <f t="shared" si="118"/>
        <v>1985</v>
      </c>
      <c r="G3807">
        <f t="shared" si="119"/>
        <v>9</v>
      </c>
      <c r="H3807" t="str">
        <f>IF(ISNUMBER(FIND(",", E3807)), TRIM(MID(E3807, FIND(",", E3807) + 1, LEN(E3807))), E3807)</f>
        <v>Solomon Islands</v>
      </c>
    </row>
    <row r="3808" spans="1:8" x14ac:dyDescent="0.25">
      <c r="A3808" s="2">
        <v>31316</v>
      </c>
      <c r="B3808">
        <v>-34.646999999999998</v>
      </c>
      <c r="C3808">
        <v>-178.52</v>
      </c>
      <c r="D3808" t="s">
        <v>14</v>
      </c>
      <c r="E3808" t="s">
        <v>262</v>
      </c>
      <c r="F3808">
        <f t="shared" si="118"/>
        <v>1985</v>
      </c>
      <c r="G3808">
        <f t="shared" si="119"/>
        <v>9</v>
      </c>
      <c r="H3808" t="str">
        <f>IF(ISNUMBER(FIND(",", E3808)), TRIM(MID(E3808, FIND(",", E3808) + 1, LEN(E3808))), E3808)</f>
        <v>south of the Kermadec Islands</v>
      </c>
    </row>
    <row r="3809" spans="1:8" x14ac:dyDescent="0.25">
      <c r="A3809" s="2">
        <v>31311</v>
      </c>
      <c r="B3809">
        <v>17.827000000000002</v>
      </c>
      <c r="C3809">
        <v>-101.622</v>
      </c>
      <c r="D3809" t="s">
        <v>14</v>
      </c>
      <c r="E3809" t="s">
        <v>192</v>
      </c>
      <c r="F3809">
        <f t="shared" si="118"/>
        <v>1985</v>
      </c>
      <c r="G3809">
        <f t="shared" si="119"/>
        <v>9</v>
      </c>
      <c r="H3809" t="str">
        <f>IF(ISNUMBER(FIND(",", E3809)), TRIM(MID(E3809, FIND(",", E3809) + 1, LEN(E3809))), E3809)</f>
        <v>Mexico</v>
      </c>
    </row>
    <row r="3810" spans="1:8" x14ac:dyDescent="0.25">
      <c r="A3810" s="2">
        <v>31309</v>
      </c>
      <c r="B3810">
        <v>18.454999999999998</v>
      </c>
      <c r="C3810">
        <v>-102.36799999999999</v>
      </c>
      <c r="D3810" t="s">
        <v>14</v>
      </c>
      <c r="E3810" t="s">
        <v>248</v>
      </c>
      <c r="F3810">
        <f t="shared" si="118"/>
        <v>1985</v>
      </c>
      <c r="G3810">
        <f t="shared" si="119"/>
        <v>9</v>
      </c>
      <c r="H3810" t="str">
        <f>IF(ISNUMBER(FIND(",", E3810)), TRIM(MID(E3810, FIND(",", E3810) + 1, LEN(E3810))), E3810)</f>
        <v>Mexico</v>
      </c>
    </row>
    <row r="3811" spans="1:8" x14ac:dyDescent="0.25">
      <c r="A3811" s="2">
        <v>31305</v>
      </c>
      <c r="B3811">
        <v>-4.0640000000000001</v>
      </c>
      <c r="C3811">
        <v>136.096</v>
      </c>
      <c r="D3811" t="s">
        <v>14</v>
      </c>
      <c r="E3811" t="s">
        <v>204</v>
      </c>
      <c r="F3811">
        <f t="shared" si="118"/>
        <v>1985</v>
      </c>
      <c r="G3811">
        <f t="shared" si="119"/>
        <v>9</v>
      </c>
      <c r="H3811" t="str">
        <f>IF(ISNUMBER(FIND(",", E3811)), TRIM(MID(E3811, FIND(",", E3811) + 1, LEN(E3811))), E3811)</f>
        <v>Indonesia</v>
      </c>
    </row>
    <row r="3812" spans="1:8" x14ac:dyDescent="0.25">
      <c r="A3812" s="2">
        <v>31305</v>
      </c>
      <c r="B3812">
        <v>-4.1180000000000003</v>
      </c>
      <c r="C3812">
        <v>136.29</v>
      </c>
      <c r="D3812" t="s">
        <v>14</v>
      </c>
      <c r="E3812" t="s">
        <v>204</v>
      </c>
      <c r="F3812">
        <f t="shared" si="118"/>
        <v>1985</v>
      </c>
      <c r="G3812">
        <f t="shared" si="119"/>
        <v>9</v>
      </c>
      <c r="H3812" t="str">
        <f>IF(ISNUMBER(FIND(",", E3812)), TRIM(MID(E3812, FIND(",", E3812) + 1, LEN(E3812))), E3812)</f>
        <v>Indonesia</v>
      </c>
    </row>
    <row r="3813" spans="1:8" x14ac:dyDescent="0.25">
      <c r="A3813" s="2">
        <v>31301</v>
      </c>
      <c r="B3813">
        <v>39.362000000000002</v>
      </c>
      <c r="C3813">
        <v>75.430000000000007</v>
      </c>
      <c r="D3813" t="s">
        <v>14</v>
      </c>
      <c r="E3813" t="s">
        <v>482</v>
      </c>
      <c r="F3813">
        <f t="shared" si="118"/>
        <v>1985</v>
      </c>
      <c r="G3813">
        <f t="shared" si="119"/>
        <v>9</v>
      </c>
      <c r="H3813" t="str">
        <f>IF(ISNUMBER(FIND(",", E3813)), TRIM(MID(E3813, FIND(",", E3813) + 1, LEN(E3813))), E3813)</f>
        <v>China</v>
      </c>
    </row>
    <row r="3814" spans="1:8" x14ac:dyDescent="0.25">
      <c r="A3814" s="2">
        <v>31300</v>
      </c>
      <c r="B3814">
        <v>27.141999999999999</v>
      </c>
      <c r="C3814">
        <v>139.94399999999999</v>
      </c>
      <c r="D3814" t="s">
        <v>14</v>
      </c>
      <c r="E3814" t="s">
        <v>233</v>
      </c>
      <c r="F3814">
        <f t="shared" si="118"/>
        <v>1985</v>
      </c>
      <c r="G3814">
        <f t="shared" si="119"/>
        <v>9</v>
      </c>
      <c r="H3814" t="str">
        <f>IF(ISNUMBER(FIND(",", E3814)), TRIM(MID(E3814, FIND(",", E3814) + 1, LEN(E3814))), E3814)</f>
        <v>Japan region</v>
      </c>
    </row>
    <row r="3815" spans="1:8" x14ac:dyDescent="0.25">
      <c r="A3815" s="2">
        <v>31300</v>
      </c>
      <c r="B3815">
        <v>-6.3390000000000004</v>
      </c>
      <c r="C3815">
        <v>149.78800000000001</v>
      </c>
      <c r="D3815" t="s">
        <v>14</v>
      </c>
      <c r="E3815" t="s">
        <v>190</v>
      </c>
      <c r="F3815">
        <f t="shared" si="118"/>
        <v>1985</v>
      </c>
      <c r="G3815">
        <f t="shared" si="119"/>
        <v>9</v>
      </c>
      <c r="H3815" t="str">
        <f>IF(ISNUMBER(FIND(",", E3815)), TRIM(MID(E3815, FIND(",", E3815) + 1, LEN(E3815))), E3815)</f>
        <v>Papua New Guinea</v>
      </c>
    </row>
    <row r="3816" spans="1:8" x14ac:dyDescent="0.25">
      <c r="A3816" s="2">
        <v>31287</v>
      </c>
      <c r="B3816">
        <v>-21.016999999999999</v>
      </c>
      <c r="C3816">
        <v>-178.90100000000001</v>
      </c>
      <c r="D3816" t="s">
        <v>14</v>
      </c>
      <c r="E3816" t="s">
        <v>53</v>
      </c>
      <c r="F3816">
        <f t="shared" si="118"/>
        <v>1985</v>
      </c>
      <c r="G3816">
        <f t="shared" si="119"/>
        <v>8</v>
      </c>
      <c r="H3816" t="str">
        <f>IF(ISNUMBER(FIND(",", E3816)), TRIM(MID(E3816, FIND(",", E3816) + 1, LEN(E3816))), E3816)</f>
        <v>Fiji region</v>
      </c>
    </row>
    <row r="3817" spans="1:8" x14ac:dyDescent="0.25">
      <c r="A3817" s="2">
        <v>31282</v>
      </c>
      <c r="B3817">
        <v>39.445</v>
      </c>
      <c r="C3817">
        <v>75.241</v>
      </c>
      <c r="D3817" t="s">
        <v>14</v>
      </c>
      <c r="E3817" t="s">
        <v>482</v>
      </c>
      <c r="F3817">
        <f t="shared" si="118"/>
        <v>1985</v>
      </c>
      <c r="G3817">
        <f t="shared" si="119"/>
        <v>8</v>
      </c>
      <c r="H3817" t="str">
        <f>IF(ISNUMBER(FIND(",", E3817)), TRIM(MID(E3817, FIND(",", E3817) + 1, LEN(E3817))), E3817)</f>
        <v>China</v>
      </c>
    </row>
    <row r="3818" spans="1:8" x14ac:dyDescent="0.25">
      <c r="A3818" s="2">
        <v>31280</v>
      </c>
      <c r="B3818">
        <v>-9.1809999999999992</v>
      </c>
      <c r="C3818">
        <v>-78.852000000000004</v>
      </c>
      <c r="D3818" t="s">
        <v>14</v>
      </c>
      <c r="E3818" t="s">
        <v>376</v>
      </c>
      <c r="F3818">
        <f t="shared" si="118"/>
        <v>1985</v>
      </c>
      <c r="G3818">
        <f t="shared" si="119"/>
        <v>8</v>
      </c>
      <c r="H3818" t="str">
        <f>IF(ISNUMBER(FIND(",", E3818)), TRIM(MID(E3818, FIND(",", E3818) + 1, LEN(E3818))), E3818)</f>
        <v>near the coast of northern Peru</v>
      </c>
    </row>
    <row r="3819" spans="1:8" x14ac:dyDescent="0.25">
      <c r="A3819" s="2">
        <v>31271</v>
      </c>
      <c r="B3819">
        <v>37.795000000000002</v>
      </c>
      <c r="C3819">
        <v>141.72399999999999</v>
      </c>
      <c r="D3819" t="s">
        <v>14</v>
      </c>
      <c r="E3819" t="s">
        <v>227</v>
      </c>
      <c r="F3819">
        <f t="shared" si="118"/>
        <v>1985</v>
      </c>
      <c r="G3819">
        <f t="shared" si="119"/>
        <v>8</v>
      </c>
      <c r="H3819" t="str">
        <f>IF(ISNUMBER(FIND(",", E3819)), TRIM(MID(E3819, FIND(",", E3819) + 1, LEN(E3819))), E3819)</f>
        <v>Japan</v>
      </c>
    </row>
    <row r="3820" spans="1:8" x14ac:dyDescent="0.25">
      <c r="A3820" s="2">
        <v>31271</v>
      </c>
      <c r="B3820">
        <v>-38.478000000000002</v>
      </c>
      <c r="C3820">
        <v>-73.667000000000002</v>
      </c>
      <c r="D3820" t="s">
        <v>14</v>
      </c>
      <c r="E3820" t="s">
        <v>593</v>
      </c>
      <c r="F3820">
        <f t="shared" si="118"/>
        <v>1985</v>
      </c>
      <c r="G3820">
        <f t="shared" si="119"/>
        <v>8</v>
      </c>
      <c r="H3820" t="str">
        <f>IF(ISNUMBER(FIND(",", E3820)), TRIM(MID(E3820, FIND(",", E3820) + 1, LEN(E3820))), E3820)</f>
        <v>Chile</v>
      </c>
    </row>
    <row r="3821" spans="1:8" x14ac:dyDescent="0.25">
      <c r="A3821" s="2">
        <v>31270</v>
      </c>
      <c r="B3821">
        <v>54.149000000000001</v>
      </c>
      <c r="C3821">
        <v>168.703</v>
      </c>
      <c r="D3821" t="s">
        <v>14</v>
      </c>
      <c r="E3821" t="s">
        <v>443</v>
      </c>
      <c r="F3821">
        <f t="shared" si="118"/>
        <v>1985</v>
      </c>
      <c r="G3821">
        <f t="shared" si="119"/>
        <v>8</v>
      </c>
      <c r="H3821" t="str">
        <f>IF(ISNUMBER(FIND(",", E3821)), TRIM(MID(E3821, FIND(",", E3821) + 1, LEN(E3821))), E3821)</f>
        <v>Russia region</v>
      </c>
    </row>
    <row r="3822" spans="1:8" x14ac:dyDescent="0.25">
      <c r="A3822" s="2">
        <v>31268</v>
      </c>
      <c r="B3822">
        <v>16.937000000000001</v>
      </c>
      <c r="C3822">
        <v>120.16200000000001</v>
      </c>
      <c r="D3822" t="s">
        <v>14</v>
      </c>
      <c r="E3822" t="s">
        <v>297</v>
      </c>
      <c r="F3822">
        <f t="shared" si="118"/>
        <v>1985</v>
      </c>
      <c r="G3822">
        <f t="shared" si="119"/>
        <v>8</v>
      </c>
      <c r="H3822" t="str">
        <f>IF(ISNUMBER(FIND(",", E3822)), TRIM(MID(E3822, FIND(",", E3822) + 1, LEN(E3822))), E3822)</f>
        <v>Philippines</v>
      </c>
    </row>
    <row r="3823" spans="1:8" x14ac:dyDescent="0.25">
      <c r="A3823" s="2">
        <v>31267</v>
      </c>
      <c r="B3823">
        <v>-6.1130000000000004</v>
      </c>
      <c r="C3823">
        <v>113.43899999999999</v>
      </c>
      <c r="D3823" t="s">
        <v>14</v>
      </c>
      <c r="E3823" t="s">
        <v>358</v>
      </c>
      <c r="F3823">
        <f t="shared" si="118"/>
        <v>1985</v>
      </c>
      <c r="G3823">
        <f t="shared" si="119"/>
        <v>8</v>
      </c>
      <c r="H3823" t="str">
        <f>IF(ISNUMBER(FIND(",", E3823)), TRIM(MID(E3823, FIND(",", E3823) + 1, LEN(E3823))), E3823)</f>
        <v>Indonesia</v>
      </c>
    </row>
    <row r="3824" spans="1:8" x14ac:dyDescent="0.25">
      <c r="A3824" s="2">
        <v>31263</v>
      </c>
      <c r="B3824">
        <v>36.134999999999998</v>
      </c>
      <c r="C3824">
        <v>-120.11</v>
      </c>
      <c r="D3824" t="s">
        <v>14</v>
      </c>
      <c r="E3824" t="s">
        <v>464</v>
      </c>
      <c r="F3824">
        <f t="shared" si="118"/>
        <v>1985</v>
      </c>
      <c r="G3824">
        <f t="shared" si="119"/>
        <v>8</v>
      </c>
      <c r="H3824" t="str">
        <f>IF(ISNUMBER(FIND(",", E3824)), TRIM(MID(E3824, FIND(",", E3824) + 1, LEN(E3824))), E3824)</f>
        <v>Central California</v>
      </c>
    </row>
    <row r="3825" spans="1:8" x14ac:dyDescent="0.25">
      <c r="A3825" s="2">
        <v>31263</v>
      </c>
      <c r="B3825">
        <v>7.4539999999999997</v>
      </c>
      <c r="C3825">
        <v>123.422</v>
      </c>
      <c r="D3825" t="s">
        <v>14</v>
      </c>
      <c r="E3825" t="s">
        <v>200</v>
      </c>
      <c r="F3825">
        <f t="shared" si="118"/>
        <v>1985</v>
      </c>
      <c r="G3825">
        <f t="shared" si="119"/>
        <v>8</v>
      </c>
      <c r="H3825" t="str">
        <f>IF(ISNUMBER(FIND(",", E3825)), TRIM(MID(E3825, FIND(",", E3825) + 1, LEN(E3825))), E3825)</f>
        <v>Philippines</v>
      </c>
    </row>
    <row r="3826" spans="1:8" x14ac:dyDescent="0.25">
      <c r="A3826" s="2">
        <v>31261</v>
      </c>
      <c r="B3826">
        <v>36.140999999999998</v>
      </c>
      <c r="C3826">
        <v>70.802000000000007</v>
      </c>
      <c r="D3826" t="s">
        <v>14</v>
      </c>
      <c r="E3826" t="s">
        <v>314</v>
      </c>
      <c r="F3826">
        <f t="shared" si="118"/>
        <v>1985</v>
      </c>
      <c r="G3826">
        <f t="shared" si="119"/>
        <v>8</v>
      </c>
      <c r="H3826" t="str">
        <f>IF(ISNUMBER(FIND(",", E3826)), TRIM(MID(E3826, FIND(",", E3826) + 1, LEN(E3826))), E3826)</f>
        <v>Afghanistan</v>
      </c>
    </row>
    <row r="3827" spans="1:8" x14ac:dyDescent="0.25">
      <c r="A3827" s="2">
        <v>31257</v>
      </c>
      <c r="B3827">
        <v>36.164000000000001</v>
      </c>
      <c r="C3827">
        <v>70.863</v>
      </c>
      <c r="D3827" t="s">
        <v>14</v>
      </c>
      <c r="E3827" t="s">
        <v>314</v>
      </c>
      <c r="F3827">
        <f t="shared" si="118"/>
        <v>1985</v>
      </c>
      <c r="G3827">
        <f t="shared" si="119"/>
        <v>7</v>
      </c>
      <c r="H3827" t="str">
        <f>IF(ISNUMBER(FIND(",", E3827)), TRIM(MID(E3827, FIND(",", E3827) + 1, LEN(E3827))), E3827)</f>
        <v>Afghanistan</v>
      </c>
    </row>
    <row r="3828" spans="1:8" x14ac:dyDescent="0.25">
      <c r="A3828" s="2">
        <v>31256</v>
      </c>
      <c r="B3828">
        <v>-60.363999999999997</v>
      </c>
      <c r="C3828">
        <v>-27.132000000000001</v>
      </c>
      <c r="D3828" t="s">
        <v>14</v>
      </c>
      <c r="E3828" t="s">
        <v>260</v>
      </c>
      <c r="F3828">
        <f t="shared" si="118"/>
        <v>1985</v>
      </c>
      <c r="G3828">
        <f t="shared" si="119"/>
        <v>7</v>
      </c>
      <c r="H3828" t="str">
        <f>IF(ISNUMBER(FIND(",", E3828)), TRIM(MID(E3828, FIND(",", E3828) + 1, LEN(E3828))), E3828)</f>
        <v>South Sandwich Islands region</v>
      </c>
    </row>
    <row r="3829" spans="1:8" x14ac:dyDescent="0.25">
      <c r="A3829" s="2">
        <v>31250</v>
      </c>
      <c r="B3829">
        <v>-6.2290000000000001</v>
      </c>
      <c r="C3829">
        <v>148.816</v>
      </c>
      <c r="D3829" t="s">
        <v>14</v>
      </c>
      <c r="E3829" t="s">
        <v>190</v>
      </c>
      <c r="F3829">
        <f t="shared" si="118"/>
        <v>1985</v>
      </c>
      <c r="G3829">
        <f t="shared" si="119"/>
        <v>7</v>
      </c>
      <c r="H3829" t="str">
        <f>IF(ISNUMBER(FIND(",", E3829)), TRIM(MID(E3829, FIND(",", E3829) + 1, LEN(E3829))), E3829)</f>
        <v>Papua New Guinea</v>
      </c>
    </row>
    <row r="3830" spans="1:8" x14ac:dyDescent="0.25">
      <c r="A3830" s="2">
        <v>31238</v>
      </c>
      <c r="B3830">
        <v>-38.470999999999997</v>
      </c>
      <c r="C3830">
        <v>-91.549000000000007</v>
      </c>
      <c r="D3830" t="s">
        <v>14</v>
      </c>
      <c r="E3830" t="s">
        <v>71</v>
      </c>
      <c r="F3830">
        <f t="shared" si="118"/>
        <v>1985</v>
      </c>
      <c r="G3830">
        <f t="shared" si="119"/>
        <v>7</v>
      </c>
      <c r="H3830" t="str">
        <f>IF(ISNUMBER(FIND(",", E3830)), TRIM(MID(E3830, FIND(",", E3830) + 1, LEN(E3830))), E3830)</f>
        <v>West Chile Rise</v>
      </c>
    </row>
    <row r="3831" spans="1:8" x14ac:dyDescent="0.25">
      <c r="A3831" s="2">
        <v>31236</v>
      </c>
      <c r="B3831">
        <v>-59.698999999999998</v>
      </c>
      <c r="C3831">
        <v>150.00399999999999</v>
      </c>
      <c r="D3831" t="s">
        <v>14</v>
      </c>
      <c r="E3831" t="s">
        <v>205</v>
      </c>
      <c r="F3831">
        <f t="shared" si="118"/>
        <v>1985</v>
      </c>
      <c r="G3831">
        <f t="shared" si="119"/>
        <v>7</v>
      </c>
      <c r="H3831" t="str">
        <f>IF(ISNUMBER(FIND(",", E3831)), TRIM(MID(E3831, FIND(",", E3831) + 1, LEN(E3831))), E3831)</f>
        <v>west of Macquarie Island</v>
      </c>
    </row>
    <row r="3832" spans="1:8" x14ac:dyDescent="0.25">
      <c r="A3832" s="2">
        <v>31234</v>
      </c>
      <c r="B3832">
        <v>-29.696999999999999</v>
      </c>
      <c r="C3832">
        <v>-177.69200000000001</v>
      </c>
      <c r="D3832" t="s">
        <v>14</v>
      </c>
      <c r="E3832" t="s">
        <v>288</v>
      </c>
      <c r="F3832">
        <f t="shared" si="118"/>
        <v>1985</v>
      </c>
      <c r="G3832">
        <f t="shared" si="119"/>
        <v>7</v>
      </c>
      <c r="H3832" t="str">
        <f>IF(ISNUMBER(FIND(",", E3832)), TRIM(MID(E3832, FIND(",", E3832) + 1, LEN(E3832))), E3832)</f>
        <v>New Zealand</v>
      </c>
    </row>
    <row r="3833" spans="1:8" x14ac:dyDescent="0.25">
      <c r="A3833" s="2">
        <v>31231</v>
      </c>
      <c r="B3833">
        <v>-17.210999999999999</v>
      </c>
      <c r="C3833">
        <v>167.86699999999999</v>
      </c>
      <c r="D3833" t="s">
        <v>14</v>
      </c>
      <c r="E3833" t="s">
        <v>181</v>
      </c>
      <c r="F3833">
        <f t="shared" si="118"/>
        <v>1985</v>
      </c>
      <c r="G3833">
        <f t="shared" si="119"/>
        <v>7</v>
      </c>
      <c r="H3833" t="str">
        <f>IF(ISNUMBER(FIND(",", E3833)), TRIM(MID(E3833, FIND(",", E3833) + 1, LEN(E3833))), E3833)</f>
        <v>Vanuatu</v>
      </c>
    </row>
    <row r="3834" spans="1:8" x14ac:dyDescent="0.25">
      <c r="A3834" s="2">
        <v>31231</v>
      </c>
      <c r="B3834">
        <v>-4.4530000000000003</v>
      </c>
      <c r="C3834">
        <v>152.87899999999999</v>
      </c>
      <c r="D3834" t="s">
        <v>14</v>
      </c>
      <c r="E3834" t="s">
        <v>190</v>
      </c>
      <c r="F3834">
        <f t="shared" si="118"/>
        <v>1985</v>
      </c>
      <c r="G3834">
        <f t="shared" si="119"/>
        <v>7</v>
      </c>
      <c r="H3834" t="str">
        <f>IF(ISNUMBER(FIND(",", E3834)), TRIM(MID(E3834, FIND(",", E3834) + 1, LEN(E3834))), E3834)</f>
        <v>Papua New Guinea</v>
      </c>
    </row>
    <row r="3835" spans="1:8" x14ac:dyDescent="0.25">
      <c r="A3835" s="2">
        <v>31231</v>
      </c>
      <c r="B3835">
        <v>-54.970999999999997</v>
      </c>
      <c r="C3835">
        <v>146.44900000000001</v>
      </c>
      <c r="D3835" t="s">
        <v>14</v>
      </c>
      <c r="E3835" t="s">
        <v>205</v>
      </c>
      <c r="F3835">
        <f t="shared" si="118"/>
        <v>1985</v>
      </c>
      <c r="G3835">
        <f t="shared" si="119"/>
        <v>7</v>
      </c>
      <c r="H3835" t="str">
        <f>IF(ISNUMBER(FIND(",", E3835)), TRIM(MID(E3835, FIND(",", E3835) + 1, LEN(E3835))), E3835)</f>
        <v>west of Macquarie Island</v>
      </c>
    </row>
    <row r="3836" spans="1:8" x14ac:dyDescent="0.25">
      <c r="A3836" s="2">
        <v>31228</v>
      </c>
      <c r="B3836">
        <v>49.860999999999997</v>
      </c>
      <c r="C3836">
        <v>78.695999999999998</v>
      </c>
      <c r="D3836" t="s">
        <v>13</v>
      </c>
      <c r="E3836" t="s">
        <v>571</v>
      </c>
      <c r="F3836">
        <f t="shared" si="118"/>
        <v>1985</v>
      </c>
      <c r="G3836">
        <f t="shared" si="119"/>
        <v>6</v>
      </c>
      <c r="H3836" t="str">
        <f>IF(ISNUMBER(FIND(",", E3836)), TRIM(MID(E3836, FIND(",", E3836) + 1, LEN(E3836))), E3836)</f>
        <v>eastern Kazakhstan</v>
      </c>
    </row>
    <row r="3837" spans="1:8" x14ac:dyDescent="0.25">
      <c r="A3837" s="2">
        <v>31221</v>
      </c>
      <c r="B3837">
        <v>-10.914</v>
      </c>
      <c r="C3837">
        <v>163.892</v>
      </c>
      <c r="D3837" t="s">
        <v>14</v>
      </c>
      <c r="E3837" t="s">
        <v>221</v>
      </c>
      <c r="F3837">
        <f t="shared" si="118"/>
        <v>1985</v>
      </c>
      <c r="G3837">
        <f t="shared" si="119"/>
        <v>6</v>
      </c>
      <c r="H3837" t="str">
        <f>IF(ISNUMBER(FIND(",", E3837)), TRIM(MID(E3837, FIND(",", E3837) + 1, LEN(E3837))), E3837)</f>
        <v>Solomon Islands</v>
      </c>
    </row>
    <row r="3838" spans="1:8" x14ac:dyDescent="0.25">
      <c r="A3838" s="2">
        <v>31221</v>
      </c>
      <c r="B3838">
        <v>-10.946</v>
      </c>
      <c r="C3838">
        <v>163.85599999999999</v>
      </c>
      <c r="D3838" t="s">
        <v>14</v>
      </c>
      <c r="E3838" t="s">
        <v>221</v>
      </c>
      <c r="F3838">
        <f t="shared" si="118"/>
        <v>1985</v>
      </c>
      <c r="G3838">
        <f t="shared" si="119"/>
        <v>6</v>
      </c>
      <c r="H3838" t="str">
        <f>IF(ISNUMBER(FIND(",", E3838)), TRIM(MID(E3838, FIND(",", E3838) + 1, LEN(E3838))), E3838)</f>
        <v>Solomon Islands</v>
      </c>
    </row>
    <row r="3839" spans="1:8" x14ac:dyDescent="0.25">
      <c r="A3839" s="2">
        <v>31221</v>
      </c>
      <c r="B3839">
        <v>-10.973000000000001</v>
      </c>
      <c r="C3839">
        <v>163.68</v>
      </c>
      <c r="D3839" t="s">
        <v>14</v>
      </c>
      <c r="E3839" t="s">
        <v>221</v>
      </c>
      <c r="F3839">
        <f t="shared" si="118"/>
        <v>1985</v>
      </c>
      <c r="G3839">
        <f t="shared" si="119"/>
        <v>6</v>
      </c>
      <c r="H3839" t="str">
        <f>IF(ISNUMBER(FIND(",", E3839)), TRIM(MID(E3839, FIND(",", E3839) + 1, LEN(E3839))), E3839)</f>
        <v>Solomon Islands</v>
      </c>
    </row>
    <row r="3840" spans="1:8" x14ac:dyDescent="0.25">
      <c r="A3840" s="2">
        <v>31213</v>
      </c>
      <c r="B3840">
        <v>49.889000000000003</v>
      </c>
      <c r="C3840">
        <v>78.881</v>
      </c>
      <c r="D3840" t="s">
        <v>13</v>
      </c>
      <c r="E3840" t="s">
        <v>571</v>
      </c>
      <c r="F3840">
        <f t="shared" si="118"/>
        <v>1985</v>
      </c>
      <c r="G3840">
        <f t="shared" si="119"/>
        <v>6</v>
      </c>
      <c r="H3840" t="str">
        <f>IF(ISNUMBER(FIND(",", E3840)), TRIM(MID(E3840, FIND(",", E3840) + 1, LEN(E3840))), E3840)</f>
        <v>eastern Kazakhstan</v>
      </c>
    </row>
    <row r="3841" spans="1:8" x14ac:dyDescent="0.25">
      <c r="A3841" s="2">
        <v>31208</v>
      </c>
      <c r="B3841">
        <v>-27.963000000000001</v>
      </c>
      <c r="C3841">
        <v>-66.878</v>
      </c>
      <c r="D3841" t="s">
        <v>14</v>
      </c>
      <c r="E3841" t="s">
        <v>466</v>
      </c>
      <c r="F3841">
        <f t="shared" si="118"/>
        <v>1985</v>
      </c>
      <c r="G3841">
        <f t="shared" si="119"/>
        <v>6</v>
      </c>
      <c r="H3841" t="str">
        <f>IF(ISNUMBER(FIND(",", E3841)), TRIM(MID(E3841, FIND(",", E3841) + 1, LEN(E3841))), E3841)</f>
        <v>Argentina</v>
      </c>
    </row>
    <row r="3842" spans="1:8" x14ac:dyDescent="0.25">
      <c r="A3842" s="2">
        <v>31204</v>
      </c>
      <c r="B3842">
        <v>0.93100000000000005</v>
      </c>
      <c r="C3842">
        <v>-28.471</v>
      </c>
      <c r="D3842" t="s">
        <v>14</v>
      </c>
      <c r="E3842" t="s">
        <v>291</v>
      </c>
      <c r="F3842">
        <f t="shared" ref="F3842:F3905" si="120">YEAR(A3842)</f>
        <v>1985</v>
      </c>
      <c r="G3842">
        <f t="shared" si="119"/>
        <v>6</v>
      </c>
      <c r="H3842" t="str">
        <f>IF(ISNUMBER(FIND(",", E3842)), TRIM(MID(E3842, FIND(",", E3842) + 1, LEN(E3842))), E3842)</f>
        <v>central Mid-Atlantic Ridge</v>
      </c>
    </row>
    <row r="3843" spans="1:8" x14ac:dyDescent="0.25">
      <c r="A3843" s="2">
        <v>31203</v>
      </c>
      <c r="B3843">
        <v>-4.66</v>
      </c>
      <c r="C3843">
        <v>153.232</v>
      </c>
      <c r="D3843" t="s">
        <v>14</v>
      </c>
      <c r="E3843" t="s">
        <v>183</v>
      </c>
      <c r="F3843">
        <f t="shared" si="120"/>
        <v>1985</v>
      </c>
      <c r="G3843">
        <f t="shared" ref="G3843:G3906" si="121">MONTH(A3843)</f>
        <v>6</v>
      </c>
      <c r="H3843" t="str">
        <f>IF(ISNUMBER(FIND(",", E3843)), TRIM(MID(E3843, FIND(",", E3843) + 1, LEN(E3843))), E3843)</f>
        <v>Papua New Guinea</v>
      </c>
    </row>
    <row r="3844" spans="1:8" x14ac:dyDescent="0.25">
      <c r="A3844" s="2">
        <v>31202</v>
      </c>
      <c r="B3844">
        <v>4.9139999999999997</v>
      </c>
      <c r="C3844">
        <v>127.491</v>
      </c>
      <c r="D3844" t="s">
        <v>14</v>
      </c>
      <c r="E3844" t="s">
        <v>372</v>
      </c>
      <c r="F3844">
        <f t="shared" si="120"/>
        <v>1985</v>
      </c>
      <c r="G3844">
        <f t="shared" si="121"/>
        <v>6</v>
      </c>
      <c r="H3844" t="str">
        <f>IF(ISNUMBER(FIND(",", E3844)), TRIM(MID(E3844, FIND(",", E3844) + 1, LEN(E3844))), E3844)</f>
        <v>Indonesia</v>
      </c>
    </row>
    <row r="3845" spans="1:8" x14ac:dyDescent="0.25">
      <c r="A3845" s="2">
        <v>31201</v>
      </c>
      <c r="B3845">
        <v>-15.349</v>
      </c>
      <c r="C3845">
        <v>-173.38499999999999</v>
      </c>
      <c r="D3845" t="s">
        <v>14</v>
      </c>
      <c r="E3845" t="s">
        <v>239</v>
      </c>
      <c r="F3845">
        <f t="shared" si="120"/>
        <v>1985</v>
      </c>
      <c r="G3845">
        <f t="shared" si="121"/>
        <v>6</v>
      </c>
      <c r="H3845" t="str">
        <f>IF(ISNUMBER(FIND(",", E3845)), TRIM(MID(E3845, FIND(",", E3845) + 1, LEN(E3845))), E3845)</f>
        <v>Tonga</v>
      </c>
    </row>
    <row r="3846" spans="1:8" x14ac:dyDescent="0.25">
      <c r="A3846" s="2">
        <v>31201</v>
      </c>
      <c r="B3846">
        <v>13.212</v>
      </c>
      <c r="C3846">
        <v>-90.072999999999993</v>
      </c>
      <c r="D3846" t="s">
        <v>14</v>
      </c>
      <c r="E3846" t="s">
        <v>461</v>
      </c>
      <c r="F3846">
        <f t="shared" si="120"/>
        <v>1985</v>
      </c>
      <c r="G3846">
        <f t="shared" si="121"/>
        <v>6</v>
      </c>
      <c r="H3846" t="str">
        <f>IF(ISNUMBER(FIND(",", E3846)), TRIM(MID(E3846, FIND(",", E3846) + 1, LEN(E3846))), E3846)</f>
        <v>offshore El Salvador</v>
      </c>
    </row>
    <row r="3847" spans="1:8" x14ac:dyDescent="0.25">
      <c r="A3847" s="2">
        <v>31191</v>
      </c>
      <c r="B3847">
        <v>51.417999999999999</v>
      </c>
      <c r="C3847">
        <v>-178.37799999999999</v>
      </c>
      <c r="D3847" t="s">
        <v>14</v>
      </c>
      <c r="E3847" t="s">
        <v>207</v>
      </c>
      <c r="F3847">
        <f t="shared" si="120"/>
        <v>1985</v>
      </c>
      <c r="G3847">
        <f t="shared" si="121"/>
        <v>5</v>
      </c>
      <c r="H3847" t="str">
        <f>IF(ISNUMBER(FIND(",", E3847)), TRIM(MID(E3847, FIND(",", E3847) + 1, LEN(E3847))), E3847)</f>
        <v>Aleutian Islands, Alaska</v>
      </c>
    </row>
    <row r="3848" spans="1:8" x14ac:dyDescent="0.25">
      <c r="A3848" s="2">
        <v>31186</v>
      </c>
      <c r="B3848">
        <v>-30.257000000000001</v>
      </c>
      <c r="C3848">
        <v>-71.34</v>
      </c>
      <c r="D3848" t="s">
        <v>14</v>
      </c>
      <c r="E3848" t="s">
        <v>193</v>
      </c>
      <c r="F3848">
        <f t="shared" si="120"/>
        <v>1985</v>
      </c>
      <c r="G3848">
        <f t="shared" si="121"/>
        <v>5</v>
      </c>
      <c r="H3848" t="str">
        <f>IF(ISNUMBER(FIND(",", E3848)), TRIM(MID(E3848, FIND(",", E3848) + 1, LEN(E3848))), E3848)</f>
        <v>Chile</v>
      </c>
    </row>
    <row r="3849" spans="1:8" x14ac:dyDescent="0.25">
      <c r="A3849" s="2">
        <v>31183</v>
      </c>
      <c r="B3849">
        <v>-29.062999999999999</v>
      </c>
      <c r="C3849">
        <v>77.683999999999997</v>
      </c>
      <c r="D3849" t="s">
        <v>14</v>
      </c>
      <c r="E3849" t="s">
        <v>377</v>
      </c>
      <c r="F3849">
        <f t="shared" si="120"/>
        <v>1985</v>
      </c>
      <c r="G3849">
        <f t="shared" si="121"/>
        <v>5</v>
      </c>
      <c r="H3849" t="str">
        <f>IF(ISNUMBER(FIND(",", E3849)), TRIM(MID(E3849, FIND(",", E3849) + 1, LEN(E3849))), E3849)</f>
        <v>Mid-Indian Ridge</v>
      </c>
    </row>
    <row r="3850" spans="1:8" x14ac:dyDescent="0.25">
      <c r="A3850" s="2">
        <v>31182</v>
      </c>
      <c r="B3850">
        <v>-56.746000000000002</v>
      </c>
      <c r="C3850">
        <v>-25.451000000000001</v>
      </c>
      <c r="D3850" t="s">
        <v>14</v>
      </c>
      <c r="E3850" t="s">
        <v>260</v>
      </c>
      <c r="F3850">
        <f t="shared" si="120"/>
        <v>1985</v>
      </c>
      <c r="G3850">
        <f t="shared" si="121"/>
        <v>5</v>
      </c>
      <c r="H3850" t="str">
        <f>IF(ISNUMBER(FIND(",", E3850)), TRIM(MID(E3850, FIND(",", E3850) + 1, LEN(E3850))), E3850)</f>
        <v>South Sandwich Islands region</v>
      </c>
    </row>
    <row r="3851" spans="1:8" x14ac:dyDescent="0.25">
      <c r="A3851" s="2">
        <v>31181</v>
      </c>
      <c r="B3851">
        <v>-10.616</v>
      </c>
      <c r="C3851">
        <v>41.411999999999999</v>
      </c>
      <c r="D3851" t="s">
        <v>14</v>
      </c>
      <c r="E3851" t="s">
        <v>594</v>
      </c>
      <c r="F3851">
        <f t="shared" si="120"/>
        <v>1985</v>
      </c>
      <c r="G3851">
        <f t="shared" si="121"/>
        <v>5</v>
      </c>
      <c r="H3851" t="str">
        <f>IF(ISNUMBER(FIND(",", E3851)), TRIM(MID(E3851, FIND(",", E3851) + 1, LEN(E3851))), E3851)</f>
        <v>Comoros region</v>
      </c>
    </row>
    <row r="3852" spans="1:8" x14ac:dyDescent="0.25">
      <c r="A3852" s="2">
        <v>31177</v>
      </c>
      <c r="B3852">
        <v>-5.5960000000000001</v>
      </c>
      <c r="C3852">
        <v>151.06100000000001</v>
      </c>
      <c r="D3852" t="s">
        <v>14</v>
      </c>
      <c r="E3852" t="s">
        <v>190</v>
      </c>
      <c r="F3852">
        <f t="shared" si="120"/>
        <v>1985</v>
      </c>
      <c r="G3852">
        <f t="shared" si="121"/>
        <v>5</v>
      </c>
      <c r="H3852" t="str">
        <f>IF(ISNUMBER(FIND(",", E3852)), TRIM(MID(E3852, FIND(",", E3852) + 1, LEN(E3852))), E3852)</f>
        <v>Papua New Guinea</v>
      </c>
    </row>
    <row r="3853" spans="1:8" x14ac:dyDescent="0.25">
      <c r="A3853" s="2">
        <v>31176</v>
      </c>
      <c r="B3853">
        <v>51.301000000000002</v>
      </c>
      <c r="C3853">
        <v>178.03899999999999</v>
      </c>
      <c r="D3853" t="s">
        <v>14</v>
      </c>
      <c r="E3853" t="s">
        <v>366</v>
      </c>
      <c r="F3853">
        <f t="shared" si="120"/>
        <v>1985</v>
      </c>
      <c r="G3853">
        <f t="shared" si="121"/>
        <v>5</v>
      </c>
      <c r="H3853" t="str">
        <f>IF(ISNUMBER(FIND(",", E3853)), TRIM(MID(E3853, FIND(",", E3853) + 1, LEN(E3853))), E3853)</f>
        <v>Aleutian Islands, Alaska</v>
      </c>
    </row>
    <row r="3854" spans="1:8" x14ac:dyDescent="0.25">
      <c r="A3854" s="2">
        <v>31176</v>
      </c>
      <c r="B3854">
        <v>51.448</v>
      </c>
      <c r="C3854">
        <v>177.93600000000001</v>
      </c>
      <c r="D3854" t="s">
        <v>14</v>
      </c>
      <c r="E3854" t="s">
        <v>366</v>
      </c>
      <c r="F3854">
        <f t="shared" si="120"/>
        <v>1985</v>
      </c>
      <c r="G3854">
        <f t="shared" si="121"/>
        <v>5</v>
      </c>
      <c r="H3854" t="str">
        <f>IF(ISNUMBER(FIND(",", E3854)), TRIM(MID(E3854, FIND(",", E3854) + 1, LEN(E3854))), E3854)</f>
        <v>Aleutian Islands, Alaska</v>
      </c>
    </row>
    <row r="3855" spans="1:8" x14ac:dyDescent="0.25">
      <c r="A3855" s="2">
        <v>31173</v>
      </c>
      <c r="B3855">
        <v>-37.545999999999999</v>
      </c>
      <c r="C3855">
        <v>179.53</v>
      </c>
      <c r="D3855" t="s">
        <v>14</v>
      </c>
      <c r="E3855" t="s">
        <v>410</v>
      </c>
      <c r="F3855">
        <f t="shared" si="120"/>
        <v>1985</v>
      </c>
      <c r="G3855">
        <f t="shared" si="121"/>
        <v>5</v>
      </c>
      <c r="H3855" t="str">
        <f>IF(ISNUMBER(FIND(",", E3855)), TRIM(MID(E3855, FIND(",", E3855) + 1, LEN(E3855))), E3855)</f>
        <v>off the east coast of the North Island of New Zealand</v>
      </c>
    </row>
    <row r="3856" spans="1:8" x14ac:dyDescent="0.25">
      <c r="A3856" s="2">
        <v>31169</v>
      </c>
      <c r="B3856">
        <v>48.890999999999998</v>
      </c>
      <c r="C3856">
        <v>156.215</v>
      </c>
      <c r="D3856" t="s">
        <v>14</v>
      </c>
      <c r="E3856" t="s">
        <v>317</v>
      </c>
      <c r="F3856">
        <f t="shared" si="120"/>
        <v>1985</v>
      </c>
      <c r="G3856">
        <f t="shared" si="121"/>
        <v>5</v>
      </c>
      <c r="H3856" t="str">
        <f>IF(ISNUMBER(FIND(",", E3856)), TRIM(MID(E3856, FIND(",", E3856) + 1, LEN(E3856))), E3856)</f>
        <v>east of the Kuril Islands</v>
      </c>
    </row>
    <row r="3857" spans="1:8" x14ac:dyDescent="0.25">
      <c r="A3857" s="2">
        <v>31168</v>
      </c>
      <c r="B3857">
        <v>-9.2349999999999994</v>
      </c>
      <c r="C3857">
        <v>-71.239999999999995</v>
      </c>
      <c r="D3857" t="s">
        <v>14</v>
      </c>
      <c r="E3857" t="s">
        <v>557</v>
      </c>
      <c r="F3857">
        <f t="shared" si="120"/>
        <v>1985</v>
      </c>
      <c r="G3857">
        <f t="shared" si="121"/>
        <v>5</v>
      </c>
      <c r="H3857" t="str">
        <f>IF(ISNUMBER(FIND(",", E3857)), TRIM(MID(E3857, FIND(",", E3857) + 1, LEN(E3857))), E3857)</f>
        <v>Peru-Brazil border region</v>
      </c>
    </row>
    <row r="3858" spans="1:8" x14ac:dyDescent="0.25">
      <c r="A3858" s="2">
        <v>31161</v>
      </c>
      <c r="B3858">
        <v>16.541</v>
      </c>
      <c r="C3858">
        <v>120.812</v>
      </c>
      <c r="D3858" t="s">
        <v>14</v>
      </c>
      <c r="E3858" t="s">
        <v>297</v>
      </c>
      <c r="F3858">
        <f t="shared" si="120"/>
        <v>1985</v>
      </c>
      <c r="G3858">
        <f t="shared" si="121"/>
        <v>4</v>
      </c>
      <c r="H3858" t="str">
        <f>IF(ISNUMBER(FIND(",", E3858)), TRIM(MID(E3858, FIND(",", E3858) + 1, LEN(E3858))), E3858)</f>
        <v>Philippines</v>
      </c>
    </row>
    <row r="3859" spans="1:8" x14ac:dyDescent="0.25">
      <c r="A3859" s="2">
        <v>31160</v>
      </c>
      <c r="B3859">
        <v>15.340999999999999</v>
      </c>
      <c r="C3859">
        <v>120.611</v>
      </c>
      <c r="D3859" t="s">
        <v>14</v>
      </c>
      <c r="E3859" t="s">
        <v>297</v>
      </c>
      <c r="F3859">
        <f t="shared" si="120"/>
        <v>1985</v>
      </c>
      <c r="G3859">
        <f t="shared" si="121"/>
        <v>4</v>
      </c>
      <c r="H3859" t="str">
        <f>IF(ISNUMBER(FIND(",", E3859)), TRIM(MID(E3859, FIND(",", E3859) + 1, LEN(E3859))), E3859)</f>
        <v>Philippines</v>
      </c>
    </row>
    <row r="3860" spans="1:8" x14ac:dyDescent="0.25">
      <c r="A3860" s="2">
        <v>31157</v>
      </c>
      <c r="B3860">
        <v>8.9830000000000005</v>
      </c>
      <c r="C3860">
        <v>-77.42</v>
      </c>
      <c r="D3860" t="s">
        <v>14</v>
      </c>
      <c r="E3860" t="s">
        <v>512</v>
      </c>
      <c r="F3860">
        <f t="shared" si="120"/>
        <v>1985</v>
      </c>
      <c r="G3860">
        <f t="shared" si="121"/>
        <v>4</v>
      </c>
      <c r="H3860" t="str">
        <f>IF(ISNUMBER(FIND(",", E3860)), TRIM(MID(E3860, FIND(",", E3860) + 1, LEN(E3860))), E3860)</f>
        <v>Panama-Colombia border region</v>
      </c>
    </row>
    <row r="3861" spans="1:8" x14ac:dyDescent="0.25">
      <c r="A3861" s="2">
        <v>31156</v>
      </c>
      <c r="B3861">
        <v>11.829000000000001</v>
      </c>
      <c r="C3861">
        <v>-86.67</v>
      </c>
      <c r="D3861" t="s">
        <v>14</v>
      </c>
      <c r="E3861" t="s">
        <v>448</v>
      </c>
      <c r="F3861">
        <f t="shared" si="120"/>
        <v>1985</v>
      </c>
      <c r="G3861">
        <f t="shared" si="121"/>
        <v>4</v>
      </c>
      <c r="H3861" t="str">
        <f>IF(ISNUMBER(FIND(",", E3861)), TRIM(MID(E3861, FIND(",", E3861) + 1, LEN(E3861))), E3861)</f>
        <v>near the coast of Nicaragua</v>
      </c>
    </row>
    <row r="3862" spans="1:8" x14ac:dyDescent="0.25">
      <c r="A3862" s="2">
        <v>31150</v>
      </c>
      <c r="B3862">
        <v>1.613</v>
      </c>
      <c r="C3862">
        <v>126.429</v>
      </c>
      <c r="D3862" t="s">
        <v>14</v>
      </c>
      <c r="E3862" t="s">
        <v>186</v>
      </c>
      <c r="F3862">
        <f t="shared" si="120"/>
        <v>1985</v>
      </c>
      <c r="G3862">
        <f t="shared" si="121"/>
        <v>4</v>
      </c>
      <c r="H3862" t="str">
        <f>IF(ISNUMBER(FIND(",", E3862)), TRIM(MID(E3862, FIND(",", E3862) + 1, LEN(E3862))), E3862)</f>
        <v>Molucca Sea</v>
      </c>
    </row>
    <row r="3863" spans="1:8" x14ac:dyDescent="0.25">
      <c r="A3863" s="2">
        <v>31147</v>
      </c>
      <c r="B3863">
        <v>29.974</v>
      </c>
      <c r="C3863">
        <v>138.886</v>
      </c>
      <c r="D3863" t="s">
        <v>14</v>
      </c>
      <c r="E3863" t="s">
        <v>88</v>
      </c>
      <c r="F3863">
        <f t="shared" si="120"/>
        <v>1985</v>
      </c>
      <c r="G3863">
        <f t="shared" si="121"/>
        <v>4</v>
      </c>
      <c r="H3863" t="str">
        <f>IF(ISNUMBER(FIND(",", E3863)), TRIM(MID(E3863, FIND(",", E3863) + 1, LEN(E3863))), E3863)</f>
        <v>Japan region</v>
      </c>
    </row>
    <row r="3864" spans="1:8" x14ac:dyDescent="0.25">
      <c r="A3864" s="2">
        <v>31146</v>
      </c>
      <c r="B3864">
        <v>34.183</v>
      </c>
      <c r="C3864">
        <v>140.786</v>
      </c>
      <c r="D3864" t="s">
        <v>14</v>
      </c>
      <c r="E3864" t="s">
        <v>227</v>
      </c>
      <c r="F3864">
        <f t="shared" si="120"/>
        <v>1985</v>
      </c>
      <c r="G3864">
        <f t="shared" si="121"/>
        <v>4</v>
      </c>
      <c r="H3864" t="str">
        <f>IF(ISNUMBER(FIND(",", E3864)), TRIM(MID(E3864, FIND(",", E3864) + 1, LEN(E3864))), E3864)</f>
        <v>Japan</v>
      </c>
    </row>
    <row r="3865" spans="1:8" x14ac:dyDescent="0.25">
      <c r="A3865" s="2">
        <v>31146</v>
      </c>
      <c r="B3865">
        <v>-34.116</v>
      </c>
      <c r="C3865">
        <v>-71.513000000000005</v>
      </c>
      <c r="D3865" t="s">
        <v>14</v>
      </c>
      <c r="E3865" t="s">
        <v>515</v>
      </c>
      <c r="F3865">
        <f t="shared" si="120"/>
        <v>1985</v>
      </c>
      <c r="G3865">
        <f t="shared" si="121"/>
        <v>4</v>
      </c>
      <c r="H3865" t="str">
        <f>IF(ISNUMBER(FIND(",", E3865)), TRIM(MID(E3865, FIND(",", E3865) + 1, LEN(E3865))), E3865)</f>
        <v>Chile</v>
      </c>
    </row>
    <row r="3866" spans="1:8" x14ac:dyDescent="0.25">
      <c r="A3866" s="2">
        <v>31144</v>
      </c>
      <c r="B3866">
        <v>-56.143000000000001</v>
      </c>
      <c r="C3866">
        <v>-122.44499999999999</v>
      </c>
      <c r="D3866" t="s">
        <v>14</v>
      </c>
      <c r="E3866" t="s">
        <v>268</v>
      </c>
      <c r="F3866">
        <f t="shared" si="120"/>
        <v>1985</v>
      </c>
      <c r="G3866">
        <f t="shared" si="121"/>
        <v>4</v>
      </c>
      <c r="H3866" t="str">
        <f>IF(ISNUMBER(FIND(",", E3866)), TRIM(MID(E3866, FIND(",", E3866) + 1, LEN(E3866))), E3866)</f>
        <v>southern East Pacific Rise</v>
      </c>
    </row>
    <row r="3867" spans="1:8" x14ac:dyDescent="0.25">
      <c r="A3867" s="2">
        <v>31140</v>
      </c>
      <c r="B3867">
        <v>28.068000000000001</v>
      </c>
      <c r="C3867">
        <v>139.57</v>
      </c>
      <c r="D3867" t="s">
        <v>14</v>
      </c>
      <c r="E3867" t="s">
        <v>233</v>
      </c>
      <c r="F3867">
        <f t="shared" si="120"/>
        <v>1985</v>
      </c>
      <c r="G3867">
        <f t="shared" si="121"/>
        <v>4</v>
      </c>
      <c r="H3867" t="str">
        <f>IF(ISNUMBER(FIND(",", E3867)), TRIM(MID(E3867, FIND(",", E3867) + 1, LEN(E3867))), E3867)</f>
        <v>Japan region</v>
      </c>
    </row>
    <row r="3868" spans="1:8" x14ac:dyDescent="0.25">
      <c r="A3868" s="2">
        <v>31140</v>
      </c>
      <c r="B3868">
        <v>-32.658999999999999</v>
      </c>
      <c r="C3868">
        <v>-71.591999999999999</v>
      </c>
      <c r="D3868" t="s">
        <v>14</v>
      </c>
      <c r="E3868" t="s">
        <v>286</v>
      </c>
      <c r="F3868">
        <f t="shared" si="120"/>
        <v>1985</v>
      </c>
      <c r="G3868">
        <f t="shared" si="121"/>
        <v>4</v>
      </c>
      <c r="H3868" t="str">
        <f>IF(ISNUMBER(FIND(",", E3868)), TRIM(MID(E3868, FIND(",", E3868) + 1, LEN(E3868))), E3868)</f>
        <v>Chile</v>
      </c>
    </row>
    <row r="3869" spans="1:8" x14ac:dyDescent="0.25">
      <c r="A3869" s="2">
        <v>31134</v>
      </c>
      <c r="B3869">
        <v>40.323</v>
      </c>
      <c r="C3869">
        <v>140.33600000000001</v>
      </c>
      <c r="D3869" t="s">
        <v>14</v>
      </c>
      <c r="E3869" t="s">
        <v>293</v>
      </c>
      <c r="F3869">
        <f t="shared" si="120"/>
        <v>1985</v>
      </c>
      <c r="G3869">
        <f t="shared" si="121"/>
        <v>3</v>
      </c>
      <c r="H3869" t="str">
        <f>IF(ISNUMBER(FIND(",", E3869)), TRIM(MID(E3869, FIND(",", E3869) + 1, LEN(E3869))), E3869)</f>
        <v>Japan</v>
      </c>
    </row>
    <row r="3870" spans="1:8" x14ac:dyDescent="0.25">
      <c r="A3870" s="2">
        <v>31131</v>
      </c>
      <c r="B3870">
        <v>-6.4489999999999998</v>
      </c>
      <c r="C3870">
        <v>128.78</v>
      </c>
      <c r="D3870" t="s">
        <v>14</v>
      </c>
      <c r="E3870" t="s">
        <v>187</v>
      </c>
      <c r="F3870">
        <f t="shared" si="120"/>
        <v>1985</v>
      </c>
      <c r="G3870">
        <f t="shared" si="121"/>
        <v>3</v>
      </c>
      <c r="H3870" t="str">
        <f>IF(ISNUMBER(FIND(",", E3870)), TRIM(MID(E3870, FIND(",", E3870) + 1, LEN(E3870))), E3870)</f>
        <v>Banda Sea</v>
      </c>
    </row>
    <row r="3871" spans="1:8" x14ac:dyDescent="0.25">
      <c r="A3871" s="2">
        <v>31131</v>
      </c>
      <c r="B3871">
        <v>-34.265000000000001</v>
      </c>
      <c r="C3871">
        <v>-72.173000000000002</v>
      </c>
      <c r="D3871" t="s">
        <v>14</v>
      </c>
      <c r="E3871" t="s">
        <v>595</v>
      </c>
      <c r="F3871">
        <f t="shared" si="120"/>
        <v>1985</v>
      </c>
      <c r="G3871">
        <f t="shared" si="121"/>
        <v>3</v>
      </c>
      <c r="H3871" t="str">
        <f>IF(ISNUMBER(FIND(",", E3871)), TRIM(MID(E3871, FIND(",", E3871) + 1, LEN(E3871))), E3871)</f>
        <v>Chile</v>
      </c>
    </row>
    <row r="3872" spans="1:8" x14ac:dyDescent="0.25">
      <c r="A3872" s="2">
        <v>31128</v>
      </c>
      <c r="B3872">
        <v>-6.5990000000000002</v>
      </c>
      <c r="C3872">
        <v>105.367</v>
      </c>
      <c r="D3872" t="s">
        <v>14</v>
      </c>
      <c r="E3872" t="s">
        <v>278</v>
      </c>
      <c r="F3872">
        <f t="shared" si="120"/>
        <v>1985</v>
      </c>
      <c r="G3872">
        <f t="shared" si="121"/>
        <v>3</v>
      </c>
      <c r="H3872" t="str">
        <f>IF(ISNUMBER(FIND(",", E3872)), TRIM(MID(E3872, FIND(",", E3872) + 1, LEN(E3872))), E3872)</f>
        <v>Indonesia</v>
      </c>
    </row>
    <row r="3873" spans="1:8" x14ac:dyDescent="0.25">
      <c r="A3873" s="2">
        <v>31125</v>
      </c>
      <c r="B3873">
        <v>-33.231999999999999</v>
      </c>
      <c r="C3873">
        <v>-71.656999999999996</v>
      </c>
      <c r="D3873" t="s">
        <v>14</v>
      </c>
      <c r="E3873" t="s">
        <v>244</v>
      </c>
      <c r="F3873">
        <f t="shared" si="120"/>
        <v>1985</v>
      </c>
      <c r="G3873">
        <f t="shared" si="121"/>
        <v>3</v>
      </c>
      <c r="H3873" t="str">
        <f>IF(ISNUMBER(FIND(",", E3873)), TRIM(MID(E3873, FIND(",", E3873) + 1, LEN(E3873))), E3873)</f>
        <v>Chile</v>
      </c>
    </row>
    <row r="3874" spans="1:8" x14ac:dyDescent="0.25">
      <c r="A3874" s="2">
        <v>31124</v>
      </c>
      <c r="B3874">
        <v>7.7759999999999998</v>
      </c>
      <c r="C3874">
        <v>123.51300000000001</v>
      </c>
      <c r="D3874" t="s">
        <v>14</v>
      </c>
      <c r="E3874" t="s">
        <v>200</v>
      </c>
      <c r="F3874">
        <f t="shared" si="120"/>
        <v>1985</v>
      </c>
      <c r="G3874">
        <f t="shared" si="121"/>
        <v>3</v>
      </c>
      <c r="H3874" t="str">
        <f>IF(ISNUMBER(FIND(",", E3874)), TRIM(MID(E3874, FIND(",", E3874) + 1, LEN(E3874))), E3874)</f>
        <v>Philippines</v>
      </c>
    </row>
    <row r="3875" spans="1:8" x14ac:dyDescent="0.25">
      <c r="A3875" s="2">
        <v>31123</v>
      </c>
      <c r="B3875">
        <v>-32.713000000000001</v>
      </c>
      <c r="C3875">
        <v>-71.676000000000002</v>
      </c>
      <c r="D3875" t="s">
        <v>14</v>
      </c>
      <c r="E3875" t="s">
        <v>286</v>
      </c>
      <c r="F3875">
        <f t="shared" si="120"/>
        <v>1985</v>
      </c>
      <c r="G3875">
        <f t="shared" si="121"/>
        <v>3</v>
      </c>
      <c r="H3875" t="str">
        <f>IF(ISNUMBER(FIND(",", E3875)), TRIM(MID(E3875, FIND(",", E3875) + 1, LEN(E3875))), E3875)</f>
        <v>Chile</v>
      </c>
    </row>
    <row r="3876" spans="1:8" x14ac:dyDescent="0.25">
      <c r="A3876" s="2">
        <v>31122</v>
      </c>
      <c r="B3876">
        <v>16.981999999999999</v>
      </c>
      <c r="C3876">
        <v>-62.445999999999998</v>
      </c>
      <c r="D3876" t="s">
        <v>14</v>
      </c>
      <c r="E3876" t="s">
        <v>596</v>
      </c>
      <c r="F3876">
        <f t="shared" si="120"/>
        <v>1985</v>
      </c>
      <c r="G3876">
        <f t="shared" si="121"/>
        <v>3</v>
      </c>
      <c r="H3876" t="str">
        <f>IF(ISNUMBER(FIND(",", E3876)), TRIM(MID(E3876, FIND(",", E3876) + 1, LEN(E3876))), E3876)</f>
        <v>Leeward Islands</v>
      </c>
    </row>
    <row r="3877" spans="1:8" x14ac:dyDescent="0.25">
      <c r="A3877" s="2">
        <v>31119</v>
      </c>
      <c r="B3877">
        <v>43.465000000000003</v>
      </c>
      <c r="C3877">
        <v>-127.721</v>
      </c>
      <c r="D3877" t="s">
        <v>14</v>
      </c>
      <c r="E3877" t="s">
        <v>249</v>
      </c>
      <c r="F3877">
        <f t="shared" si="120"/>
        <v>1985</v>
      </c>
      <c r="G3877">
        <f t="shared" si="121"/>
        <v>3</v>
      </c>
      <c r="H3877" t="str">
        <f>IF(ISNUMBER(FIND(",", E3877)), TRIM(MID(E3877, FIND(",", E3877) + 1, LEN(E3877))), E3877)</f>
        <v>off the coast of Oregon</v>
      </c>
    </row>
    <row r="3878" spans="1:8" x14ac:dyDescent="0.25">
      <c r="A3878" s="2">
        <v>31115</v>
      </c>
      <c r="B3878">
        <v>66.200999999999993</v>
      </c>
      <c r="C3878">
        <v>-150.02000000000001</v>
      </c>
      <c r="D3878" t="s">
        <v>14</v>
      </c>
      <c r="E3878" t="s">
        <v>597</v>
      </c>
      <c r="F3878">
        <f t="shared" si="120"/>
        <v>1985</v>
      </c>
      <c r="G3878">
        <f t="shared" si="121"/>
        <v>3</v>
      </c>
      <c r="H3878" t="str">
        <f>IF(ISNUMBER(FIND(",", E3878)), TRIM(MID(E3878, FIND(",", E3878) + 1, LEN(E3878))), E3878)</f>
        <v>northern Alaska</v>
      </c>
    </row>
    <row r="3879" spans="1:8" x14ac:dyDescent="0.25">
      <c r="A3879" s="2">
        <v>31111</v>
      </c>
      <c r="B3879">
        <v>1.169</v>
      </c>
      <c r="C3879">
        <v>122.825</v>
      </c>
      <c r="D3879" t="s">
        <v>14</v>
      </c>
      <c r="E3879" t="s">
        <v>263</v>
      </c>
      <c r="F3879">
        <f t="shared" si="120"/>
        <v>1985</v>
      </c>
      <c r="G3879">
        <f t="shared" si="121"/>
        <v>3</v>
      </c>
      <c r="H3879" t="str">
        <f>IF(ISNUMBER(FIND(",", E3879)), TRIM(MID(E3879, FIND(",", E3879) + 1, LEN(E3879))), E3879)</f>
        <v>Sulawesi, Indonesia</v>
      </c>
    </row>
    <row r="3880" spans="1:8" x14ac:dyDescent="0.25">
      <c r="A3880" s="2">
        <v>31110</v>
      </c>
      <c r="B3880">
        <v>-32.81</v>
      </c>
      <c r="C3880">
        <v>-71.626000000000005</v>
      </c>
      <c r="D3880" t="s">
        <v>14</v>
      </c>
      <c r="E3880" t="s">
        <v>286</v>
      </c>
      <c r="F3880">
        <f t="shared" si="120"/>
        <v>1985</v>
      </c>
      <c r="G3880">
        <f t="shared" si="121"/>
        <v>3</v>
      </c>
      <c r="H3880" t="str">
        <f>IF(ISNUMBER(FIND(",", E3880)), TRIM(MID(E3880, FIND(",", E3880) + 1, LEN(E3880))), E3880)</f>
        <v>Chile</v>
      </c>
    </row>
    <row r="3881" spans="1:8" x14ac:dyDescent="0.25">
      <c r="A3881" s="2">
        <v>31110</v>
      </c>
      <c r="B3881">
        <v>-33.771000000000001</v>
      </c>
      <c r="C3881">
        <v>-71.180000000000007</v>
      </c>
      <c r="D3881" t="s">
        <v>14</v>
      </c>
      <c r="E3881" t="s">
        <v>515</v>
      </c>
      <c r="F3881">
        <f t="shared" si="120"/>
        <v>1985</v>
      </c>
      <c r="G3881">
        <f t="shared" si="121"/>
        <v>3</v>
      </c>
      <c r="H3881" t="str">
        <f>IF(ISNUMBER(FIND(",", E3881)), TRIM(MID(E3881, FIND(",", E3881) + 1, LEN(E3881))), E3881)</f>
        <v>Chile</v>
      </c>
    </row>
    <row r="3882" spans="1:8" x14ac:dyDescent="0.25">
      <c r="A3882" s="2">
        <v>31110</v>
      </c>
      <c r="B3882">
        <v>-33.131</v>
      </c>
      <c r="C3882">
        <v>-71.915000000000006</v>
      </c>
      <c r="D3882" t="s">
        <v>14</v>
      </c>
      <c r="E3882" t="s">
        <v>286</v>
      </c>
      <c r="F3882">
        <f t="shared" si="120"/>
        <v>1985</v>
      </c>
      <c r="G3882">
        <f t="shared" si="121"/>
        <v>3</v>
      </c>
      <c r="H3882" t="str">
        <f>IF(ISNUMBER(FIND(",", E3882)), TRIM(MID(E3882, FIND(",", E3882) + 1, LEN(E3882))), E3882)</f>
        <v>Chile</v>
      </c>
    </row>
    <row r="3883" spans="1:8" x14ac:dyDescent="0.25">
      <c r="A3883" s="2">
        <v>31110</v>
      </c>
      <c r="B3883">
        <v>-33.912999999999997</v>
      </c>
      <c r="C3883">
        <v>-72.061999999999998</v>
      </c>
      <c r="D3883" t="s">
        <v>14</v>
      </c>
      <c r="E3883" t="s">
        <v>595</v>
      </c>
      <c r="F3883">
        <f t="shared" si="120"/>
        <v>1985</v>
      </c>
      <c r="G3883">
        <f t="shared" si="121"/>
        <v>3</v>
      </c>
      <c r="H3883" t="str">
        <f>IF(ISNUMBER(FIND(",", E3883)), TRIM(MID(E3883, FIND(",", E3883) + 1, LEN(E3883))), E3883)</f>
        <v>Chile</v>
      </c>
    </row>
    <row r="3884" spans="1:8" x14ac:dyDescent="0.25">
      <c r="A3884" s="2">
        <v>31110</v>
      </c>
      <c r="B3884">
        <v>-34.156999999999996</v>
      </c>
      <c r="C3884">
        <v>-72.058000000000007</v>
      </c>
      <c r="D3884" t="s">
        <v>14</v>
      </c>
      <c r="E3884" t="s">
        <v>595</v>
      </c>
      <c r="F3884">
        <f t="shared" si="120"/>
        <v>1985</v>
      </c>
      <c r="G3884">
        <f t="shared" si="121"/>
        <v>3</v>
      </c>
      <c r="H3884" t="str">
        <f>IF(ISNUMBER(FIND(",", E3884)), TRIM(MID(E3884, FIND(",", E3884) + 1, LEN(E3884))), E3884)</f>
        <v>Chile</v>
      </c>
    </row>
    <row r="3885" spans="1:8" x14ac:dyDescent="0.25">
      <c r="A3885" s="2">
        <v>31110</v>
      </c>
      <c r="B3885">
        <v>-33.235999999999997</v>
      </c>
      <c r="C3885">
        <v>-71.739999999999995</v>
      </c>
      <c r="D3885" t="s">
        <v>14</v>
      </c>
      <c r="E3885" t="s">
        <v>286</v>
      </c>
      <c r="F3885">
        <f t="shared" si="120"/>
        <v>1985</v>
      </c>
      <c r="G3885">
        <f t="shared" si="121"/>
        <v>3</v>
      </c>
      <c r="H3885" t="str">
        <f>IF(ISNUMBER(FIND(",", E3885)), TRIM(MID(E3885, FIND(",", E3885) + 1, LEN(E3885))), E3885)</f>
        <v>Chile</v>
      </c>
    </row>
    <row r="3886" spans="1:8" x14ac:dyDescent="0.25">
      <c r="A3886" s="2">
        <v>31109</v>
      </c>
      <c r="B3886">
        <v>-32.954999999999998</v>
      </c>
      <c r="C3886">
        <v>-71.141999999999996</v>
      </c>
      <c r="D3886" t="s">
        <v>14</v>
      </c>
      <c r="E3886" t="s">
        <v>244</v>
      </c>
      <c r="F3886">
        <f t="shared" si="120"/>
        <v>1985</v>
      </c>
      <c r="G3886">
        <f t="shared" si="121"/>
        <v>3</v>
      </c>
      <c r="H3886" t="str">
        <f>IF(ISNUMBER(FIND(",", E3886)), TRIM(MID(E3886, FIND(",", E3886) + 1, LEN(E3886))), E3886)</f>
        <v>Chile</v>
      </c>
    </row>
    <row r="3887" spans="1:8" x14ac:dyDescent="0.25">
      <c r="A3887" s="2">
        <v>31109</v>
      </c>
      <c r="B3887">
        <v>-33.139000000000003</v>
      </c>
      <c r="C3887">
        <v>-71.760999999999996</v>
      </c>
      <c r="D3887" t="s">
        <v>14</v>
      </c>
      <c r="E3887" t="s">
        <v>286</v>
      </c>
      <c r="F3887">
        <f t="shared" si="120"/>
        <v>1985</v>
      </c>
      <c r="G3887">
        <f t="shared" si="121"/>
        <v>3</v>
      </c>
      <c r="H3887" t="str">
        <f>IF(ISNUMBER(FIND(",", E3887)), TRIM(MID(E3887, FIND(",", E3887) + 1, LEN(E3887))), E3887)</f>
        <v>Chile</v>
      </c>
    </row>
    <row r="3888" spans="1:8" x14ac:dyDescent="0.25">
      <c r="A3888" s="2">
        <v>31108</v>
      </c>
      <c r="B3888">
        <v>-1.9359999999999999</v>
      </c>
      <c r="C3888">
        <v>119.71599999999999</v>
      </c>
      <c r="D3888" t="s">
        <v>14</v>
      </c>
      <c r="E3888" t="s">
        <v>182</v>
      </c>
      <c r="F3888">
        <f t="shared" si="120"/>
        <v>1985</v>
      </c>
      <c r="G3888">
        <f t="shared" si="121"/>
        <v>3</v>
      </c>
      <c r="H3888" t="str">
        <f>IF(ISNUMBER(FIND(",", E3888)), TRIM(MID(E3888, FIND(",", E3888) + 1, LEN(E3888))), E3888)</f>
        <v>Indonesia</v>
      </c>
    </row>
    <row r="3889" spans="1:8" x14ac:dyDescent="0.25">
      <c r="A3889" s="2">
        <v>31107</v>
      </c>
      <c r="B3889">
        <v>-2.0449999999999999</v>
      </c>
      <c r="C3889">
        <v>119.63200000000001</v>
      </c>
      <c r="D3889" t="s">
        <v>14</v>
      </c>
      <c r="E3889" t="s">
        <v>182</v>
      </c>
      <c r="F3889">
        <f t="shared" si="120"/>
        <v>1985</v>
      </c>
      <c r="G3889">
        <f t="shared" si="121"/>
        <v>3</v>
      </c>
      <c r="H3889" t="str">
        <f>IF(ISNUMBER(FIND(",", E3889)), TRIM(MID(E3889, FIND(",", E3889) + 1, LEN(E3889))), E3889)</f>
        <v>Indonesia</v>
      </c>
    </row>
    <row r="3890" spans="1:8" x14ac:dyDescent="0.25">
      <c r="A3890" s="2">
        <v>31101</v>
      </c>
      <c r="B3890">
        <v>-10.226000000000001</v>
      </c>
      <c r="C3890">
        <v>161.172</v>
      </c>
      <c r="D3890" t="s">
        <v>14</v>
      </c>
      <c r="E3890" t="s">
        <v>221</v>
      </c>
      <c r="F3890">
        <f t="shared" si="120"/>
        <v>1985</v>
      </c>
      <c r="G3890">
        <f t="shared" si="121"/>
        <v>2</v>
      </c>
      <c r="H3890" t="str">
        <f>IF(ISNUMBER(FIND(",", E3890)), TRIM(MID(E3890, FIND(",", E3890) + 1, LEN(E3890))), E3890)</f>
        <v>Solomon Islands</v>
      </c>
    </row>
    <row r="3891" spans="1:8" x14ac:dyDescent="0.25">
      <c r="A3891" s="2">
        <v>31078</v>
      </c>
      <c r="B3891">
        <v>-46.094999999999999</v>
      </c>
      <c r="C3891">
        <v>165.21</v>
      </c>
      <c r="D3891" t="s">
        <v>14</v>
      </c>
      <c r="E3891" t="s">
        <v>361</v>
      </c>
      <c r="F3891">
        <f t="shared" si="120"/>
        <v>1985</v>
      </c>
      <c r="G3891">
        <f t="shared" si="121"/>
        <v>1</v>
      </c>
      <c r="H3891" t="str">
        <f>IF(ISNUMBER(FIND(",", E3891)), TRIM(MID(E3891, FIND(",", E3891) + 1, LEN(E3891))), E3891)</f>
        <v>off the west coast of the South Island of New Zealand</v>
      </c>
    </row>
    <row r="3892" spans="1:8" x14ac:dyDescent="0.25">
      <c r="A3892" s="2">
        <v>31078</v>
      </c>
      <c r="B3892">
        <v>-6.4939999999999998</v>
      </c>
      <c r="C3892">
        <v>104.26300000000001</v>
      </c>
      <c r="D3892" t="s">
        <v>16</v>
      </c>
      <c r="E3892" t="s">
        <v>278</v>
      </c>
      <c r="F3892">
        <f t="shared" si="120"/>
        <v>1985</v>
      </c>
      <c r="G3892">
        <f t="shared" si="121"/>
        <v>1</v>
      </c>
      <c r="H3892" t="str">
        <f>IF(ISNUMBER(FIND(",", E3892)), TRIM(MID(E3892, FIND(",", E3892) + 1, LEN(E3892))), E3892)</f>
        <v>Indonesia</v>
      </c>
    </row>
    <row r="3893" spans="1:8" x14ac:dyDescent="0.25">
      <c r="A3893" s="2">
        <v>31068</v>
      </c>
      <c r="B3893">
        <v>-0.95399999999999996</v>
      </c>
      <c r="C3893">
        <v>128.40199999999999</v>
      </c>
      <c r="D3893" t="s">
        <v>14</v>
      </c>
      <c r="E3893" t="s">
        <v>311</v>
      </c>
      <c r="F3893">
        <f t="shared" si="120"/>
        <v>1985</v>
      </c>
      <c r="G3893">
        <f t="shared" si="121"/>
        <v>1</v>
      </c>
      <c r="H3893" t="str">
        <f>IF(ISNUMBER(FIND(",", E3893)), TRIM(MID(E3893, FIND(",", E3893) + 1, LEN(E3893))), E3893)</f>
        <v>Indonesia</v>
      </c>
    </row>
    <row r="3894" spans="1:8" x14ac:dyDescent="0.25">
      <c r="A3894" s="2">
        <v>31065</v>
      </c>
      <c r="B3894">
        <v>-29.393999999999998</v>
      </c>
      <c r="C3894">
        <v>-70.831000000000003</v>
      </c>
      <c r="D3894" t="s">
        <v>14</v>
      </c>
      <c r="E3894" t="s">
        <v>193</v>
      </c>
      <c r="F3894">
        <f t="shared" si="120"/>
        <v>1985</v>
      </c>
      <c r="G3894">
        <f t="shared" si="121"/>
        <v>1</v>
      </c>
      <c r="H3894" t="str">
        <f>IF(ISNUMBER(FIND(",", E3894)), TRIM(MID(E3894, FIND(",", E3894) + 1, LEN(E3894))), E3894)</f>
        <v>Chile</v>
      </c>
    </row>
    <row r="3895" spans="1:8" x14ac:dyDescent="0.25">
      <c r="A3895" s="2">
        <v>31064</v>
      </c>
      <c r="B3895">
        <v>-3.7080000000000002</v>
      </c>
      <c r="C3895">
        <v>141.73699999999999</v>
      </c>
      <c r="D3895" t="s">
        <v>14</v>
      </c>
      <c r="E3895" t="s">
        <v>253</v>
      </c>
      <c r="F3895">
        <f t="shared" si="120"/>
        <v>1985</v>
      </c>
      <c r="G3895">
        <f t="shared" si="121"/>
        <v>1</v>
      </c>
      <c r="H3895" t="str">
        <f>IF(ISNUMBER(FIND(",", E3895)), TRIM(MID(E3895, FIND(",", E3895) + 1, LEN(E3895))), E3895)</f>
        <v>Papua New Guinea</v>
      </c>
    </row>
    <row r="3896" spans="1:8" x14ac:dyDescent="0.25">
      <c r="A3896" s="2">
        <v>31064</v>
      </c>
      <c r="B3896">
        <v>-3.762</v>
      </c>
      <c r="C3896">
        <v>141.81700000000001</v>
      </c>
      <c r="D3896" t="s">
        <v>14</v>
      </c>
      <c r="E3896" t="s">
        <v>253</v>
      </c>
      <c r="F3896">
        <f t="shared" si="120"/>
        <v>1985</v>
      </c>
      <c r="G3896">
        <f t="shared" si="121"/>
        <v>1</v>
      </c>
      <c r="H3896" t="str">
        <f>IF(ISNUMBER(FIND(",", E3896)), TRIM(MID(E3896, FIND(",", E3896) + 1, LEN(E3896))), E3896)</f>
        <v>Papua New Guinea</v>
      </c>
    </row>
    <row r="3897" spans="1:8" x14ac:dyDescent="0.25">
      <c r="A3897" s="2">
        <v>31058</v>
      </c>
      <c r="B3897">
        <v>0.193</v>
      </c>
      <c r="C3897">
        <v>123.566</v>
      </c>
      <c r="D3897" t="s">
        <v>14</v>
      </c>
      <c r="E3897" t="s">
        <v>263</v>
      </c>
      <c r="F3897">
        <f t="shared" si="120"/>
        <v>1985</v>
      </c>
      <c r="G3897">
        <f t="shared" si="121"/>
        <v>1</v>
      </c>
      <c r="H3897" t="str">
        <f>IF(ISNUMBER(FIND(",", E3897)), TRIM(MID(E3897, FIND(",", E3897) + 1, LEN(E3897))), E3897)</f>
        <v>Sulawesi, Indonesia</v>
      </c>
    </row>
    <row r="3898" spans="1:8" x14ac:dyDescent="0.25">
      <c r="A3898" s="2">
        <v>31052</v>
      </c>
      <c r="B3898">
        <v>10.151</v>
      </c>
      <c r="C3898">
        <v>-80.081999999999994</v>
      </c>
      <c r="D3898" t="s">
        <v>14</v>
      </c>
      <c r="E3898" t="s">
        <v>598</v>
      </c>
      <c r="F3898">
        <f t="shared" si="120"/>
        <v>1985</v>
      </c>
      <c r="G3898">
        <f t="shared" si="121"/>
        <v>1</v>
      </c>
      <c r="H3898" t="str">
        <f>IF(ISNUMBER(FIND(",", E3898)), TRIM(MID(E3898, FIND(",", E3898) + 1, LEN(E3898))), E3898)</f>
        <v>north of Panama</v>
      </c>
    </row>
    <row r="3899" spans="1:8" x14ac:dyDescent="0.25">
      <c r="A3899" s="2">
        <v>31046</v>
      </c>
      <c r="B3899">
        <v>-36.680999999999997</v>
      </c>
      <c r="C3899">
        <v>177.63</v>
      </c>
      <c r="D3899" t="s">
        <v>14</v>
      </c>
      <c r="E3899" t="s">
        <v>410</v>
      </c>
      <c r="F3899">
        <f t="shared" si="120"/>
        <v>1984</v>
      </c>
      <c r="G3899">
        <f t="shared" si="121"/>
        <v>12</v>
      </c>
      <c r="H3899" t="str">
        <f>IF(ISNUMBER(FIND(",", E3899)), TRIM(MID(E3899, FIND(",", E3899) + 1, LEN(E3899))), E3899)</f>
        <v>off the east coast of the North Island of New Zealand</v>
      </c>
    </row>
    <row r="3900" spans="1:8" x14ac:dyDescent="0.25">
      <c r="A3900" s="2">
        <v>31046</v>
      </c>
      <c r="B3900">
        <v>-36.746000000000002</v>
      </c>
      <c r="C3900">
        <v>177.68899999999999</v>
      </c>
      <c r="D3900" t="s">
        <v>14</v>
      </c>
      <c r="E3900" t="s">
        <v>410</v>
      </c>
      <c r="F3900">
        <f t="shared" si="120"/>
        <v>1984</v>
      </c>
      <c r="G3900">
        <f t="shared" si="121"/>
        <v>12</v>
      </c>
      <c r="H3900" t="str">
        <f>IF(ISNUMBER(FIND(",", E3900)), TRIM(MID(E3900, FIND(",", E3900) + 1, LEN(E3900))), E3900)</f>
        <v>off the east coast of the North Island of New Zealand</v>
      </c>
    </row>
    <row r="3901" spans="1:8" x14ac:dyDescent="0.25">
      <c r="A3901" s="2">
        <v>31044</v>
      </c>
      <c r="B3901">
        <v>56.212000000000003</v>
      </c>
      <c r="C3901">
        <v>163.39099999999999</v>
      </c>
      <c r="D3901" t="s">
        <v>14</v>
      </c>
      <c r="E3901" t="s">
        <v>225</v>
      </c>
      <c r="F3901">
        <f t="shared" si="120"/>
        <v>1984</v>
      </c>
      <c r="G3901">
        <f t="shared" si="121"/>
        <v>12</v>
      </c>
      <c r="H3901" t="str">
        <f>IF(ISNUMBER(FIND(",", E3901)), TRIM(MID(E3901, FIND(",", E3901) + 1, LEN(E3901))), E3901)</f>
        <v>Russia</v>
      </c>
    </row>
    <row r="3902" spans="1:8" x14ac:dyDescent="0.25">
      <c r="A3902" s="2">
        <v>31044</v>
      </c>
      <c r="B3902">
        <v>49.860999999999997</v>
      </c>
      <c r="C3902">
        <v>78.751999999999995</v>
      </c>
      <c r="D3902" t="s">
        <v>13</v>
      </c>
      <c r="E3902" t="s">
        <v>571</v>
      </c>
      <c r="F3902">
        <f t="shared" si="120"/>
        <v>1984</v>
      </c>
      <c r="G3902">
        <f t="shared" si="121"/>
        <v>12</v>
      </c>
      <c r="H3902" t="str">
        <f>IF(ISNUMBER(FIND(",", E3902)), TRIM(MID(E3902, FIND(",", E3902) + 1, LEN(E3902))), E3902)</f>
        <v>eastern Kazakhstan</v>
      </c>
    </row>
    <row r="3903" spans="1:8" x14ac:dyDescent="0.25">
      <c r="A3903" s="2">
        <v>31040</v>
      </c>
      <c r="B3903">
        <v>-5.9489999999999998</v>
      </c>
      <c r="C3903">
        <v>149.685</v>
      </c>
      <c r="D3903" t="s">
        <v>14</v>
      </c>
      <c r="E3903" t="s">
        <v>190</v>
      </c>
      <c r="F3903">
        <f t="shared" si="120"/>
        <v>1984</v>
      </c>
      <c r="G3903">
        <f t="shared" si="121"/>
        <v>12</v>
      </c>
      <c r="H3903" t="str">
        <f>IF(ISNUMBER(FIND(",", E3903)), TRIM(MID(E3903, FIND(",", E3903) + 1, LEN(E3903))), E3903)</f>
        <v>Papua New Guinea</v>
      </c>
    </row>
    <row r="3904" spans="1:8" x14ac:dyDescent="0.25">
      <c r="A3904" s="2">
        <v>31037</v>
      </c>
      <c r="B3904">
        <v>-6.0910000000000002</v>
      </c>
      <c r="C3904">
        <v>149.887</v>
      </c>
      <c r="D3904" t="s">
        <v>14</v>
      </c>
      <c r="E3904" t="s">
        <v>190</v>
      </c>
      <c r="F3904">
        <f t="shared" si="120"/>
        <v>1984</v>
      </c>
      <c r="G3904">
        <f t="shared" si="121"/>
        <v>12</v>
      </c>
      <c r="H3904" t="str">
        <f>IF(ISNUMBER(FIND(",", E3904)), TRIM(MID(E3904, FIND(",", E3904) + 1, LEN(E3904))), E3904)</f>
        <v>Papua New Guinea</v>
      </c>
    </row>
    <row r="3905" spans="1:8" x14ac:dyDescent="0.25">
      <c r="A3905" s="2">
        <v>31033</v>
      </c>
      <c r="B3905">
        <v>44.393999999999998</v>
      </c>
      <c r="C3905">
        <v>149.17699999999999</v>
      </c>
      <c r="D3905" t="s">
        <v>14</v>
      </c>
      <c r="E3905" t="s">
        <v>191</v>
      </c>
      <c r="F3905">
        <f t="shared" si="120"/>
        <v>1984</v>
      </c>
      <c r="G3905">
        <f t="shared" si="121"/>
        <v>12</v>
      </c>
      <c r="H3905" t="str">
        <f>IF(ISNUMBER(FIND(",", E3905)), TRIM(MID(E3905, FIND(",", E3905) + 1, LEN(E3905))), E3905)</f>
        <v>Kuril Islands</v>
      </c>
    </row>
    <row r="3906" spans="1:8" x14ac:dyDescent="0.25">
      <c r="A3906" s="2">
        <v>31032</v>
      </c>
      <c r="B3906">
        <v>49.957000000000001</v>
      </c>
      <c r="C3906">
        <v>78.861999999999995</v>
      </c>
      <c r="D3906" t="s">
        <v>13</v>
      </c>
      <c r="E3906" t="s">
        <v>571</v>
      </c>
      <c r="F3906">
        <f t="shared" ref="F3906:F3969" si="122">YEAR(A3906)</f>
        <v>1984</v>
      </c>
      <c r="G3906">
        <f t="shared" si="121"/>
        <v>12</v>
      </c>
      <c r="H3906" t="str">
        <f>IF(ISNUMBER(FIND(",", E3906)), TRIM(MID(E3906, FIND(",", E3906) + 1, LEN(E3906))), E3906)</f>
        <v>eastern Kazakhstan</v>
      </c>
    </row>
    <row r="3907" spans="1:8" x14ac:dyDescent="0.25">
      <c r="A3907" s="2">
        <v>31027</v>
      </c>
      <c r="B3907">
        <v>-22.588999999999999</v>
      </c>
      <c r="C3907">
        <v>-68.674999999999997</v>
      </c>
      <c r="D3907" t="s">
        <v>14</v>
      </c>
      <c r="E3907" t="s">
        <v>289</v>
      </c>
      <c r="F3907">
        <f t="shared" si="122"/>
        <v>1984</v>
      </c>
      <c r="G3907">
        <f t="shared" ref="G3907:G3970" si="123">MONTH(A3907)</f>
        <v>12</v>
      </c>
      <c r="H3907" t="str">
        <f>IF(ISNUMBER(FIND(",", E3907)), TRIM(MID(E3907, FIND(",", E3907) + 1, LEN(E3907))), E3907)</f>
        <v>Chile</v>
      </c>
    </row>
    <row r="3908" spans="1:8" x14ac:dyDescent="0.25">
      <c r="A3908" s="2">
        <v>31023</v>
      </c>
      <c r="B3908">
        <v>-1.4330000000000001</v>
      </c>
      <c r="C3908">
        <v>-15.073</v>
      </c>
      <c r="D3908" t="s">
        <v>14</v>
      </c>
      <c r="E3908" t="s">
        <v>378</v>
      </c>
      <c r="F3908">
        <f t="shared" si="122"/>
        <v>1984</v>
      </c>
      <c r="G3908">
        <f t="shared" si="123"/>
        <v>12</v>
      </c>
      <c r="H3908" t="str">
        <f>IF(ISNUMBER(FIND(",", E3908)), TRIM(MID(E3908, FIND(",", E3908) + 1, LEN(E3908))), E3908)</f>
        <v>north of Ascension Island</v>
      </c>
    </row>
    <row r="3909" spans="1:8" x14ac:dyDescent="0.25">
      <c r="A3909" s="2">
        <v>31019</v>
      </c>
      <c r="B3909">
        <v>44.226999999999997</v>
      </c>
      <c r="C3909">
        <v>148.15100000000001</v>
      </c>
      <c r="D3909" t="s">
        <v>14</v>
      </c>
      <c r="E3909" t="s">
        <v>191</v>
      </c>
      <c r="F3909">
        <f t="shared" si="122"/>
        <v>1984</v>
      </c>
      <c r="G3909">
        <f t="shared" si="123"/>
        <v>12</v>
      </c>
      <c r="H3909" t="str">
        <f>IF(ISNUMBER(FIND(",", E3909)), TRIM(MID(E3909, FIND(",", E3909) + 1, LEN(E3909))), E3909)</f>
        <v>Kuril Islands</v>
      </c>
    </row>
    <row r="3910" spans="1:8" x14ac:dyDescent="0.25">
      <c r="A3910" s="2">
        <v>31018</v>
      </c>
      <c r="B3910">
        <v>-3.806</v>
      </c>
      <c r="C3910">
        <v>152.053</v>
      </c>
      <c r="D3910" t="s">
        <v>14</v>
      </c>
      <c r="E3910" t="s">
        <v>183</v>
      </c>
      <c r="F3910">
        <f t="shared" si="122"/>
        <v>1984</v>
      </c>
      <c r="G3910">
        <f t="shared" si="123"/>
        <v>12</v>
      </c>
      <c r="H3910" t="str">
        <f>IF(ISNUMBER(FIND(",", E3910)), TRIM(MID(E3910, FIND(",", E3910) + 1, LEN(E3910))), E3910)</f>
        <v>Papua New Guinea</v>
      </c>
    </row>
    <row r="3911" spans="1:8" x14ac:dyDescent="0.25">
      <c r="A3911" s="2">
        <v>31018</v>
      </c>
      <c r="B3911">
        <v>20.388999999999999</v>
      </c>
      <c r="C3911">
        <v>-115.765</v>
      </c>
      <c r="D3911" t="s">
        <v>14</v>
      </c>
      <c r="E3911" t="s">
        <v>599</v>
      </c>
      <c r="F3911">
        <f t="shared" si="122"/>
        <v>1984</v>
      </c>
      <c r="G3911">
        <f t="shared" si="123"/>
        <v>12</v>
      </c>
      <c r="H3911" t="str">
        <f>IF(ISNUMBER(FIND(",", E3911)), TRIM(MID(E3911, FIND(",", E3911) + 1, LEN(E3911))), E3911)</f>
        <v>east central Pacific Ocean</v>
      </c>
    </row>
    <row r="3912" spans="1:8" x14ac:dyDescent="0.25">
      <c r="A3912" s="2">
        <v>31009</v>
      </c>
      <c r="B3912">
        <v>-14.276999999999999</v>
      </c>
      <c r="C3912">
        <v>171.34399999999999</v>
      </c>
      <c r="D3912" t="s">
        <v>14</v>
      </c>
      <c r="E3912" t="s">
        <v>281</v>
      </c>
      <c r="F3912">
        <f t="shared" si="122"/>
        <v>1984</v>
      </c>
      <c r="G3912">
        <f t="shared" si="123"/>
        <v>11</v>
      </c>
      <c r="H3912" t="str">
        <f>IF(ISNUMBER(FIND(",", E3912)), TRIM(MID(E3912, FIND(",", E3912) + 1, LEN(E3912))), E3912)</f>
        <v>Vanuatu region</v>
      </c>
    </row>
    <row r="3913" spans="1:8" x14ac:dyDescent="0.25">
      <c r="A3913" s="2">
        <v>31009</v>
      </c>
      <c r="B3913">
        <v>-8.0340000000000007</v>
      </c>
      <c r="C3913">
        <v>102.157</v>
      </c>
      <c r="D3913" t="s">
        <v>14</v>
      </c>
      <c r="E3913" t="s">
        <v>450</v>
      </c>
      <c r="F3913">
        <f t="shared" si="122"/>
        <v>1984</v>
      </c>
      <c r="G3913">
        <f t="shared" si="123"/>
        <v>11</v>
      </c>
      <c r="H3913" t="str">
        <f>IF(ISNUMBER(FIND(",", E3913)), TRIM(MID(E3913, FIND(",", E3913) + 1, LEN(E3913))), E3913)</f>
        <v>Indonesia</v>
      </c>
    </row>
    <row r="3914" spans="1:8" x14ac:dyDescent="0.25">
      <c r="A3914" s="2">
        <v>31008</v>
      </c>
      <c r="B3914">
        <v>-17.736000000000001</v>
      </c>
      <c r="C3914">
        <v>-177.994</v>
      </c>
      <c r="D3914" t="s">
        <v>14</v>
      </c>
      <c r="E3914" t="s">
        <v>53</v>
      </c>
      <c r="F3914">
        <f t="shared" si="122"/>
        <v>1984</v>
      </c>
      <c r="G3914">
        <f t="shared" si="123"/>
        <v>11</v>
      </c>
      <c r="H3914" t="str">
        <f>IF(ISNUMBER(FIND(",", E3914)), TRIM(MID(E3914, FIND(",", E3914) + 1, LEN(E3914))), E3914)</f>
        <v>Fiji region</v>
      </c>
    </row>
    <row r="3915" spans="1:8" x14ac:dyDescent="0.25">
      <c r="A3915" s="2">
        <v>31007</v>
      </c>
      <c r="B3915">
        <v>-14.507</v>
      </c>
      <c r="C3915">
        <v>171.10499999999999</v>
      </c>
      <c r="D3915" t="s">
        <v>14</v>
      </c>
      <c r="E3915" t="s">
        <v>281</v>
      </c>
      <c r="F3915">
        <f t="shared" si="122"/>
        <v>1984</v>
      </c>
      <c r="G3915">
        <f t="shared" si="123"/>
        <v>11</v>
      </c>
      <c r="H3915" t="str">
        <f>IF(ISNUMBER(FIND(",", E3915)), TRIM(MID(E3915, FIND(",", E3915) + 1, LEN(E3915))), E3915)</f>
        <v>Vanuatu region</v>
      </c>
    </row>
    <row r="3916" spans="1:8" x14ac:dyDescent="0.25">
      <c r="A3916" s="2">
        <v>31007</v>
      </c>
      <c r="B3916">
        <v>-14.465999999999999</v>
      </c>
      <c r="C3916">
        <v>171.24700000000001</v>
      </c>
      <c r="D3916" t="s">
        <v>14</v>
      </c>
      <c r="E3916" t="s">
        <v>281</v>
      </c>
      <c r="F3916">
        <f t="shared" si="122"/>
        <v>1984</v>
      </c>
      <c r="G3916">
        <f t="shared" si="123"/>
        <v>11</v>
      </c>
      <c r="H3916" t="str">
        <f>IF(ISNUMBER(FIND(",", E3916)), TRIM(MID(E3916, FIND(",", E3916) + 1, LEN(E3916))), E3916)</f>
        <v>Vanuatu region</v>
      </c>
    </row>
    <row r="3917" spans="1:8" x14ac:dyDescent="0.25">
      <c r="A3917" s="2">
        <v>31006</v>
      </c>
      <c r="B3917">
        <v>5.1239999999999997</v>
      </c>
      <c r="C3917">
        <v>125.11199999999999</v>
      </c>
      <c r="D3917" t="s">
        <v>14</v>
      </c>
      <c r="E3917" t="s">
        <v>200</v>
      </c>
      <c r="F3917">
        <f t="shared" si="122"/>
        <v>1984</v>
      </c>
      <c r="G3917">
        <f t="shared" si="123"/>
        <v>11</v>
      </c>
      <c r="H3917" t="str">
        <f>IF(ISNUMBER(FIND(",", E3917)), TRIM(MID(E3917, FIND(",", E3917) + 1, LEN(E3917))), E3917)</f>
        <v>Philippines</v>
      </c>
    </row>
    <row r="3918" spans="1:8" x14ac:dyDescent="0.25">
      <c r="A3918" s="2">
        <v>31003</v>
      </c>
      <c r="B3918">
        <v>-18.327999999999999</v>
      </c>
      <c r="C3918">
        <v>-175.62200000000001</v>
      </c>
      <c r="D3918" t="s">
        <v>14</v>
      </c>
      <c r="E3918" t="s">
        <v>239</v>
      </c>
      <c r="F3918">
        <f t="shared" si="122"/>
        <v>1984</v>
      </c>
      <c r="G3918">
        <f t="shared" si="123"/>
        <v>11</v>
      </c>
      <c r="H3918" t="str">
        <f>IF(ISNUMBER(FIND(",", E3918)), TRIM(MID(E3918, FIND(",", E3918) + 1, LEN(E3918))), E3918)</f>
        <v>Tonga</v>
      </c>
    </row>
    <row r="3919" spans="1:8" x14ac:dyDescent="0.25">
      <c r="A3919" s="2">
        <v>31003</v>
      </c>
      <c r="B3919">
        <v>-18.805</v>
      </c>
      <c r="C3919">
        <v>-177.947</v>
      </c>
      <c r="D3919" t="s">
        <v>14</v>
      </c>
      <c r="E3919" t="s">
        <v>53</v>
      </c>
      <c r="F3919">
        <f t="shared" si="122"/>
        <v>1984</v>
      </c>
      <c r="G3919">
        <f t="shared" si="123"/>
        <v>11</v>
      </c>
      <c r="H3919" t="str">
        <f>IF(ISNUMBER(FIND(",", E3919)), TRIM(MID(E3919, FIND(",", E3919) + 1, LEN(E3919))), E3919)</f>
        <v>Fiji region</v>
      </c>
    </row>
    <row r="3920" spans="1:8" x14ac:dyDescent="0.25">
      <c r="A3920" s="2">
        <v>31003</v>
      </c>
      <c r="B3920">
        <v>0.17899999999999999</v>
      </c>
      <c r="C3920">
        <v>97.956000000000003</v>
      </c>
      <c r="D3920" t="s">
        <v>14</v>
      </c>
      <c r="E3920" t="s">
        <v>295</v>
      </c>
      <c r="F3920">
        <f t="shared" si="122"/>
        <v>1984</v>
      </c>
      <c r="G3920">
        <f t="shared" si="123"/>
        <v>11</v>
      </c>
      <c r="H3920" t="str">
        <f>IF(ISNUMBER(FIND(",", E3920)), TRIM(MID(E3920, FIND(",", E3920) + 1, LEN(E3920))), E3920)</f>
        <v>Indonesia</v>
      </c>
    </row>
    <row r="3921" spans="1:8" x14ac:dyDescent="0.25">
      <c r="A3921" s="2">
        <v>31001</v>
      </c>
      <c r="B3921">
        <v>-20.329000000000001</v>
      </c>
      <c r="C3921">
        <v>-177.33699999999999</v>
      </c>
      <c r="D3921" t="s">
        <v>14</v>
      </c>
      <c r="E3921" t="s">
        <v>53</v>
      </c>
      <c r="F3921">
        <f t="shared" si="122"/>
        <v>1984</v>
      </c>
      <c r="G3921">
        <f t="shared" si="123"/>
        <v>11</v>
      </c>
      <c r="H3921" t="str">
        <f>IF(ISNUMBER(FIND(",", E3921)), TRIM(MID(E3921, FIND(",", E3921) + 1, LEN(E3921))), E3921)</f>
        <v>Fiji region</v>
      </c>
    </row>
    <row r="3922" spans="1:8" x14ac:dyDescent="0.25">
      <c r="A3922" s="2">
        <v>31001</v>
      </c>
      <c r="B3922">
        <v>-22.036999999999999</v>
      </c>
      <c r="C3922">
        <v>171.018</v>
      </c>
      <c r="D3922" t="s">
        <v>14</v>
      </c>
      <c r="E3922" t="s">
        <v>254</v>
      </c>
      <c r="F3922">
        <f t="shared" si="122"/>
        <v>1984</v>
      </c>
      <c r="G3922">
        <f t="shared" si="123"/>
        <v>11</v>
      </c>
      <c r="H3922" t="str">
        <f>IF(ISNUMBER(FIND(",", E3922)), TRIM(MID(E3922, FIND(",", E3922) + 1, LEN(E3922))), E3922)</f>
        <v>southeast of the Loyalty Islands</v>
      </c>
    </row>
    <row r="3923" spans="1:8" x14ac:dyDescent="0.25">
      <c r="A3923" s="2">
        <v>30987</v>
      </c>
      <c r="B3923">
        <v>55.191000000000003</v>
      </c>
      <c r="C3923">
        <v>163.6</v>
      </c>
      <c r="D3923" t="s">
        <v>14</v>
      </c>
      <c r="E3923" t="s">
        <v>318</v>
      </c>
      <c r="F3923">
        <f t="shared" si="122"/>
        <v>1984</v>
      </c>
      <c r="G3923">
        <f t="shared" si="123"/>
        <v>11</v>
      </c>
      <c r="H3923" t="str">
        <f>IF(ISNUMBER(FIND(",", E3923)), TRIM(MID(E3923, FIND(",", E3923) + 1, LEN(E3923))), E3923)</f>
        <v>Russia</v>
      </c>
    </row>
    <row r="3924" spans="1:8" x14ac:dyDescent="0.25">
      <c r="A3924" s="2">
        <v>30987</v>
      </c>
      <c r="B3924">
        <v>8.1549999999999994</v>
      </c>
      <c r="C3924">
        <v>-38.805</v>
      </c>
      <c r="D3924" t="s">
        <v>14</v>
      </c>
      <c r="E3924" t="s">
        <v>291</v>
      </c>
      <c r="F3924">
        <f t="shared" si="122"/>
        <v>1984</v>
      </c>
      <c r="G3924">
        <f t="shared" si="123"/>
        <v>11</v>
      </c>
      <c r="H3924" t="str">
        <f>IF(ISNUMBER(FIND(",", E3924)), TRIM(MID(E3924, FIND(",", E3924) + 1, LEN(E3924))), E3924)</f>
        <v>central Mid-Atlantic Ridge</v>
      </c>
    </row>
    <row r="3925" spans="1:8" x14ac:dyDescent="0.25">
      <c r="A3925" s="2">
        <v>30985</v>
      </c>
      <c r="B3925">
        <v>-17.082999999999998</v>
      </c>
      <c r="C3925">
        <v>-174.00299999999999</v>
      </c>
      <c r="D3925" t="s">
        <v>14</v>
      </c>
      <c r="E3925" t="s">
        <v>239</v>
      </c>
      <c r="F3925">
        <f t="shared" si="122"/>
        <v>1984</v>
      </c>
      <c r="G3925">
        <f t="shared" si="123"/>
        <v>10</v>
      </c>
      <c r="H3925" t="str">
        <f>IF(ISNUMBER(FIND(",", E3925)), TRIM(MID(E3925, FIND(",", E3925) + 1, LEN(E3925))), E3925)</f>
        <v>Tonga</v>
      </c>
    </row>
    <row r="3926" spans="1:8" x14ac:dyDescent="0.25">
      <c r="A3926" s="2">
        <v>30984</v>
      </c>
      <c r="B3926">
        <v>5.7329999999999997</v>
      </c>
      <c r="C3926">
        <v>125.523</v>
      </c>
      <c r="D3926" t="s">
        <v>14</v>
      </c>
      <c r="E3926" t="s">
        <v>200</v>
      </c>
      <c r="F3926">
        <f t="shared" si="122"/>
        <v>1984</v>
      </c>
      <c r="G3926">
        <f t="shared" si="123"/>
        <v>10</v>
      </c>
      <c r="H3926" t="str">
        <f>IF(ISNUMBER(FIND(",", E3926)), TRIM(MID(E3926, FIND(",", E3926) + 1, LEN(E3926))), E3926)</f>
        <v>Philippines</v>
      </c>
    </row>
    <row r="3927" spans="1:8" x14ac:dyDescent="0.25">
      <c r="A3927" s="2">
        <v>30982</v>
      </c>
      <c r="B3927">
        <v>49.948999999999998</v>
      </c>
      <c r="C3927">
        <v>78.834000000000003</v>
      </c>
      <c r="D3927" t="s">
        <v>13</v>
      </c>
      <c r="E3927" t="s">
        <v>571</v>
      </c>
      <c r="F3927">
        <f t="shared" si="122"/>
        <v>1984</v>
      </c>
      <c r="G3927">
        <f t="shared" si="123"/>
        <v>10</v>
      </c>
      <c r="H3927" t="str">
        <f>IF(ISNUMBER(FIND(",", E3927)), TRIM(MID(E3927, FIND(",", E3927) + 1, LEN(E3927))), E3927)</f>
        <v>eastern Kazakhstan</v>
      </c>
    </row>
    <row r="3928" spans="1:8" x14ac:dyDescent="0.25">
      <c r="A3928" s="2">
        <v>30981</v>
      </c>
      <c r="B3928">
        <v>39.164000000000001</v>
      </c>
      <c r="C3928">
        <v>71.346999999999994</v>
      </c>
      <c r="D3928" t="s">
        <v>14</v>
      </c>
      <c r="E3928" t="s">
        <v>306</v>
      </c>
      <c r="F3928">
        <f t="shared" si="122"/>
        <v>1984</v>
      </c>
      <c r="G3928">
        <f t="shared" si="123"/>
        <v>10</v>
      </c>
      <c r="H3928" t="str">
        <f>IF(ISNUMBER(FIND(",", E3928)), TRIM(MID(E3928, FIND(",", E3928) + 1, LEN(E3928))), E3928)</f>
        <v>Tajikistan</v>
      </c>
    </row>
    <row r="3929" spans="1:8" x14ac:dyDescent="0.25">
      <c r="A3929" s="2">
        <v>30981</v>
      </c>
      <c r="B3929">
        <v>1.6479999999999999</v>
      </c>
      <c r="C3929">
        <v>126.256</v>
      </c>
      <c r="D3929" t="s">
        <v>14</v>
      </c>
      <c r="E3929" t="s">
        <v>186</v>
      </c>
      <c r="F3929">
        <f t="shared" si="122"/>
        <v>1984</v>
      </c>
      <c r="G3929">
        <f t="shared" si="123"/>
        <v>10</v>
      </c>
      <c r="H3929" t="str">
        <f>IF(ISNUMBER(FIND(",", E3929)), TRIM(MID(E3929, FIND(",", E3929) + 1, LEN(E3929))), E3929)</f>
        <v>Molucca Sea</v>
      </c>
    </row>
    <row r="3930" spans="1:8" x14ac:dyDescent="0.25">
      <c r="A3930" s="2">
        <v>30975</v>
      </c>
      <c r="B3930">
        <v>-24.015000000000001</v>
      </c>
      <c r="C3930">
        <v>-66.775000000000006</v>
      </c>
      <c r="D3930" t="s">
        <v>14</v>
      </c>
      <c r="E3930" t="s">
        <v>347</v>
      </c>
      <c r="F3930">
        <f t="shared" si="122"/>
        <v>1984</v>
      </c>
      <c r="G3930">
        <f t="shared" si="123"/>
        <v>10</v>
      </c>
      <c r="H3930" t="str">
        <f>IF(ISNUMBER(FIND(",", E3930)), TRIM(MID(E3930, FIND(",", E3930) + 1, LEN(E3930))), E3930)</f>
        <v>Argentina</v>
      </c>
    </row>
    <row r="3931" spans="1:8" x14ac:dyDescent="0.25">
      <c r="A3931" s="2">
        <v>30970</v>
      </c>
      <c r="B3931">
        <v>-15.866</v>
      </c>
      <c r="C3931">
        <v>-173.55600000000001</v>
      </c>
      <c r="D3931" t="s">
        <v>14</v>
      </c>
      <c r="E3931" t="s">
        <v>239</v>
      </c>
      <c r="F3931">
        <f t="shared" si="122"/>
        <v>1984</v>
      </c>
      <c r="G3931">
        <f t="shared" si="123"/>
        <v>10</v>
      </c>
      <c r="H3931" t="str">
        <f>IF(ISNUMBER(FIND(",", E3931)), TRIM(MID(E3931, FIND(",", E3931) + 1, LEN(E3931))), E3931)</f>
        <v>Tonga</v>
      </c>
    </row>
    <row r="3932" spans="1:8" x14ac:dyDescent="0.25">
      <c r="A3932" s="2">
        <v>30968</v>
      </c>
      <c r="B3932">
        <v>-15.747999999999999</v>
      </c>
      <c r="C3932">
        <v>177.35300000000001</v>
      </c>
      <c r="D3932" t="s">
        <v>14</v>
      </c>
      <c r="E3932" t="s">
        <v>348</v>
      </c>
      <c r="F3932">
        <f t="shared" si="122"/>
        <v>1984</v>
      </c>
      <c r="G3932">
        <f t="shared" si="123"/>
        <v>10</v>
      </c>
      <c r="H3932" t="str">
        <f>IF(ISNUMBER(FIND(",", E3932)), TRIM(MID(E3932, FIND(",", E3932) + 1, LEN(E3932))), E3932)</f>
        <v>Fiji</v>
      </c>
    </row>
    <row r="3933" spans="1:8" x14ac:dyDescent="0.25">
      <c r="A3933" s="2">
        <v>30967</v>
      </c>
      <c r="B3933">
        <v>-16.673999999999999</v>
      </c>
      <c r="C3933">
        <v>177.20599999999999</v>
      </c>
      <c r="D3933" t="s">
        <v>14</v>
      </c>
      <c r="E3933" t="s">
        <v>348</v>
      </c>
      <c r="F3933">
        <f t="shared" si="122"/>
        <v>1984</v>
      </c>
      <c r="G3933">
        <f t="shared" si="123"/>
        <v>10</v>
      </c>
      <c r="H3933" t="str">
        <f>IF(ISNUMBER(FIND(",", E3933)), TRIM(MID(E3933, FIND(",", E3933) + 1, LEN(E3933))), E3933)</f>
        <v>Fiji</v>
      </c>
    </row>
    <row r="3934" spans="1:8" x14ac:dyDescent="0.25">
      <c r="A3934" s="2">
        <v>30959</v>
      </c>
      <c r="B3934">
        <v>-9.8770000000000007</v>
      </c>
      <c r="C3934">
        <v>118.69199999999999</v>
      </c>
      <c r="D3934" t="s">
        <v>14</v>
      </c>
      <c r="E3934" t="s">
        <v>349</v>
      </c>
      <c r="F3934">
        <f t="shared" si="122"/>
        <v>1984</v>
      </c>
      <c r="G3934">
        <f t="shared" si="123"/>
        <v>10</v>
      </c>
      <c r="H3934" t="str">
        <f>IF(ISNUMBER(FIND(",", E3934)), TRIM(MID(E3934, FIND(",", E3934) + 1, LEN(E3934))), E3934)</f>
        <v>Indonesia</v>
      </c>
    </row>
    <row r="3935" spans="1:8" x14ac:dyDescent="0.25">
      <c r="A3935" s="2">
        <v>30953</v>
      </c>
      <c r="B3935">
        <v>-31.635000000000002</v>
      </c>
      <c r="C3935">
        <v>-110.955</v>
      </c>
      <c r="D3935" t="s">
        <v>14</v>
      </c>
      <c r="E3935" t="s">
        <v>59</v>
      </c>
      <c r="F3935">
        <f t="shared" si="122"/>
        <v>1984</v>
      </c>
      <c r="G3935">
        <f t="shared" si="123"/>
        <v>9</v>
      </c>
      <c r="H3935" t="str">
        <f>IF(ISNUMBER(FIND(",", E3935)), TRIM(MID(E3935, FIND(",", E3935) + 1, LEN(E3935))), E3935)</f>
        <v>Easter Island region</v>
      </c>
    </row>
    <row r="3936" spans="1:8" x14ac:dyDescent="0.25">
      <c r="A3936" s="2">
        <v>30953</v>
      </c>
      <c r="B3936">
        <v>-25.8</v>
      </c>
      <c r="C3936">
        <v>-175.83199999999999</v>
      </c>
      <c r="D3936" t="s">
        <v>14</v>
      </c>
      <c r="E3936" t="s">
        <v>351</v>
      </c>
      <c r="F3936">
        <f t="shared" si="122"/>
        <v>1984</v>
      </c>
      <c r="G3936">
        <f t="shared" si="123"/>
        <v>9</v>
      </c>
      <c r="H3936" t="str">
        <f>IF(ISNUMBER(FIND(",", E3936)), TRIM(MID(E3936, FIND(",", E3936) + 1, LEN(E3936))), E3936)</f>
        <v>south of Tonga</v>
      </c>
    </row>
    <row r="3937" spans="1:8" x14ac:dyDescent="0.25">
      <c r="A3937" s="2">
        <v>30947</v>
      </c>
      <c r="B3937">
        <v>-32.146000000000001</v>
      </c>
      <c r="C3937">
        <v>-178.16399999999999</v>
      </c>
      <c r="D3937" t="s">
        <v>14</v>
      </c>
      <c r="E3937" t="s">
        <v>262</v>
      </c>
      <c r="F3937">
        <f t="shared" si="122"/>
        <v>1984</v>
      </c>
      <c r="G3937">
        <f t="shared" si="123"/>
        <v>9</v>
      </c>
      <c r="H3937" t="str">
        <f>IF(ISNUMBER(FIND(",", E3937)), TRIM(MID(E3937, FIND(",", E3937) + 1, LEN(E3937))), E3937)</f>
        <v>south of the Kermadec Islands</v>
      </c>
    </row>
    <row r="3938" spans="1:8" x14ac:dyDescent="0.25">
      <c r="A3938" s="2">
        <v>30947</v>
      </c>
      <c r="B3938">
        <v>13.874000000000001</v>
      </c>
      <c r="C3938">
        <v>145.37</v>
      </c>
      <c r="D3938" t="s">
        <v>14</v>
      </c>
      <c r="E3938" t="s">
        <v>403</v>
      </c>
      <c r="F3938">
        <f t="shared" si="122"/>
        <v>1984</v>
      </c>
      <c r="G3938">
        <f t="shared" si="123"/>
        <v>9</v>
      </c>
      <c r="H3938" t="str">
        <f>IF(ISNUMBER(FIND(",", E3938)), TRIM(MID(E3938, FIND(",", E3938) + 1, LEN(E3938))), E3938)</f>
        <v>Guam region</v>
      </c>
    </row>
    <row r="3939" spans="1:8" x14ac:dyDescent="0.25">
      <c r="A3939" s="2">
        <v>30944</v>
      </c>
      <c r="B3939">
        <v>-6.9219999999999997</v>
      </c>
      <c r="C3939">
        <v>72.727999999999994</v>
      </c>
      <c r="D3939" t="s">
        <v>14</v>
      </c>
      <c r="E3939" t="s">
        <v>600</v>
      </c>
      <c r="F3939">
        <f t="shared" si="122"/>
        <v>1984</v>
      </c>
      <c r="G3939">
        <f t="shared" si="123"/>
        <v>9</v>
      </c>
      <c r="H3939" t="str">
        <f>IF(ISNUMBER(FIND(",", E3939)), TRIM(MID(E3939, FIND(",", E3939) + 1, LEN(E3939))), E3939)</f>
        <v>Chagos Archipelago region</v>
      </c>
    </row>
    <row r="3940" spans="1:8" x14ac:dyDescent="0.25">
      <c r="A3940" s="2">
        <v>30943</v>
      </c>
      <c r="B3940">
        <v>34.018000000000001</v>
      </c>
      <c r="C3940">
        <v>141.51499999999999</v>
      </c>
      <c r="D3940" t="s">
        <v>14</v>
      </c>
      <c r="E3940" t="s">
        <v>189</v>
      </c>
      <c r="F3940">
        <f t="shared" si="122"/>
        <v>1984</v>
      </c>
      <c r="G3940">
        <f t="shared" si="123"/>
        <v>9</v>
      </c>
      <c r="H3940" t="str">
        <f>IF(ISNUMBER(FIND(",", E3940)), TRIM(MID(E3940, FIND(",", E3940) + 1, LEN(E3940))), E3940)</f>
        <v>Japan</v>
      </c>
    </row>
    <row r="3941" spans="1:8" x14ac:dyDescent="0.25">
      <c r="A3941" s="2">
        <v>30942</v>
      </c>
      <c r="B3941">
        <v>-32.042999999999999</v>
      </c>
      <c r="C3941">
        <v>-178.32</v>
      </c>
      <c r="D3941" t="s">
        <v>14</v>
      </c>
      <c r="E3941" t="s">
        <v>262</v>
      </c>
      <c r="F3941">
        <f t="shared" si="122"/>
        <v>1984</v>
      </c>
      <c r="G3941">
        <f t="shared" si="123"/>
        <v>9</v>
      </c>
      <c r="H3941" t="str">
        <f>IF(ISNUMBER(FIND(",", E3941)), TRIM(MID(E3941, FIND(",", E3941) + 1, LEN(E3941))), E3941)</f>
        <v>south of the Kermadec Islands</v>
      </c>
    </row>
    <row r="3942" spans="1:8" x14ac:dyDescent="0.25">
      <c r="A3942" s="2">
        <v>30942</v>
      </c>
      <c r="B3942">
        <v>-17.917000000000002</v>
      </c>
      <c r="C3942">
        <v>65.635999999999996</v>
      </c>
      <c r="D3942" t="s">
        <v>14</v>
      </c>
      <c r="E3942" t="s">
        <v>220</v>
      </c>
      <c r="F3942">
        <f t="shared" si="122"/>
        <v>1984</v>
      </c>
      <c r="G3942">
        <f t="shared" si="123"/>
        <v>9</v>
      </c>
      <c r="H3942" t="str">
        <f>IF(ISNUMBER(FIND(",", E3942)), TRIM(MID(E3942, FIND(",", E3942) + 1, LEN(E3942))), E3942)</f>
        <v>Mauritius - Reunion region</v>
      </c>
    </row>
    <row r="3943" spans="1:8" x14ac:dyDescent="0.25">
      <c r="A3943" s="2">
        <v>30938</v>
      </c>
      <c r="B3943">
        <v>35.801000000000002</v>
      </c>
      <c r="C3943">
        <v>137.46600000000001</v>
      </c>
      <c r="D3943" t="s">
        <v>14</v>
      </c>
      <c r="E3943" t="s">
        <v>293</v>
      </c>
      <c r="F3943">
        <f t="shared" si="122"/>
        <v>1984</v>
      </c>
      <c r="G3943">
        <f t="shared" si="123"/>
        <v>9</v>
      </c>
      <c r="H3943" t="str">
        <f>IF(ISNUMBER(FIND(",", E3943)), TRIM(MID(E3943, FIND(",", E3943) + 1, LEN(E3943))), E3943)</f>
        <v>Japan</v>
      </c>
    </row>
    <row r="3944" spans="1:8" x14ac:dyDescent="0.25">
      <c r="A3944" s="2">
        <v>30936</v>
      </c>
      <c r="B3944">
        <v>-15.504</v>
      </c>
      <c r="C3944">
        <v>167.72900000000001</v>
      </c>
      <c r="D3944" t="s">
        <v>14</v>
      </c>
      <c r="E3944" t="s">
        <v>181</v>
      </c>
      <c r="F3944">
        <f t="shared" si="122"/>
        <v>1984</v>
      </c>
      <c r="G3944">
        <f t="shared" si="123"/>
        <v>9</v>
      </c>
      <c r="H3944" t="str">
        <f>IF(ISNUMBER(FIND(",", E3944)), TRIM(MID(E3944, FIND(",", E3944) + 1, LEN(E3944))), E3944)</f>
        <v>Vanuatu</v>
      </c>
    </row>
    <row r="3945" spans="1:8" x14ac:dyDescent="0.25">
      <c r="A3945" s="2">
        <v>30935</v>
      </c>
      <c r="B3945">
        <v>40.375999999999998</v>
      </c>
      <c r="C3945">
        <v>-126.913</v>
      </c>
      <c r="D3945" t="s">
        <v>14</v>
      </c>
      <c r="E3945" t="s">
        <v>449</v>
      </c>
      <c r="F3945">
        <f t="shared" si="122"/>
        <v>1984</v>
      </c>
      <c r="G3945">
        <f t="shared" si="123"/>
        <v>9</v>
      </c>
      <c r="H3945" t="str">
        <f>IF(ISNUMBER(FIND(",", E3945)), TRIM(MID(E3945, FIND(",", E3945) + 1, LEN(E3945))), E3945)</f>
        <v>off the coast of Northern California</v>
      </c>
    </row>
    <row r="3946" spans="1:8" x14ac:dyDescent="0.25">
      <c r="A3946" s="2">
        <v>30925</v>
      </c>
      <c r="B3946">
        <v>16.074000000000002</v>
      </c>
      <c r="C3946">
        <v>-93.263000000000005</v>
      </c>
      <c r="D3946" t="s">
        <v>14</v>
      </c>
      <c r="E3946" t="s">
        <v>421</v>
      </c>
      <c r="F3946">
        <f t="shared" si="122"/>
        <v>1984</v>
      </c>
      <c r="G3946">
        <f t="shared" si="123"/>
        <v>8</v>
      </c>
      <c r="H3946" t="str">
        <f>IF(ISNUMBER(FIND(",", E3946)), TRIM(MID(E3946, FIND(",", E3946) + 1, LEN(E3946))), E3946)</f>
        <v>Mexico</v>
      </c>
    </row>
    <row r="3947" spans="1:8" x14ac:dyDescent="0.25">
      <c r="A3947" s="2">
        <v>30925</v>
      </c>
      <c r="B3947">
        <v>-17.946999999999999</v>
      </c>
      <c r="C3947">
        <v>172.226</v>
      </c>
      <c r="D3947" t="s">
        <v>14</v>
      </c>
      <c r="E3947" t="s">
        <v>281</v>
      </c>
      <c r="F3947">
        <f t="shared" si="122"/>
        <v>1984</v>
      </c>
      <c r="G3947">
        <f t="shared" si="123"/>
        <v>8</v>
      </c>
      <c r="H3947" t="str">
        <f>IF(ISNUMBER(FIND(",", E3947)), TRIM(MID(E3947, FIND(",", E3947) + 1, LEN(E3947))), E3947)</f>
        <v>Vanuatu region</v>
      </c>
    </row>
    <row r="3948" spans="1:8" x14ac:dyDescent="0.25">
      <c r="A3948" s="2">
        <v>30920</v>
      </c>
      <c r="B3948">
        <v>-23.608000000000001</v>
      </c>
      <c r="C3948">
        <v>179.114</v>
      </c>
      <c r="D3948" t="s">
        <v>14</v>
      </c>
      <c r="E3948" t="s">
        <v>256</v>
      </c>
      <c r="F3948">
        <f t="shared" si="122"/>
        <v>1984</v>
      </c>
      <c r="G3948">
        <f t="shared" si="123"/>
        <v>8</v>
      </c>
      <c r="H3948" t="str">
        <f>IF(ISNUMBER(FIND(",", E3948)), TRIM(MID(E3948, FIND(",", E3948) + 1, LEN(E3948))), E3948)</f>
        <v>south of the Fiji Islands</v>
      </c>
    </row>
    <row r="3949" spans="1:8" x14ac:dyDescent="0.25">
      <c r="A3949" s="2">
        <v>30917</v>
      </c>
      <c r="B3949">
        <v>11.571</v>
      </c>
      <c r="C3949">
        <v>-86.509</v>
      </c>
      <c r="D3949" t="s">
        <v>14</v>
      </c>
      <c r="E3949" t="s">
        <v>448</v>
      </c>
      <c r="F3949">
        <f t="shared" si="122"/>
        <v>1984</v>
      </c>
      <c r="G3949">
        <f t="shared" si="123"/>
        <v>8</v>
      </c>
      <c r="H3949" t="str">
        <f>IF(ISNUMBER(FIND(",", E3949)), TRIM(MID(E3949, FIND(",", E3949) + 1, LEN(E3949))), E3949)</f>
        <v>near the coast of Nicaragua</v>
      </c>
    </row>
    <row r="3950" spans="1:8" x14ac:dyDescent="0.25">
      <c r="A3950" s="2">
        <v>30905</v>
      </c>
      <c r="B3950">
        <v>-4.9809999999999999</v>
      </c>
      <c r="C3950">
        <v>152.15299999999999</v>
      </c>
      <c r="D3950" t="s">
        <v>14</v>
      </c>
      <c r="E3950" t="s">
        <v>190</v>
      </c>
      <c r="F3950">
        <f t="shared" si="122"/>
        <v>1984</v>
      </c>
      <c r="G3950">
        <f t="shared" si="123"/>
        <v>8</v>
      </c>
      <c r="H3950" t="str">
        <f>IF(ISNUMBER(FIND(",", E3950)), TRIM(MID(E3950, FIND(",", E3950) + 1, LEN(E3950))), E3950)</f>
        <v>Papua New Guinea</v>
      </c>
    </row>
    <row r="3951" spans="1:8" x14ac:dyDescent="0.25">
      <c r="A3951" s="2">
        <v>30900</v>
      </c>
      <c r="B3951">
        <v>32.447000000000003</v>
      </c>
      <c r="C3951">
        <v>131.864</v>
      </c>
      <c r="D3951" t="s">
        <v>14</v>
      </c>
      <c r="E3951" t="s">
        <v>357</v>
      </c>
      <c r="F3951">
        <f t="shared" si="122"/>
        <v>1984</v>
      </c>
      <c r="G3951">
        <f t="shared" si="123"/>
        <v>8</v>
      </c>
      <c r="H3951" t="str">
        <f>IF(ISNUMBER(FIND(",", E3951)), TRIM(MID(E3951, FIND(",", E3951) + 1, LEN(E3951))), E3951)</f>
        <v>Japan</v>
      </c>
    </row>
    <row r="3952" spans="1:8" x14ac:dyDescent="0.25">
      <c r="A3952" s="2">
        <v>30900</v>
      </c>
      <c r="B3952">
        <v>-7.5999999999999998E-2</v>
      </c>
      <c r="C3952">
        <v>122.42400000000001</v>
      </c>
      <c r="D3952" t="s">
        <v>14</v>
      </c>
      <c r="E3952" t="s">
        <v>182</v>
      </c>
      <c r="F3952">
        <f t="shared" si="122"/>
        <v>1984</v>
      </c>
      <c r="G3952">
        <f t="shared" si="123"/>
        <v>8</v>
      </c>
      <c r="H3952" t="str">
        <f>IF(ISNUMBER(FIND(",", E3952)), TRIM(MID(E3952, FIND(",", E3952) + 1, LEN(E3952))), E3952)</f>
        <v>Indonesia</v>
      </c>
    </row>
    <row r="3953" spans="1:8" x14ac:dyDescent="0.25">
      <c r="A3953" s="2">
        <v>30886</v>
      </c>
      <c r="B3953">
        <v>1.34</v>
      </c>
      <c r="C3953">
        <v>126.32299999999999</v>
      </c>
      <c r="D3953" t="s">
        <v>14</v>
      </c>
      <c r="E3953" t="s">
        <v>186</v>
      </c>
      <c r="F3953">
        <f t="shared" si="122"/>
        <v>1984</v>
      </c>
      <c r="G3953">
        <f t="shared" si="123"/>
        <v>7</v>
      </c>
      <c r="H3953" t="str">
        <f>IF(ISNUMBER(FIND(",", E3953)), TRIM(MID(E3953, FIND(",", E3953) + 1, LEN(E3953))), E3953)</f>
        <v>Molucca Sea</v>
      </c>
    </row>
    <row r="3954" spans="1:8" x14ac:dyDescent="0.25">
      <c r="A3954" s="2">
        <v>30879</v>
      </c>
      <c r="B3954">
        <v>-54.920999999999999</v>
      </c>
      <c r="C3954">
        <v>-128.589</v>
      </c>
      <c r="D3954" t="s">
        <v>14</v>
      </c>
      <c r="E3954" t="s">
        <v>179</v>
      </c>
      <c r="F3954">
        <f t="shared" si="122"/>
        <v>1984</v>
      </c>
      <c r="G3954">
        <f t="shared" si="123"/>
        <v>7</v>
      </c>
      <c r="H3954" t="str">
        <f>IF(ISNUMBER(FIND(",", E3954)), TRIM(MID(E3954, FIND(",", E3954) + 1, LEN(E3954))), E3954)</f>
        <v>Pacific-Antarctic Ridge</v>
      </c>
    </row>
    <row r="3955" spans="1:8" x14ac:dyDescent="0.25">
      <c r="A3955" s="2">
        <v>30877</v>
      </c>
      <c r="B3955">
        <v>49.890999999999998</v>
      </c>
      <c r="C3955">
        <v>78.962999999999994</v>
      </c>
      <c r="D3955" t="s">
        <v>13</v>
      </c>
      <c r="E3955" t="s">
        <v>571</v>
      </c>
      <c r="F3955">
        <f t="shared" si="122"/>
        <v>1984</v>
      </c>
      <c r="G3955">
        <f t="shared" si="123"/>
        <v>7</v>
      </c>
      <c r="H3955" t="str">
        <f>IF(ISNUMBER(FIND(",", E3955)), TRIM(MID(E3955, FIND(",", E3955) + 1, LEN(E3955))), E3955)</f>
        <v>eastern Kazakhstan</v>
      </c>
    </row>
    <row r="3956" spans="1:8" x14ac:dyDescent="0.25">
      <c r="A3956" s="2">
        <v>30872</v>
      </c>
      <c r="B3956">
        <v>-5.7649999999999997</v>
      </c>
      <c r="C3956">
        <v>111.244</v>
      </c>
      <c r="D3956" t="s">
        <v>14</v>
      </c>
      <c r="E3956" t="s">
        <v>556</v>
      </c>
      <c r="F3956">
        <f t="shared" si="122"/>
        <v>1984</v>
      </c>
      <c r="G3956">
        <f t="shared" si="123"/>
        <v>7</v>
      </c>
      <c r="H3956" t="str">
        <f>IF(ISNUMBER(FIND(",", E3956)), TRIM(MID(E3956, FIND(",", E3956) + 1, LEN(E3956))), E3956)</f>
        <v>Java Sea</v>
      </c>
    </row>
    <row r="3957" spans="1:8" x14ac:dyDescent="0.25">
      <c r="A3957" s="2">
        <v>30868</v>
      </c>
      <c r="B3957">
        <v>-6.069</v>
      </c>
      <c r="C3957">
        <v>154.47300000000001</v>
      </c>
      <c r="D3957" t="s">
        <v>14</v>
      </c>
      <c r="E3957" t="s">
        <v>290</v>
      </c>
      <c r="F3957">
        <f t="shared" si="122"/>
        <v>1984</v>
      </c>
      <c r="G3957">
        <f t="shared" si="123"/>
        <v>7</v>
      </c>
      <c r="H3957" t="str">
        <f>IF(ISNUMBER(FIND(",", E3957)), TRIM(MID(E3957, FIND(",", E3957) + 1, LEN(E3957))), E3957)</f>
        <v>Papua New Guinea</v>
      </c>
    </row>
    <row r="3958" spans="1:8" x14ac:dyDescent="0.25">
      <c r="A3958" s="2">
        <v>30865</v>
      </c>
      <c r="B3958">
        <v>16.754999999999999</v>
      </c>
      <c r="C3958">
        <v>-98.491</v>
      </c>
      <c r="D3958" t="s">
        <v>14</v>
      </c>
      <c r="E3958" t="s">
        <v>192</v>
      </c>
      <c r="F3958">
        <f t="shared" si="122"/>
        <v>1984</v>
      </c>
      <c r="G3958">
        <f t="shared" si="123"/>
        <v>7</v>
      </c>
      <c r="H3958" t="str">
        <f>IF(ISNUMBER(FIND(",", E3958)), TRIM(MID(E3958, FIND(",", E3958) + 1, LEN(E3958))), E3958)</f>
        <v>Mexico</v>
      </c>
    </row>
    <row r="3959" spans="1:8" x14ac:dyDescent="0.25">
      <c r="A3959" s="2">
        <v>30861</v>
      </c>
      <c r="B3959">
        <v>2.9540000000000002</v>
      </c>
      <c r="C3959">
        <v>126.455</v>
      </c>
      <c r="D3959" t="s">
        <v>14</v>
      </c>
      <c r="E3959" t="s">
        <v>186</v>
      </c>
      <c r="F3959">
        <f t="shared" si="122"/>
        <v>1984</v>
      </c>
      <c r="G3959">
        <f t="shared" si="123"/>
        <v>6</v>
      </c>
      <c r="H3959" t="str">
        <f>IF(ISNUMBER(FIND(",", E3959)), TRIM(MID(E3959, FIND(",", E3959) + 1, LEN(E3959))), E3959)</f>
        <v>Molucca Sea</v>
      </c>
    </row>
    <row r="3960" spans="1:8" x14ac:dyDescent="0.25">
      <c r="A3960" s="2">
        <v>30857</v>
      </c>
      <c r="B3960">
        <v>-43.597999999999999</v>
      </c>
      <c r="C3960">
        <v>170.667</v>
      </c>
      <c r="D3960" t="s">
        <v>14</v>
      </c>
      <c r="E3960" t="s">
        <v>300</v>
      </c>
      <c r="F3960">
        <f t="shared" si="122"/>
        <v>1984</v>
      </c>
      <c r="G3960">
        <f t="shared" si="123"/>
        <v>6</v>
      </c>
      <c r="H3960" t="str">
        <f>IF(ISNUMBER(FIND(",", E3960)), TRIM(MID(E3960, FIND(",", E3960) + 1, LEN(E3960))), E3960)</f>
        <v>South Island of New Zealand</v>
      </c>
    </row>
    <row r="3961" spans="1:8" x14ac:dyDescent="0.25">
      <c r="A3961" s="2">
        <v>30857</v>
      </c>
      <c r="B3961">
        <v>17.978000000000002</v>
      </c>
      <c r="C3961">
        <v>-69.367999999999995</v>
      </c>
      <c r="D3961" t="s">
        <v>14</v>
      </c>
      <c r="E3961" t="s">
        <v>601</v>
      </c>
      <c r="F3961">
        <f t="shared" si="122"/>
        <v>1984</v>
      </c>
      <c r="G3961">
        <f t="shared" si="123"/>
        <v>6</v>
      </c>
      <c r="H3961" t="str">
        <f>IF(ISNUMBER(FIND(",", E3961)), TRIM(MID(E3961, FIND(",", E3961) + 1, LEN(E3961))), E3961)</f>
        <v>Dominican Republic region</v>
      </c>
    </row>
    <row r="3962" spans="1:8" x14ac:dyDescent="0.25">
      <c r="A3962" s="2">
        <v>30855</v>
      </c>
      <c r="B3962">
        <v>-58.383000000000003</v>
      </c>
      <c r="C3962">
        <v>-15.788</v>
      </c>
      <c r="D3962" t="s">
        <v>14</v>
      </c>
      <c r="E3962" t="s">
        <v>242</v>
      </c>
      <c r="F3962">
        <f t="shared" si="122"/>
        <v>1984</v>
      </c>
      <c r="G3962">
        <f t="shared" si="123"/>
        <v>6</v>
      </c>
      <c r="H3962" t="str">
        <f>IF(ISNUMBER(FIND(",", E3962)), TRIM(MID(E3962, FIND(",", E3962) + 1, LEN(E3962))), E3962)</f>
        <v>east of the South Sandwich Islands</v>
      </c>
    </row>
    <row r="3963" spans="1:8" x14ac:dyDescent="0.25">
      <c r="A3963" s="2">
        <v>30854</v>
      </c>
      <c r="B3963">
        <v>35.399000000000001</v>
      </c>
      <c r="C3963">
        <v>23.335999999999999</v>
      </c>
      <c r="D3963" t="s">
        <v>14</v>
      </c>
      <c r="E3963" t="s">
        <v>296</v>
      </c>
      <c r="F3963">
        <f t="shared" si="122"/>
        <v>1984</v>
      </c>
      <c r="G3963">
        <f t="shared" si="123"/>
        <v>6</v>
      </c>
      <c r="H3963" t="str">
        <f>IF(ISNUMBER(FIND(",", E3963)), TRIM(MID(E3963, FIND(",", E3963) + 1, LEN(E3963))), E3963)</f>
        <v>Greece</v>
      </c>
    </row>
    <row r="3964" spans="1:8" x14ac:dyDescent="0.25">
      <c r="A3964" s="2">
        <v>30851</v>
      </c>
      <c r="B3964">
        <v>-15.702</v>
      </c>
      <c r="C3964">
        <v>-72.403999999999996</v>
      </c>
      <c r="D3964" t="s">
        <v>14</v>
      </c>
      <c r="E3964" t="s">
        <v>229</v>
      </c>
      <c r="F3964">
        <f t="shared" si="122"/>
        <v>1984</v>
      </c>
      <c r="G3964">
        <f t="shared" si="123"/>
        <v>6</v>
      </c>
      <c r="H3964" t="str">
        <f>IF(ISNUMBER(FIND(",", E3964)), TRIM(MID(E3964, FIND(",", E3964) + 1, LEN(E3964))), E3964)</f>
        <v>southern Peru</v>
      </c>
    </row>
    <row r="3965" spans="1:8" x14ac:dyDescent="0.25">
      <c r="A3965" s="2">
        <v>30850</v>
      </c>
      <c r="B3965">
        <v>38.859000000000002</v>
      </c>
      <c r="C3965">
        <v>25.722999999999999</v>
      </c>
      <c r="D3965" t="s">
        <v>14</v>
      </c>
      <c r="E3965" t="s">
        <v>498</v>
      </c>
      <c r="F3965">
        <f t="shared" si="122"/>
        <v>1984</v>
      </c>
      <c r="G3965">
        <f t="shared" si="123"/>
        <v>6</v>
      </c>
      <c r="H3965" t="str">
        <f>IF(ISNUMBER(FIND(",", E3965)), TRIM(MID(E3965, FIND(",", E3965) + 1, LEN(E3965))), E3965)</f>
        <v>Aegean Sea</v>
      </c>
    </row>
    <row r="3966" spans="1:8" x14ac:dyDescent="0.25">
      <c r="A3966" s="2">
        <v>30848</v>
      </c>
      <c r="B3966">
        <v>-15.858000000000001</v>
      </c>
      <c r="C3966">
        <v>-174.74799999999999</v>
      </c>
      <c r="D3966" t="s">
        <v>14</v>
      </c>
      <c r="E3966" t="s">
        <v>239</v>
      </c>
      <c r="F3966">
        <f t="shared" si="122"/>
        <v>1984</v>
      </c>
      <c r="G3966">
        <f t="shared" si="123"/>
        <v>6</v>
      </c>
      <c r="H3966" t="str">
        <f>IF(ISNUMBER(FIND(",", E3966)), TRIM(MID(E3966, FIND(",", E3966) + 1, LEN(E3966))), E3966)</f>
        <v>Tonga</v>
      </c>
    </row>
    <row r="3967" spans="1:8" x14ac:dyDescent="0.25">
      <c r="A3967" s="2">
        <v>30844</v>
      </c>
      <c r="B3967">
        <v>-30.768999999999998</v>
      </c>
      <c r="C3967">
        <v>-71.215999999999994</v>
      </c>
      <c r="D3967" t="s">
        <v>14</v>
      </c>
      <c r="E3967" t="s">
        <v>193</v>
      </c>
      <c r="F3967">
        <f t="shared" si="122"/>
        <v>1984</v>
      </c>
      <c r="G3967">
        <f t="shared" si="123"/>
        <v>6</v>
      </c>
      <c r="H3967" t="str">
        <f>IF(ISNUMBER(FIND(",", E3967)), TRIM(MID(E3967, FIND(",", E3967) + 1, LEN(E3967))), E3967)</f>
        <v>Chile</v>
      </c>
    </row>
    <row r="3968" spans="1:8" x14ac:dyDescent="0.25">
      <c r="A3968" s="2">
        <v>30841</v>
      </c>
      <c r="B3968">
        <v>-5.8280000000000003</v>
      </c>
      <c r="C3968">
        <v>103.995</v>
      </c>
      <c r="D3968" t="s">
        <v>14</v>
      </c>
      <c r="E3968" t="s">
        <v>308</v>
      </c>
      <c r="F3968">
        <f t="shared" si="122"/>
        <v>1984</v>
      </c>
      <c r="G3968">
        <f t="shared" si="123"/>
        <v>6</v>
      </c>
      <c r="H3968" t="str">
        <f>IF(ISNUMBER(FIND(",", E3968)), TRIM(MID(E3968, FIND(",", E3968) + 1, LEN(E3968))), E3968)</f>
        <v>Indonesia</v>
      </c>
    </row>
    <row r="3969" spans="1:8" x14ac:dyDescent="0.25">
      <c r="A3969" s="2">
        <v>30839</v>
      </c>
      <c r="B3969">
        <v>-4.8</v>
      </c>
      <c r="C3969">
        <v>125.848</v>
      </c>
      <c r="D3969" t="s">
        <v>14</v>
      </c>
      <c r="E3969" t="s">
        <v>187</v>
      </c>
      <c r="F3969">
        <f t="shared" si="122"/>
        <v>1984</v>
      </c>
      <c r="G3969">
        <f t="shared" si="123"/>
        <v>6</v>
      </c>
      <c r="H3969" t="str">
        <f>IF(ISNUMBER(FIND(",", E3969)), TRIM(MID(E3969, FIND(",", E3969) + 1, LEN(E3969))), E3969)</f>
        <v>Banda Sea</v>
      </c>
    </row>
    <row r="3970" spans="1:8" x14ac:dyDescent="0.25">
      <c r="A3970" s="2">
        <v>30832</v>
      </c>
      <c r="B3970">
        <v>-4.8360000000000003</v>
      </c>
      <c r="C3970">
        <v>151.59399999999999</v>
      </c>
      <c r="D3970" t="s">
        <v>14</v>
      </c>
      <c r="E3970" t="s">
        <v>190</v>
      </c>
      <c r="F3970">
        <f t="shared" ref="F3970:F4033" si="124">YEAR(A3970)</f>
        <v>1984</v>
      </c>
      <c r="G3970">
        <f t="shared" si="123"/>
        <v>5</v>
      </c>
      <c r="H3970" t="str">
        <f>IF(ISNUMBER(FIND(",", E3970)), TRIM(MID(E3970, FIND(",", E3970) + 1, LEN(E3970))), E3970)</f>
        <v>Papua New Guinea</v>
      </c>
    </row>
    <row r="3971" spans="1:8" x14ac:dyDescent="0.25">
      <c r="A3971" s="2">
        <v>30828</v>
      </c>
      <c r="B3971">
        <v>-10.829000000000001</v>
      </c>
      <c r="C3971">
        <v>164.298</v>
      </c>
      <c r="D3971" t="s">
        <v>14</v>
      </c>
      <c r="E3971" t="s">
        <v>396</v>
      </c>
      <c r="F3971">
        <f t="shared" si="124"/>
        <v>1984</v>
      </c>
      <c r="G3971">
        <f t="shared" ref="G3971:G4034" si="125">MONTH(A3971)</f>
        <v>5</v>
      </c>
      <c r="H3971" t="str">
        <f>IF(ISNUMBER(FIND(",", E3971)), TRIM(MID(E3971, FIND(",", E3971) + 1, LEN(E3971))), E3971)</f>
        <v>Santa Cruz Islands region</v>
      </c>
    </row>
    <row r="3972" spans="1:8" x14ac:dyDescent="0.25">
      <c r="A3972" s="2">
        <v>30828</v>
      </c>
      <c r="B3972">
        <v>-43.503</v>
      </c>
      <c r="C3972">
        <v>38.71</v>
      </c>
      <c r="D3972" t="s">
        <v>14</v>
      </c>
      <c r="E3972" t="s">
        <v>369</v>
      </c>
      <c r="F3972">
        <f t="shared" si="124"/>
        <v>1984</v>
      </c>
      <c r="G3972">
        <f t="shared" si="125"/>
        <v>5</v>
      </c>
      <c r="H3972" t="str">
        <f>IF(ISNUMBER(FIND(",", E3972)), TRIM(MID(E3972, FIND(",", E3972) + 1, LEN(E3972))), E3972)</f>
        <v>Prince Edward Islands region</v>
      </c>
    </row>
    <row r="3973" spans="1:8" x14ac:dyDescent="0.25">
      <c r="A3973" s="2">
        <v>30828</v>
      </c>
      <c r="B3973">
        <v>49.98</v>
      </c>
      <c r="C3973">
        <v>79.06</v>
      </c>
      <c r="D3973" t="s">
        <v>13</v>
      </c>
      <c r="E3973" t="s">
        <v>571</v>
      </c>
      <c r="F3973">
        <f t="shared" si="124"/>
        <v>1984</v>
      </c>
      <c r="G3973">
        <f t="shared" si="125"/>
        <v>5</v>
      </c>
      <c r="H3973" t="str">
        <f>IF(ISNUMBER(FIND(",", E3973)), TRIM(MID(E3973, FIND(",", E3973) + 1, LEN(E3973))), E3973)</f>
        <v>eastern Kazakhstan</v>
      </c>
    </row>
    <row r="3974" spans="1:8" x14ac:dyDescent="0.25">
      <c r="A3974" s="2">
        <v>30828</v>
      </c>
      <c r="B3974">
        <v>-54.65</v>
      </c>
      <c r="C3974">
        <v>-135.452</v>
      </c>
      <c r="D3974" t="s">
        <v>14</v>
      </c>
      <c r="E3974" t="s">
        <v>179</v>
      </c>
      <c r="F3974">
        <f t="shared" si="124"/>
        <v>1984</v>
      </c>
      <c r="G3974">
        <f t="shared" si="125"/>
        <v>5</v>
      </c>
      <c r="H3974" t="str">
        <f>IF(ISNUMBER(FIND(",", E3974)), TRIM(MID(E3974, FIND(",", E3974) + 1, LEN(E3974))), E3974)</f>
        <v>Pacific-Antarctic Ridge</v>
      </c>
    </row>
    <row r="3975" spans="1:8" x14ac:dyDescent="0.25">
      <c r="A3975" s="2">
        <v>30827</v>
      </c>
      <c r="B3975">
        <v>-54.585999999999999</v>
      </c>
      <c r="C3975">
        <v>-136.57599999999999</v>
      </c>
      <c r="D3975" t="s">
        <v>14</v>
      </c>
      <c r="E3975" t="s">
        <v>179</v>
      </c>
      <c r="F3975">
        <f t="shared" si="124"/>
        <v>1984</v>
      </c>
      <c r="G3975">
        <f t="shared" si="125"/>
        <v>5</v>
      </c>
      <c r="H3975" t="str">
        <f>IF(ISNUMBER(FIND(",", E3975)), TRIM(MID(E3975, FIND(",", E3975) + 1, LEN(E3975))), E3975)</f>
        <v>Pacific-Antarctic Ridge</v>
      </c>
    </row>
    <row r="3976" spans="1:8" x14ac:dyDescent="0.25">
      <c r="A3976" s="2">
        <v>30825</v>
      </c>
      <c r="B3976">
        <v>-51.941000000000003</v>
      </c>
      <c r="C3976">
        <v>161.178</v>
      </c>
      <c r="D3976" t="s">
        <v>14</v>
      </c>
      <c r="E3976" t="s">
        <v>415</v>
      </c>
      <c r="F3976">
        <f t="shared" si="124"/>
        <v>1984</v>
      </c>
      <c r="G3976">
        <f t="shared" si="125"/>
        <v>5</v>
      </c>
      <c r="H3976" t="str">
        <f>IF(ISNUMBER(FIND(",", E3976)), TRIM(MID(E3976, FIND(",", E3976) + 1, LEN(E3976))), E3976)</f>
        <v>north of Macquarie Island</v>
      </c>
    </row>
    <row r="3977" spans="1:8" x14ac:dyDescent="0.25">
      <c r="A3977" s="2">
        <v>30823</v>
      </c>
      <c r="B3977">
        <v>32.603000000000002</v>
      </c>
      <c r="C3977">
        <v>121.59699999999999</v>
      </c>
      <c r="D3977" t="s">
        <v>14</v>
      </c>
      <c r="E3977" t="s">
        <v>602</v>
      </c>
      <c r="F3977">
        <f t="shared" si="124"/>
        <v>1984</v>
      </c>
      <c r="G3977">
        <f t="shared" si="125"/>
        <v>5</v>
      </c>
      <c r="H3977" t="str">
        <f>IF(ISNUMBER(FIND(",", E3977)), TRIM(MID(E3977, FIND(",", E3977) + 1, LEN(E3977))), E3977)</f>
        <v>China</v>
      </c>
    </row>
    <row r="3978" spans="1:8" x14ac:dyDescent="0.25">
      <c r="A3978" s="2">
        <v>30819</v>
      </c>
      <c r="B3978">
        <v>-36.298999999999999</v>
      </c>
      <c r="C3978">
        <v>53.542000000000002</v>
      </c>
      <c r="D3978" t="s">
        <v>14</v>
      </c>
      <c r="E3978" t="s">
        <v>473</v>
      </c>
      <c r="F3978">
        <f t="shared" si="124"/>
        <v>1984</v>
      </c>
      <c r="G3978">
        <f t="shared" si="125"/>
        <v>5</v>
      </c>
      <c r="H3978" t="str">
        <f>IF(ISNUMBER(FIND(",", E3978)), TRIM(MID(E3978, FIND(",", E3978) + 1, LEN(E3978))), E3978)</f>
        <v>South Indian Ocean</v>
      </c>
    </row>
    <row r="3979" spans="1:8" x14ac:dyDescent="0.25">
      <c r="A3979" s="2">
        <v>30819</v>
      </c>
      <c r="B3979">
        <v>-36.429000000000002</v>
      </c>
      <c r="C3979">
        <v>52.418999999999997</v>
      </c>
      <c r="D3979" t="s">
        <v>16</v>
      </c>
      <c r="E3979" t="s">
        <v>94</v>
      </c>
      <c r="F3979">
        <f t="shared" si="124"/>
        <v>1984</v>
      </c>
      <c r="G3979">
        <f t="shared" si="125"/>
        <v>5</v>
      </c>
      <c r="H3979" t="str">
        <f>IF(ISNUMBER(FIND(",", E3979)), TRIM(MID(E3979, FIND(",", E3979) + 1, LEN(E3979))), E3979)</f>
        <v>Southwest Indian Ridge</v>
      </c>
    </row>
    <row r="3980" spans="1:8" x14ac:dyDescent="0.25">
      <c r="A3980" s="2">
        <v>30810</v>
      </c>
      <c r="B3980">
        <v>-30.265000000000001</v>
      </c>
      <c r="C3980">
        <v>-177.624</v>
      </c>
      <c r="D3980" t="s">
        <v>14</v>
      </c>
      <c r="E3980" t="s">
        <v>288</v>
      </c>
      <c r="F3980">
        <f t="shared" si="124"/>
        <v>1984</v>
      </c>
      <c r="G3980">
        <f t="shared" si="125"/>
        <v>5</v>
      </c>
      <c r="H3980" t="str">
        <f>IF(ISNUMBER(FIND(",", E3980)), TRIM(MID(E3980, FIND(",", E3980) + 1, LEN(E3980))), E3980)</f>
        <v>New Zealand</v>
      </c>
    </row>
    <row r="3981" spans="1:8" x14ac:dyDescent="0.25">
      <c r="A3981" s="2">
        <v>30797</v>
      </c>
      <c r="B3981">
        <v>-17.308</v>
      </c>
      <c r="C3981">
        <v>-177.16</v>
      </c>
      <c r="D3981" t="s">
        <v>14</v>
      </c>
      <c r="E3981" t="s">
        <v>53</v>
      </c>
      <c r="F3981">
        <f t="shared" si="124"/>
        <v>1984</v>
      </c>
      <c r="G3981">
        <f t="shared" si="125"/>
        <v>4</v>
      </c>
      <c r="H3981" t="str">
        <f>IF(ISNUMBER(FIND(",", E3981)), TRIM(MID(E3981, FIND(",", E3981) + 1, LEN(E3981))), E3981)</f>
        <v>Fiji region</v>
      </c>
    </row>
    <row r="3982" spans="1:8" x14ac:dyDescent="0.25">
      <c r="A3982" s="2">
        <v>30796</v>
      </c>
      <c r="B3982">
        <v>37.305</v>
      </c>
      <c r="C3982">
        <v>-121.708</v>
      </c>
      <c r="D3982" t="s">
        <v>14</v>
      </c>
      <c r="E3982" t="s">
        <v>603</v>
      </c>
      <c r="F3982">
        <f t="shared" si="124"/>
        <v>1984</v>
      </c>
      <c r="G3982">
        <f t="shared" si="125"/>
        <v>4</v>
      </c>
      <c r="H3982" t="str">
        <f>IF(ISNUMBER(FIND(",", E3982)), TRIM(MID(E3982, FIND(",", E3982) + 1, LEN(E3982))), E3982)</f>
        <v>California</v>
      </c>
    </row>
    <row r="3983" spans="1:8" x14ac:dyDescent="0.25">
      <c r="A3983" s="2">
        <v>30796</v>
      </c>
      <c r="B3983">
        <v>30.905999999999999</v>
      </c>
      <c r="C3983">
        <v>138.369</v>
      </c>
      <c r="D3983" t="s">
        <v>14</v>
      </c>
      <c r="E3983" t="s">
        <v>88</v>
      </c>
      <c r="F3983">
        <f t="shared" si="124"/>
        <v>1984</v>
      </c>
      <c r="G3983">
        <f t="shared" si="125"/>
        <v>4</v>
      </c>
      <c r="H3983" t="str">
        <f>IF(ISNUMBER(FIND(",", E3983)), TRIM(MID(E3983, FIND(",", E3983) + 1, LEN(E3983))), E3983)</f>
        <v>Japan region</v>
      </c>
    </row>
    <row r="3984" spans="1:8" x14ac:dyDescent="0.25">
      <c r="A3984" s="2">
        <v>30795</v>
      </c>
      <c r="B3984">
        <v>47.433</v>
      </c>
      <c r="C3984">
        <v>146.703</v>
      </c>
      <c r="D3984" t="s">
        <v>14</v>
      </c>
      <c r="E3984" t="s">
        <v>485</v>
      </c>
      <c r="F3984">
        <f t="shared" si="124"/>
        <v>1984</v>
      </c>
      <c r="G3984">
        <f t="shared" si="125"/>
        <v>4</v>
      </c>
      <c r="H3984" t="str">
        <f>IF(ISNUMBER(FIND(",", E3984)), TRIM(MID(E3984, FIND(",", E3984) + 1, LEN(E3984))), E3984)</f>
        <v>northwest of the Kuril Islands</v>
      </c>
    </row>
    <row r="3985" spans="1:8" x14ac:dyDescent="0.25">
      <c r="A3985" s="2">
        <v>30794</v>
      </c>
      <c r="B3985">
        <v>-0.55300000000000005</v>
      </c>
      <c r="C3985">
        <v>-19.844000000000001</v>
      </c>
      <c r="D3985" t="s">
        <v>14</v>
      </c>
      <c r="E3985" t="s">
        <v>291</v>
      </c>
      <c r="F3985">
        <f t="shared" si="124"/>
        <v>1984</v>
      </c>
      <c r="G3985">
        <f t="shared" si="125"/>
        <v>4</v>
      </c>
      <c r="H3985" t="str">
        <f>IF(ISNUMBER(FIND(",", E3985)), TRIM(MID(E3985, FIND(",", E3985) + 1, LEN(E3985))), E3985)</f>
        <v>central Mid-Atlantic Ridge</v>
      </c>
    </row>
    <row r="3986" spans="1:8" x14ac:dyDescent="0.25">
      <c r="A3986" s="2">
        <v>30794</v>
      </c>
      <c r="B3986">
        <v>-21.850999999999999</v>
      </c>
      <c r="C3986">
        <v>-179.298</v>
      </c>
      <c r="D3986" t="s">
        <v>14</v>
      </c>
      <c r="E3986" t="s">
        <v>53</v>
      </c>
      <c r="F3986">
        <f t="shared" si="124"/>
        <v>1984</v>
      </c>
      <c r="G3986">
        <f t="shared" si="125"/>
        <v>4</v>
      </c>
      <c r="H3986" t="str">
        <f>IF(ISNUMBER(FIND(",", E3986)), TRIM(MID(E3986, FIND(",", E3986) + 1, LEN(E3986))), E3986)</f>
        <v>Fiji region</v>
      </c>
    </row>
    <row r="3987" spans="1:8" x14ac:dyDescent="0.25">
      <c r="A3987" s="2">
        <v>30792</v>
      </c>
      <c r="B3987">
        <v>50.045999999999999</v>
      </c>
      <c r="C3987">
        <v>148.75</v>
      </c>
      <c r="D3987" t="s">
        <v>14</v>
      </c>
      <c r="E3987" t="s">
        <v>74</v>
      </c>
      <c r="F3987">
        <f t="shared" si="124"/>
        <v>1984</v>
      </c>
      <c r="G3987">
        <f t="shared" si="125"/>
        <v>4</v>
      </c>
      <c r="H3987" t="str">
        <f>IF(ISNUMBER(FIND(",", E3987)), TRIM(MID(E3987, FIND(",", E3987) + 1, LEN(E3987))), E3987)</f>
        <v>Sea of Okhotsk</v>
      </c>
    </row>
    <row r="3988" spans="1:8" x14ac:dyDescent="0.25">
      <c r="A3988" s="2">
        <v>30790</v>
      </c>
      <c r="B3988">
        <v>-15.936</v>
      </c>
      <c r="C3988">
        <v>-174.29599999999999</v>
      </c>
      <c r="D3988" t="s">
        <v>14</v>
      </c>
      <c r="E3988" t="s">
        <v>239</v>
      </c>
      <c r="F3988">
        <f t="shared" si="124"/>
        <v>1984</v>
      </c>
      <c r="G3988">
        <f t="shared" si="125"/>
        <v>4</v>
      </c>
      <c r="H3988" t="str">
        <f>IF(ISNUMBER(FIND(",", E3988)), TRIM(MID(E3988, FIND(",", E3988) + 1, LEN(E3988))), E3988)</f>
        <v>Tonga</v>
      </c>
    </row>
    <row r="3989" spans="1:8" x14ac:dyDescent="0.25">
      <c r="A3989" s="2">
        <v>30785</v>
      </c>
      <c r="B3989">
        <v>-5.702</v>
      </c>
      <c r="C3989">
        <v>148.328</v>
      </c>
      <c r="D3989" t="s">
        <v>14</v>
      </c>
      <c r="E3989" t="s">
        <v>190</v>
      </c>
      <c r="F3989">
        <f t="shared" si="124"/>
        <v>1984</v>
      </c>
      <c r="G3989">
        <f t="shared" si="125"/>
        <v>4</v>
      </c>
      <c r="H3989" t="str">
        <f>IF(ISNUMBER(FIND(",", E3989)), TRIM(MID(E3989, FIND(",", E3989) + 1, LEN(E3989))), E3989)</f>
        <v>Papua New Guinea</v>
      </c>
    </row>
    <row r="3990" spans="1:8" x14ac:dyDescent="0.25">
      <c r="A3990" s="2">
        <v>30778</v>
      </c>
      <c r="B3990">
        <v>-18.927</v>
      </c>
      <c r="C3990">
        <v>168.964</v>
      </c>
      <c r="D3990" t="s">
        <v>14</v>
      </c>
      <c r="E3990" t="s">
        <v>181</v>
      </c>
      <c r="F3990">
        <f t="shared" si="124"/>
        <v>1984</v>
      </c>
      <c r="G3990">
        <f t="shared" si="125"/>
        <v>4</v>
      </c>
      <c r="H3990" t="str">
        <f>IF(ISNUMBER(FIND(",", E3990)), TRIM(MID(E3990, FIND(",", E3990) + 1, LEN(E3990))), E3990)</f>
        <v>Vanuatu</v>
      </c>
    </row>
    <row r="3991" spans="1:8" x14ac:dyDescent="0.25">
      <c r="A3991" s="2">
        <v>30768</v>
      </c>
      <c r="B3991">
        <v>-4.5940000000000003</v>
      </c>
      <c r="C3991">
        <v>145.84899999999999</v>
      </c>
      <c r="D3991" t="s">
        <v>14</v>
      </c>
      <c r="E3991" t="s">
        <v>216</v>
      </c>
      <c r="F3991">
        <f t="shared" si="124"/>
        <v>1984</v>
      </c>
      <c r="G3991">
        <f t="shared" si="125"/>
        <v>3</v>
      </c>
      <c r="H3991" t="str">
        <f>IF(ISNUMBER(FIND(",", E3991)), TRIM(MID(E3991, FIND(",", E3991) + 1, LEN(E3991))), E3991)</f>
        <v>Papua New Guinea</v>
      </c>
    </row>
    <row r="3992" spans="1:8" x14ac:dyDescent="0.25">
      <c r="A3992" s="2">
        <v>30765</v>
      </c>
      <c r="B3992">
        <v>44.170999999999999</v>
      </c>
      <c r="C3992">
        <v>148.16300000000001</v>
      </c>
      <c r="D3992" t="s">
        <v>14</v>
      </c>
      <c r="E3992" t="s">
        <v>191</v>
      </c>
      <c r="F3992">
        <f t="shared" si="124"/>
        <v>1984</v>
      </c>
      <c r="G3992">
        <f t="shared" si="125"/>
        <v>3</v>
      </c>
      <c r="H3992" t="str">
        <f>IF(ISNUMBER(FIND(",", E3992)), TRIM(MID(E3992, FIND(",", E3992) + 1, LEN(E3992))), E3992)</f>
        <v>Kuril Islands</v>
      </c>
    </row>
    <row r="3993" spans="1:8" x14ac:dyDescent="0.25">
      <c r="A3993" s="2">
        <v>30760</v>
      </c>
      <c r="B3993">
        <v>40.341999999999999</v>
      </c>
      <c r="C3993">
        <v>63.331000000000003</v>
      </c>
      <c r="D3993" t="s">
        <v>14</v>
      </c>
      <c r="E3993" t="s">
        <v>604</v>
      </c>
      <c r="F3993">
        <f t="shared" si="124"/>
        <v>1984</v>
      </c>
      <c r="G3993">
        <f t="shared" si="125"/>
        <v>3</v>
      </c>
      <c r="H3993" t="str">
        <f>IF(ISNUMBER(FIND(",", E3993)), TRIM(MID(E3993, FIND(",", E3993) + 1, LEN(E3993))), E3993)</f>
        <v>western Uzbekistan</v>
      </c>
    </row>
    <row r="3994" spans="1:8" x14ac:dyDescent="0.25">
      <c r="A3994" s="2">
        <v>30753</v>
      </c>
      <c r="B3994">
        <v>-23.42</v>
      </c>
      <c r="C3994">
        <v>-179.90799999999999</v>
      </c>
      <c r="D3994" t="s">
        <v>14</v>
      </c>
      <c r="E3994" t="s">
        <v>256</v>
      </c>
      <c r="F3994">
        <f t="shared" si="124"/>
        <v>1984</v>
      </c>
      <c r="G3994">
        <f t="shared" si="125"/>
        <v>3</v>
      </c>
      <c r="H3994" t="str">
        <f>IF(ISNUMBER(FIND(",", E3994)), TRIM(MID(E3994, FIND(",", E3994) + 1, LEN(E3994))), E3994)</f>
        <v>south of the Fiji Islands</v>
      </c>
    </row>
    <row r="3995" spans="1:8" x14ac:dyDescent="0.25">
      <c r="A3995" s="2">
        <v>30747</v>
      </c>
      <c r="B3995">
        <v>29.376999999999999</v>
      </c>
      <c r="C3995">
        <v>138.876</v>
      </c>
      <c r="D3995" t="s">
        <v>14</v>
      </c>
      <c r="E3995" t="s">
        <v>88</v>
      </c>
      <c r="F3995">
        <f t="shared" si="124"/>
        <v>1984</v>
      </c>
      <c r="G3995">
        <f t="shared" si="125"/>
        <v>3</v>
      </c>
      <c r="H3995" t="str">
        <f>IF(ISNUMBER(FIND(",", E3995)), TRIM(MID(E3995, FIND(",", E3995) + 1, LEN(E3995))), E3995)</f>
        <v>Japan region</v>
      </c>
    </row>
    <row r="3996" spans="1:8" x14ac:dyDescent="0.25">
      <c r="A3996" s="2">
        <v>30746</v>
      </c>
      <c r="B3996">
        <v>8.1449999999999996</v>
      </c>
      <c r="C3996">
        <v>123.754</v>
      </c>
      <c r="D3996" t="s">
        <v>14</v>
      </c>
      <c r="E3996" t="s">
        <v>200</v>
      </c>
      <c r="F3996">
        <f t="shared" si="124"/>
        <v>1984</v>
      </c>
      <c r="G3996">
        <f t="shared" si="125"/>
        <v>3</v>
      </c>
      <c r="H3996" t="str">
        <f>IF(ISNUMBER(FIND(",", E3996)), TRIM(MID(E3996, FIND(",", E3996) + 1, LEN(E3996))), E3996)</f>
        <v>Philippines</v>
      </c>
    </row>
    <row r="3997" spans="1:8" x14ac:dyDescent="0.25">
      <c r="A3997" s="2">
        <v>30738</v>
      </c>
      <c r="B3997">
        <v>-17.327000000000002</v>
      </c>
      <c r="C3997">
        <v>-70.516999999999996</v>
      </c>
      <c r="D3997" t="s">
        <v>14</v>
      </c>
      <c r="E3997" t="s">
        <v>229</v>
      </c>
      <c r="F3997">
        <f t="shared" si="124"/>
        <v>1984</v>
      </c>
      <c r="G3997">
        <f t="shared" si="125"/>
        <v>2</v>
      </c>
      <c r="H3997" t="str">
        <f>IF(ISNUMBER(FIND(",", E3997)), TRIM(MID(E3997, FIND(",", E3997) + 1, LEN(E3997))), E3997)</f>
        <v>southern Peru</v>
      </c>
    </row>
    <row r="3998" spans="1:8" x14ac:dyDescent="0.25">
      <c r="A3998" s="2">
        <v>30728</v>
      </c>
      <c r="B3998">
        <v>36.445</v>
      </c>
      <c r="C3998">
        <v>70.850999999999999</v>
      </c>
      <c r="D3998" t="s">
        <v>14</v>
      </c>
      <c r="E3998" t="s">
        <v>314</v>
      </c>
      <c r="F3998">
        <f t="shared" si="124"/>
        <v>1984</v>
      </c>
      <c r="G3998">
        <f t="shared" si="125"/>
        <v>2</v>
      </c>
      <c r="H3998" t="str">
        <f>IF(ISNUMBER(FIND(",", E3998)), TRIM(MID(E3998, FIND(",", E3998) + 1, LEN(E3998))), E3998)</f>
        <v>Afghanistan</v>
      </c>
    </row>
    <row r="3999" spans="1:8" x14ac:dyDescent="0.25">
      <c r="A3999" s="2">
        <v>30720</v>
      </c>
      <c r="B3999">
        <v>-9.8290000000000006</v>
      </c>
      <c r="C3999">
        <v>160.30199999999999</v>
      </c>
      <c r="D3999" t="s">
        <v>14</v>
      </c>
      <c r="E3999" t="s">
        <v>221</v>
      </c>
      <c r="F3999">
        <f t="shared" si="124"/>
        <v>1984</v>
      </c>
      <c r="G3999">
        <f t="shared" si="125"/>
        <v>2</v>
      </c>
      <c r="H3999" t="str">
        <f>IF(ISNUMBER(FIND(",", E3999)), TRIM(MID(E3999, FIND(",", E3999) + 1, LEN(E3999))), E3999)</f>
        <v>Solomon Islands</v>
      </c>
    </row>
    <row r="4000" spans="1:8" x14ac:dyDescent="0.25">
      <c r="A4000" s="2">
        <v>30719</v>
      </c>
      <c r="B4000">
        <v>-9.9649999999999999</v>
      </c>
      <c r="C4000">
        <v>160.56800000000001</v>
      </c>
      <c r="D4000" t="s">
        <v>14</v>
      </c>
      <c r="E4000" t="s">
        <v>221</v>
      </c>
      <c r="F4000">
        <f t="shared" si="124"/>
        <v>1984</v>
      </c>
      <c r="G4000">
        <f t="shared" si="125"/>
        <v>2</v>
      </c>
      <c r="H4000" t="str">
        <f>IF(ISNUMBER(FIND(",", E4000)), TRIM(MID(E4000, FIND(",", E4000) + 1, LEN(E4000))), E4000)</f>
        <v>Solomon Islands</v>
      </c>
    </row>
    <row r="4001" spans="1:8" x14ac:dyDescent="0.25">
      <c r="A4001" s="2">
        <v>30713</v>
      </c>
      <c r="B4001">
        <v>34.58</v>
      </c>
      <c r="C4001">
        <v>70.471000000000004</v>
      </c>
      <c r="D4001" t="s">
        <v>14</v>
      </c>
      <c r="E4001" t="s">
        <v>314</v>
      </c>
      <c r="F4001">
        <f t="shared" si="124"/>
        <v>1984</v>
      </c>
      <c r="G4001">
        <f t="shared" si="125"/>
        <v>2</v>
      </c>
      <c r="H4001" t="str">
        <f>IF(ISNUMBER(FIND(",", E4001)), TRIM(MID(E4001, FIND(",", E4001) + 1, LEN(E4001))), E4001)</f>
        <v>Afghanistan</v>
      </c>
    </row>
    <row r="4002" spans="1:8" x14ac:dyDescent="0.25">
      <c r="A4002" s="2">
        <v>30713</v>
      </c>
      <c r="B4002">
        <v>48.982999999999997</v>
      </c>
      <c r="C4002">
        <v>146.584</v>
      </c>
      <c r="D4002" t="s">
        <v>14</v>
      </c>
      <c r="E4002" t="s">
        <v>74</v>
      </c>
      <c r="F4002">
        <f t="shared" si="124"/>
        <v>1984</v>
      </c>
      <c r="G4002">
        <f t="shared" si="125"/>
        <v>2</v>
      </c>
      <c r="H4002" t="str">
        <f>IF(ISNUMBER(FIND(",", E4002)), TRIM(MID(E4002, FIND(",", E4002) + 1, LEN(E4002))), E4002)</f>
        <v>Sea of Okhotsk</v>
      </c>
    </row>
    <row r="4003" spans="1:8" x14ac:dyDescent="0.25">
      <c r="A4003" s="2">
        <v>30708</v>
      </c>
      <c r="B4003">
        <v>36.445</v>
      </c>
      <c r="C4003">
        <v>71.051000000000002</v>
      </c>
      <c r="D4003" t="s">
        <v>14</v>
      </c>
      <c r="E4003" t="s">
        <v>314</v>
      </c>
      <c r="F4003">
        <f t="shared" si="124"/>
        <v>1984</v>
      </c>
      <c r="G4003">
        <f t="shared" si="125"/>
        <v>1</v>
      </c>
      <c r="H4003" t="str">
        <f>IF(ISNUMBER(FIND(",", E4003)), TRIM(MID(E4003, FIND(",", E4003) + 1, LEN(E4003))), E4003)</f>
        <v>Afghanistan</v>
      </c>
    </row>
    <row r="4004" spans="1:8" x14ac:dyDescent="0.25">
      <c r="A4004" s="2">
        <v>30700</v>
      </c>
      <c r="B4004">
        <v>-23.654</v>
      </c>
      <c r="C4004">
        <v>-178.20599999999999</v>
      </c>
      <c r="D4004" t="s">
        <v>14</v>
      </c>
      <c r="E4004" t="s">
        <v>256</v>
      </c>
      <c r="F4004">
        <f t="shared" si="124"/>
        <v>1984</v>
      </c>
      <c r="G4004">
        <f t="shared" si="125"/>
        <v>1</v>
      </c>
      <c r="H4004" t="str">
        <f>IF(ISNUMBER(FIND(",", E4004)), TRIM(MID(E4004, FIND(",", E4004) + 1, LEN(E4004))), E4004)</f>
        <v>south of the Fiji Islands</v>
      </c>
    </row>
    <row r="4005" spans="1:8" x14ac:dyDescent="0.25">
      <c r="A4005" s="2">
        <v>30697</v>
      </c>
      <c r="B4005">
        <v>-30.053000000000001</v>
      </c>
      <c r="C4005">
        <v>-112.34</v>
      </c>
      <c r="D4005" t="s">
        <v>14</v>
      </c>
      <c r="E4005" t="s">
        <v>59</v>
      </c>
      <c r="F4005">
        <f t="shared" si="124"/>
        <v>1984</v>
      </c>
      <c r="G4005">
        <f t="shared" si="125"/>
        <v>1</v>
      </c>
      <c r="H4005" t="str">
        <f>IF(ISNUMBER(FIND(",", E4005)), TRIM(MID(E4005, FIND(",", E4005) + 1, LEN(E4005))), E4005)</f>
        <v>Easter Island region</v>
      </c>
    </row>
    <row r="4006" spans="1:8" x14ac:dyDescent="0.25">
      <c r="A4006" s="2">
        <v>30689</v>
      </c>
      <c r="B4006">
        <v>-2.8639999999999999</v>
      </c>
      <c r="C4006">
        <v>118.715</v>
      </c>
      <c r="D4006" t="s">
        <v>14</v>
      </c>
      <c r="E4006" t="s">
        <v>182</v>
      </c>
      <c r="F4006">
        <f t="shared" si="124"/>
        <v>1984</v>
      </c>
      <c r="G4006">
        <f t="shared" si="125"/>
        <v>1</v>
      </c>
      <c r="H4006" t="str">
        <f>IF(ISNUMBER(FIND(",", E4006)), TRIM(MID(E4006, FIND(",", E4006) + 1, LEN(E4006))), E4006)</f>
        <v>Indonesia</v>
      </c>
    </row>
    <row r="4007" spans="1:8" x14ac:dyDescent="0.25">
      <c r="A4007" s="2">
        <v>30683</v>
      </c>
      <c r="B4007">
        <v>-56.64</v>
      </c>
      <c r="C4007">
        <v>-142.45099999999999</v>
      </c>
      <c r="D4007" t="s">
        <v>14</v>
      </c>
      <c r="E4007" t="s">
        <v>179</v>
      </c>
      <c r="F4007">
        <f t="shared" si="124"/>
        <v>1984</v>
      </c>
      <c r="G4007">
        <f t="shared" si="125"/>
        <v>1</v>
      </c>
      <c r="H4007" t="str">
        <f>IF(ISNUMBER(FIND(",", E4007)), TRIM(MID(E4007, FIND(",", E4007) + 1, LEN(E4007))), E4007)</f>
        <v>Pacific-Antarctic Ridge</v>
      </c>
    </row>
    <row r="4008" spans="1:8" x14ac:dyDescent="0.25">
      <c r="A4008" s="2">
        <v>30682</v>
      </c>
      <c r="B4008">
        <v>33.655000000000001</v>
      </c>
      <c r="C4008">
        <v>136.79400000000001</v>
      </c>
      <c r="D4008" t="s">
        <v>14</v>
      </c>
      <c r="E4008" t="s">
        <v>467</v>
      </c>
      <c r="F4008">
        <f t="shared" si="124"/>
        <v>1984</v>
      </c>
      <c r="G4008">
        <f t="shared" si="125"/>
        <v>1</v>
      </c>
      <c r="H4008" t="str">
        <f>IF(ISNUMBER(FIND(",", E4008)), TRIM(MID(E4008, FIND(",", E4008) + 1, LEN(E4008))), E4008)</f>
        <v>Japan</v>
      </c>
    </row>
    <row r="4009" spans="1:8" x14ac:dyDescent="0.25">
      <c r="A4009" s="2">
        <v>30680</v>
      </c>
      <c r="B4009">
        <v>36.386000000000003</v>
      </c>
      <c r="C4009">
        <v>70.712000000000003</v>
      </c>
      <c r="D4009" t="s">
        <v>14</v>
      </c>
      <c r="E4009" t="s">
        <v>314</v>
      </c>
      <c r="F4009">
        <f t="shared" si="124"/>
        <v>1983</v>
      </c>
      <c r="G4009">
        <f t="shared" si="125"/>
        <v>12</v>
      </c>
      <c r="H4009" t="str">
        <f>IF(ISNUMBER(FIND(",", E4009)), TRIM(MID(E4009, FIND(",", E4009) + 1, LEN(E4009))), E4009)</f>
        <v>Afghanistan</v>
      </c>
    </row>
    <row r="4010" spans="1:8" x14ac:dyDescent="0.25">
      <c r="A4010" s="2">
        <v>30672</v>
      </c>
      <c r="B4010">
        <v>11.863</v>
      </c>
      <c r="C4010">
        <v>-13.512</v>
      </c>
      <c r="D4010" t="s">
        <v>14</v>
      </c>
      <c r="E4010" t="s">
        <v>605</v>
      </c>
      <c r="F4010">
        <f t="shared" si="124"/>
        <v>1983</v>
      </c>
      <c r="G4010">
        <f t="shared" si="125"/>
        <v>12</v>
      </c>
      <c r="H4010" t="str">
        <f>IF(ISNUMBER(FIND(",", E4010)), TRIM(MID(E4010, FIND(",", E4010) + 1, LEN(E4010))), E4010)</f>
        <v>Guinea</v>
      </c>
    </row>
    <row r="4011" spans="1:8" x14ac:dyDescent="0.25">
      <c r="A4011" s="2">
        <v>30672</v>
      </c>
      <c r="B4011">
        <v>-5.4009999999999998</v>
      </c>
      <c r="C4011">
        <v>151.91200000000001</v>
      </c>
      <c r="D4011" t="s">
        <v>14</v>
      </c>
      <c r="E4011" t="s">
        <v>190</v>
      </c>
      <c r="F4011">
        <f t="shared" si="124"/>
        <v>1983</v>
      </c>
      <c r="G4011">
        <f t="shared" si="125"/>
        <v>12</v>
      </c>
      <c r="H4011" t="str">
        <f>IF(ISNUMBER(FIND(",", E4011)), TRIM(MID(E4011, FIND(",", E4011) + 1, LEN(E4011))), E4011)</f>
        <v>Papua New Guinea</v>
      </c>
    </row>
    <row r="4012" spans="1:8" x14ac:dyDescent="0.25">
      <c r="A4012" s="2">
        <v>30671</v>
      </c>
      <c r="B4012">
        <v>-5.4470000000000001</v>
      </c>
      <c r="C4012">
        <v>151.89599999999999</v>
      </c>
      <c r="D4012" t="s">
        <v>14</v>
      </c>
      <c r="E4012" t="s">
        <v>190</v>
      </c>
      <c r="F4012">
        <f t="shared" si="124"/>
        <v>1983</v>
      </c>
      <c r="G4012">
        <f t="shared" si="125"/>
        <v>12</v>
      </c>
      <c r="H4012" t="str">
        <f>IF(ISNUMBER(FIND(",", E4012)), TRIM(MID(E4012, FIND(",", E4012) + 1, LEN(E4012))), E4012)</f>
        <v>Papua New Guinea</v>
      </c>
    </row>
    <row r="4013" spans="1:8" x14ac:dyDescent="0.25">
      <c r="A4013" s="2">
        <v>30671</v>
      </c>
      <c r="B4013">
        <v>-28.189</v>
      </c>
      <c r="C4013">
        <v>-63.103000000000002</v>
      </c>
      <c r="D4013" t="s">
        <v>14</v>
      </c>
      <c r="E4013" t="s">
        <v>232</v>
      </c>
      <c r="F4013">
        <f t="shared" si="124"/>
        <v>1983</v>
      </c>
      <c r="G4013">
        <f t="shared" si="125"/>
        <v>12</v>
      </c>
      <c r="H4013" t="str">
        <f>IF(ISNUMBER(FIND(",", E4013)), TRIM(MID(E4013, FIND(",", E4013) + 1, LEN(E4013))), E4013)</f>
        <v>Argentina</v>
      </c>
    </row>
    <row r="4014" spans="1:8" x14ac:dyDescent="0.25">
      <c r="A4014" s="2">
        <v>30670</v>
      </c>
      <c r="B4014">
        <v>-2.4910000000000001</v>
      </c>
      <c r="C4014">
        <v>145.078</v>
      </c>
      <c r="D4014" t="s">
        <v>14</v>
      </c>
      <c r="E4014" t="s">
        <v>383</v>
      </c>
      <c r="F4014">
        <f t="shared" si="124"/>
        <v>1983</v>
      </c>
      <c r="G4014">
        <f t="shared" si="125"/>
        <v>12</v>
      </c>
      <c r="H4014" t="str">
        <f>IF(ISNUMBER(FIND(",", E4014)), TRIM(MID(E4014, FIND(",", E4014) + 1, LEN(E4014))), E4014)</f>
        <v>Papua New Guinea</v>
      </c>
    </row>
    <row r="4015" spans="1:8" x14ac:dyDescent="0.25">
      <c r="A4015" s="2">
        <v>30670</v>
      </c>
      <c r="B4015">
        <v>-2.3719999999999999</v>
      </c>
      <c r="C4015">
        <v>145.03299999999999</v>
      </c>
      <c r="D4015" t="s">
        <v>14</v>
      </c>
      <c r="E4015" t="s">
        <v>383</v>
      </c>
      <c r="F4015">
        <f t="shared" si="124"/>
        <v>1983</v>
      </c>
      <c r="G4015">
        <f t="shared" si="125"/>
        <v>12</v>
      </c>
      <c r="H4015" t="str">
        <f>IF(ISNUMBER(FIND(",", E4015)), TRIM(MID(E4015, FIND(",", E4015) + 1, LEN(E4015))), E4015)</f>
        <v>Papua New Guinea</v>
      </c>
    </row>
    <row r="4016" spans="1:8" x14ac:dyDescent="0.25">
      <c r="A4016" s="2">
        <v>30665</v>
      </c>
      <c r="B4016">
        <v>-3.129</v>
      </c>
      <c r="C4016">
        <v>145.47999999999999</v>
      </c>
      <c r="D4016" t="s">
        <v>14</v>
      </c>
      <c r="E4016" t="s">
        <v>216</v>
      </c>
      <c r="F4016">
        <f t="shared" si="124"/>
        <v>1983</v>
      </c>
      <c r="G4016">
        <f t="shared" si="125"/>
        <v>12</v>
      </c>
      <c r="H4016" t="str">
        <f>IF(ISNUMBER(FIND(",", E4016)), TRIM(MID(E4016, FIND(",", E4016) + 1, LEN(E4016))), E4016)</f>
        <v>Papua New Guinea</v>
      </c>
    </row>
    <row r="4017" spans="1:8" x14ac:dyDescent="0.25">
      <c r="A4017" s="2">
        <v>30662</v>
      </c>
      <c r="B4017">
        <v>-7.6159999999999997</v>
      </c>
      <c r="C4017">
        <v>127.301</v>
      </c>
      <c r="D4017" t="s">
        <v>14</v>
      </c>
      <c r="E4017" t="s">
        <v>49</v>
      </c>
      <c r="F4017">
        <f t="shared" si="124"/>
        <v>1983</v>
      </c>
      <c r="G4017">
        <f t="shared" si="125"/>
        <v>12</v>
      </c>
      <c r="H4017" t="str">
        <f>IF(ISNUMBER(FIND(",", E4017)), TRIM(MID(E4017, FIND(",", E4017) + 1, LEN(E4017))), E4017)</f>
        <v>Indonesia</v>
      </c>
    </row>
    <row r="4018" spans="1:8" x14ac:dyDescent="0.25">
      <c r="A4018" s="2">
        <v>30661</v>
      </c>
      <c r="B4018">
        <v>8.14</v>
      </c>
      <c r="C4018">
        <v>137.21</v>
      </c>
      <c r="D4018" t="s">
        <v>14</v>
      </c>
      <c r="E4018" t="s">
        <v>458</v>
      </c>
      <c r="F4018">
        <f t="shared" si="124"/>
        <v>1983</v>
      </c>
      <c r="G4018">
        <f t="shared" si="125"/>
        <v>12</v>
      </c>
      <c r="H4018" t="str">
        <f>IF(ISNUMBER(FIND(",", E4018)), TRIM(MID(E4018, FIND(",", E4018) + 1, LEN(E4018))), E4018)</f>
        <v>Federated States of Micronesia</v>
      </c>
    </row>
    <row r="4019" spans="1:8" x14ac:dyDescent="0.25">
      <c r="A4019" s="2">
        <v>30658</v>
      </c>
      <c r="B4019">
        <v>3.7909999999999999</v>
      </c>
      <c r="C4019">
        <v>148.995</v>
      </c>
      <c r="D4019" t="s">
        <v>14</v>
      </c>
      <c r="E4019" t="s">
        <v>552</v>
      </c>
      <c r="F4019">
        <f t="shared" si="124"/>
        <v>1983</v>
      </c>
      <c r="G4019">
        <f t="shared" si="125"/>
        <v>12</v>
      </c>
      <c r="H4019" t="str">
        <f>IF(ISNUMBER(FIND(",", E4019)), TRIM(MID(E4019, FIND(",", E4019) + 1, LEN(E4019))), E4019)</f>
        <v>Federated States of Micronesia region</v>
      </c>
    </row>
    <row r="4020" spans="1:8" x14ac:dyDescent="0.25">
      <c r="A4020" s="2">
        <v>30653</v>
      </c>
      <c r="B4020">
        <v>-6.4820000000000002</v>
      </c>
      <c r="C4020">
        <v>71.39</v>
      </c>
      <c r="D4020" t="s">
        <v>14</v>
      </c>
      <c r="E4020" t="s">
        <v>600</v>
      </c>
      <c r="F4020">
        <f t="shared" si="124"/>
        <v>1983</v>
      </c>
      <c r="G4020">
        <f t="shared" si="125"/>
        <v>12</v>
      </c>
      <c r="H4020" t="str">
        <f>IF(ISNUMBER(FIND(",", E4020)), TRIM(MID(E4020, FIND(",", E4020) + 1, LEN(E4020))), E4020)</f>
        <v>Chagos Archipelago region</v>
      </c>
    </row>
    <row r="4021" spans="1:8" x14ac:dyDescent="0.25">
      <c r="A4021" s="2">
        <v>30653</v>
      </c>
      <c r="B4021">
        <v>-15.384</v>
      </c>
      <c r="C4021">
        <v>-172.83</v>
      </c>
      <c r="D4021" t="s">
        <v>14</v>
      </c>
      <c r="E4021" t="s">
        <v>352</v>
      </c>
      <c r="F4021">
        <f t="shared" si="124"/>
        <v>1983</v>
      </c>
      <c r="G4021">
        <f t="shared" si="125"/>
        <v>12</v>
      </c>
      <c r="H4021" t="str">
        <f>IF(ISNUMBER(FIND(",", E4021)), TRIM(MID(E4021, FIND(",", E4021) + 1, LEN(E4021))), E4021)</f>
        <v>Samoa Islands region</v>
      </c>
    </row>
    <row r="4022" spans="1:8" x14ac:dyDescent="0.25">
      <c r="A4022" s="2">
        <v>30652</v>
      </c>
      <c r="B4022">
        <v>14.055999999999999</v>
      </c>
      <c r="C4022">
        <v>-91.912999999999997</v>
      </c>
      <c r="D4022" t="s">
        <v>14</v>
      </c>
      <c r="E4022" t="s">
        <v>196</v>
      </c>
      <c r="F4022">
        <f t="shared" si="124"/>
        <v>1983</v>
      </c>
      <c r="G4022">
        <f t="shared" si="125"/>
        <v>12</v>
      </c>
      <c r="H4022" t="str">
        <f>IF(ISNUMBER(FIND(",", E4022)), TRIM(MID(E4022, FIND(",", E4022) + 1, LEN(E4022))), E4022)</f>
        <v>offshore Guatemala</v>
      </c>
    </row>
    <row r="4023" spans="1:8" x14ac:dyDescent="0.25">
      <c r="A4023" s="2">
        <v>30650</v>
      </c>
      <c r="B4023">
        <v>-6.84</v>
      </c>
      <c r="C4023">
        <v>72.061999999999998</v>
      </c>
      <c r="D4023" t="s">
        <v>14</v>
      </c>
      <c r="E4023" t="s">
        <v>600</v>
      </c>
      <c r="F4023">
        <f t="shared" si="124"/>
        <v>1983</v>
      </c>
      <c r="G4023">
        <f t="shared" si="125"/>
        <v>11</v>
      </c>
      <c r="H4023" t="str">
        <f>IF(ISNUMBER(FIND(",", E4023)), TRIM(MID(E4023, FIND(",", E4023) + 1, LEN(E4023))), E4023)</f>
        <v>Chagos Archipelago region</v>
      </c>
    </row>
    <row r="4024" spans="1:8" x14ac:dyDescent="0.25">
      <c r="A4024" s="2">
        <v>30646</v>
      </c>
      <c r="B4024">
        <v>7.3689999999999998</v>
      </c>
      <c r="C4024">
        <v>-82.307000000000002</v>
      </c>
      <c r="D4024" t="s">
        <v>14</v>
      </c>
      <c r="E4024" t="s">
        <v>231</v>
      </c>
      <c r="F4024">
        <f t="shared" si="124"/>
        <v>1983</v>
      </c>
      <c r="G4024">
        <f t="shared" si="125"/>
        <v>11</v>
      </c>
      <c r="H4024" t="str">
        <f>IF(ISNUMBER(FIND(",", E4024)), TRIM(MID(E4024, FIND(",", E4024) + 1, LEN(E4024))), E4024)</f>
        <v>south of Panama</v>
      </c>
    </row>
    <row r="4025" spans="1:8" x14ac:dyDescent="0.25">
      <c r="A4025" s="2">
        <v>30644</v>
      </c>
      <c r="B4025">
        <v>-7.5119999999999996</v>
      </c>
      <c r="C4025">
        <v>128.108</v>
      </c>
      <c r="D4025" t="s">
        <v>14</v>
      </c>
      <c r="E4025" t="s">
        <v>49</v>
      </c>
      <c r="F4025">
        <f t="shared" si="124"/>
        <v>1983</v>
      </c>
      <c r="G4025">
        <f t="shared" si="125"/>
        <v>11</v>
      </c>
      <c r="H4025" t="str">
        <f>IF(ISNUMBER(FIND(",", E4025)), TRIM(MID(E4025, FIND(",", E4025) + 1, LEN(E4025))), E4025)</f>
        <v>Indonesia</v>
      </c>
    </row>
    <row r="4026" spans="1:8" x14ac:dyDescent="0.25">
      <c r="A4026" s="2">
        <v>30642</v>
      </c>
      <c r="B4026">
        <v>0.51600000000000001</v>
      </c>
      <c r="C4026">
        <v>-79.766000000000005</v>
      </c>
      <c r="D4026" t="s">
        <v>14</v>
      </c>
      <c r="E4026" t="s">
        <v>457</v>
      </c>
      <c r="F4026">
        <f t="shared" si="124"/>
        <v>1983</v>
      </c>
      <c r="G4026">
        <f t="shared" si="125"/>
        <v>11</v>
      </c>
      <c r="H4026" t="str">
        <f>IF(ISNUMBER(FIND(",", E4026)), TRIM(MID(E4026, FIND(",", E4026) + 1, LEN(E4026))), E4026)</f>
        <v>near the coast of Ecuador</v>
      </c>
    </row>
    <row r="4027" spans="1:8" x14ac:dyDescent="0.25">
      <c r="A4027" s="2">
        <v>30640</v>
      </c>
      <c r="B4027">
        <v>-7.4980000000000002</v>
      </c>
      <c r="C4027">
        <v>130.61600000000001</v>
      </c>
      <c r="D4027" t="s">
        <v>14</v>
      </c>
      <c r="E4027" t="s">
        <v>411</v>
      </c>
      <c r="F4027">
        <f t="shared" si="124"/>
        <v>1983</v>
      </c>
      <c r="G4027">
        <f t="shared" si="125"/>
        <v>11</v>
      </c>
      <c r="H4027" t="str">
        <f>IF(ISNUMBER(FIND(",", E4027)), TRIM(MID(E4027, FIND(",", E4027) + 1, LEN(E4027))), E4027)</f>
        <v>Indonesia</v>
      </c>
    </row>
    <row r="4028" spans="1:8" x14ac:dyDescent="0.25">
      <c r="A4028" s="2">
        <v>30636</v>
      </c>
      <c r="B4028">
        <v>19.437999999999999</v>
      </c>
      <c r="C4028">
        <v>-155.376</v>
      </c>
      <c r="D4028" t="s">
        <v>14</v>
      </c>
      <c r="E4028" t="s">
        <v>436</v>
      </c>
      <c r="F4028">
        <f t="shared" si="124"/>
        <v>1983</v>
      </c>
      <c r="G4028">
        <f t="shared" si="125"/>
        <v>11</v>
      </c>
      <c r="H4028" t="str">
        <f>IF(ISNUMBER(FIND(",", E4028)), TRIM(MID(E4028, FIND(",", E4028) + 1, LEN(E4028))), E4028)</f>
        <v>Hawaii</v>
      </c>
    </row>
    <row r="4029" spans="1:8" x14ac:dyDescent="0.25">
      <c r="A4029" s="2">
        <v>30627</v>
      </c>
      <c r="B4029">
        <v>1.446</v>
      </c>
      <c r="C4029">
        <v>128.21100000000001</v>
      </c>
      <c r="D4029" t="s">
        <v>14</v>
      </c>
      <c r="E4029" t="s">
        <v>311</v>
      </c>
      <c r="F4029">
        <f t="shared" si="124"/>
        <v>1983</v>
      </c>
      <c r="G4029">
        <f t="shared" si="125"/>
        <v>11</v>
      </c>
      <c r="H4029" t="str">
        <f>IF(ISNUMBER(FIND(",", E4029)), TRIM(MID(E4029, FIND(",", E4029) + 1, LEN(E4029))), E4029)</f>
        <v>Indonesia</v>
      </c>
    </row>
    <row r="4030" spans="1:8" x14ac:dyDescent="0.25">
      <c r="A4030" s="2">
        <v>30627</v>
      </c>
      <c r="B4030">
        <v>1.3089999999999999</v>
      </c>
      <c r="C4030">
        <v>128.17500000000001</v>
      </c>
      <c r="D4030" t="s">
        <v>14</v>
      </c>
      <c r="E4030" t="s">
        <v>311</v>
      </c>
      <c r="F4030">
        <f t="shared" si="124"/>
        <v>1983</v>
      </c>
      <c r="G4030">
        <f t="shared" si="125"/>
        <v>11</v>
      </c>
      <c r="H4030" t="str">
        <f>IF(ISNUMBER(FIND(",", E4030)), TRIM(MID(E4030, FIND(",", E4030) + 1, LEN(E4030))), E4030)</f>
        <v>Indonesia</v>
      </c>
    </row>
    <row r="4031" spans="1:8" x14ac:dyDescent="0.25">
      <c r="A4031" s="2">
        <v>30620</v>
      </c>
      <c r="B4031">
        <v>-9.0470000000000006</v>
      </c>
      <c r="C4031">
        <v>119.069</v>
      </c>
      <c r="D4031" t="s">
        <v>14</v>
      </c>
      <c r="E4031" t="s">
        <v>592</v>
      </c>
      <c r="F4031">
        <f t="shared" si="124"/>
        <v>1983</v>
      </c>
      <c r="G4031">
        <f t="shared" si="125"/>
        <v>10</v>
      </c>
      <c r="H4031" t="str">
        <f>IF(ISNUMBER(FIND(",", E4031)), TRIM(MID(E4031, FIND(",", E4031) + 1, LEN(E4031))), E4031)</f>
        <v>Indonesia</v>
      </c>
    </row>
    <row r="4032" spans="1:8" x14ac:dyDescent="0.25">
      <c r="A4032" s="2">
        <v>30619</v>
      </c>
      <c r="B4032">
        <v>40.331000000000003</v>
      </c>
      <c r="C4032">
        <v>42.173999999999999</v>
      </c>
      <c r="D4032" t="s">
        <v>14</v>
      </c>
      <c r="E4032" t="s">
        <v>272</v>
      </c>
      <c r="F4032">
        <f t="shared" si="124"/>
        <v>1983</v>
      </c>
      <c r="G4032">
        <f t="shared" si="125"/>
        <v>10</v>
      </c>
      <c r="H4032" t="str">
        <f>IF(ISNUMBER(FIND(",", E4032)), TRIM(MID(E4032, FIND(",", E4032) + 1, LEN(E4032))), E4032)</f>
        <v>eastern Turkey</v>
      </c>
    </row>
    <row r="4033" spans="1:8" x14ac:dyDescent="0.25">
      <c r="A4033" s="2">
        <v>30617</v>
      </c>
      <c r="B4033">
        <v>44.076999999999998</v>
      </c>
      <c r="C4033">
        <v>-113.80200000000001</v>
      </c>
      <c r="D4033" t="s">
        <v>14</v>
      </c>
      <c r="E4033" t="s">
        <v>606</v>
      </c>
      <c r="F4033">
        <f t="shared" si="124"/>
        <v>1983</v>
      </c>
      <c r="G4033">
        <f t="shared" si="125"/>
        <v>10</v>
      </c>
      <c r="H4033" t="str">
        <f>IF(ISNUMBER(FIND(",", E4033)), TRIM(MID(E4033, FIND(",", E4033) + 1, LEN(E4033))), E4033)</f>
        <v>southern Idaho</v>
      </c>
    </row>
    <row r="4034" spans="1:8" x14ac:dyDescent="0.25">
      <c r="A4034" s="2">
        <v>30616</v>
      </c>
      <c r="B4034">
        <v>1.081</v>
      </c>
      <c r="C4034">
        <v>120.822</v>
      </c>
      <c r="D4034" t="s">
        <v>14</v>
      </c>
      <c r="E4034" t="s">
        <v>263</v>
      </c>
      <c r="F4034">
        <f t="shared" ref="F4034:F4097" si="126">YEAR(A4034)</f>
        <v>1983</v>
      </c>
      <c r="G4034">
        <f t="shared" si="125"/>
        <v>10</v>
      </c>
      <c r="H4034" t="str">
        <f>IF(ISNUMBER(FIND(",", E4034)), TRIM(MID(E4034, FIND(",", E4034) + 1, LEN(E4034))), E4034)</f>
        <v>Sulawesi, Indonesia</v>
      </c>
    </row>
    <row r="4035" spans="1:8" x14ac:dyDescent="0.25">
      <c r="A4035" s="2">
        <v>30615</v>
      </c>
      <c r="B4035">
        <v>49.920999999999999</v>
      </c>
      <c r="C4035">
        <v>78.906999999999996</v>
      </c>
      <c r="D4035" t="s">
        <v>13</v>
      </c>
      <c r="E4035" t="s">
        <v>571</v>
      </c>
      <c r="F4035">
        <f t="shared" si="126"/>
        <v>1983</v>
      </c>
      <c r="G4035">
        <f t="shared" ref="G4035:G4098" si="127">MONTH(A4035)</f>
        <v>10</v>
      </c>
      <c r="H4035" t="str">
        <f>IF(ISNUMBER(FIND(",", E4035)), TRIM(MID(E4035, FIND(",", E4035) + 1, LEN(E4035))), E4035)</f>
        <v>eastern Kazakhstan</v>
      </c>
    </row>
    <row r="4036" spans="1:8" x14ac:dyDescent="0.25">
      <c r="A4036" s="2">
        <v>30614</v>
      </c>
      <c r="B4036">
        <v>1.1499999999999999</v>
      </c>
      <c r="C4036">
        <v>120.842</v>
      </c>
      <c r="D4036" t="s">
        <v>14</v>
      </c>
      <c r="E4036" t="s">
        <v>263</v>
      </c>
      <c r="F4036">
        <f t="shared" si="126"/>
        <v>1983</v>
      </c>
      <c r="G4036">
        <f t="shared" si="127"/>
        <v>10</v>
      </c>
      <c r="H4036" t="str">
        <f>IF(ISNUMBER(FIND(",", E4036)), TRIM(MID(E4036, FIND(",", E4036) + 1, LEN(E4036))), E4036)</f>
        <v>Sulawesi, Indonesia</v>
      </c>
    </row>
    <row r="4037" spans="1:8" x14ac:dyDescent="0.25">
      <c r="A4037" s="2">
        <v>30611</v>
      </c>
      <c r="B4037">
        <v>-60.710999999999999</v>
      </c>
      <c r="C4037">
        <v>-25.396999999999998</v>
      </c>
      <c r="D4037" t="s">
        <v>14</v>
      </c>
      <c r="E4037" t="s">
        <v>260</v>
      </c>
      <c r="F4037">
        <f t="shared" si="126"/>
        <v>1983</v>
      </c>
      <c r="G4037">
        <f t="shared" si="127"/>
        <v>10</v>
      </c>
      <c r="H4037" t="str">
        <f>IF(ISNUMBER(FIND(",", E4037)), TRIM(MID(E4037, FIND(",", E4037) + 1, LEN(E4037))), E4037)</f>
        <v>South Sandwich Islands region</v>
      </c>
    </row>
    <row r="4038" spans="1:8" x14ac:dyDescent="0.25">
      <c r="A4038" s="2">
        <v>30611</v>
      </c>
      <c r="B4038">
        <v>-60.536000000000001</v>
      </c>
      <c r="C4038">
        <v>-24.893000000000001</v>
      </c>
      <c r="D4038" t="s">
        <v>14</v>
      </c>
      <c r="E4038" t="s">
        <v>260</v>
      </c>
      <c r="F4038">
        <f t="shared" si="126"/>
        <v>1983</v>
      </c>
      <c r="G4038">
        <f t="shared" si="127"/>
        <v>10</v>
      </c>
      <c r="H4038" t="str">
        <f>IF(ISNUMBER(FIND(",", E4038)), TRIM(MID(E4038, FIND(",", E4038) + 1, LEN(E4038))), E4038)</f>
        <v>South Sandwich Islands region</v>
      </c>
    </row>
    <row r="4039" spans="1:8" x14ac:dyDescent="0.25">
      <c r="A4039" s="2">
        <v>30611</v>
      </c>
      <c r="B4039">
        <v>-60.685000000000002</v>
      </c>
      <c r="C4039">
        <v>-25.495000000000001</v>
      </c>
      <c r="D4039" t="s">
        <v>14</v>
      </c>
      <c r="E4039" t="s">
        <v>260</v>
      </c>
      <c r="F4039">
        <f t="shared" si="126"/>
        <v>1983</v>
      </c>
      <c r="G4039">
        <f t="shared" si="127"/>
        <v>10</v>
      </c>
      <c r="H4039" t="str">
        <f>IF(ISNUMBER(FIND(",", E4039)), TRIM(MID(E4039, FIND(",", E4039) + 1, LEN(E4039))), E4039)</f>
        <v>South Sandwich Islands region</v>
      </c>
    </row>
    <row r="4040" spans="1:8" x14ac:dyDescent="0.25">
      <c r="A4040" s="2">
        <v>30606</v>
      </c>
      <c r="B4040">
        <v>37.573</v>
      </c>
      <c r="C4040">
        <v>-17.456</v>
      </c>
      <c r="D4040" t="s">
        <v>14</v>
      </c>
      <c r="E4040" t="s">
        <v>430</v>
      </c>
      <c r="F4040">
        <f t="shared" si="126"/>
        <v>1983</v>
      </c>
      <c r="G4040">
        <f t="shared" si="127"/>
        <v>10</v>
      </c>
      <c r="H4040" t="str">
        <f>IF(ISNUMBER(FIND(",", E4040)), TRIM(MID(E4040, FIND(",", E4040) + 1, LEN(E4040))), E4040)</f>
        <v>Azores-Cape St. Vincent Ridge</v>
      </c>
    </row>
    <row r="4041" spans="1:8" x14ac:dyDescent="0.25">
      <c r="A4041" s="2">
        <v>30606</v>
      </c>
      <c r="B4041">
        <v>-20.539000000000001</v>
      </c>
      <c r="C4041">
        <v>-173.85</v>
      </c>
      <c r="D4041" t="s">
        <v>14</v>
      </c>
      <c r="E4041" t="s">
        <v>239</v>
      </c>
      <c r="F4041">
        <f t="shared" si="126"/>
        <v>1983</v>
      </c>
      <c r="G4041">
        <f t="shared" si="127"/>
        <v>10</v>
      </c>
      <c r="H4041" t="str">
        <f>IF(ISNUMBER(FIND(",", E4041)), TRIM(MID(E4041, FIND(",", E4041) + 1, LEN(E4041))), E4041)</f>
        <v>Tonga</v>
      </c>
    </row>
    <row r="4042" spans="1:8" x14ac:dyDescent="0.25">
      <c r="A4042" s="2">
        <v>30605</v>
      </c>
      <c r="B4042">
        <v>1.0820000000000001</v>
      </c>
      <c r="C4042">
        <v>120.958</v>
      </c>
      <c r="D4042" t="s">
        <v>14</v>
      </c>
      <c r="E4042" t="s">
        <v>263</v>
      </c>
      <c r="F4042">
        <f t="shared" si="126"/>
        <v>1983</v>
      </c>
      <c r="G4042">
        <f t="shared" si="127"/>
        <v>10</v>
      </c>
      <c r="H4042" t="str">
        <f>IF(ISNUMBER(FIND(",", E4042)), TRIM(MID(E4042, FIND(",", E4042) + 1, LEN(E4042))), E4042)</f>
        <v>Sulawesi, Indonesia</v>
      </c>
    </row>
    <row r="4043" spans="1:8" x14ac:dyDescent="0.25">
      <c r="A4043" s="2">
        <v>30604</v>
      </c>
      <c r="B4043">
        <v>-8.0709999999999997</v>
      </c>
      <c r="C4043">
        <v>156.351</v>
      </c>
      <c r="D4043" t="s">
        <v>14</v>
      </c>
      <c r="E4043" t="s">
        <v>221</v>
      </c>
      <c r="F4043">
        <f t="shared" si="126"/>
        <v>1983</v>
      </c>
      <c r="G4043">
        <f t="shared" si="127"/>
        <v>10</v>
      </c>
      <c r="H4043" t="str">
        <f>IF(ISNUMBER(FIND(",", E4043)), TRIM(MID(E4043, FIND(",", E4043) + 1, LEN(E4043))), E4043)</f>
        <v>Solomon Islands</v>
      </c>
    </row>
    <row r="4044" spans="1:8" x14ac:dyDescent="0.25">
      <c r="A4044" s="2">
        <v>30598</v>
      </c>
      <c r="B4044">
        <v>-26.131</v>
      </c>
      <c r="C4044">
        <v>-70.481999999999999</v>
      </c>
      <c r="D4044" t="s">
        <v>14</v>
      </c>
      <c r="E4044" t="s">
        <v>264</v>
      </c>
      <c r="F4044">
        <f t="shared" si="126"/>
        <v>1983</v>
      </c>
      <c r="G4044">
        <f t="shared" si="127"/>
        <v>10</v>
      </c>
      <c r="H4044" t="str">
        <f>IF(ISNUMBER(FIND(",", E4044)), TRIM(MID(E4044, FIND(",", E4044) + 1, LEN(E4044))), E4044)</f>
        <v>Chile</v>
      </c>
    </row>
    <row r="4045" spans="1:8" x14ac:dyDescent="0.25">
      <c r="A4045" s="2">
        <v>30597</v>
      </c>
      <c r="B4045">
        <v>44.186</v>
      </c>
      <c r="C4045">
        <v>130.791</v>
      </c>
      <c r="D4045" t="s">
        <v>14</v>
      </c>
      <c r="E4045" t="s">
        <v>489</v>
      </c>
      <c r="F4045">
        <f t="shared" si="126"/>
        <v>1983</v>
      </c>
      <c r="G4045">
        <f t="shared" si="127"/>
        <v>10</v>
      </c>
      <c r="H4045" t="str">
        <f>IF(ISNUMBER(FIND(",", E4045)), TRIM(MID(E4045, FIND(",", E4045) + 1, LEN(E4045))), E4045)</f>
        <v>China</v>
      </c>
    </row>
    <row r="4046" spans="1:8" x14ac:dyDescent="0.25">
      <c r="A4046" s="2">
        <v>30595</v>
      </c>
      <c r="B4046">
        <v>49.932000000000002</v>
      </c>
      <c r="C4046">
        <v>78.843000000000004</v>
      </c>
      <c r="D4046" t="s">
        <v>13</v>
      </c>
      <c r="E4046" t="s">
        <v>571</v>
      </c>
      <c r="F4046">
        <f t="shared" si="126"/>
        <v>1983</v>
      </c>
      <c r="G4046">
        <f t="shared" si="127"/>
        <v>10</v>
      </c>
      <c r="H4046" t="str">
        <f>IF(ISNUMBER(FIND(",", E4046)), TRIM(MID(E4046, FIND(",", E4046) + 1, LEN(E4046))), E4046)</f>
        <v>eastern Kazakhstan</v>
      </c>
    </row>
    <row r="4047" spans="1:8" x14ac:dyDescent="0.25">
      <c r="A4047" s="2">
        <v>30593</v>
      </c>
      <c r="B4047">
        <v>-26.541</v>
      </c>
      <c r="C4047">
        <v>-70.504000000000005</v>
      </c>
      <c r="D4047" t="s">
        <v>14</v>
      </c>
      <c r="E4047" t="s">
        <v>264</v>
      </c>
      <c r="F4047">
        <f t="shared" si="126"/>
        <v>1983</v>
      </c>
      <c r="G4047">
        <f t="shared" si="127"/>
        <v>10</v>
      </c>
      <c r="H4047" t="str">
        <f>IF(ISNUMBER(FIND(",", E4047)), TRIM(MID(E4047, FIND(",", E4047) + 1, LEN(E4047))), E4047)</f>
        <v>Chile</v>
      </c>
    </row>
    <row r="4048" spans="1:8" x14ac:dyDescent="0.25">
      <c r="A4048" s="2">
        <v>30583</v>
      </c>
      <c r="B4048">
        <v>-3.64</v>
      </c>
      <c r="C4048">
        <v>151.173</v>
      </c>
      <c r="D4048" t="s">
        <v>14</v>
      </c>
      <c r="E4048" t="s">
        <v>183</v>
      </c>
      <c r="F4048">
        <f t="shared" si="126"/>
        <v>1983</v>
      </c>
      <c r="G4048">
        <f t="shared" si="127"/>
        <v>9</v>
      </c>
      <c r="H4048" t="str">
        <f>IF(ISNUMBER(FIND(",", E4048)), TRIM(MID(E4048, FIND(",", E4048) + 1, LEN(E4048))), E4048)</f>
        <v>Papua New Guinea</v>
      </c>
    </row>
    <row r="4049" spans="1:8" x14ac:dyDescent="0.25">
      <c r="A4049" s="2">
        <v>30580</v>
      </c>
      <c r="B4049">
        <v>24.161000000000001</v>
      </c>
      <c r="C4049">
        <v>122.18899999999999</v>
      </c>
      <c r="D4049" t="s">
        <v>14</v>
      </c>
      <c r="E4049" t="s">
        <v>363</v>
      </c>
      <c r="F4049">
        <f t="shared" si="126"/>
        <v>1983</v>
      </c>
      <c r="G4049">
        <f t="shared" si="127"/>
        <v>9</v>
      </c>
      <c r="H4049" t="str">
        <f>IF(ISNUMBER(FIND(",", E4049)), TRIM(MID(E4049, FIND(",", E4049) + 1, LEN(E4049))), E4049)</f>
        <v>Taiwan region</v>
      </c>
    </row>
    <row r="4050" spans="1:8" x14ac:dyDescent="0.25">
      <c r="A4050" s="2">
        <v>30576</v>
      </c>
      <c r="B4050">
        <v>-16.664999999999999</v>
      </c>
      <c r="C4050">
        <v>-177.28800000000001</v>
      </c>
      <c r="D4050" t="s">
        <v>14</v>
      </c>
      <c r="E4050" t="s">
        <v>53</v>
      </c>
      <c r="F4050">
        <f t="shared" si="126"/>
        <v>1983</v>
      </c>
      <c r="G4050">
        <f t="shared" si="127"/>
        <v>9</v>
      </c>
      <c r="H4050" t="str">
        <f>IF(ISNUMBER(FIND(",", E4050)), TRIM(MID(E4050, FIND(",", E4050) + 1, LEN(E4050))), E4050)</f>
        <v>Fiji region</v>
      </c>
    </row>
    <row r="4051" spans="1:8" x14ac:dyDescent="0.25">
      <c r="A4051" s="2">
        <v>30574</v>
      </c>
      <c r="B4051">
        <v>16.088999999999999</v>
      </c>
      <c r="C4051">
        <v>-93.18</v>
      </c>
      <c r="D4051" t="s">
        <v>14</v>
      </c>
      <c r="E4051" t="s">
        <v>421</v>
      </c>
      <c r="F4051">
        <f t="shared" si="126"/>
        <v>1983</v>
      </c>
      <c r="G4051">
        <f t="shared" si="127"/>
        <v>9</v>
      </c>
      <c r="H4051" t="str">
        <f>IF(ISNUMBER(FIND(",", E4051)), TRIM(MID(E4051, FIND(",", E4051) + 1, LEN(E4051))), E4051)</f>
        <v>Mexico</v>
      </c>
    </row>
    <row r="4052" spans="1:8" x14ac:dyDescent="0.25">
      <c r="A4052" s="2">
        <v>30573</v>
      </c>
      <c r="B4052">
        <v>18.119</v>
      </c>
      <c r="C4052">
        <v>145.858</v>
      </c>
      <c r="D4052" t="s">
        <v>14</v>
      </c>
      <c r="E4052" t="s">
        <v>416</v>
      </c>
      <c r="F4052">
        <f t="shared" si="126"/>
        <v>1983</v>
      </c>
      <c r="G4052">
        <f t="shared" si="127"/>
        <v>9</v>
      </c>
      <c r="H4052" t="str">
        <f>IF(ISNUMBER(FIND(",", E4052)), TRIM(MID(E4052, FIND(",", E4052) + 1, LEN(E4052))), E4052)</f>
        <v>Northern Mariana Islands</v>
      </c>
    </row>
    <row r="4053" spans="1:8" x14ac:dyDescent="0.25">
      <c r="A4053" s="2">
        <v>30571</v>
      </c>
      <c r="B4053">
        <v>36.488999999999997</v>
      </c>
      <c r="C4053">
        <v>71.08</v>
      </c>
      <c r="D4053" t="s">
        <v>14</v>
      </c>
      <c r="E4053" t="s">
        <v>314</v>
      </c>
      <c r="F4053">
        <f t="shared" si="126"/>
        <v>1983</v>
      </c>
      <c r="G4053">
        <f t="shared" si="127"/>
        <v>9</v>
      </c>
      <c r="H4053" t="str">
        <f>IF(ISNUMBER(FIND(",", E4053)), TRIM(MID(E4053, FIND(",", E4053) + 1, LEN(E4053))), E4053)</f>
        <v>Afghanistan</v>
      </c>
    </row>
    <row r="4054" spans="1:8" x14ac:dyDescent="0.25">
      <c r="A4054" s="2">
        <v>30566</v>
      </c>
      <c r="B4054">
        <v>60.933999999999997</v>
      </c>
      <c r="C4054">
        <v>-147.535</v>
      </c>
      <c r="D4054" t="s">
        <v>14</v>
      </c>
      <c r="E4054" t="s">
        <v>497</v>
      </c>
      <c r="F4054">
        <f t="shared" si="126"/>
        <v>1983</v>
      </c>
      <c r="G4054">
        <f t="shared" si="127"/>
        <v>9</v>
      </c>
      <c r="H4054" t="str">
        <f>IF(ISNUMBER(FIND(",", E4054)), TRIM(MID(E4054, FIND(",", E4054) + 1, LEN(E4054))), E4054)</f>
        <v>Southern Alaska</v>
      </c>
    </row>
    <row r="4055" spans="1:8" x14ac:dyDescent="0.25">
      <c r="A4055" s="2">
        <v>30560</v>
      </c>
      <c r="B4055">
        <v>-52.573</v>
      </c>
      <c r="C4055">
        <v>25.904</v>
      </c>
      <c r="D4055" t="s">
        <v>14</v>
      </c>
      <c r="E4055" t="s">
        <v>465</v>
      </c>
      <c r="F4055">
        <f t="shared" si="126"/>
        <v>1983</v>
      </c>
      <c r="G4055">
        <f t="shared" si="127"/>
        <v>9</v>
      </c>
      <c r="H4055" t="str">
        <f>IF(ISNUMBER(FIND(",", E4055)), TRIM(MID(E4055, FIND(",", E4055) + 1, LEN(E4055))), E4055)</f>
        <v>south of Africa</v>
      </c>
    </row>
    <row r="4056" spans="1:8" x14ac:dyDescent="0.25">
      <c r="A4056" s="2">
        <v>30553</v>
      </c>
      <c r="B4056">
        <v>33.551000000000002</v>
      </c>
      <c r="C4056">
        <v>131.47200000000001</v>
      </c>
      <c r="D4056" t="s">
        <v>14</v>
      </c>
      <c r="E4056" t="s">
        <v>357</v>
      </c>
      <c r="F4056">
        <f t="shared" si="126"/>
        <v>1983</v>
      </c>
      <c r="G4056">
        <f t="shared" si="127"/>
        <v>8</v>
      </c>
      <c r="H4056" t="str">
        <f>IF(ISNUMBER(FIND(",", E4056)), TRIM(MID(E4056, FIND(",", E4056) + 1, LEN(E4056))), E4056)</f>
        <v>Japan</v>
      </c>
    </row>
    <row r="4057" spans="1:8" x14ac:dyDescent="0.25">
      <c r="A4057" s="2">
        <v>30552</v>
      </c>
      <c r="B4057">
        <v>40.289000000000001</v>
      </c>
      <c r="C4057">
        <v>-124.62</v>
      </c>
      <c r="D4057" t="s">
        <v>14</v>
      </c>
      <c r="E4057" t="s">
        <v>343</v>
      </c>
      <c r="F4057">
        <f t="shared" si="126"/>
        <v>1983</v>
      </c>
      <c r="G4057">
        <f t="shared" si="127"/>
        <v>8</v>
      </c>
      <c r="H4057" t="str">
        <f>IF(ISNUMBER(FIND(",", E4057)), TRIM(MID(E4057, FIND(",", E4057) + 1, LEN(E4057))), E4057)</f>
        <v>offshore Northern California</v>
      </c>
    </row>
    <row r="4058" spans="1:8" x14ac:dyDescent="0.25">
      <c r="A4058" s="2">
        <v>30545</v>
      </c>
      <c r="B4058">
        <v>18.222000000000001</v>
      </c>
      <c r="C4058">
        <v>120.792</v>
      </c>
      <c r="D4058" t="s">
        <v>14</v>
      </c>
      <c r="E4058" t="s">
        <v>297</v>
      </c>
      <c r="F4058">
        <f t="shared" si="126"/>
        <v>1983</v>
      </c>
      <c r="G4058">
        <f t="shared" si="127"/>
        <v>8</v>
      </c>
      <c r="H4058" t="str">
        <f>IF(ISNUMBER(FIND(",", E4058)), TRIM(MID(E4058, FIND(",", E4058) + 1, LEN(E4058))), E4058)</f>
        <v>Philippines</v>
      </c>
    </row>
    <row r="4059" spans="1:8" x14ac:dyDescent="0.25">
      <c r="A4059" s="2">
        <v>30545</v>
      </c>
      <c r="B4059">
        <v>55.786000000000001</v>
      </c>
      <c r="C4059">
        <v>161.31700000000001</v>
      </c>
      <c r="D4059" t="s">
        <v>14</v>
      </c>
      <c r="E4059" t="s">
        <v>225</v>
      </c>
      <c r="F4059">
        <f t="shared" si="126"/>
        <v>1983</v>
      </c>
      <c r="G4059">
        <f t="shared" si="127"/>
        <v>8</v>
      </c>
      <c r="H4059" t="str">
        <f>IF(ISNUMBER(FIND(",", E4059)), TRIM(MID(E4059, FIND(",", E4059) + 1, LEN(E4059))), E4059)</f>
        <v>Russia</v>
      </c>
    </row>
    <row r="4060" spans="1:8" x14ac:dyDescent="0.25">
      <c r="A4060" s="2">
        <v>30534</v>
      </c>
      <c r="B4060">
        <v>40.109000000000002</v>
      </c>
      <c r="C4060">
        <v>24.765000000000001</v>
      </c>
      <c r="D4060" t="s">
        <v>14</v>
      </c>
      <c r="E4060" t="s">
        <v>498</v>
      </c>
      <c r="F4060">
        <f t="shared" si="126"/>
        <v>1983</v>
      </c>
      <c r="G4060">
        <f t="shared" si="127"/>
        <v>8</v>
      </c>
      <c r="H4060" t="str">
        <f>IF(ISNUMBER(FIND(",", E4060)), TRIM(MID(E4060, FIND(",", E4060) + 1, LEN(E4060))), E4060)</f>
        <v>Aegean Sea</v>
      </c>
    </row>
    <row r="4061" spans="1:8" x14ac:dyDescent="0.25">
      <c r="A4061" s="2">
        <v>30530</v>
      </c>
      <c r="B4061">
        <v>20.446999999999999</v>
      </c>
      <c r="C4061">
        <v>122.08799999999999</v>
      </c>
      <c r="D4061" t="s">
        <v>14</v>
      </c>
      <c r="E4061" t="s">
        <v>400</v>
      </c>
      <c r="F4061">
        <f t="shared" si="126"/>
        <v>1983</v>
      </c>
      <c r="G4061">
        <f t="shared" si="127"/>
        <v>8</v>
      </c>
      <c r="H4061" t="str">
        <f>IF(ISNUMBER(FIND(",", E4061)), TRIM(MID(E4061, FIND(",", E4061) + 1, LEN(E4061))), E4061)</f>
        <v>Philippines</v>
      </c>
    </row>
    <row r="4062" spans="1:8" x14ac:dyDescent="0.25">
      <c r="A4062" s="2">
        <v>30521</v>
      </c>
      <c r="B4062">
        <v>53.890999999999998</v>
      </c>
      <c r="C4062">
        <v>158.321</v>
      </c>
      <c r="D4062" t="s">
        <v>14</v>
      </c>
      <c r="E4062" t="s">
        <v>225</v>
      </c>
      <c r="F4062">
        <f t="shared" si="126"/>
        <v>1983</v>
      </c>
      <c r="G4062">
        <f t="shared" si="127"/>
        <v>7</v>
      </c>
      <c r="H4062" t="str">
        <f>IF(ISNUMBER(FIND(",", E4062)), TRIM(MID(E4062, FIND(",", E4062) + 1, LEN(E4062))), E4062)</f>
        <v>Russia</v>
      </c>
    </row>
    <row r="4063" spans="1:8" x14ac:dyDescent="0.25">
      <c r="A4063" s="2">
        <v>30519</v>
      </c>
      <c r="B4063">
        <v>36.228000000000002</v>
      </c>
      <c r="C4063">
        <v>-120.416</v>
      </c>
      <c r="D4063" t="s">
        <v>13</v>
      </c>
      <c r="E4063" t="s">
        <v>464</v>
      </c>
      <c r="F4063">
        <f t="shared" si="126"/>
        <v>1983</v>
      </c>
      <c r="G4063">
        <f t="shared" si="127"/>
        <v>7</v>
      </c>
      <c r="H4063" t="str">
        <f>IF(ISNUMBER(FIND(",", E4063)), TRIM(MID(E4063, FIND(",", E4063) + 1, LEN(E4063))), E4063)</f>
        <v>Central California</v>
      </c>
    </row>
    <row r="4064" spans="1:8" x14ac:dyDescent="0.25">
      <c r="A4064" s="2">
        <v>30515</v>
      </c>
      <c r="B4064">
        <v>12.685</v>
      </c>
      <c r="C4064">
        <v>-87.16</v>
      </c>
      <c r="D4064" t="s">
        <v>14</v>
      </c>
      <c r="E4064" t="s">
        <v>448</v>
      </c>
      <c r="F4064">
        <f t="shared" si="126"/>
        <v>1983</v>
      </c>
      <c r="G4064">
        <f t="shared" si="127"/>
        <v>7</v>
      </c>
      <c r="H4064" t="str">
        <f>IF(ISNUMBER(FIND(",", E4064)), TRIM(MID(E4064, FIND(",", E4064) + 1, LEN(E4064))), E4064)</f>
        <v>near the coast of Nicaragua</v>
      </c>
    </row>
    <row r="4065" spans="1:8" x14ac:dyDescent="0.25">
      <c r="A4065" s="2">
        <v>30511</v>
      </c>
      <c r="B4065">
        <v>5.5090000000000003</v>
      </c>
      <c r="C4065">
        <v>126.373</v>
      </c>
      <c r="D4065" t="s">
        <v>14</v>
      </c>
      <c r="E4065" t="s">
        <v>200</v>
      </c>
      <c r="F4065">
        <f t="shared" si="126"/>
        <v>1983</v>
      </c>
      <c r="G4065">
        <f t="shared" si="127"/>
        <v>7</v>
      </c>
      <c r="H4065" t="str">
        <f>IF(ISNUMBER(FIND(",", E4065)), TRIM(MID(E4065, FIND(",", E4065) + 1, LEN(E4065))), E4065)</f>
        <v>Philippines</v>
      </c>
    </row>
    <row r="4066" spans="1:8" x14ac:dyDescent="0.25">
      <c r="A4066" s="2">
        <v>30509</v>
      </c>
      <c r="B4066">
        <v>61.02</v>
      </c>
      <c r="C4066">
        <v>-147.44200000000001</v>
      </c>
      <c r="D4066" t="s">
        <v>14</v>
      </c>
      <c r="E4066" t="s">
        <v>497</v>
      </c>
      <c r="F4066">
        <f t="shared" si="126"/>
        <v>1983</v>
      </c>
      <c r="G4066">
        <f t="shared" si="127"/>
        <v>7</v>
      </c>
      <c r="H4066" t="str">
        <f>IF(ISNUMBER(FIND(",", E4066)), TRIM(MID(E4066, FIND(",", E4066) + 1, LEN(E4066))), E4066)</f>
        <v>Southern Alaska</v>
      </c>
    </row>
    <row r="4067" spans="1:8" x14ac:dyDescent="0.25">
      <c r="A4067" s="2">
        <v>30508</v>
      </c>
      <c r="B4067">
        <v>-60.918999999999997</v>
      </c>
      <c r="C4067">
        <v>-53.121000000000002</v>
      </c>
      <c r="D4067" t="s">
        <v>14</v>
      </c>
      <c r="E4067" t="s">
        <v>261</v>
      </c>
      <c r="F4067">
        <f t="shared" si="126"/>
        <v>1983</v>
      </c>
      <c r="G4067">
        <f t="shared" si="127"/>
        <v>7</v>
      </c>
      <c r="H4067" t="str">
        <f>IF(ISNUMBER(FIND(",", E4067)), TRIM(MID(E4067, FIND(",", E4067) + 1, LEN(E4067))), E4067)</f>
        <v>South Shetland Islands</v>
      </c>
    </row>
    <row r="4068" spans="1:8" x14ac:dyDescent="0.25">
      <c r="A4068" s="2">
        <v>30504</v>
      </c>
      <c r="B4068">
        <v>-22.536000000000001</v>
      </c>
      <c r="C4068">
        <v>170.85599999999999</v>
      </c>
      <c r="D4068" t="s">
        <v>14</v>
      </c>
      <c r="E4068" t="s">
        <v>254</v>
      </c>
      <c r="F4068">
        <f t="shared" si="126"/>
        <v>1983</v>
      </c>
      <c r="G4068">
        <f t="shared" si="127"/>
        <v>7</v>
      </c>
      <c r="H4068" t="str">
        <f>IF(ISNUMBER(FIND(",", E4068)), TRIM(MID(E4068, FIND(",", E4068) + 1, LEN(E4068))), E4068)</f>
        <v>southeast of the Loyalty Islands</v>
      </c>
    </row>
    <row r="4069" spans="1:8" x14ac:dyDescent="0.25">
      <c r="A4069" s="2">
        <v>30502</v>
      </c>
      <c r="B4069">
        <v>40.314</v>
      </c>
      <c r="C4069">
        <v>27.242999999999999</v>
      </c>
      <c r="D4069" t="s">
        <v>14</v>
      </c>
      <c r="E4069" t="s">
        <v>494</v>
      </c>
      <c r="F4069">
        <f t="shared" si="126"/>
        <v>1983</v>
      </c>
      <c r="G4069">
        <f t="shared" si="127"/>
        <v>7</v>
      </c>
      <c r="H4069" t="str">
        <f>IF(ISNUMBER(FIND(",", E4069)), TRIM(MID(E4069, FIND(",", E4069) + 1, LEN(E4069))), E4069)</f>
        <v>western Turkey</v>
      </c>
    </row>
    <row r="4070" spans="1:8" x14ac:dyDescent="0.25">
      <c r="A4070" s="2">
        <v>30502</v>
      </c>
      <c r="B4070">
        <v>-22.597000000000001</v>
      </c>
      <c r="C4070">
        <v>171.07400000000001</v>
      </c>
      <c r="D4070" t="s">
        <v>14</v>
      </c>
      <c r="E4070" t="s">
        <v>254</v>
      </c>
      <c r="F4070">
        <f t="shared" si="126"/>
        <v>1983</v>
      </c>
      <c r="G4070">
        <f t="shared" si="127"/>
        <v>7</v>
      </c>
      <c r="H4070" t="str">
        <f>IF(ISNUMBER(FIND(",", E4070)), TRIM(MID(E4070, FIND(",", E4070) + 1, LEN(E4070))), E4070)</f>
        <v>southeast of the Loyalty Islands</v>
      </c>
    </row>
    <row r="4071" spans="1:8" x14ac:dyDescent="0.25">
      <c r="A4071" s="2">
        <v>30502</v>
      </c>
      <c r="B4071">
        <v>-55.784999999999997</v>
      </c>
      <c r="C4071">
        <v>-123.404</v>
      </c>
      <c r="D4071" t="s">
        <v>14</v>
      </c>
      <c r="E4071" t="s">
        <v>268</v>
      </c>
      <c r="F4071">
        <f t="shared" si="126"/>
        <v>1983</v>
      </c>
      <c r="G4071">
        <f t="shared" si="127"/>
        <v>7</v>
      </c>
      <c r="H4071" t="str">
        <f>IF(ISNUMBER(FIND(",", E4071)), TRIM(MID(E4071, FIND(",", E4071) + 1, LEN(E4071))), E4071)</f>
        <v>southern East Pacific Rise</v>
      </c>
    </row>
    <row r="4072" spans="1:8" x14ac:dyDescent="0.25">
      <c r="A4072" s="2">
        <v>30500</v>
      </c>
      <c r="B4072">
        <v>9.6289999999999996</v>
      </c>
      <c r="C4072">
        <v>-83.688999999999993</v>
      </c>
      <c r="D4072" t="s">
        <v>14</v>
      </c>
      <c r="E4072" t="s">
        <v>202</v>
      </c>
      <c r="F4072">
        <f t="shared" si="126"/>
        <v>1983</v>
      </c>
      <c r="G4072">
        <f t="shared" si="127"/>
        <v>7</v>
      </c>
      <c r="H4072" t="str">
        <f>IF(ISNUMBER(FIND(",", E4072)), TRIM(MID(E4072, FIND(",", E4072) + 1, LEN(E4072))), E4072)</f>
        <v>Costa Rica</v>
      </c>
    </row>
    <row r="4073" spans="1:8" x14ac:dyDescent="0.25">
      <c r="A4073" s="2">
        <v>30500</v>
      </c>
      <c r="B4073">
        <v>9.4870000000000001</v>
      </c>
      <c r="C4073">
        <v>-83.787999999999997</v>
      </c>
      <c r="D4073" t="s">
        <v>14</v>
      </c>
      <c r="E4073" t="s">
        <v>202</v>
      </c>
      <c r="F4073">
        <f t="shared" si="126"/>
        <v>1983</v>
      </c>
      <c r="G4073">
        <f t="shared" si="127"/>
        <v>7</v>
      </c>
      <c r="H4073" t="str">
        <f>IF(ISNUMBER(FIND(",", E4073)), TRIM(MID(E4073, FIND(",", E4073) + 1, LEN(E4073))), E4073)</f>
        <v>Costa Rica</v>
      </c>
    </row>
    <row r="4074" spans="1:8" x14ac:dyDescent="0.25">
      <c r="A4074" s="2">
        <v>30491</v>
      </c>
      <c r="B4074">
        <v>21.4</v>
      </c>
      <c r="C4074">
        <v>102.604</v>
      </c>
      <c r="D4074" t="s">
        <v>14</v>
      </c>
      <c r="E4074" t="s">
        <v>425</v>
      </c>
      <c r="F4074">
        <f t="shared" si="126"/>
        <v>1983</v>
      </c>
      <c r="G4074">
        <f t="shared" si="127"/>
        <v>6</v>
      </c>
      <c r="H4074" t="str">
        <f>IF(ISNUMBER(FIND(",", E4074)), TRIM(MID(E4074, FIND(",", E4074) + 1, LEN(E4074))), E4074)</f>
        <v>Laos</v>
      </c>
    </row>
    <row r="4075" spans="1:8" x14ac:dyDescent="0.25">
      <c r="A4075" s="2">
        <v>30491</v>
      </c>
      <c r="B4075">
        <v>24.227</v>
      </c>
      <c r="C4075">
        <v>122.395</v>
      </c>
      <c r="D4075" t="s">
        <v>14</v>
      </c>
      <c r="E4075" t="s">
        <v>363</v>
      </c>
      <c r="F4075">
        <f t="shared" si="126"/>
        <v>1983</v>
      </c>
      <c r="G4075">
        <f t="shared" si="127"/>
        <v>6</v>
      </c>
      <c r="H4075" t="str">
        <f>IF(ISNUMBER(FIND(",", E4075)), TRIM(MID(E4075, FIND(",", E4075) + 1, LEN(E4075))), E4075)</f>
        <v>Taiwan region</v>
      </c>
    </row>
    <row r="4076" spans="1:8" x14ac:dyDescent="0.25">
      <c r="A4076" s="2">
        <v>30491</v>
      </c>
      <c r="B4076">
        <v>21.744</v>
      </c>
      <c r="C4076">
        <v>103.265</v>
      </c>
      <c r="D4076" t="s">
        <v>14</v>
      </c>
      <c r="E4076" t="s">
        <v>607</v>
      </c>
      <c r="F4076">
        <f t="shared" si="126"/>
        <v>1983</v>
      </c>
      <c r="G4076">
        <f t="shared" si="127"/>
        <v>6</v>
      </c>
      <c r="H4076" t="str">
        <f>IF(ISNUMBER(FIND(",", E4076)), TRIM(MID(E4076, FIND(",", E4076) + 1, LEN(E4076))), E4076)</f>
        <v>Vietnam</v>
      </c>
    </row>
    <row r="4077" spans="1:8" x14ac:dyDescent="0.25">
      <c r="A4077" s="2">
        <v>30488</v>
      </c>
      <c r="B4077">
        <v>24.17</v>
      </c>
      <c r="C4077">
        <v>122.396</v>
      </c>
      <c r="D4077" t="s">
        <v>14</v>
      </c>
      <c r="E4077" t="s">
        <v>363</v>
      </c>
      <c r="F4077">
        <f t="shared" si="126"/>
        <v>1983</v>
      </c>
      <c r="G4077">
        <f t="shared" si="127"/>
        <v>6</v>
      </c>
      <c r="H4077" t="str">
        <f>IF(ISNUMBER(FIND(",", E4077)), TRIM(MID(E4077, FIND(",", E4077) + 1, LEN(E4077))), E4077)</f>
        <v>Taiwan region</v>
      </c>
    </row>
    <row r="4078" spans="1:8" x14ac:dyDescent="0.25">
      <c r="A4078" s="2">
        <v>30488</v>
      </c>
      <c r="B4078">
        <v>41.366999999999997</v>
      </c>
      <c r="C4078">
        <v>139.11799999999999</v>
      </c>
      <c r="D4078" t="s">
        <v>14</v>
      </c>
      <c r="E4078" t="s">
        <v>265</v>
      </c>
      <c r="F4078">
        <f t="shared" si="126"/>
        <v>1983</v>
      </c>
      <c r="G4078">
        <f t="shared" si="127"/>
        <v>6</v>
      </c>
      <c r="H4078" t="str">
        <f>IF(ISNUMBER(FIND(",", E4078)), TRIM(MID(E4078, FIND(",", E4078) + 1, LEN(E4078))), E4078)</f>
        <v>Japan region</v>
      </c>
    </row>
    <row r="4079" spans="1:8" x14ac:dyDescent="0.25">
      <c r="A4079" s="2">
        <v>30487</v>
      </c>
      <c r="B4079">
        <v>-23.603000000000002</v>
      </c>
      <c r="C4079">
        <v>179.20699999999999</v>
      </c>
      <c r="D4079" t="s">
        <v>14</v>
      </c>
      <c r="E4079" t="s">
        <v>256</v>
      </c>
      <c r="F4079">
        <f t="shared" si="126"/>
        <v>1983</v>
      </c>
      <c r="G4079">
        <f t="shared" si="127"/>
        <v>6</v>
      </c>
      <c r="H4079" t="str">
        <f>IF(ISNUMBER(FIND(",", E4079)), TRIM(MID(E4079, FIND(",", E4079) + 1, LEN(E4079))), E4079)</f>
        <v>south of the Fiji Islands</v>
      </c>
    </row>
    <row r="4080" spans="1:8" x14ac:dyDescent="0.25">
      <c r="A4080" s="2">
        <v>30479</v>
      </c>
      <c r="B4080">
        <v>49.905999999999999</v>
      </c>
      <c r="C4080">
        <v>78.980999999999995</v>
      </c>
      <c r="D4080" t="s">
        <v>13</v>
      </c>
      <c r="E4080" t="s">
        <v>571</v>
      </c>
      <c r="F4080">
        <f t="shared" si="126"/>
        <v>1983</v>
      </c>
      <c r="G4080">
        <f t="shared" si="127"/>
        <v>6</v>
      </c>
      <c r="H4080" t="str">
        <f>IF(ISNUMBER(FIND(",", E4080)), TRIM(MID(E4080, FIND(",", E4080) + 1, LEN(E4080))), E4080)</f>
        <v>eastern Kazakhstan</v>
      </c>
    </row>
    <row r="4081" spans="1:8" x14ac:dyDescent="0.25">
      <c r="A4081" s="2">
        <v>30469</v>
      </c>
      <c r="B4081">
        <v>-9.5570000000000004</v>
      </c>
      <c r="C4081">
        <v>-71.194000000000003</v>
      </c>
      <c r="D4081" t="s">
        <v>14</v>
      </c>
      <c r="E4081" t="s">
        <v>557</v>
      </c>
      <c r="F4081">
        <f t="shared" si="126"/>
        <v>1983</v>
      </c>
      <c r="G4081">
        <f t="shared" si="127"/>
        <v>6</v>
      </c>
      <c r="H4081" t="str">
        <f>IF(ISNUMBER(FIND(",", E4081)), TRIM(MID(E4081, FIND(",", E4081) + 1, LEN(E4081))), E4081)</f>
        <v>Peru-Brazil border region</v>
      </c>
    </row>
    <row r="4082" spans="1:8" x14ac:dyDescent="0.25">
      <c r="A4082" s="2">
        <v>30468</v>
      </c>
      <c r="B4082">
        <v>-15.853</v>
      </c>
      <c r="C4082">
        <v>-172.535</v>
      </c>
      <c r="D4082" t="s">
        <v>14</v>
      </c>
      <c r="E4082" t="s">
        <v>352</v>
      </c>
      <c r="F4082">
        <f t="shared" si="126"/>
        <v>1983</v>
      </c>
      <c r="G4082">
        <f t="shared" si="127"/>
        <v>6</v>
      </c>
      <c r="H4082" t="str">
        <f>IF(ISNUMBER(FIND(",", E4082)), TRIM(MID(E4082, FIND(",", E4082) + 1, LEN(E4082))), E4082)</f>
        <v>Samoa Islands region</v>
      </c>
    </row>
    <row r="4083" spans="1:8" x14ac:dyDescent="0.25">
      <c r="A4083" s="2">
        <v>30468</v>
      </c>
      <c r="B4083">
        <v>-17.076000000000001</v>
      </c>
      <c r="C4083">
        <v>-174.524</v>
      </c>
      <c r="D4083" t="s">
        <v>14</v>
      </c>
      <c r="E4083" t="s">
        <v>239</v>
      </c>
      <c r="F4083">
        <f t="shared" si="126"/>
        <v>1983</v>
      </c>
      <c r="G4083">
        <f t="shared" si="127"/>
        <v>6</v>
      </c>
      <c r="H4083" t="str">
        <f>IF(ISNUMBER(FIND(",", E4083)), TRIM(MID(E4083, FIND(",", E4083) + 1, LEN(E4083))), E4083)</f>
        <v>Tonga</v>
      </c>
    </row>
    <row r="4084" spans="1:8" x14ac:dyDescent="0.25">
      <c r="A4084" s="2">
        <v>30462</v>
      </c>
      <c r="B4084">
        <v>40.472999999999999</v>
      </c>
      <c r="C4084">
        <v>139.09200000000001</v>
      </c>
      <c r="D4084" t="s">
        <v>14</v>
      </c>
      <c r="E4084" t="s">
        <v>298</v>
      </c>
      <c r="F4084">
        <f t="shared" si="126"/>
        <v>1983</v>
      </c>
      <c r="G4084">
        <f t="shared" si="127"/>
        <v>5</v>
      </c>
      <c r="H4084" t="str">
        <f>IF(ISNUMBER(FIND(",", E4084)), TRIM(MID(E4084, FIND(",", E4084) + 1, LEN(E4084))), E4084)</f>
        <v>Japan</v>
      </c>
    </row>
    <row r="4085" spans="1:8" x14ac:dyDescent="0.25">
      <c r="A4085" s="2">
        <v>30451</v>
      </c>
      <c r="B4085">
        <v>-18.927</v>
      </c>
      <c r="C4085">
        <v>-175.50700000000001</v>
      </c>
      <c r="D4085" t="s">
        <v>14</v>
      </c>
      <c r="E4085" t="s">
        <v>239</v>
      </c>
      <c r="F4085">
        <f t="shared" si="126"/>
        <v>1983</v>
      </c>
      <c r="G4085">
        <f t="shared" si="127"/>
        <v>5</v>
      </c>
      <c r="H4085" t="str">
        <f>IF(ISNUMBER(FIND(",", E4085)), TRIM(MID(E4085, FIND(",", E4085) + 1, LEN(E4085))), E4085)</f>
        <v>Tonga</v>
      </c>
    </row>
    <row r="4086" spans="1:8" x14ac:dyDescent="0.25">
      <c r="A4086" s="2">
        <v>30448</v>
      </c>
      <c r="B4086">
        <v>17.547000000000001</v>
      </c>
      <c r="C4086">
        <v>-46.58</v>
      </c>
      <c r="D4086" t="s">
        <v>14</v>
      </c>
      <c r="E4086" t="s">
        <v>325</v>
      </c>
      <c r="F4086">
        <f t="shared" si="126"/>
        <v>1983</v>
      </c>
      <c r="G4086">
        <f t="shared" si="127"/>
        <v>5</v>
      </c>
      <c r="H4086" t="str">
        <f>IF(ISNUMBER(FIND(",", E4086)), TRIM(MID(E4086, FIND(",", E4086) + 1, LEN(E4086))), E4086)</f>
        <v>northern Mid-Atlantic Ridge</v>
      </c>
    </row>
    <row r="4087" spans="1:8" x14ac:dyDescent="0.25">
      <c r="A4087" s="2">
        <v>30447</v>
      </c>
      <c r="B4087">
        <v>2.3050000000000002</v>
      </c>
      <c r="C4087">
        <v>128.279</v>
      </c>
      <c r="D4087" t="s">
        <v>14</v>
      </c>
      <c r="E4087" t="s">
        <v>311</v>
      </c>
      <c r="F4087">
        <f t="shared" si="126"/>
        <v>1983</v>
      </c>
      <c r="G4087">
        <f t="shared" si="127"/>
        <v>5</v>
      </c>
      <c r="H4087" t="str">
        <f>IF(ISNUMBER(FIND(",", E4087)), TRIM(MID(E4087, FIND(",", E4087) + 1, LEN(E4087))), E4087)</f>
        <v>Indonesia</v>
      </c>
    </row>
    <row r="4088" spans="1:8" x14ac:dyDescent="0.25">
      <c r="A4088" s="2">
        <v>30446</v>
      </c>
      <c r="B4088">
        <v>-4.7439999999999998</v>
      </c>
      <c r="C4088">
        <v>152.51400000000001</v>
      </c>
      <c r="D4088" t="s">
        <v>14</v>
      </c>
      <c r="E4088" t="s">
        <v>190</v>
      </c>
      <c r="F4088">
        <f t="shared" si="126"/>
        <v>1983</v>
      </c>
      <c r="G4088">
        <f t="shared" si="127"/>
        <v>5</v>
      </c>
      <c r="H4088" t="str">
        <f>IF(ISNUMBER(FIND(",", E4088)), TRIM(MID(E4088, FIND(",", E4088) + 1, LEN(E4088))), E4088)</f>
        <v>Papua New Guinea</v>
      </c>
    </row>
    <row r="4089" spans="1:8" x14ac:dyDescent="0.25">
      <c r="A4089" s="2">
        <v>30446</v>
      </c>
      <c r="B4089">
        <v>-5.3929999999999998</v>
      </c>
      <c r="C4089">
        <v>150.958</v>
      </c>
      <c r="D4089" t="s">
        <v>14</v>
      </c>
      <c r="E4089" t="s">
        <v>190</v>
      </c>
      <c r="F4089">
        <f t="shared" si="126"/>
        <v>1983</v>
      </c>
      <c r="G4089">
        <f t="shared" si="127"/>
        <v>5</v>
      </c>
      <c r="H4089" t="str">
        <f>IF(ISNUMBER(FIND(",", E4089)), TRIM(MID(E4089, FIND(",", E4089) + 1, LEN(E4089))), E4089)</f>
        <v>Papua New Guinea</v>
      </c>
    </row>
    <row r="4090" spans="1:8" x14ac:dyDescent="0.25">
      <c r="A4090" s="2">
        <v>30445</v>
      </c>
      <c r="B4090">
        <v>19.968</v>
      </c>
      <c r="C4090">
        <v>-109.456</v>
      </c>
      <c r="D4090" t="s">
        <v>14</v>
      </c>
      <c r="E4090" t="s">
        <v>271</v>
      </c>
      <c r="F4090">
        <f t="shared" si="126"/>
        <v>1983</v>
      </c>
      <c r="G4090">
        <f t="shared" si="127"/>
        <v>5</v>
      </c>
      <c r="H4090" t="str">
        <f>IF(ISNUMBER(FIND(",", E4090)), TRIM(MID(E4090, FIND(",", E4090) + 1, LEN(E4090))), E4090)</f>
        <v>Revilla Gigedo Islands region</v>
      </c>
    </row>
    <row r="4091" spans="1:8" x14ac:dyDescent="0.25">
      <c r="A4091" s="2">
        <v>30445</v>
      </c>
      <c r="B4091">
        <v>8.2520000000000007</v>
      </c>
      <c r="C4091">
        <v>-82.933000000000007</v>
      </c>
      <c r="D4091" t="s">
        <v>14</v>
      </c>
      <c r="E4091" t="s">
        <v>379</v>
      </c>
      <c r="F4091">
        <f t="shared" si="126"/>
        <v>1983</v>
      </c>
      <c r="G4091">
        <f t="shared" si="127"/>
        <v>5</v>
      </c>
      <c r="H4091" t="str">
        <f>IF(ISNUMBER(FIND(",", E4091)), TRIM(MID(E4091, FIND(",", E4091) + 1, LEN(E4091))), E4091)</f>
        <v>Panama-Costa Rica border region</v>
      </c>
    </row>
    <row r="4092" spans="1:8" x14ac:dyDescent="0.25">
      <c r="A4092" s="2">
        <v>30445</v>
      </c>
      <c r="B4092">
        <v>-41.027000000000001</v>
      </c>
      <c r="C4092">
        <v>-75.028000000000006</v>
      </c>
      <c r="D4092" t="s">
        <v>14</v>
      </c>
      <c r="E4092" t="s">
        <v>522</v>
      </c>
      <c r="F4092">
        <f t="shared" si="126"/>
        <v>1983</v>
      </c>
      <c r="G4092">
        <f t="shared" si="127"/>
        <v>5</v>
      </c>
      <c r="H4092" t="str">
        <f>IF(ISNUMBER(FIND(",", E4092)), TRIM(MID(E4092, FIND(",", E4092) + 1, LEN(E4092))), E4092)</f>
        <v>Chile</v>
      </c>
    </row>
    <row r="4093" spans="1:8" x14ac:dyDescent="0.25">
      <c r="A4093" s="2">
        <v>30438</v>
      </c>
      <c r="B4093">
        <v>36.218000000000004</v>
      </c>
      <c r="C4093">
        <v>-120.304</v>
      </c>
      <c r="D4093" t="s">
        <v>14</v>
      </c>
      <c r="E4093" t="s">
        <v>464</v>
      </c>
      <c r="F4093">
        <f t="shared" si="126"/>
        <v>1983</v>
      </c>
      <c r="G4093">
        <f t="shared" si="127"/>
        <v>5</v>
      </c>
      <c r="H4093" t="str">
        <f>IF(ISNUMBER(FIND(",", E4093)), TRIM(MID(E4093, FIND(",", E4093) + 1, LEN(E4093))), E4093)</f>
        <v>Central California</v>
      </c>
    </row>
    <row r="4094" spans="1:8" x14ac:dyDescent="0.25">
      <c r="A4094" s="2">
        <v>30437</v>
      </c>
      <c r="B4094">
        <v>46.463999999999999</v>
      </c>
      <c r="C4094">
        <v>153.38999999999999</v>
      </c>
      <c r="D4094" t="s">
        <v>14</v>
      </c>
      <c r="E4094" t="s">
        <v>191</v>
      </c>
      <c r="F4094">
        <f t="shared" si="126"/>
        <v>1983</v>
      </c>
      <c r="G4094">
        <f t="shared" si="127"/>
        <v>5</v>
      </c>
      <c r="H4094" t="str">
        <f>IF(ISNUMBER(FIND(",", E4094)), TRIM(MID(E4094, FIND(",", E4094) + 1, LEN(E4094))), E4094)</f>
        <v>Kuril Islands</v>
      </c>
    </row>
    <row r="4095" spans="1:8" x14ac:dyDescent="0.25">
      <c r="A4095" s="2">
        <v>30436</v>
      </c>
      <c r="B4095">
        <v>41.558</v>
      </c>
      <c r="C4095">
        <v>143.78899999999999</v>
      </c>
      <c r="D4095" t="s">
        <v>14</v>
      </c>
      <c r="E4095" t="s">
        <v>265</v>
      </c>
      <c r="F4095">
        <f t="shared" si="126"/>
        <v>1983</v>
      </c>
      <c r="G4095">
        <f t="shared" si="127"/>
        <v>4</v>
      </c>
      <c r="H4095" t="str">
        <f>IF(ISNUMBER(FIND(",", E4095)), TRIM(MID(E4095, FIND(",", E4095) + 1, LEN(E4095))), E4095)</f>
        <v>Japan region</v>
      </c>
    </row>
    <row r="4096" spans="1:8" x14ac:dyDescent="0.25">
      <c r="A4096" s="2">
        <v>30430</v>
      </c>
      <c r="B4096">
        <v>-8.5530000000000008</v>
      </c>
      <c r="C4096">
        <v>157.673</v>
      </c>
      <c r="D4096" t="s">
        <v>14</v>
      </c>
      <c r="E4096" t="s">
        <v>221</v>
      </c>
      <c r="F4096">
        <f t="shared" si="126"/>
        <v>1983</v>
      </c>
      <c r="G4096">
        <f t="shared" si="127"/>
        <v>4</v>
      </c>
      <c r="H4096" t="str">
        <f>IF(ISNUMBER(FIND(",", E4096)), TRIM(MID(E4096, FIND(",", E4096) + 1, LEN(E4096))), E4096)</f>
        <v>Solomon Islands</v>
      </c>
    </row>
    <row r="4097" spans="1:8" x14ac:dyDescent="0.25">
      <c r="A4097" s="2">
        <v>30424</v>
      </c>
      <c r="B4097">
        <v>27.766999999999999</v>
      </c>
      <c r="C4097">
        <v>62.054000000000002</v>
      </c>
      <c r="D4097" t="s">
        <v>14</v>
      </c>
      <c r="E4097" t="s">
        <v>608</v>
      </c>
      <c r="F4097">
        <f t="shared" si="126"/>
        <v>1983</v>
      </c>
      <c r="G4097">
        <f t="shared" si="127"/>
        <v>4</v>
      </c>
      <c r="H4097" t="str">
        <f>IF(ISNUMBER(FIND(",", E4097)), TRIM(MID(E4097, FIND(",", E4097) + 1, LEN(E4097))), E4097)</f>
        <v>Iran-Pakistan border region</v>
      </c>
    </row>
    <row r="4098" spans="1:8" x14ac:dyDescent="0.25">
      <c r="A4098" s="2">
        <v>30423</v>
      </c>
      <c r="B4098">
        <v>-20.733000000000001</v>
      </c>
      <c r="C4098">
        <v>169.268</v>
      </c>
      <c r="D4098" t="s">
        <v>14</v>
      </c>
      <c r="E4098" t="s">
        <v>181</v>
      </c>
      <c r="F4098">
        <f t="shared" ref="F4098:F4161" si="128">YEAR(A4098)</f>
        <v>1983</v>
      </c>
      <c r="G4098">
        <f t="shared" si="127"/>
        <v>4</v>
      </c>
      <c r="H4098" t="str">
        <f>IF(ISNUMBER(FIND(",", E4098)), TRIM(MID(E4098, FIND(",", E4098) + 1, LEN(E4098))), E4098)</f>
        <v>Vanuatu</v>
      </c>
    </row>
    <row r="4099" spans="1:8" x14ac:dyDescent="0.25">
      <c r="A4099" s="2">
        <v>30418</v>
      </c>
      <c r="B4099">
        <v>-4.8470000000000004</v>
      </c>
      <c r="C4099">
        <v>-78.090999999999994</v>
      </c>
      <c r="D4099" t="s">
        <v>14</v>
      </c>
      <c r="E4099" t="s">
        <v>414</v>
      </c>
      <c r="F4099">
        <f t="shared" si="128"/>
        <v>1983</v>
      </c>
      <c r="G4099">
        <f t="shared" ref="G4099:G4162" si="129">MONTH(A4099)</f>
        <v>4</v>
      </c>
      <c r="H4099" t="str">
        <f>IF(ISNUMBER(FIND(",", E4099)), TRIM(MID(E4099, FIND(",", E4099) + 1, LEN(E4099))), E4099)</f>
        <v>Peru-Ecuador border region</v>
      </c>
    </row>
    <row r="4100" spans="1:8" x14ac:dyDescent="0.25">
      <c r="A4100" s="2">
        <v>30417</v>
      </c>
      <c r="B4100">
        <v>10.387</v>
      </c>
      <c r="C4100">
        <v>-62.728999999999999</v>
      </c>
      <c r="D4100" t="s">
        <v>14</v>
      </c>
      <c r="E4100" t="s">
        <v>609</v>
      </c>
      <c r="F4100">
        <f t="shared" si="128"/>
        <v>1983</v>
      </c>
      <c r="G4100">
        <f t="shared" si="129"/>
        <v>4</v>
      </c>
      <c r="H4100" t="str">
        <f>IF(ISNUMBER(FIND(",", E4100)), TRIM(MID(E4100, FIND(",", E4100) + 1, LEN(E4100))), E4100)</f>
        <v>Venezuela</v>
      </c>
    </row>
    <row r="4101" spans="1:8" x14ac:dyDescent="0.25">
      <c r="A4101" s="2">
        <v>30414</v>
      </c>
      <c r="B4101">
        <v>11.423</v>
      </c>
      <c r="C4101">
        <v>57.52</v>
      </c>
      <c r="D4101" t="s">
        <v>14</v>
      </c>
      <c r="E4101" t="s">
        <v>544</v>
      </c>
      <c r="F4101">
        <f t="shared" si="128"/>
        <v>1983</v>
      </c>
      <c r="G4101">
        <f t="shared" si="129"/>
        <v>4</v>
      </c>
      <c r="H4101" t="str">
        <f>IF(ISNUMBER(FIND(",", E4101)), TRIM(MID(E4101, FIND(",", E4101) + 1, LEN(E4101))), E4101)</f>
        <v>Owen Fracture Zone region</v>
      </c>
    </row>
    <row r="4102" spans="1:8" x14ac:dyDescent="0.25">
      <c r="A4102" s="2">
        <v>30410</v>
      </c>
      <c r="B4102">
        <v>-14.999000000000001</v>
      </c>
      <c r="C4102">
        <v>167.364</v>
      </c>
      <c r="D4102" t="s">
        <v>14</v>
      </c>
      <c r="E4102" t="s">
        <v>181</v>
      </c>
      <c r="F4102">
        <f t="shared" si="128"/>
        <v>1983</v>
      </c>
      <c r="G4102">
        <f t="shared" si="129"/>
        <v>4</v>
      </c>
      <c r="H4102" t="str">
        <f>IF(ISNUMBER(FIND(",", E4102)), TRIM(MID(E4102, FIND(",", E4102) + 1, LEN(E4102))), E4102)</f>
        <v>Vanuatu</v>
      </c>
    </row>
    <row r="4103" spans="1:8" x14ac:dyDescent="0.25">
      <c r="A4103" s="2">
        <v>30410</v>
      </c>
      <c r="B4103">
        <v>49.457999999999998</v>
      </c>
      <c r="C4103">
        <v>155.50800000000001</v>
      </c>
      <c r="D4103" t="s">
        <v>14</v>
      </c>
      <c r="E4103" t="s">
        <v>191</v>
      </c>
      <c r="F4103">
        <f t="shared" si="128"/>
        <v>1983</v>
      </c>
      <c r="G4103">
        <f t="shared" si="129"/>
        <v>4</v>
      </c>
      <c r="H4103" t="str">
        <f>IF(ISNUMBER(FIND(",", E4103)), TRIM(MID(E4103, FIND(",", E4103) + 1, LEN(E4103))), E4103)</f>
        <v>Kuril Islands</v>
      </c>
    </row>
    <row r="4104" spans="1:8" x14ac:dyDescent="0.25">
      <c r="A4104" s="2">
        <v>30410</v>
      </c>
      <c r="B4104">
        <v>5.72</v>
      </c>
      <c r="C4104">
        <v>94.688999999999993</v>
      </c>
      <c r="D4104" t="s">
        <v>14</v>
      </c>
      <c r="E4104" t="s">
        <v>226</v>
      </c>
      <c r="F4104">
        <f t="shared" si="128"/>
        <v>1983</v>
      </c>
      <c r="G4104">
        <f t="shared" si="129"/>
        <v>4</v>
      </c>
      <c r="H4104" t="str">
        <f>IF(ISNUMBER(FIND(",", E4104)), TRIM(MID(E4104, FIND(",", E4104) + 1, LEN(E4104))), E4104)</f>
        <v>Indonesia</v>
      </c>
    </row>
    <row r="4105" spans="1:8" x14ac:dyDescent="0.25">
      <c r="A4105" s="2">
        <v>30409</v>
      </c>
      <c r="B4105">
        <v>8.7159999999999993</v>
      </c>
      <c r="C4105">
        <v>-83.129000000000005</v>
      </c>
      <c r="D4105" t="s">
        <v>14</v>
      </c>
      <c r="E4105" t="s">
        <v>202</v>
      </c>
      <c r="F4105">
        <f t="shared" si="128"/>
        <v>1983</v>
      </c>
      <c r="G4105">
        <f t="shared" si="129"/>
        <v>4</v>
      </c>
      <c r="H4105" t="str">
        <f>IF(ISNUMBER(FIND(",", E4105)), TRIM(MID(E4105, FIND(",", E4105) + 1, LEN(E4105))), E4105)</f>
        <v>Costa Rica</v>
      </c>
    </row>
    <row r="4106" spans="1:8" x14ac:dyDescent="0.25">
      <c r="A4106" s="2">
        <v>30398</v>
      </c>
      <c r="B4106">
        <v>38.222999999999999</v>
      </c>
      <c r="C4106">
        <v>20.361000000000001</v>
      </c>
      <c r="D4106" t="s">
        <v>14</v>
      </c>
      <c r="E4106" t="s">
        <v>478</v>
      </c>
      <c r="F4106">
        <f t="shared" si="128"/>
        <v>1983</v>
      </c>
      <c r="G4106">
        <f t="shared" si="129"/>
        <v>3</v>
      </c>
      <c r="H4106" t="str">
        <f>IF(ISNUMBER(FIND(",", E4106)), TRIM(MID(E4106, FIND(",", E4106) + 1, LEN(E4106))), E4106)</f>
        <v>Greece</v>
      </c>
    </row>
    <row r="4107" spans="1:8" x14ac:dyDescent="0.25">
      <c r="A4107" s="2">
        <v>30398</v>
      </c>
      <c r="B4107">
        <v>-6.4379999999999997</v>
      </c>
      <c r="C4107">
        <v>154.666</v>
      </c>
      <c r="D4107" t="s">
        <v>14</v>
      </c>
      <c r="E4107" t="s">
        <v>290</v>
      </c>
      <c r="F4107">
        <f t="shared" si="128"/>
        <v>1983</v>
      </c>
      <c r="G4107">
        <f t="shared" si="129"/>
        <v>3</v>
      </c>
      <c r="H4107" t="str">
        <f>IF(ISNUMBER(FIND(",", E4107)), TRIM(MID(E4107, FIND(",", E4107) + 1, LEN(E4107))), E4107)</f>
        <v>Papua New Guinea</v>
      </c>
    </row>
    <row r="4108" spans="1:8" x14ac:dyDescent="0.25">
      <c r="A4108" s="2">
        <v>30396</v>
      </c>
      <c r="B4108">
        <v>-21.527000000000001</v>
      </c>
      <c r="C4108">
        <v>-175.27799999999999</v>
      </c>
      <c r="D4108" t="s">
        <v>14</v>
      </c>
      <c r="E4108" t="s">
        <v>239</v>
      </c>
      <c r="F4108">
        <f t="shared" si="128"/>
        <v>1983</v>
      </c>
      <c r="G4108">
        <f t="shared" si="129"/>
        <v>3</v>
      </c>
      <c r="H4108" t="str">
        <f>IF(ISNUMBER(FIND(",", E4108)), TRIM(MID(E4108, FIND(",", E4108) + 1, LEN(E4108))), E4108)</f>
        <v>Tonga</v>
      </c>
    </row>
    <row r="4109" spans="1:8" x14ac:dyDescent="0.25">
      <c r="A4109" s="2">
        <v>30395</v>
      </c>
      <c r="B4109">
        <v>-4.6660000000000004</v>
      </c>
      <c r="C4109">
        <v>153.19300000000001</v>
      </c>
      <c r="D4109" t="s">
        <v>14</v>
      </c>
      <c r="E4109" t="s">
        <v>183</v>
      </c>
      <c r="F4109">
        <f t="shared" si="128"/>
        <v>1983</v>
      </c>
      <c r="G4109">
        <f t="shared" si="129"/>
        <v>3</v>
      </c>
      <c r="H4109" t="str">
        <f>IF(ISNUMBER(FIND(",", E4109)), TRIM(MID(E4109, FIND(",", E4109) + 1, LEN(E4109))), E4109)</f>
        <v>Papua New Guinea</v>
      </c>
    </row>
    <row r="4110" spans="1:8" x14ac:dyDescent="0.25">
      <c r="A4110" s="2">
        <v>30393</v>
      </c>
      <c r="B4110">
        <v>-4.8860000000000001</v>
      </c>
      <c r="C4110">
        <v>153.58600000000001</v>
      </c>
      <c r="D4110" t="s">
        <v>14</v>
      </c>
      <c r="E4110" t="s">
        <v>183</v>
      </c>
      <c r="F4110">
        <f t="shared" si="128"/>
        <v>1983</v>
      </c>
      <c r="G4110">
        <f t="shared" si="129"/>
        <v>3</v>
      </c>
      <c r="H4110" t="str">
        <f>IF(ISNUMBER(FIND(",", E4110)), TRIM(MID(E4110, FIND(",", E4110) + 1, LEN(E4110))), E4110)</f>
        <v>Papua New Guinea</v>
      </c>
    </row>
    <row r="4111" spans="1:8" x14ac:dyDescent="0.25">
      <c r="A4111" s="2">
        <v>30390</v>
      </c>
      <c r="B4111">
        <v>5.359</v>
      </c>
      <c r="C4111">
        <v>126.48099999999999</v>
      </c>
      <c r="D4111" t="s">
        <v>14</v>
      </c>
      <c r="E4111" t="s">
        <v>200</v>
      </c>
      <c r="F4111">
        <f t="shared" si="128"/>
        <v>1983</v>
      </c>
      <c r="G4111">
        <f t="shared" si="129"/>
        <v>3</v>
      </c>
      <c r="H4111" t="str">
        <f>IF(ISNUMBER(FIND(",", E4111)), TRIM(MID(E4111, FIND(",", E4111) + 1, LEN(E4111))), E4111)</f>
        <v>Philippines</v>
      </c>
    </row>
    <row r="4112" spans="1:8" x14ac:dyDescent="0.25">
      <c r="A4112" s="2">
        <v>30387</v>
      </c>
      <c r="B4112">
        <v>-18.120999999999999</v>
      </c>
      <c r="C4112">
        <v>168.15600000000001</v>
      </c>
      <c r="D4112" t="s">
        <v>14</v>
      </c>
      <c r="E4112" t="s">
        <v>181</v>
      </c>
      <c r="F4112">
        <f t="shared" si="128"/>
        <v>1983</v>
      </c>
      <c r="G4112">
        <f t="shared" si="129"/>
        <v>3</v>
      </c>
      <c r="H4112" t="str">
        <f>IF(ISNUMBER(FIND(",", E4112)), TRIM(MID(E4112, FIND(",", E4112) + 1, LEN(E4112))), E4112)</f>
        <v>Vanuatu</v>
      </c>
    </row>
    <row r="4113" spans="1:8" x14ac:dyDescent="0.25">
      <c r="A4113" s="2">
        <v>30387</v>
      </c>
      <c r="B4113">
        <v>-4.085</v>
      </c>
      <c r="C4113">
        <v>127.85899999999999</v>
      </c>
      <c r="D4113" t="s">
        <v>14</v>
      </c>
      <c r="E4113" t="s">
        <v>187</v>
      </c>
      <c r="F4113">
        <f t="shared" si="128"/>
        <v>1983</v>
      </c>
      <c r="G4113">
        <f t="shared" si="129"/>
        <v>3</v>
      </c>
      <c r="H4113" t="str">
        <f>IF(ISNUMBER(FIND(",", E4113)), TRIM(MID(E4113, FIND(",", E4113) + 1, LEN(E4113))), E4113)</f>
        <v>Banda Sea</v>
      </c>
    </row>
    <row r="4114" spans="1:8" x14ac:dyDescent="0.25">
      <c r="A4114" s="2">
        <v>30387</v>
      </c>
      <c r="B4114">
        <v>-4.0609999999999999</v>
      </c>
      <c r="C4114">
        <v>127.88</v>
      </c>
      <c r="D4114" t="s">
        <v>14</v>
      </c>
      <c r="E4114" t="s">
        <v>187</v>
      </c>
      <c r="F4114">
        <f t="shared" si="128"/>
        <v>1983</v>
      </c>
      <c r="G4114">
        <f t="shared" si="129"/>
        <v>3</v>
      </c>
      <c r="H4114" t="str">
        <f>IF(ISNUMBER(FIND(",", E4114)), TRIM(MID(E4114, FIND(",", E4114) + 1, LEN(E4114))), E4114)</f>
        <v>Banda Sea</v>
      </c>
    </row>
    <row r="4115" spans="1:8" x14ac:dyDescent="0.25">
      <c r="A4115" s="2">
        <v>30375</v>
      </c>
      <c r="B4115">
        <v>44.146000000000001</v>
      </c>
      <c r="C4115">
        <v>148.005</v>
      </c>
      <c r="D4115" t="s">
        <v>14</v>
      </c>
      <c r="E4115" t="s">
        <v>191</v>
      </c>
      <c r="F4115">
        <f t="shared" si="128"/>
        <v>1983</v>
      </c>
      <c r="G4115">
        <f t="shared" si="129"/>
        <v>2</v>
      </c>
      <c r="H4115" t="str">
        <f>IF(ISNUMBER(FIND(",", E4115)), TRIM(MID(E4115, FIND(",", E4115) + 1, LEN(E4115))), E4115)</f>
        <v>Kuril Islands</v>
      </c>
    </row>
    <row r="4116" spans="1:8" x14ac:dyDescent="0.25">
      <c r="A4116" s="2">
        <v>30373</v>
      </c>
      <c r="B4116">
        <v>49.283999999999999</v>
      </c>
      <c r="C4116">
        <v>155.5</v>
      </c>
      <c r="D4116" t="s">
        <v>14</v>
      </c>
      <c r="E4116" t="s">
        <v>191</v>
      </c>
      <c r="F4116">
        <f t="shared" si="128"/>
        <v>1983</v>
      </c>
      <c r="G4116">
        <f t="shared" si="129"/>
        <v>2</v>
      </c>
      <c r="H4116" t="str">
        <f>IF(ISNUMBER(FIND(",", E4116)), TRIM(MID(E4116, FIND(",", E4116) + 1, LEN(E4116))), E4116)</f>
        <v>Kuril Islands</v>
      </c>
    </row>
    <row r="4117" spans="1:8" x14ac:dyDescent="0.25">
      <c r="A4117" s="2">
        <v>30372</v>
      </c>
      <c r="B4117">
        <v>-18.613</v>
      </c>
      <c r="C4117">
        <v>-69.358000000000004</v>
      </c>
      <c r="D4117" t="s">
        <v>14</v>
      </c>
      <c r="E4117" t="s">
        <v>237</v>
      </c>
      <c r="F4117">
        <f t="shared" si="128"/>
        <v>1983</v>
      </c>
      <c r="G4117">
        <f t="shared" si="129"/>
        <v>2</v>
      </c>
      <c r="H4117" t="str">
        <f>IF(ISNUMBER(FIND(",", E4117)), TRIM(MID(E4117, FIND(",", E4117) + 1, LEN(E4117))), E4117)</f>
        <v>Chile</v>
      </c>
    </row>
    <row r="4118" spans="1:8" x14ac:dyDescent="0.25">
      <c r="A4118" s="2">
        <v>30367</v>
      </c>
      <c r="B4118">
        <v>5.6109999999999998</v>
      </c>
      <c r="C4118">
        <v>126.232</v>
      </c>
      <c r="D4118" t="s">
        <v>14</v>
      </c>
      <c r="E4118" t="s">
        <v>200</v>
      </c>
      <c r="F4118">
        <f t="shared" si="128"/>
        <v>1983</v>
      </c>
      <c r="G4118">
        <f t="shared" si="129"/>
        <v>2</v>
      </c>
      <c r="H4118" t="str">
        <f>IF(ISNUMBER(FIND(",", E4118)), TRIM(MID(E4118, FIND(",", E4118) + 1, LEN(E4118))), E4118)</f>
        <v>Philippines</v>
      </c>
    </row>
    <row r="4119" spans="1:8" x14ac:dyDescent="0.25">
      <c r="A4119" s="2">
        <v>30361</v>
      </c>
      <c r="B4119">
        <v>54.869</v>
      </c>
      <c r="C4119">
        <v>-159.26599999999999</v>
      </c>
      <c r="D4119" t="s">
        <v>14</v>
      </c>
      <c r="E4119" t="s">
        <v>493</v>
      </c>
      <c r="F4119">
        <f t="shared" si="128"/>
        <v>1983</v>
      </c>
      <c r="G4119">
        <f t="shared" si="129"/>
        <v>2</v>
      </c>
      <c r="H4119" t="str">
        <f>IF(ISNUMBER(FIND(",", E4119)), TRIM(MID(E4119, FIND(",", E4119) + 1, LEN(E4119))), E4119)</f>
        <v>south of Alaska</v>
      </c>
    </row>
    <row r="4120" spans="1:8" x14ac:dyDescent="0.25">
      <c r="A4120" s="2">
        <v>30360</v>
      </c>
      <c r="B4120">
        <v>13.868</v>
      </c>
      <c r="C4120">
        <v>144.97499999999999</v>
      </c>
      <c r="D4120" t="s">
        <v>14</v>
      </c>
      <c r="E4120" t="s">
        <v>403</v>
      </c>
      <c r="F4120">
        <f t="shared" si="128"/>
        <v>1983</v>
      </c>
      <c r="G4120">
        <f t="shared" si="129"/>
        <v>2</v>
      </c>
      <c r="H4120" t="str">
        <f>IF(ISNUMBER(FIND(",", E4120)), TRIM(MID(E4120, FIND(",", E4120) + 1, LEN(E4120))), E4120)</f>
        <v>Guam region</v>
      </c>
    </row>
    <row r="4121" spans="1:8" x14ac:dyDescent="0.25">
      <c r="A4121" s="2">
        <v>30360</v>
      </c>
      <c r="B4121">
        <v>40.014000000000003</v>
      </c>
      <c r="C4121">
        <v>75.230999999999995</v>
      </c>
      <c r="D4121" t="s">
        <v>14</v>
      </c>
      <c r="E4121" t="s">
        <v>454</v>
      </c>
      <c r="F4121">
        <f t="shared" si="128"/>
        <v>1983</v>
      </c>
      <c r="G4121">
        <f t="shared" si="129"/>
        <v>2</v>
      </c>
      <c r="H4121" t="str">
        <f>IF(ISNUMBER(FIND(",", E4121)), TRIM(MID(E4121, FIND(",", E4121) + 1, LEN(E4121))), E4121)</f>
        <v>Kyrgyzstan-Xinjiang border region</v>
      </c>
    </row>
    <row r="4122" spans="1:8" x14ac:dyDescent="0.25">
      <c r="A4122" s="2">
        <v>30359</v>
      </c>
      <c r="B4122">
        <v>5.6909999999999998</v>
      </c>
      <c r="C4122">
        <v>126.301</v>
      </c>
      <c r="D4122" t="s">
        <v>14</v>
      </c>
      <c r="E4122" t="s">
        <v>200</v>
      </c>
      <c r="F4122">
        <f t="shared" si="128"/>
        <v>1983</v>
      </c>
      <c r="G4122">
        <f t="shared" si="129"/>
        <v>2</v>
      </c>
      <c r="H4122" t="str">
        <f>IF(ISNUMBER(FIND(",", E4122)), TRIM(MID(E4122, FIND(",", E4122) + 1, LEN(E4122))), E4122)</f>
        <v>Philippines</v>
      </c>
    </row>
    <row r="4123" spans="1:8" x14ac:dyDescent="0.25">
      <c r="A4123" s="2">
        <v>30354</v>
      </c>
      <c r="B4123">
        <v>-29.638999999999999</v>
      </c>
      <c r="C4123">
        <v>-177.721</v>
      </c>
      <c r="D4123" t="s">
        <v>14</v>
      </c>
      <c r="E4123" t="s">
        <v>288</v>
      </c>
      <c r="F4123">
        <f t="shared" si="128"/>
        <v>1983</v>
      </c>
      <c r="G4123">
        <f t="shared" si="129"/>
        <v>2</v>
      </c>
      <c r="H4123" t="str">
        <f>IF(ISNUMBER(FIND(",", E4123)), TRIM(MID(E4123, FIND(",", E4123) + 1, LEN(E4123))), E4123)</f>
        <v>New Zealand</v>
      </c>
    </row>
    <row r="4124" spans="1:8" x14ac:dyDescent="0.25">
      <c r="A4124" s="2">
        <v>30342</v>
      </c>
      <c r="B4124">
        <v>-6.1319999999999997</v>
      </c>
      <c r="C4124">
        <v>149.96299999999999</v>
      </c>
      <c r="D4124" t="s">
        <v>14</v>
      </c>
      <c r="E4124" t="s">
        <v>190</v>
      </c>
      <c r="F4124">
        <f t="shared" si="128"/>
        <v>1983</v>
      </c>
      <c r="G4124">
        <f t="shared" si="129"/>
        <v>1</v>
      </c>
      <c r="H4124" t="str">
        <f>IF(ISNUMBER(FIND(",", E4124)), TRIM(MID(E4124, FIND(",", E4124) + 1, LEN(E4124))), E4124)</f>
        <v>Papua New Guinea</v>
      </c>
    </row>
    <row r="4125" spans="1:8" x14ac:dyDescent="0.25">
      <c r="A4125" s="2">
        <v>30342</v>
      </c>
      <c r="B4125">
        <v>-30.45</v>
      </c>
      <c r="C4125">
        <v>-179.214</v>
      </c>
      <c r="D4125" t="s">
        <v>14</v>
      </c>
      <c r="E4125" t="s">
        <v>240</v>
      </c>
      <c r="F4125">
        <f t="shared" si="128"/>
        <v>1983</v>
      </c>
      <c r="G4125">
        <f t="shared" si="129"/>
        <v>1</v>
      </c>
      <c r="H4125" t="str">
        <f>IF(ISNUMBER(FIND(",", E4125)), TRIM(MID(E4125, FIND(",", E4125) + 1, LEN(E4125))), E4125)</f>
        <v>Kermadec Islands region</v>
      </c>
    </row>
    <row r="4126" spans="1:8" x14ac:dyDescent="0.25">
      <c r="A4126" s="2">
        <v>30342</v>
      </c>
      <c r="B4126">
        <v>-50.08</v>
      </c>
      <c r="C4126">
        <v>-113.84699999999999</v>
      </c>
      <c r="D4126" t="s">
        <v>14</v>
      </c>
      <c r="E4126" t="s">
        <v>268</v>
      </c>
      <c r="F4126">
        <f t="shared" si="128"/>
        <v>1983</v>
      </c>
      <c r="G4126">
        <f t="shared" si="129"/>
        <v>1</v>
      </c>
      <c r="H4126" t="str">
        <f>IF(ISNUMBER(FIND(",", E4126)), TRIM(MID(E4126, FIND(",", E4126) + 1, LEN(E4126))), E4126)</f>
        <v>southern East Pacific Rise</v>
      </c>
    </row>
    <row r="4127" spans="1:8" x14ac:dyDescent="0.25">
      <c r="A4127" s="2">
        <v>30342</v>
      </c>
      <c r="B4127">
        <v>-49.726999999999997</v>
      </c>
      <c r="C4127">
        <v>-114.28700000000001</v>
      </c>
      <c r="D4127" t="s">
        <v>14</v>
      </c>
      <c r="E4127" t="s">
        <v>268</v>
      </c>
      <c r="F4127">
        <f t="shared" si="128"/>
        <v>1983</v>
      </c>
      <c r="G4127">
        <f t="shared" si="129"/>
        <v>1</v>
      </c>
      <c r="H4127" t="str">
        <f>IF(ISNUMBER(FIND(",", E4127)), TRIM(MID(E4127, FIND(",", E4127) + 1, LEN(E4127))), E4127)</f>
        <v>southern East Pacific Rise</v>
      </c>
    </row>
    <row r="4128" spans="1:8" x14ac:dyDescent="0.25">
      <c r="A4128" s="2">
        <v>30340</v>
      </c>
      <c r="B4128">
        <v>12.89</v>
      </c>
      <c r="C4128">
        <v>93.573999999999998</v>
      </c>
      <c r="D4128" t="s">
        <v>14</v>
      </c>
      <c r="E4128" t="s">
        <v>323</v>
      </c>
      <c r="F4128">
        <f t="shared" si="128"/>
        <v>1983</v>
      </c>
      <c r="G4128">
        <f t="shared" si="129"/>
        <v>1</v>
      </c>
      <c r="H4128" t="str">
        <f>IF(ISNUMBER(FIND(",", E4128)), TRIM(MID(E4128, FIND(",", E4128) + 1, LEN(E4128))), E4128)</f>
        <v>India region</v>
      </c>
    </row>
    <row r="4129" spans="1:8" x14ac:dyDescent="0.25">
      <c r="A4129" s="2">
        <v>30340</v>
      </c>
      <c r="B4129">
        <v>16.132000000000001</v>
      </c>
      <c r="C4129">
        <v>-95.236000000000004</v>
      </c>
      <c r="D4129" t="s">
        <v>14</v>
      </c>
      <c r="E4129" t="s">
        <v>535</v>
      </c>
      <c r="F4129">
        <f t="shared" si="128"/>
        <v>1983</v>
      </c>
      <c r="G4129">
        <f t="shared" si="129"/>
        <v>1</v>
      </c>
      <c r="H4129" t="str">
        <f>IF(ISNUMBER(FIND(",", E4129)), TRIM(MID(E4129, FIND(",", E4129) + 1, LEN(E4129))), E4129)</f>
        <v>Mexico</v>
      </c>
    </row>
    <row r="4130" spans="1:8" x14ac:dyDescent="0.25">
      <c r="A4130" s="2">
        <v>30338</v>
      </c>
      <c r="B4130">
        <v>-6.6970000000000001</v>
      </c>
      <c r="C4130">
        <v>102.83199999999999</v>
      </c>
      <c r="D4130" t="s">
        <v>14</v>
      </c>
      <c r="E4130" t="s">
        <v>450</v>
      </c>
      <c r="F4130">
        <f t="shared" si="128"/>
        <v>1983</v>
      </c>
      <c r="G4130">
        <f t="shared" si="129"/>
        <v>1</v>
      </c>
      <c r="H4130" t="str">
        <f>IF(ISNUMBER(FIND(",", E4130)), TRIM(MID(E4130, FIND(",", E4130) + 1, LEN(E4130))), E4130)</f>
        <v>Indonesia</v>
      </c>
    </row>
    <row r="4131" spans="1:8" x14ac:dyDescent="0.25">
      <c r="A4131" s="2">
        <v>30334</v>
      </c>
      <c r="B4131">
        <v>-58.064</v>
      </c>
      <c r="C4131">
        <v>-24.337</v>
      </c>
      <c r="D4131" t="s">
        <v>14</v>
      </c>
      <c r="E4131" t="s">
        <v>260</v>
      </c>
      <c r="F4131">
        <f t="shared" si="128"/>
        <v>1983</v>
      </c>
      <c r="G4131">
        <f t="shared" si="129"/>
        <v>1</v>
      </c>
      <c r="H4131" t="str">
        <f>IF(ISNUMBER(FIND(",", E4131)), TRIM(MID(E4131, FIND(",", E4131) + 1, LEN(E4131))), E4131)</f>
        <v>South Sandwich Islands region</v>
      </c>
    </row>
    <row r="4132" spans="1:8" x14ac:dyDescent="0.25">
      <c r="A4132" s="2">
        <v>30333</v>
      </c>
      <c r="B4132">
        <v>38.015000000000001</v>
      </c>
      <c r="C4132">
        <v>20.324000000000002</v>
      </c>
      <c r="D4132" t="s">
        <v>14</v>
      </c>
      <c r="E4132" t="s">
        <v>478</v>
      </c>
      <c r="F4132">
        <f t="shared" si="128"/>
        <v>1983</v>
      </c>
      <c r="G4132">
        <f t="shared" si="129"/>
        <v>1</v>
      </c>
      <c r="H4132" t="str">
        <f>IF(ISNUMBER(FIND(",", E4132)), TRIM(MID(E4132, FIND(",", E4132) + 1, LEN(E4132))), E4132)</f>
        <v>Greece</v>
      </c>
    </row>
    <row r="4133" spans="1:8" x14ac:dyDescent="0.25">
      <c r="A4133" s="2">
        <v>30332</v>
      </c>
      <c r="B4133">
        <v>-5.4829999999999997</v>
      </c>
      <c r="C4133">
        <v>147.07900000000001</v>
      </c>
      <c r="D4133" t="s">
        <v>14</v>
      </c>
      <c r="E4133" t="s">
        <v>243</v>
      </c>
      <c r="F4133">
        <f t="shared" si="128"/>
        <v>1983</v>
      </c>
      <c r="G4133">
        <f t="shared" si="129"/>
        <v>1</v>
      </c>
      <c r="H4133" t="str">
        <f>IF(ISNUMBER(FIND(",", E4133)), TRIM(MID(E4133, FIND(",", E4133) + 1, LEN(E4133))), E4133)</f>
        <v>Papua New Guinea</v>
      </c>
    </row>
    <row r="4134" spans="1:8" x14ac:dyDescent="0.25">
      <c r="A4134" s="2">
        <v>30329</v>
      </c>
      <c r="B4134">
        <v>-35.811</v>
      </c>
      <c r="C4134">
        <v>-102.73</v>
      </c>
      <c r="D4134" t="s">
        <v>14</v>
      </c>
      <c r="E4134" t="s">
        <v>364</v>
      </c>
      <c r="F4134">
        <f t="shared" si="128"/>
        <v>1983</v>
      </c>
      <c r="G4134">
        <f t="shared" si="129"/>
        <v>1</v>
      </c>
      <c r="H4134" t="str">
        <f>IF(ISNUMBER(FIND(",", E4134)), TRIM(MID(E4134, FIND(",", E4134) + 1, LEN(E4134))), E4134)</f>
        <v>southeast of Easter Island</v>
      </c>
    </row>
    <row r="4135" spans="1:8" x14ac:dyDescent="0.25">
      <c r="A4135" s="2">
        <v>30324</v>
      </c>
      <c r="B4135">
        <v>-3.125</v>
      </c>
      <c r="C4135">
        <v>148.27500000000001</v>
      </c>
      <c r="D4135" t="s">
        <v>14</v>
      </c>
      <c r="E4135" t="s">
        <v>380</v>
      </c>
      <c r="F4135">
        <f t="shared" si="128"/>
        <v>1983</v>
      </c>
      <c r="G4135">
        <f t="shared" si="129"/>
        <v>1</v>
      </c>
      <c r="H4135" t="str">
        <f>IF(ISNUMBER(FIND(",", E4135)), TRIM(MID(E4135, FIND(",", E4135) + 1, LEN(E4135))), E4135)</f>
        <v>Bismarck Sea</v>
      </c>
    </row>
    <row r="4136" spans="1:8" x14ac:dyDescent="0.25">
      <c r="A4136" s="2">
        <v>30324</v>
      </c>
      <c r="B4136">
        <v>-15.406000000000001</v>
      </c>
      <c r="C4136">
        <v>-173.22399999999999</v>
      </c>
      <c r="D4136" t="s">
        <v>14</v>
      </c>
      <c r="E4136" t="s">
        <v>239</v>
      </c>
      <c r="F4136">
        <f t="shared" si="128"/>
        <v>1983</v>
      </c>
      <c r="G4136">
        <f t="shared" si="129"/>
        <v>1</v>
      </c>
      <c r="H4136" t="str">
        <f>IF(ISNUMBER(FIND(",", E4136)), TRIM(MID(E4136, FIND(",", E4136) + 1, LEN(E4136))), E4136)</f>
        <v>Tonga</v>
      </c>
    </row>
    <row r="4137" spans="1:8" x14ac:dyDescent="0.25">
      <c r="A4137" s="2">
        <v>30317</v>
      </c>
      <c r="B4137">
        <v>-17.221</v>
      </c>
      <c r="C4137">
        <v>-69.183000000000007</v>
      </c>
      <c r="D4137" t="s">
        <v>14</v>
      </c>
      <c r="E4137" t="s">
        <v>531</v>
      </c>
      <c r="F4137">
        <f t="shared" si="128"/>
        <v>1983</v>
      </c>
      <c r="G4137">
        <f t="shared" si="129"/>
        <v>1</v>
      </c>
      <c r="H4137" t="str">
        <f>IF(ISNUMBER(FIND(",", E4137)), TRIM(MID(E4137, FIND(",", E4137) + 1, LEN(E4137))), E4137)</f>
        <v>Bolivia</v>
      </c>
    </row>
    <row r="4138" spans="1:8" x14ac:dyDescent="0.25">
      <c r="A4138" s="2">
        <v>30313</v>
      </c>
      <c r="B4138">
        <v>19.948</v>
      </c>
      <c r="C4138">
        <v>121.379</v>
      </c>
      <c r="D4138" t="s">
        <v>14</v>
      </c>
      <c r="E4138" t="s">
        <v>405</v>
      </c>
      <c r="F4138">
        <f t="shared" si="128"/>
        <v>1982</v>
      </c>
      <c r="G4138">
        <f t="shared" si="129"/>
        <v>12</v>
      </c>
      <c r="H4138" t="str">
        <f>IF(ISNUMBER(FIND(",", E4138)), TRIM(MID(E4138, FIND(",", E4138) + 1, LEN(E4138))), E4138)</f>
        <v>Philippines</v>
      </c>
    </row>
    <row r="4139" spans="1:8" x14ac:dyDescent="0.25">
      <c r="A4139" s="2">
        <v>30313</v>
      </c>
      <c r="B4139">
        <v>33.880000000000003</v>
      </c>
      <c r="C4139">
        <v>139.446</v>
      </c>
      <c r="D4139" t="s">
        <v>14</v>
      </c>
      <c r="E4139" t="s">
        <v>88</v>
      </c>
      <c r="F4139">
        <f t="shared" si="128"/>
        <v>1982</v>
      </c>
      <c r="G4139">
        <f t="shared" si="129"/>
        <v>12</v>
      </c>
      <c r="H4139" t="str">
        <f>IF(ISNUMBER(FIND(",", E4139)), TRIM(MID(E4139, FIND(",", E4139) + 1, LEN(E4139))), E4139)</f>
        <v>Japan region</v>
      </c>
    </row>
    <row r="4140" spans="1:8" x14ac:dyDescent="0.25">
      <c r="A4140" s="2">
        <v>30305</v>
      </c>
      <c r="B4140">
        <v>-23.573</v>
      </c>
      <c r="C4140">
        <v>-175.83699999999999</v>
      </c>
      <c r="D4140" t="s">
        <v>14</v>
      </c>
      <c r="E4140" t="s">
        <v>304</v>
      </c>
      <c r="F4140">
        <f t="shared" si="128"/>
        <v>1982</v>
      </c>
      <c r="G4140">
        <f t="shared" si="129"/>
        <v>12</v>
      </c>
      <c r="H4140" t="str">
        <f>IF(ISNUMBER(FIND(",", E4140)), TRIM(MID(E4140, FIND(",", E4140) + 1, LEN(E4140))), E4140)</f>
        <v>Tonga region</v>
      </c>
    </row>
    <row r="4141" spans="1:8" x14ac:dyDescent="0.25">
      <c r="A4141" s="2">
        <v>30305</v>
      </c>
      <c r="B4141">
        <v>-23.709</v>
      </c>
      <c r="C4141">
        <v>-175.691</v>
      </c>
      <c r="D4141" t="s">
        <v>14</v>
      </c>
      <c r="E4141" t="s">
        <v>304</v>
      </c>
      <c r="F4141">
        <f t="shared" si="128"/>
        <v>1982</v>
      </c>
      <c r="G4141">
        <f t="shared" si="129"/>
        <v>12</v>
      </c>
      <c r="H4141" t="str">
        <f>IF(ISNUMBER(FIND(",", E4141)), TRIM(MID(E4141, FIND(",", E4141) + 1, LEN(E4141))), E4141)</f>
        <v>Tonga region</v>
      </c>
    </row>
    <row r="4142" spans="1:8" x14ac:dyDescent="0.25">
      <c r="A4142" s="2">
        <v>30305</v>
      </c>
      <c r="B4142">
        <v>-23.687000000000001</v>
      </c>
      <c r="C4142">
        <v>-175.84899999999999</v>
      </c>
      <c r="D4142" t="s">
        <v>14</v>
      </c>
      <c r="E4142" t="s">
        <v>304</v>
      </c>
      <c r="F4142">
        <f t="shared" si="128"/>
        <v>1982</v>
      </c>
      <c r="G4142">
        <f t="shared" si="129"/>
        <v>12</v>
      </c>
      <c r="H4142" t="str">
        <f>IF(ISNUMBER(FIND(",", E4142)), TRIM(MID(E4142, FIND(",", E4142) + 1, LEN(E4142))), E4142)</f>
        <v>Tonga region</v>
      </c>
    </row>
    <row r="4143" spans="1:8" x14ac:dyDescent="0.25">
      <c r="A4143" s="2">
        <v>30305</v>
      </c>
      <c r="B4143">
        <v>-23.8</v>
      </c>
      <c r="C4143">
        <v>-175.43600000000001</v>
      </c>
      <c r="D4143" t="s">
        <v>14</v>
      </c>
      <c r="E4143" t="s">
        <v>304</v>
      </c>
      <c r="F4143">
        <f t="shared" si="128"/>
        <v>1982</v>
      </c>
      <c r="G4143">
        <f t="shared" si="129"/>
        <v>12</v>
      </c>
      <c r="H4143" t="str">
        <f>IF(ISNUMBER(FIND(",", E4143)), TRIM(MID(E4143, FIND(",", E4143) + 1, LEN(E4143))), E4143)</f>
        <v>Tonga region</v>
      </c>
    </row>
    <row r="4144" spans="1:8" x14ac:dyDescent="0.25">
      <c r="A4144" s="2">
        <v>30304</v>
      </c>
      <c r="B4144">
        <v>-24.193999999999999</v>
      </c>
      <c r="C4144">
        <v>-175.57599999999999</v>
      </c>
      <c r="D4144" t="s">
        <v>14</v>
      </c>
      <c r="E4144" t="s">
        <v>351</v>
      </c>
      <c r="F4144">
        <f t="shared" si="128"/>
        <v>1982</v>
      </c>
      <c r="G4144">
        <f t="shared" si="129"/>
        <v>12</v>
      </c>
      <c r="H4144" t="str">
        <f>IF(ISNUMBER(FIND(",", E4144)), TRIM(MID(E4144, FIND(",", E4144) + 1, LEN(E4144))), E4144)</f>
        <v>south of Tonga</v>
      </c>
    </row>
    <row r="4145" spans="1:8" x14ac:dyDescent="0.25">
      <c r="A4145" s="2">
        <v>30302</v>
      </c>
      <c r="B4145">
        <v>24.574999999999999</v>
      </c>
      <c r="C4145">
        <v>122.527</v>
      </c>
      <c r="D4145" t="s">
        <v>14</v>
      </c>
      <c r="E4145" t="s">
        <v>363</v>
      </c>
      <c r="F4145">
        <f t="shared" si="128"/>
        <v>1982</v>
      </c>
      <c r="G4145">
        <f t="shared" si="129"/>
        <v>12</v>
      </c>
      <c r="H4145" t="str">
        <f>IF(ISNUMBER(FIND(",", E4145)), TRIM(MID(E4145, FIND(",", E4145) + 1, LEN(E4145))), E4145)</f>
        <v>Taiwan region</v>
      </c>
    </row>
    <row r="4146" spans="1:8" x14ac:dyDescent="0.25">
      <c r="A4146" s="2">
        <v>30301</v>
      </c>
      <c r="B4146">
        <v>36.113999999999997</v>
      </c>
      <c r="C4146">
        <v>68.98</v>
      </c>
      <c r="D4146" t="s">
        <v>14</v>
      </c>
      <c r="E4146" t="s">
        <v>314</v>
      </c>
      <c r="F4146">
        <f t="shared" si="128"/>
        <v>1982</v>
      </c>
      <c r="G4146">
        <f t="shared" si="129"/>
        <v>12</v>
      </c>
      <c r="H4146" t="str">
        <f>IF(ISNUMBER(FIND(",", E4146)), TRIM(MID(E4146, FIND(",", E4146) + 1, LEN(E4146))), E4146)</f>
        <v>Afghanistan</v>
      </c>
    </row>
    <row r="4147" spans="1:8" x14ac:dyDescent="0.25">
      <c r="A4147" s="2">
        <v>30298</v>
      </c>
      <c r="B4147">
        <v>14.68</v>
      </c>
      <c r="C4147">
        <v>44.222000000000001</v>
      </c>
      <c r="D4147" t="s">
        <v>14</v>
      </c>
      <c r="E4147" t="s">
        <v>610</v>
      </c>
      <c r="F4147">
        <f t="shared" si="128"/>
        <v>1982</v>
      </c>
      <c r="G4147">
        <f t="shared" si="129"/>
        <v>12</v>
      </c>
      <c r="H4147" t="str">
        <f>IF(ISNUMBER(FIND(",", E4147)), TRIM(MID(E4147, FIND(",", E4147) + 1, LEN(E4147))), E4147)</f>
        <v>Yemen</v>
      </c>
    </row>
    <row r="4148" spans="1:8" x14ac:dyDescent="0.25">
      <c r="A4148" s="2">
        <v>30290</v>
      </c>
      <c r="B4148">
        <v>49.927999999999997</v>
      </c>
      <c r="C4148">
        <v>78.869</v>
      </c>
      <c r="D4148" t="s">
        <v>13</v>
      </c>
      <c r="E4148" t="s">
        <v>571</v>
      </c>
      <c r="F4148">
        <f t="shared" si="128"/>
        <v>1982</v>
      </c>
      <c r="G4148">
        <f t="shared" si="129"/>
        <v>12</v>
      </c>
      <c r="H4148" t="str">
        <f>IF(ISNUMBER(FIND(",", E4148)), TRIM(MID(E4148, FIND(",", E4148) + 1, LEN(E4148))), E4148)</f>
        <v>eastern Kazakhstan</v>
      </c>
    </row>
    <row r="4149" spans="1:8" x14ac:dyDescent="0.25">
      <c r="A4149" s="2">
        <v>30288</v>
      </c>
      <c r="B4149">
        <v>-13.239000000000001</v>
      </c>
      <c r="C4149">
        <v>167.26499999999999</v>
      </c>
      <c r="D4149" t="s">
        <v>14</v>
      </c>
      <c r="E4149" t="s">
        <v>181</v>
      </c>
      <c r="F4149">
        <f t="shared" si="128"/>
        <v>1982</v>
      </c>
      <c r="G4149">
        <f t="shared" si="129"/>
        <v>12</v>
      </c>
      <c r="H4149" t="str">
        <f>IF(ISNUMBER(FIND(",", E4149)), TRIM(MID(E4149, FIND(",", E4149) + 1, LEN(E4149))), E4149)</f>
        <v>Vanuatu</v>
      </c>
    </row>
    <row r="4150" spans="1:8" x14ac:dyDescent="0.25">
      <c r="A4150" s="2">
        <v>30276</v>
      </c>
      <c r="B4150">
        <v>55.463999999999999</v>
      </c>
      <c r="C4150">
        <v>162.953</v>
      </c>
      <c r="D4150" t="s">
        <v>14</v>
      </c>
      <c r="E4150" t="s">
        <v>225</v>
      </c>
      <c r="F4150">
        <f t="shared" si="128"/>
        <v>1982</v>
      </c>
      <c r="G4150">
        <f t="shared" si="129"/>
        <v>11</v>
      </c>
      <c r="H4150" t="str">
        <f>IF(ISNUMBER(FIND(",", E4150)), TRIM(MID(E4150, FIND(",", E4150) + 1, LEN(E4150))), E4150)</f>
        <v>Russia</v>
      </c>
    </row>
    <row r="4151" spans="1:8" x14ac:dyDescent="0.25">
      <c r="A4151" s="2">
        <v>30274</v>
      </c>
      <c r="B4151">
        <v>-10.625</v>
      </c>
      <c r="C4151">
        <v>-74.656999999999996</v>
      </c>
      <c r="D4151" t="s">
        <v>14</v>
      </c>
      <c r="E4151" t="s">
        <v>198</v>
      </c>
      <c r="F4151">
        <f t="shared" si="128"/>
        <v>1982</v>
      </c>
      <c r="G4151">
        <f t="shared" si="129"/>
        <v>11</v>
      </c>
      <c r="H4151" t="str">
        <f>IF(ISNUMBER(FIND(",", E4151)), TRIM(MID(E4151, FIND(",", E4151) + 1, LEN(E4151))), E4151)</f>
        <v>central Peru</v>
      </c>
    </row>
    <row r="4152" spans="1:8" x14ac:dyDescent="0.25">
      <c r="A4152" s="2">
        <v>30273</v>
      </c>
      <c r="B4152">
        <v>-1.7290000000000001</v>
      </c>
      <c r="C4152">
        <v>-76.652000000000001</v>
      </c>
      <c r="D4152" t="s">
        <v>14</v>
      </c>
      <c r="E4152" t="s">
        <v>316</v>
      </c>
      <c r="F4152">
        <f t="shared" si="128"/>
        <v>1982</v>
      </c>
      <c r="G4152">
        <f t="shared" si="129"/>
        <v>11</v>
      </c>
      <c r="H4152" t="str">
        <f>IF(ISNUMBER(FIND(",", E4152)), TRIM(MID(E4152, FIND(",", E4152) + 1, LEN(E4152))), E4152)</f>
        <v>Ecuador</v>
      </c>
    </row>
    <row r="4153" spans="1:8" x14ac:dyDescent="0.25">
      <c r="A4153" s="2">
        <v>30266</v>
      </c>
      <c r="B4153">
        <v>-6.6630000000000003</v>
      </c>
      <c r="C4153">
        <v>101.56</v>
      </c>
      <c r="D4153" t="s">
        <v>14</v>
      </c>
      <c r="E4153" t="s">
        <v>450</v>
      </c>
      <c r="F4153">
        <f t="shared" si="128"/>
        <v>1982</v>
      </c>
      <c r="G4153">
        <f t="shared" si="129"/>
        <v>11</v>
      </c>
      <c r="H4153" t="str">
        <f>IF(ISNUMBER(FIND(",", E4153)), TRIM(MID(E4153, FIND(",", E4153) + 1, LEN(E4153))), E4153)</f>
        <v>Indonesia</v>
      </c>
    </row>
    <row r="4154" spans="1:8" x14ac:dyDescent="0.25">
      <c r="A4154" s="2">
        <v>30255</v>
      </c>
      <c r="B4154">
        <v>14.069000000000001</v>
      </c>
      <c r="C4154">
        <v>-90.287999999999997</v>
      </c>
      <c r="D4154" t="s">
        <v>14</v>
      </c>
      <c r="E4154" t="s">
        <v>371</v>
      </c>
      <c r="F4154">
        <f t="shared" si="128"/>
        <v>1982</v>
      </c>
      <c r="G4154">
        <f t="shared" si="129"/>
        <v>10</v>
      </c>
      <c r="H4154" t="str">
        <f>IF(ISNUMBER(FIND(",", E4154)), TRIM(MID(E4154, FIND(",", E4154) + 1, LEN(E4154))), E4154)</f>
        <v>Guatemala</v>
      </c>
    </row>
    <row r="4155" spans="1:8" x14ac:dyDescent="0.25">
      <c r="A4155" s="2">
        <v>30243</v>
      </c>
      <c r="B4155">
        <v>-11.342000000000001</v>
      </c>
      <c r="C4155">
        <v>163.24</v>
      </c>
      <c r="D4155" t="s">
        <v>14</v>
      </c>
      <c r="E4155" t="s">
        <v>221</v>
      </c>
      <c r="F4155">
        <f t="shared" si="128"/>
        <v>1982</v>
      </c>
      <c r="G4155">
        <f t="shared" si="129"/>
        <v>10</v>
      </c>
      <c r="H4155" t="str">
        <f>IF(ISNUMBER(FIND(",", E4155)), TRIM(MID(E4155, FIND(",", E4155) + 1, LEN(E4155))), E4155)</f>
        <v>Solomon Islands</v>
      </c>
    </row>
    <row r="4156" spans="1:8" x14ac:dyDescent="0.25">
      <c r="A4156" s="2">
        <v>30231</v>
      </c>
      <c r="B4156">
        <v>-7.2</v>
      </c>
      <c r="C4156">
        <v>125.77200000000001</v>
      </c>
      <c r="D4156" t="s">
        <v>14</v>
      </c>
      <c r="E4156" t="s">
        <v>49</v>
      </c>
      <c r="F4156">
        <f t="shared" si="128"/>
        <v>1982</v>
      </c>
      <c r="G4156">
        <f t="shared" si="129"/>
        <v>10</v>
      </c>
      <c r="H4156" t="str">
        <f>IF(ISNUMBER(FIND(",", E4156)), TRIM(MID(E4156, FIND(",", E4156) + 1, LEN(E4156))), E4156)</f>
        <v>Indonesia</v>
      </c>
    </row>
    <row r="4157" spans="1:8" x14ac:dyDescent="0.25">
      <c r="A4157" s="2">
        <v>30222</v>
      </c>
      <c r="B4157">
        <v>-24.271000000000001</v>
      </c>
      <c r="C4157">
        <v>-176.58799999999999</v>
      </c>
      <c r="D4157" t="s">
        <v>14</v>
      </c>
      <c r="E4157" t="s">
        <v>256</v>
      </c>
      <c r="F4157">
        <f t="shared" si="128"/>
        <v>1982</v>
      </c>
      <c r="G4157">
        <f t="shared" si="129"/>
        <v>9</v>
      </c>
      <c r="H4157" t="str">
        <f>IF(ISNUMBER(FIND(",", E4157)), TRIM(MID(E4157, FIND(",", E4157) + 1, LEN(E4157))), E4157)</f>
        <v>south of the Fiji Islands</v>
      </c>
    </row>
    <row r="4158" spans="1:8" x14ac:dyDescent="0.25">
      <c r="A4158" s="2">
        <v>30215</v>
      </c>
      <c r="B4158">
        <v>-9.5749999999999993</v>
      </c>
      <c r="C4158">
        <v>152.32599999999999</v>
      </c>
      <c r="D4158" t="s">
        <v>14</v>
      </c>
      <c r="E4158" t="s">
        <v>507</v>
      </c>
      <c r="F4158">
        <f t="shared" si="128"/>
        <v>1982</v>
      </c>
      <c r="G4158">
        <f t="shared" si="129"/>
        <v>9</v>
      </c>
      <c r="H4158" t="str">
        <f>IF(ISNUMBER(FIND(",", E4158)), TRIM(MID(E4158, FIND(",", E4158) + 1, LEN(E4158))), E4158)</f>
        <v>D'Entrecasteaux Islands region</v>
      </c>
    </row>
    <row r="4159" spans="1:8" x14ac:dyDescent="0.25">
      <c r="A4159" s="2">
        <v>30214</v>
      </c>
      <c r="B4159">
        <v>-26.940999999999999</v>
      </c>
      <c r="C4159">
        <v>-175.81800000000001</v>
      </c>
      <c r="D4159" t="s">
        <v>14</v>
      </c>
      <c r="E4159" t="s">
        <v>351</v>
      </c>
      <c r="F4159">
        <f t="shared" si="128"/>
        <v>1982</v>
      </c>
      <c r="G4159">
        <f t="shared" si="129"/>
        <v>9</v>
      </c>
      <c r="H4159" t="str">
        <f>IF(ISNUMBER(FIND(",", E4159)), TRIM(MID(E4159, FIND(",", E4159) + 1, LEN(E4159))), E4159)</f>
        <v>south of Tonga</v>
      </c>
    </row>
    <row r="4160" spans="1:8" x14ac:dyDescent="0.25">
      <c r="A4160" s="2">
        <v>30211</v>
      </c>
      <c r="B4160">
        <v>-23.459</v>
      </c>
      <c r="C4160">
        <v>-179.77199999999999</v>
      </c>
      <c r="D4160" t="s">
        <v>14</v>
      </c>
      <c r="E4160" t="s">
        <v>256</v>
      </c>
      <c r="F4160">
        <f t="shared" si="128"/>
        <v>1982</v>
      </c>
      <c r="G4160">
        <f t="shared" si="129"/>
        <v>9</v>
      </c>
      <c r="H4160" t="str">
        <f>IF(ISNUMBER(FIND(",", E4160)), TRIM(MID(E4160, FIND(",", E4160) + 1, LEN(E4160))), E4160)</f>
        <v>south of the Fiji Islands</v>
      </c>
    </row>
    <row r="4161" spans="1:8" x14ac:dyDescent="0.25">
      <c r="A4161" s="2">
        <v>30209</v>
      </c>
      <c r="B4161">
        <v>-14.522</v>
      </c>
      <c r="C4161">
        <v>-70.762</v>
      </c>
      <c r="D4161" t="s">
        <v>14</v>
      </c>
      <c r="E4161" t="s">
        <v>229</v>
      </c>
      <c r="F4161">
        <f t="shared" si="128"/>
        <v>1982</v>
      </c>
      <c r="G4161">
        <f t="shared" si="129"/>
        <v>9</v>
      </c>
      <c r="H4161" t="str">
        <f>IF(ISNUMBER(FIND(",", E4161)), TRIM(MID(E4161, FIND(",", E4161) + 1, LEN(E4161))), E4161)</f>
        <v>southern Peru</v>
      </c>
    </row>
    <row r="4162" spans="1:8" x14ac:dyDescent="0.25">
      <c r="A4162" s="2">
        <v>30208</v>
      </c>
      <c r="B4162">
        <v>-7.141</v>
      </c>
      <c r="C4162">
        <v>147.964</v>
      </c>
      <c r="D4162" t="s">
        <v>14</v>
      </c>
      <c r="E4162" t="s">
        <v>243</v>
      </c>
      <c r="F4162">
        <f t="shared" ref="F4162:F4225" si="130">YEAR(A4162)</f>
        <v>1982</v>
      </c>
      <c r="G4162">
        <f t="shared" si="129"/>
        <v>9</v>
      </c>
      <c r="H4162" t="str">
        <f>IF(ISNUMBER(FIND(",", E4162)), TRIM(MID(E4162, FIND(",", E4162) + 1, LEN(E4162))), E4162)</f>
        <v>Papua New Guinea</v>
      </c>
    </row>
    <row r="4163" spans="1:8" x14ac:dyDescent="0.25">
      <c r="A4163" s="2">
        <v>30206</v>
      </c>
      <c r="B4163">
        <v>52.69</v>
      </c>
      <c r="C4163">
        <v>-166.98500000000001</v>
      </c>
      <c r="D4163" t="s">
        <v>14</v>
      </c>
      <c r="E4163" t="s">
        <v>219</v>
      </c>
      <c r="F4163">
        <f t="shared" si="130"/>
        <v>1982</v>
      </c>
      <c r="G4163">
        <f t="shared" ref="G4163:G4226" si="131">MONTH(A4163)</f>
        <v>9</v>
      </c>
      <c r="H4163" t="str">
        <f>IF(ISNUMBER(FIND(",", E4163)), TRIM(MID(E4163, FIND(",", E4163) + 1, LEN(E4163))), E4163)</f>
        <v>Aleutian Islands, Alaska</v>
      </c>
    </row>
    <row r="4164" spans="1:8" x14ac:dyDescent="0.25">
      <c r="A4164" s="2">
        <v>30200</v>
      </c>
      <c r="B4164">
        <v>29.390999999999998</v>
      </c>
      <c r="C4164">
        <v>140.315</v>
      </c>
      <c r="D4164" t="s">
        <v>14</v>
      </c>
      <c r="E4164" t="s">
        <v>88</v>
      </c>
      <c r="F4164">
        <f t="shared" si="130"/>
        <v>1982</v>
      </c>
      <c r="G4164">
        <f t="shared" si="131"/>
        <v>9</v>
      </c>
      <c r="H4164" t="str">
        <f>IF(ISNUMBER(FIND(",", E4164)), TRIM(MID(E4164, FIND(",", E4164) + 1, LEN(E4164))), E4164)</f>
        <v>Japan region</v>
      </c>
    </row>
    <row r="4165" spans="1:8" x14ac:dyDescent="0.25">
      <c r="A4165" s="2">
        <v>30198</v>
      </c>
      <c r="B4165">
        <v>-15.412000000000001</v>
      </c>
      <c r="C4165">
        <v>-172.947</v>
      </c>
      <c r="D4165" t="s">
        <v>14</v>
      </c>
      <c r="E4165" t="s">
        <v>352</v>
      </c>
      <c r="F4165">
        <f t="shared" si="130"/>
        <v>1982</v>
      </c>
      <c r="G4165">
        <f t="shared" si="131"/>
        <v>9</v>
      </c>
      <c r="H4165" t="str">
        <f>IF(ISNUMBER(FIND(",", E4165)), TRIM(MID(E4165, FIND(",", E4165) + 1, LEN(E4165))), E4165)</f>
        <v>Samoa Islands region</v>
      </c>
    </row>
    <row r="4166" spans="1:8" x14ac:dyDescent="0.25">
      <c r="A4166" s="2">
        <v>30197</v>
      </c>
      <c r="B4166">
        <v>-15.327999999999999</v>
      </c>
      <c r="C4166">
        <v>-172.99299999999999</v>
      </c>
      <c r="D4166" t="s">
        <v>14</v>
      </c>
      <c r="E4166" t="s">
        <v>352</v>
      </c>
      <c r="F4166">
        <f t="shared" si="130"/>
        <v>1982</v>
      </c>
      <c r="G4166">
        <f t="shared" si="131"/>
        <v>9</v>
      </c>
      <c r="H4166" t="str">
        <f>IF(ISNUMBER(FIND(",", E4166)), TRIM(MID(E4166, FIND(",", E4166) + 1, LEN(E4166))), E4166)</f>
        <v>Samoa Islands region</v>
      </c>
    </row>
    <row r="4167" spans="1:8" x14ac:dyDescent="0.25">
      <c r="A4167" s="2">
        <v>30197</v>
      </c>
      <c r="B4167">
        <v>43.972000000000001</v>
      </c>
      <c r="C4167">
        <v>148.39699999999999</v>
      </c>
      <c r="D4167" t="s">
        <v>14</v>
      </c>
      <c r="E4167" t="s">
        <v>317</v>
      </c>
      <c r="F4167">
        <f t="shared" si="130"/>
        <v>1982</v>
      </c>
      <c r="G4167">
        <f t="shared" si="131"/>
        <v>9</v>
      </c>
      <c r="H4167" t="str">
        <f>IF(ISNUMBER(FIND(",", E4167)), TRIM(MID(E4167, FIND(",", E4167) + 1, LEN(E4167))), E4167)</f>
        <v>east of the Kuril Islands</v>
      </c>
    </row>
    <row r="4168" spans="1:8" x14ac:dyDescent="0.25">
      <c r="A4168" s="2">
        <v>30182</v>
      </c>
      <c r="B4168">
        <v>6.6849999999999996</v>
      </c>
      <c r="C4168">
        <v>-82.668000000000006</v>
      </c>
      <c r="D4168" t="s">
        <v>14</v>
      </c>
      <c r="E4168" t="s">
        <v>231</v>
      </c>
      <c r="F4168">
        <f t="shared" si="130"/>
        <v>1982</v>
      </c>
      <c r="G4168">
        <f t="shared" si="131"/>
        <v>8</v>
      </c>
      <c r="H4168" t="str">
        <f>IF(ISNUMBER(FIND(",", E4168)), TRIM(MID(E4168, FIND(",", E4168) + 1, LEN(E4168))), E4168)</f>
        <v>south of Panama</v>
      </c>
    </row>
    <row r="4169" spans="1:8" x14ac:dyDescent="0.25">
      <c r="A4169" s="2">
        <v>30180</v>
      </c>
      <c r="B4169">
        <v>33.723999999999997</v>
      </c>
      <c r="C4169">
        <v>22.96</v>
      </c>
      <c r="D4169" t="s">
        <v>14</v>
      </c>
      <c r="E4169" t="s">
        <v>611</v>
      </c>
      <c r="F4169">
        <f t="shared" si="130"/>
        <v>1982</v>
      </c>
      <c r="G4169">
        <f t="shared" si="131"/>
        <v>8</v>
      </c>
      <c r="H4169" t="str">
        <f>IF(ISNUMBER(FIND(",", E4169)), TRIM(MID(E4169, FIND(",", E4169) + 1, LEN(E4169))), E4169)</f>
        <v>central Mediterranean Sea</v>
      </c>
    </row>
    <row r="4170" spans="1:8" x14ac:dyDescent="0.25">
      <c r="A4170" s="2">
        <v>30175</v>
      </c>
      <c r="B4170">
        <v>-4.32</v>
      </c>
      <c r="C4170">
        <v>153.13999999999999</v>
      </c>
      <c r="D4170" t="s">
        <v>14</v>
      </c>
      <c r="E4170" t="s">
        <v>183</v>
      </c>
      <c r="F4170">
        <f t="shared" si="130"/>
        <v>1982</v>
      </c>
      <c r="G4170">
        <f t="shared" si="131"/>
        <v>8</v>
      </c>
      <c r="H4170" t="str">
        <f>IF(ISNUMBER(FIND(",", E4170)), TRIM(MID(E4170, FIND(",", E4170) + 1, LEN(E4170))), E4170)</f>
        <v>Papua New Guinea</v>
      </c>
    </row>
    <row r="4171" spans="1:8" x14ac:dyDescent="0.25">
      <c r="A4171" s="2">
        <v>30170</v>
      </c>
      <c r="B4171">
        <v>-11.225</v>
      </c>
      <c r="C4171">
        <v>115.306</v>
      </c>
      <c r="D4171" t="s">
        <v>14</v>
      </c>
      <c r="E4171" t="s">
        <v>274</v>
      </c>
      <c r="F4171">
        <f t="shared" si="130"/>
        <v>1982</v>
      </c>
      <c r="G4171">
        <f t="shared" si="131"/>
        <v>8</v>
      </c>
      <c r="H4171" t="str">
        <f>IF(ISNUMBER(FIND(",", E4171)), TRIM(MID(E4171, FIND(",", E4171) + 1, LEN(E4171))), E4171)</f>
        <v>Indonesia</v>
      </c>
    </row>
    <row r="4172" spans="1:8" x14ac:dyDescent="0.25">
      <c r="A4172" s="2">
        <v>30168</v>
      </c>
      <c r="B4172">
        <v>-12.475</v>
      </c>
      <c r="C4172">
        <v>166.19200000000001</v>
      </c>
      <c r="D4172" t="s">
        <v>14</v>
      </c>
      <c r="E4172" t="s">
        <v>211</v>
      </c>
      <c r="F4172">
        <f t="shared" si="130"/>
        <v>1982</v>
      </c>
      <c r="G4172">
        <f t="shared" si="131"/>
        <v>8</v>
      </c>
      <c r="H4172" t="str">
        <f>IF(ISNUMBER(FIND(",", E4172)), TRIM(MID(E4172, FIND(",", E4172) + 1, LEN(E4172))), E4172)</f>
        <v>Santa Cruz Islands</v>
      </c>
    </row>
    <row r="4173" spans="1:8" x14ac:dyDescent="0.25">
      <c r="A4173" s="2">
        <v>30163</v>
      </c>
      <c r="B4173">
        <v>51.784999999999997</v>
      </c>
      <c r="C4173">
        <v>176.12299999999999</v>
      </c>
      <c r="D4173" t="s">
        <v>14</v>
      </c>
      <c r="E4173" t="s">
        <v>366</v>
      </c>
      <c r="F4173">
        <f t="shared" si="130"/>
        <v>1982</v>
      </c>
      <c r="G4173">
        <f t="shared" si="131"/>
        <v>7</v>
      </c>
      <c r="H4173" t="str">
        <f>IF(ISNUMBER(FIND(",", E4173)), TRIM(MID(E4173, FIND(",", E4173) + 1, LEN(E4173))), E4173)</f>
        <v>Aleutian Islands, Alaska</v>
      </c>
    </row>
    <row r="4174" spans="1:8" x14ac:dyDescent="0.25">
      <c r="A4174" s="2">
        <v>30155</v>
      </c>
      <c r="B4174">
        <v>36.302</v>
      </c>
      <c r="C4174">
        <v>141.77799999999999</v>
      </c>
      <c r="D4174" t="s">
        <v>14</v>
      </c>
      <c r="E4174" t="s">
        <v>227</v>
      </c>
      <c r="F4174">
        <f t="shared" si="130"/>
        <v>1982</v>
      </c>
      <c r="G4174">
        <f t="shared" si="131"/>
        <v>7</v>
      </c>
      <c r="H4174" t="str">
        <f>IF(ISNUMBER(FIND(",", E4174)), TRIM(MID(E4174, FIND(",", E4174) + 1, LEN(E4174))), E4174)</f>
        <v>Japan</v>
      </c>
    </row>
    <row r="4175" spans="1:8" x14ac:dyDescent="0.25">
      <c r="A4175" s="2">
        <v>30149</v>
      </c>
      <c r="B4175">
        <v>-21.719000000000001</v>
      </c>
      <c r="C4175">
        <v>173.209</v>
      </c>
      <c r="D4175" t="s">
        <v>14</v>
      </c>
      <c r="E4175" t="s">
        <v>281</v>
      </c>
      <c r="F4175">
        <f t="shared" si="130"/>
        <v>1982</v>
      </c>
      <c r="G4175">
        <f t="shared" si="131"/>
        <v>7</v>
      </c>
      <c r="H4175" t="str">
        <f>IF(ISNUMBER(FIND(",", E4175)), TRIM(MID(E4175, FIND(",", E4175) + 1, LEN(E4175))), E4175)</f>
        <v>Vanuatu region</v>
      </c>
    </row>
    <row r="4176" spans="1:8" x14ac:dyDescent="0.25">
      <c r="A4176" s="2">
        <v>30139</v>
      </c>
      <c r="B4176">
        <v>-51.302999999999997</v>
      </c>
      <c r="C4176">
        <v>160.66800000000001</v>
      </c>
      <c r="D4176" t="s">
        <v>14</v>
      </c>
      <c r="E4176" t="s">
        <v>415</v>
      </c>
      <c r="F4176">
        <f t="shared" si="130"/>
        <v>1982</v>
      </c>
      <c r="G4176">
        <f t="shared" si="131"/>
        <v>7</v>
      </c>
      <c r="H4176" t="str">
        <f>IF(ISNUMBER(FIND(",", E4176)), TRIM(MID(E4176, FIND(",", E4176) + 1, LEN(E4176))), E4176)</f>
        <v>north of Macquarie Island</v>
      </c>
    </row>
    <row r="4177" spans="1:8" x14ac:dyDescent="0.25">
      <c r="A4177" s="2">
        <v>30136</v>
      </c>
      <c r="B4177">
        <v>27.93</v>
      </c>
      <c r="C4177">
        <v>136.98500000000001</v>
      </c>
      <c r="D4177" t="s">
        <v>14</v>
      </c>
      <c r="E4177" t="s">
        <v>612</v>
      </c>
      <c r="F4177">
        <f t="shared" si="130"/>
        <v>1982</v>
      </c>
      <c r="G4177">
        <f t="shared" si="131"/>
        <v>7</v>
      </c>
      <c r="H4177" t="str">
        <f>IF(ISNUMBER(FIND(",", E4177)), TRIM(MID(E4177, FIND(",", E4177) + 1, LEN(E4177))), E4177)</f>
        <v>Japan</v>
      </c>
    </row>
    <row r="4178" spans="1:8" x14ac:dyDescent="0.25">
      <c r="A4178" s="2">
        <v>30136</v>
      </c>
      <c r="B4178">
        <v>49.994999999999997</v>
      </c>
      <c r="C4178">
        <v>78.855999999999995</v>
      </c>
      <c r="D4178" t="s">
        <v>13</v>
      </c>
      <c r="E4178" t="s">
        <v>571</v>
      </c>
      <c r="F4178">
        <f t="shared" si="130"/>
        <v>1982</v>
      </c>
      <c r="G4178">
        <f t="shared" si="131"/>
        <v>7</v>
      </c>
      <c r="H4178" t="str">
        <f>IF(ISNUMBER(FIND(",", E4178)), TRIM(MID(E4178, FIND(",", E4178) + 1, LEN(E4178))), E4178)</f>
        <v>eastern Kazakhstan</v>
      </c>
    </row>
    <row r="4179" spans="1:8" x14ac:dyDescent="0.25">
      <c r="A4179" s="2">
        <v>30132</v>
      </c>
      <c r="B4179">
        <v>44.720999999999997</v>
      </c>
      <c r="C4179">
        <v>151.11600000000001</v>
      </c>
      <c r="D4179" t="s">
        <v>14</v>
      </c>
      <c r="E4179" t="s">
        <v>317</v>
      </c>
      <c r="F4179">
        <f t="shared" si="130"/>
        <v>1982</v>
      </c>
      <c r="G4179">
        <f t="shared" si="131"/>
        <v>6</v>
      </c>
      <c r="H4179" t="str">
        <f>IF(ISNUMBER(FIND(",", E4179)), TRIM(MID(E4179, FIND(",", E4179) + 1, LEN(E4179))), E4179)</f>
        <v>east of the Kuril Islands</v>
      </c>
    </row>
    <row r="4180" spans="1:8" x14ac:dyDescent="0.25">
      <c r="A4180" s="2">
        <v>30129</v>
      </c>
      <c r="B4180">
        <v>-55.499000000000002</v>
      </c>
      <c r="C4180">
        <v>160.25200000000001</v>
      </c>
      <c r="D4180" t="s">
        <v>14</v>
      </c>
      <c r="E4180" t="s">
        <v>350</v>
      </c>
      <c r="F4180">
        <f t="shared" si="130"/>
        <v>1982</v>
      </c>
      <c r="G4180">
        <f t="shared" si="131"/>
        <v>6</v>
      </c>
      <c r="H4180" t="str">
        <f>IF(ISNUMBER(FIND(",", E4180)), TRIM(MID(E4180, FIND(",", E4180) + 1, LEN(E4180))), E4180)</f>
        <v>Macquarie Island region</v>
      </c>
    </row>
    <row r="4181" spans="1:8" x14ac:dyDescent="0.25">
      <c r="A4181" s="2">
        <v>30124</v>
      </c>
      <c r="B4181">
        <v>-7.3639999999999999</v>
      </c>
      <c r="C4181">
        <v>126.051</v>
      </c>
      <c r="D4181" t="s">
        <v>14</v>
      </c>
      <c r="E4181" t="s">
        <v>49</v>
      </c>
      <c r="F4181">
        <f t="shared" si="130"/>
        <v>1982</v>
      </c>
      <c r="G4181">
        <f t="shared" si="131"/>
        <v>6</v>
      </c>
      <c r="H4181" t="str">
        <f>IF(ISNUMBER(FIND(",", E4181)), TRIM(MID(E4181, FIND(",", E4181) + 1, LEN(E4181))), E4181)</f>
        <v>Indonesia</v>
      </c>
    </row>
    <row r="4182" spans="1:8" x14ac:dyDescent="0.25">
      <c r="A4182" s="2">
        <v>30121</v>
      </c>
      <c r="B4182">
        <v>13.337999999999999</v>
      </c>
      <c r="C4182">
        <v>-89.313000000000002</v>
      </c>
      <c r="D4182" t="s">
        <v>14</v>
      </c>
      <c r="E4182" t="s">
        <v>461</v>
      </c>
      <c r="F4182">
        <f t="shared" si="130"/>
        <v>1982</v>
      </c>
      <c r="G4182">
        <f t="shared" si="131"/>
        <v>6</v>
      </c>
      <c r="H4182" t="str">
        <f>IF(ISNUMBER(FIND(",", E4182)), TRIM(MID(E4182, FIND(",", E4182) + 1, LEN(E4182))), E4182)</f>
        <v>offshore El Salvador</v>
      </c>
    </row>
    <row r="4183" spans="1:8" x14ac:dyDescent="0.25">
      <c r="A4183" s="2">
        <v>30113</v>
      </c>
      <c r="B4183">
        <v>-17.638999999999999</v>
      </c>
      <c r="C4183">
        <v>-174.32400000000001</v>
      </c>
      <c r="D4183" t="s">
        <v>14</v>
      </c>
      <c r="E4183" t="s">
        <v>239</v>
      </c>
      <c r="F4183">
        <f t="shared" si="130"/>
        <v>1982</v>
      </c>
      <c r="G4183">
        <f t="shared" si="131"/>
        <v>6</v>
      </c>
      <c r="H4183" t="str">
        <f>IF(ISNUMBER(FIND(",", E4183)), TRIM(MID(E4183, FIND(",", E4183) + 1, LEN(E4183))), E4183)</f>
        <v>Tonga</v>
      </c>
    </row>
    <row r="4184" spans="1:8" x14ac:dyDescent="0.25">
      <c r="A4184" s="2">
        <v>30111</v>
      </c>
      <c r="B4184">
        <v>-5.64</v>
      </c>
      <c r="C4184">
        <v>151.048</v>
      </c>
      <c r="D4184" t="s">
        <v>14</v>
      </c>
      <c r="E4184" t="s">
        <v>190</v>
      </c>
      <c r="F4184">
        <f t="shared" si="130"/>
        <v>1982</v>
      </c>
      <c r="G4184">
        <f t="shared" si="131"/>
        <v>6</v>
      </c>
      <c r="H4184" t="str">
        <f>IF(ISNUMBER(FIND(",", E4184)), TRIM(MID(E4184, FIND(",", E4184) + 1, LEN(E4184))), E4184)</f>
        <v>Papua New Guinea</v>
      </c>
    </row>
    <row r="4185" spans="1:8" x14ac:dyDescent="0.25">
      <c r="A4185" s="2">
        <v>30109</v>
      </c>
      <c r="B4185">
        <v>16.518999999999998</v>
      </c>
      <c r="C4185">
        <v>-98.346000000000004</v>
      </c>
      <c r="D4185" t="s">
        <v>14</v>
      </c>
      <c r="E4185" t="s">
        <v>192</v>
      </c>
      <c r="F4185">
        <f t="shared" si="130"/>
        <v>1982</v>
      </c>
      <c r="G4185">
        <f t="shared" si="131"/>
        <v>6</v>
      </c>
      <c r="H4185" t="str">
        <f>IF(ISNUMBER(FIND(",", E4185)), TRIM(MID(E4185, FIND(",", E4185) + 1, LEN(E4185))), E4185)</f>
        <v>Mexico</v>
      </c>
    </row>
    <row r="4186" spans="1:8" x14ac:dyDescent="0.25">
      <c r="A4186" s="2">
        <v>30109</v>
      </c>
      <c r="B4186">
        <v>16.407</v>
      </c>
      <c r="C4186">
        <v>-98.293000000000006</v>
      </c>
      <c r="D4186" t="s">
        <v>14</v>
      </c>
      <c r="E4186" t="s">
        <v>251</v>
      </c>
      <c r="F4186">
        <f t="shared" si="130"/>
        <v>1982</v>
      </c>
      <c r="G4186">
        <f t="shared" si="131"/>
        <v>6</v>
      </c>
      <c r="H4186" t="str">
        <f>IF(ISNUMBER(FIND(",", E4186)), TRIM(MID(E4186, FIND(",", E4186) + 1, LEN(E4186))), E4186)</f>
        <v>Mexico</v>
      </c>
    </row>
    <row r="4187" spans="1:8" x14ac:dyDescent="0.25">
      <c r="A4187" s="2">
        <v>30108</v>
      </c>
      <c r="B4187">
        <v>35.332000000000001</v>
      </c>
      <c r="C4187">
        <v>-36.003</v>
      </c>
      <c r="D4187" t="s">
        <v>14</v>
      </c>
      <c r="E4187" t="s">
        <v>325</v>
      </c>
      <c r="F4187">
        <f t="shared" si="130"/>
        <v>1982</v>
      </c>
      <c r="G4187">
        <f t="shared" si="131"/>
        <v>6</v>
      </c>
      <c r="H4187" t="str">
        <f>IF(ISNUMBER(FIND(",", E4187)), TRIM(MID(E4187, FIND(",", E4187) + 1, LEN(E4187))), E4187)</f>
        <v>northern Mid-Atlantic Ridge</v>
      </c>
    </row>
    <row r="4188" spans="1:8" x14ac:dyDescent="0.25">
      <c r="A4188" s="2">
        <v>30104</v>
      </c>
      <c r="B4188">
        <v>-18.096</v>
      </c>
      <c r="C4188">
        <v>-172.41200000000001</v>
      </c>
      <c r="D4188" t="s">
        <v>14</v>
      </c>
      <c r="E4188" t="s">
        <v>304</v>
      </c>
      <c r="F4188">
        <f t="shared" si="130"/>
        <v>1982</v>
      </c>
      <c r="G4188">
        <f t="shared" si="131"/>
        <v>6</v>
      </c>
      <c r="H4188" t="str">
        <f>IF(ISNUMBER(FIND(",", E4188)), TRIM(MID(E4188, FIND(",", E4188) + 1, LEN(E4188))), E4188)</f>
        <v>Tonga region</v>
      </c>
    </row>
    <row r="4189" spans="1:8" x14ac:dyDescent="0.25">
      <c r="A4189" s="2">
        <v>30103</v>
      </c>
      <c r="B4189">
        <v>-41.545999999999999</v>
      </c>
      <c r="C4189">
        <v>-75.158000000000001</v>
      </c>
      <c r="D4189" t="s">
        <v>14</v>
      </c>
      <c r="E4189" t="s">
        <v>522</v>
      </c>
      <c r="F4189">
        <f t="shared" si="130"/>
        <v>1982</v>
      </c>
      <c r="G4189">
        <f t="shared" si="131"/>
        <v>6</v>
      </c>
      <c r="H4189" t="str">
        <f>IF(ISNUMBER(FIND(",", E4189)), TRIM(MID(E4189, FIND(",", E4189) + 1, LEN(E4189))), E4189)</f>
        <v>Chile</v>
      </c>
    </row>
    <row r="4190" spans="1:8" x14ac:dyDescent="0.25">
      <c r="A4190" s="2">
        <v>30102</v>
      </c>
      <c r="B4190">
        <v>38.779000000000003</v>
      </c>
      <c r="C4190">
        <v>142.16800000000001</v>
      </c>
      <c r="D4190" t="s">
        <v>14</v>
      </c>
      <c r="E4190" t="s">
        <v>227</v>
      </c>
      <c r="F4190">
        <f t="shared" si="130"/>
        <v>1982</v>
      </c>
      <c r="G4190">
        <f t="shared" si="131"/>
        <v>5</v>
      </c>
      <c r="H4190" t="str">
        <f>IF(ISNUMBER(FIND(",", E4190)), TRIM(MID(E4190, FIND(",", E4190) + 1, LEN(E4190))), E4190)</f>
        <v>Japan</v>
      </c>
    </row>
    <row r="4191" spans="1:8" x14ac:dyDescent="0.25">
      <c r="A4191" s="2">
        <v>30102</v>
      </c>
      <c r="B4191">
        <v>7.7969999999999997</v>
      </c>
      <c r="C4191">
        <v>135.79900000000001</v>
      </c>
      <c r="D4191" t="s">
        <v>14</v>
      </c>
      <c r="E4191" t="s">
        <v>490</v>
      </c>
      <c r="F4191">
        <f t="shared" si="130"/>
        <v>1982</v>
      </c>
      <c r="G4191">
        <f t="shared" si="131"/>
        <v>5</v>
      </c>
      <c r="H4191" t="str">
        <f>IF(ISNUMBER(FIND(",", E4191)), TRIM(MID(E4191, FIND(",", E4191) + 1, LEN(E4191))), E4191)</f>
        <v>Palau region</v>
      </c>
    </row>
    <row r="4192" spans="1:8" x14ac:dyDescent="0.25">
      <c r="A4192" s="2">
        <v>30102</v>
      </c>
      <c r="B4192">
        <v>55.115000000000002</v>
      </c>
      <c r="C4192">
        <v>165.47800000000001</v>
      </c>
      <c r="D4192" t="s">
        <v>14</v>
      </c>
      <c r="E4192" t="s">
        <v>443</v>
      </c>
      <c r="F4192">
        <f t="shared" si="130"/>
        <v>1982</v>
      </c>
      <c r="G4192">
        <f t="shared" si="131"/>
        <v>5</v>
      </c>
      <c r="H4192" t="str">
        <f>IF(ISNUMBER(FIND(",", E4192)), TRIM(MID(E4192, FIND(",", E4192) + 1, LEN(E4192))), E4192)</f>
        <v>Russia region</v>
      </c>
    </row>
    <row r="4193" spans="1:8" x14ac:dyDescent="0.25">
      <c r="A4193" s="2">
        <v>30078</v>
      </c>
      <c r="B4193">
        <v>-60.703000000000003</v>
      </c>
      <c r="C4193">
        <v>-20.966999999999999</v>
      </c>
      <c r="D4193" t="s">
        <v>14</v>
      </c>
      <c r="E4193" t="s">
        <v>242</v>
      </c>
      <c r="F4193">
        <f t="shared" si="130"/>
        <v>1982</v>
      </c>
      <c r="G4193">
        <f t="shared" si="131"/>
        <v>5</v>
      </c>
      <c r="H4193" t="str">
        <f>IF(ISNUMBER(FIND(",", E4193)), TRIM(MID(E4193, FIND(",", E4193) + 1, LEN(E4193))), E4193)</f>
        <v>east of the South Sandwich Islands</v>
      </c>
    </row>
    <row r="4194" spans="1:8" x14ac:dyDescent="0.25">
      <c r="A4194" s="2">
        <v>30073</v>
      </c>
      <c r="B4194">
        <v>-29.39</v>
      </c>
      <c r="C4194">
        <v>-177.12700000000001</v>
      </c>
      <c r="D4194" t="s">
        <v>14</v>
      </c>
      <c r="E4194" t="s">
        <v>288</v>
      </c>
      <c r="F4194">
        <f t="shared" si="130"/>
        <v>1982</v>
      </c>
      <c r="G4194">
        <f t="shared" si="131"/>
        <v>5</v>
      </c>
      <c r="H4194" t="str">
        <f>IF(ISNUMBER(FIND(",", E4194)), TRIM(MID(E4194, FIND(",", E4194) + 1, LEN(E4194))), E4194)</f>
        <v>New Zealand</v>
      </c>
    </row>
    <row r="4195" spans="1:8" x14ac:dyDescent="0.25">
      <c r="A4195" s="2">
        <v>30066</v>
      </c>
      <c r="B4195">
        <v>49.889000000000003</v>
      </c>
      <c r="C4195">
        <v>78.930999999999997</v>
      </c>
      <c r="D4195" t="s">
        <v>13</v>
      </c>
      <c r="E4195" t="s">
        <v>571</v>
      </c>
      <c r="F4195">
        <f t="shared" si="130"/>
        <v>1982</v>
      </c>
      <c r="G4195">
        <f t="shared" si="131"/>
        <v>4</v>
      </c>
      <c r="H4195" t="str">
        <f>IF(ISNUMBER(FIND(",", E4195)), TRIM(MID(E4195, FIND(",", E4195) + 1, LEN(E4195))), E4195)</f>
        <v>eastern Kazakhstan</v>
      </c>
    </row>
    <row r="4196" spans="1:8" x14ac:dyDescent="0.25">
      <c r="A4196" s="2">
        <v>30060</v>
      </c>
      <c r="B4196">
        <v>19.940999999999999</v>
      </c>
      <c r="C4196">
        <v>120.512</v>
      </c>
      <c r="D4196" t="s">
        <v>14</v>
      </c>
      <c r="E4196" t="s">
        <v>405</v>
      </c>
      <c r="F4196">
        <f t="shared" si="130"/>
        <v>1982</v>
      </c>
      <c r="G4196">
        <f t="shared" si="131"/>
        <v>4</v>
      </c>
      <c r="H4196" t="str">
        <f>IF(ISNUMBER(FIND(",", E4196)), TRIM(MID(E4196, FIND(",", E4196) + 1, LEN(E4196))), E4196)</f>
        <v>Philippines</v>
      </c>
    </row>
    <row r="4197" spans="1:8" x14ac:dyDescent="0.25">
      <c r="A4197" s="2">
        <v>30058</v>
      </c>
      <c r="B4197">
        <v>19.902999999999999</v>
      </c>
      <c r="C4197">
        <v>120.521</v>
      </c>
      <c r="D4197" t="s">
        <v>14</v>
      </c>
      <c r="E4197" t="s">
        <v>405</v>
      </c>
      <c r="F4197">
        <f t="shared" si="130"/>
        <v>1982</v>
      </c>
      <c r="G4197">
        <f t="shared" si="131"/>
        <v>4</v>
      </c>
      <c r="H4197" t="str">
        <f>IF(ISNUMBER(FIND(",", E4197)), TRIM(MID(E4197, FIND(",", E4197) + 1, LEN(E4197))), E4197)</f>
        <v>Philippines</v>
      </c>
    </row>
    <row r="4198" spans="1:8" x14ac:dyDescent="0.25">
      <c r="A4198" s="2">
        <v>30057</v>
      </c>
      <c r="B4198">
        <v>-15.78</v>
      </c>
      <c r="C4198">
        <v>-172.90199999999999</v>
      </c>
      <c r="D4198" t="s">
        <v>14</v>
      </c>
      <c r="E4198" t="s">
        <v>352</v>
      </c>
      <c r="F4198">
        <f t="shared" si="130"/>
        <v>1982</v>
      </c>
      <c r="G4198">
        <f t="shared" si="131"/>
        <v>4</v>
      </c>
      <c r="H4198" t="str">
        <f>IF(ISNUMBER(FIND(",", E4198)), TRIM(MID(E4198, FIND(",", E4198) + 1, LEN(E4198))), E4198)</f>
        <v>Samoa Islands region</v>
      </c>
    </row>
    <row r="4199" spans="1:8" x14ac:dyDescent="0.25">
      <c r="A4199" s="2">
        <v>30053</v>
      </c>
      <c r="B4199">
        <v>-30.282</v>
      </c>
      <c r="C4199">
        <v>-177.76599999999999</v>
      </c>
      <c r="D4199" t="s">
        <v>14</v>
      </c>
      <c r="E4199" t="s">
        <v>288</v>
      </c>
      <c r="F4199">
        <f t="shared" si="130"/>
        <v>1982</v>
      </c>
      <c r="G4199">
        <f t="shared" si="131"/>
        <v>4</v>
      </c>
      <c r="H4199" t="str">
        <f>IF(ISNUMBER(FIND(",", E4199)), TRIM(MID(E4199, FIND(",", E4199) + 1, LEN(E4199))), E4199)</f>
        <v>New Zealand</v>
      </c>
    </row>
    <row r="4200" spans="1:8" x14ac:dyDescent="0.25">
      <c r="A4200" s="2">
        <v>30051</v>
      </c>
      <c r="B4200">
        <v>17.5</v>
      </c>
      <c r="C4200">
        <v>-83.427000000000007</v>
      </c>
      <c r="D4200" t="s">
        <v>14</v>
      </c>
      <c r="E4200" t="s">
        <v>613</v>
      </c>
      <c r="F4200">
        <f t="shared" si="130"/>
        <v>1982</v>
      </c>
      <c r="G4200">
        <f t="shared" si="131"/>
        <v>4</v>
      </c>
      <c r="H4200" t="str">
        <f>IF(ISNUMBER(FIND(",", E4200)), TRIM(MID(E4200, FIND(",", E4200) + 1, LEN(E4200))), E4200)</f>
        <v>north of Honduras</v>
      </c>
    </row>
    <row r="4201" spans="1:8" x14ac:dyDescent="0.25">
      <c r="A4201" s="2">
        <v>30047</v>
      </c>
      <c r="B4201">
        <v>14.269</v>
      </c>
      <c r="C4201">
        <v>-92.015000000000001</v>
      </c>
      <c r="D4201" t="s">
        <v>14</v>
      </c>
      <c r="E4201" t="s">
        <v>196</v>
      </c>
      <c r="F4201">
        <f t="shared" si="130"/>
        <v>1982</v>
      </c>
      <c r="G4201">
        <f t="shared" si="131"/>
        <v>4</v>
      </c>
      <c r="H4201" t="str">
        <f>IF(ISNUMBER(FIND(",", E4201)), TRIM(MID(E4201, FIND(",", E4201) + 1, LEN(E4201))), E4201)</f>
        <v>offshore Guatemala</v>
      </c>
    </row>
    <row r="4202" spans="1:8" x14ac:dyDescent="0.25">
      <c r="A4202" s="2">
        <v>30039</v>
      </c>
      <c r="B4202">
        <v>-15.477</v>
      </c>
      <c r="C4202">
        <v>-179.59800000000001</v>
      </c>
      <c r="D4202" t="s">
        <v>14</v>
      </c>
      <c r="E4202" t="s">
        <v>53</v>
      </c>
      <c r="F4202">
        <f t="shared" si="130"/>
        <v>1982</v>
      </c>
      <c r="G4202">
        <f t="shared" si="131"/>
        <v>3</v>
      </c>
      <c r="H4202" t="str">
        <f>IF(ISNUMBER(FIND(",", E4202)), TRIM(MID(E4202, FIND(",", E4202) + 1, LEN(E4202))), E4202)</f>
        <v>Fiji region</v>
      </c>
    </row>
    <row r="4203" spans="1:8" x14ac:dyDescent="0.25">
      <c r="A4203" s="2">
        <v>30038</v>
      </c>
      <c r="B4203">
        <v>-12.744999999999999</v>
      </c>
      <c r="C4203">
        <v>-76.009</v>
      </c>
      <c r="D4203" t="s">
        <v>14</v>
      </c>
      <c r="E4203" t="s">
        <v>258</v>
      </c>
      <c r="F4203">
        <f t="shared" si="130"/>
        <v>1982</v>
      </c>
      <c r="G4203">
        <f t="shared" si="131"/>
        <v>3</v>
      </c>
      <c r="H4203" t="str">
        <f>IF(ISNUMBER(FIND(",", E4203)), TRIM(MID(E4203, FIND(",", E4203) + 1, LEN(E4203))), E4203)</f>
        <v>near the coast of central Peru</v>
      </c>
    </row>
    <row r="4204" spans="1:8" x14ac:dyDescent="0.25">
      <c r="A4204" s="2">
        <v>30038</v>
      </c>
      <c r="B4204">
        <v>-31.440999999999999</v>
      </c>
      <c r="C4204">
        <v>-178.559</v>
      </c>
      <c r="D4204" t="s">
        <v>14</v>
      </c>
      <c r="E4204" t="s">
        <v>240</v>
      </c>
      <c r="F4204">
        <f t="shared" si="130"/>
        <v>1982</v>
      </c>
      <c r="G4204">
        <f t="shared" si="131"/>
        <v>3</v>
      </c>
      <c r="H4204" t="str">
        <f>IF(ISNUMBER(FIND(",", E4204)), TRIM(MID(E4204, FIND(",", E4204) + 1, LEN(E4204))), E4204)</f>
        <v>Kermadec Islands region</v>
      </c>
    </row>
    <row r="4205" spans="1:8" x14ac:dyDescent="0.25">
      <c r="A4205" s="2">
        <v>30037</v>
      </c>
      <c r="B4205">
        <v>-11.116</v>
      </c>
      <c r="C4205">
        <v>163.04599999999999</v>
      </c>
      <c r="D4205" t="s">
        <v>14</v>
      </c>
      <c r="E4205" t="s">
        <v>221</v>
      </c>
      <c r="F4205">
        <f t="shared" si="130"/>
        <v>1982</v>
      </c>
      <c r="G4205">
        <f t="shared" si="131"/>
        <v>3</v>
      </c>
      <c r="H4205" t="str">
        <f>IF(ISNUMBER(FIND(",", E4205)), TRIM(MID(E4205, FIND(",", E4205) + 1, LEN(E4205))), E4205)</f>
        <v>Solomon Islands</v>
      </c>
    </row>
    <row r="4206" spans="1:8" x14ac:dyDescent="0.25">
      <c r="A4206" s="2">
        <v>30037</v>
      </c>
      <c r="B4206">
        <v>34.755000000000003</v>
      </c>
      <c r="C4206">
        <v>140.95500000000001</v>
      </c>
      <c r="D4206" t="s">
        <v>14</v>
      </c>
      <c r="E4206" t="s">
        <v>227</v>
      </c>
      <c r="F4206">
        <f t="shared" si="130"/>
        <v>1982</v>
      </c>
      <c r="G4206">
        <f t="shared" si="131"/>
        <v>3</v>
      </c>
      <c r="H4206" t="str">
        <f>IF(ISNUMBER(FIND(",", E4206)), TRIM(MID(E4206, FIND(",", E4206) + 1, LEN(E4206))), E4206)</f>
        <v>Japan</v>
      </c>
    </row>
    <row r="4207" spans="1:8" x14ac:dyDescent="0.25">
      <c r="A4207" s="2">
        <v>30035</v>
      </c>
      <c r="B4207">
        <v>-52.838999999999999</v>
      </c>
      <c r="C4207">
        <v>-46.93</v>
      </c>
      <c r="D4207" t="s">
        <v>14</v>
      </c>
      <c r="E4207" t="s">
        <v>50</v>
      </c>
      <c r="F4207">
        <f t="shared" si="130"/>
        <v>1982</v>
      </c>
      <c r="G4207">
        <f t="shared" si="131"/>
        <v>3</v>
      </c>
      <c r="H4207" t="str">
        <f>IF(ISNUMBER(FIND(",", E4207)), TRIM(MID(E4207, FIND(",", E4207) + 1, LEN(E4207))), E4207)</f>
        <v>South Atlantic Ocean</v>
      </c>
    </row>
    <row r="4208" spans="1:8" x14ac:dyDescent="0.25">
      <c r="A4208" s="2">
        <v>30031</v>
      </c>
      <c r="B4208">
        <v>42.262</v>
      </c>
      <c r="C4208">
        <v>142.41900000000001</v>
      </c>
      <c r="D4208" t="s">
        <v>14</v>
      </c>
      <c r="E4208" t="s">
        <v>265</v>
      </c>
      <c r="F4208">
        <f t="shared" si="130"/>
        <v>1982</v>
      </c>
      <c r="G4208">
        <f t="shared" si="131"/>
        <v>3</v>
      </c>
      <c r="H4208" t="str">
        <f>IF(ISNUMBER(FIND(",", E4208)), TRIM(MID(E4208, FIND(",", E4208) + 1, LEN(E4208))), E4208)</f>
        <v>Japan region</v>
      </c>
    </row>
    <row r="4209" spans="1:8" x14ac:dyDescent="0.25">
      <c r="A4209" s="2">
        <v>30021</v>
      </c>
      <c r="B4209">
        <v>-9.42</v>
      </c>
      <c r="C4209">
        <v>118.367</v>
      </c>
      <c r="D4209" t="s">
        <v>14</v>
      </c>
      <c r="E4209" t="s">
        <v>349</v>
      </c>
      <c r="F4209">
        <f t="shared" si="130"/>
        <v>1982</v>
      </c>
      <c r="G4209">
        <f t="shared" si="131"/>
        <v>3</v>
      </c>
      <c r="H4209" t="str">
        <f>IF(ISNUMBER(FIND(",", E4209)), TRIM(MID(E4209, FIND(",", E4209) + 1, LEN(E4209))), E4209)</f>
        <v>Indonesia</v>
      </c>
    </row>
    <row r="4210" spans="1:8" x14ac:dyDescent="0.25">
      <c r="A4210" s="2">
        <v>30020</v>
      </c>
      <c r="B4210">
        <v>-56.131</v>
      </c>
      <c r="C4210">
        <v>-27.440999999999999</v>
      </c>
      <c r="D4210" t="s">
        <v>14</v>
      </c>
      <c r="E4210" t="s">
        <v>260</v>
      </c>
      <c r="F4210">
        <f t="shared" si="130"/>
        <v>1982</v>
      </c>
      <c r="G4210">
        <f t="shared" si="131"/>
        <v>3</v>
      </c>
      <c r="H4210" t="str">
        <f>IF(ISNUMBER(FIND(",", E4210)), TRIM(MID(E4210, FIND(",", E4210) + 1, LEN(E4210))), E4210)</f>
        <v>South Sandwich Islands region</v>
      </c>
    </row>
    <row r="4211" spans="1:8" x14ac:dyDescent="0.25">
      <c r="A4211" s="2">
        <v>30014</v>
      </c>
      <c r="B4211">
        <v>-22.431999999999999</v>
      </c>
      <c r="C4211">
        <v>173.71100000000001</v>
      </c>
      <c r="D4211" t="s">
        <v>14</v>
      </c>
      <c r="E4211" t="s">
        <v>254</v>
      </c>
      <c r="F4211">
        <f t="shared" si="130"/>
        <v>1982</v>
      </c>
      <c r="G4211">
        <f t="shared" si="131"/>
        <v>3</v>
      </c>
      <c r="H4211" t="str">
        <f>IF(ISNUMBER(FIND(",", E4211)), TRIM(MID(E4211, FIND(",", E4211) + 1, LEN(E4211))), E4211)</f>
        <v>southeast of the Loyalty Islands</v>
      </c>
    </row>
    <row r="4212" spans="1:8" x14ac:dyDescent="0.25">
      <c r="A4212" s="2">
        <v>30009</v>
      </c>
      <c r="B4212">
        <v>22.315999999999999</v>
      </c>
      <c r="C4212">
        <v>143.54300000000001</v>
      </c>
      <c r="D4212" t="s">
        <v>14</v>
      </c>
      <c r="E4212" t="s">
        <v>519</v>
      </c>
      <c r="F4212">
        <f t="shared" si="130"/>
        <v>1982</v>
      </c>
      <c r="G4212">
        <f t="shared" si="131"/>
        <v>2</v>
      </c>
      <c r="H4212" t="str">
        <f>IF(ISNUMBER(FIND(",", E4212)), TRIM(MID(E4212, FIND(",", E4212) + 1, LEN(E4212))), E4212)</f>
        <v>Japan region</v>
      </c>
    </row>
    <row r="4213" spans="1:8" x14ac:dyDescent="0.25">
      <c r="A4213" s="2">
        <v>30002</v>
      </c>
      <c r="B4213">
        <v>33.654000000000003</v>
      </c>
      <c r="C4213">
        <v>141.04499999999999</v>
      </c>
      <c r="D4213" t="s">
        <v>14</v>
      </c>
      <c r="E4213" t="s">
        <v>189</v>
      </c>
      <c r="F4213">
        <f t="shared" si="130"/>
        <v>1982</v>
      </c>
      <c r="G4213">
        <f t="shared" si="131"/>
        <v>2</v>
      </c>
      <c r="H4213" t="str">
        <f>IF(ISNUMBER(FIND(",", E4213)), TRIM(MID(E4213, FIND(",", E4213) + 1, LEN(E4213))), E4213)</f>
        <v>Japan</v>
      </c>
    </row>
    <row r="4214" spans="1:8" x14ac:dyDescent="0.25">
      <c r="A4214" s="2">
        <v>30002</v>
      </c>
      <c r="B4214">
        <v>-10.885</v>
      </c>
      <c r="C4214">
        <v>166.126</v>
      </c>
      <c r="D4214" t="s">
        <v>14</v>
      </c>
      <c r="E4214" t="s">
        <v>211</v>
      </c>
      <c r="F4214">
        <f t="shared" si="130"/>
        <v>1982</v>
      </c>
      <c r="G4214">
        <f t="shared" si="131"/>
        <v>2</v>
      </c>
      <c r="H4214" t="str">
        <f>IF(ISNUMBER(FIND(",", E4214)), TRIM(MID(E4214, FIND(",", E4214) + 1, LEN(E4214))), E4214)</f>
        <v>Santa Cruz Islands</v>
      </c>
    </row>
    <row r="4215" spans="1:8" x14ac:dyDescent="0.25">
      <c r="A4215" s="2">
        <v>29992</v>
      </c>
      <c r="B4215">
        <v>-22.693999999999999</v>
      </c>
      <c r="C4215">
        <v>-66.626999999999995</v>
      </c>
      <c r="D4215" t="s">
        <v>14</v>
      </c>
      <c r="E4215" t="s">
        <v>347</v>
      </c>
      <c r="F4215">
        <f t="shared" si="130"/>
        <v>1982</v>
      </c>
      <c r="G4215">
        <f t="shared" si="131"/>
        <v>2</v>
      </c>
      <c r="H4215" t="str">
        <f>IF(ISNUMBER(FIND(",", E4215)), TRIM(MID(E4215, FIND(",", E4215) + 1, LEN(E4215))), E4215)</f>
        <v>Argentina</v>
      </c>
    </row>
    <row r="4216" spans="1:8" x14ac:dyDescent="0.25">
      <c r="A4216" s="2">
        <v>29979</v>
      </c>
      <c r="B4216">
        <v>-27.382999999999999</v>
      </c>
      <c r="C4216">
        <v>-71.781999999999996</v>
      </c>
      <c r="D4216" t="s">
        <v>13</v>
      </c>
      <c r="E4216" t="s">
        <v>439</v>
      </c>
      <c r="F4216">
        <f t="shared" si="130"/>
        <v>1982</v>
      </c>
      <c r="G4216">
        <f t="shared" si="131"/>
        <v>1</v>
      </c>
      <c r="H4216" t="str">
        <f>IF(ISNUMBER(FIND(",", E4216)), TRIM(MID(E4216, FIND(",", E4216) + 1, LEN(E4216))), E4216)</f>
        <v>Chile</v>
      </c>
    </row>
    <row r="4217" spans="1:8" x14ac:dyDescent="0.25">
      <c r="A4217" s="2">
        <v>29975</v>
      </c>
      <c r="B4217">
        <v>14.079000000000001</v>
      </c>
      <c r="C4217">
        <v>124.29300000000001</v>
      </c>
      <c r="D4217" t="s">
        <v>14</v>
      </c>
      <c r="E4217" t="s">
        <v>558</v>
      </c>
      <c r="F4217">
        <f t="shared" si="130"/>
        <v>1982</v>
      </c>
      <c r="G4217">
        <f t="shared" si="131"/>
        <v>1</v>
      </c>
      <c r="H4217" t="str">
        <f>IF(ISNUMBER(FIND(",", E4217)), TRIM(MID(E4217, FIND(",", E4217) + 1, LEN(E4217))), E4217)</f>
        <v>Philippines</v>
      </c>
    </row>
    <row r="4218" spans="1:8" x14ac:dyDescent="0.25">
      <c r="A4218" s="2">
        <v>29974</v>
      </c>
      <c r="B4218">
        <v>31.581</v>
      </c>
      <c r="C4218">
        <v>82.238</v>
      </c>
      <c r="D4218" t="s">
        <v>14</v>
      </c>
      <c r="E4218" t="s">
        <v>388</v>
      </c>
      <c r="F4218">
        <f t="shared" si="130"/>
        <v>1982</v>
      </c>
      <c r="G4218">
        <f t="shared" si="131"/>
        <v>1</v>
      </c>
      <c r="H4218" t="str">
        <f>IF(ISNUMBER(FIND(",", E4218)), TRIM(MID(E4218, FIND(",", E4218) + 1, LEN(E4218))), E4218)</f>
        <v>western Xizang</v>
      </c>
    </row>
    <row r="4219" spans="1:8" x14ac:dyDescent="0.25">
      <c r="A4219" s="2">
        <v>29974</v>
      </c>
      <c r="B4219">
        <v>31.664999999999999</v>
      </c>
      <c r="C4219">
        <v>82.284999999999997</v>
      </c>
      <c r="D4219" t="s">
        <v>14</v>
      </c>
      <c r="E4219" t="s">
        <v>388</v>
      </c>
      <c r="F4219">
        <f t="shared" si="130"/>
        <v>1982</v>
      </c>
      <c r="G4219">
        <f t="shared" si="131"/>
        <v>1</v>
      </c>
      <c r="H4219" t="str">
        <f>IF(ISNUMBER(FIND(",", E4219)), TRIM(MID(E4219, FIND(",", E4219) + 1, LEN(E4219))), E4219)</f>
        <v>western Xizang</v>
      </c>
    </row>
    <row r="4220" spans="1:8" x14ac:dyDescent="0.25">
      <c r="A4220" s="2">
        <v>29971</v>
      </c>
      <c r="B4220">
        <v>7.2370000000000001</v>
      </c>
      <c r="C4220">
        <v>93.849000000000004</v>
      </c>
      <c r="D4220" t="s">
        <v>14</v>
      </c>
      <c r="E4220" t="s">
        <v>322</v>
      </c>
      <c r="F4220">
        <f t="shared" si="130"/>
        <v>1982</v>
      </c>
      <c r="G4220">
        <f t="shared" si="131"/>
        <v>1</v>
      </c>
      <c r="H4220" t="str">
        <f>IF(ISNUMBER(FIND(",", E4220)), TRIM(MID(E4220, FIND(",", E4220) + 1, LEN(E4220))), E4220)</f>
        <v>India region</v>
      </c>
    </row>
    <row r="4221" spans="1:8" x14ac:dyDescent="0.25">
      <c r="A4221" s="2">
        <v>29971</v>
      </c>
      <c r="B4221">
        <v>7.0549999999999997</v>
      </c>
      <c r="C4221">
        <v>93.947000000000003</v>
      </c>
      <c r="D4221" t="s">
        <v>14</v>
      </c>
      <c r="E4221" t="s">
        <v>322</v>
      </c>
      <c r="F4221">
        <f t="shared" si="130"/>
        <v>1982</v>
      </c>
      <c r="G4221">
        <f t="shared" si="131"/>
        <v>1</v>
      </c>
      <c r="H4221" t="str">
        <f>IF(ISNUMBER(FIND(",", E4221)), TRIM(MID(E4221, FIND(",", E4221) + 1, LEN(E4221))), E4221)</f>
        <v>India region</v>
      </c>
    </row>
    <row r="4222" spans="1:8" x14ac:dyDescent="0.25">
      <c r="A4222" s="2">
        <v>29969</v>
      </c>
      <c r="B4222">
        <v>39.951000000000001</v>
      </c>
      <c r="C4222">
        <v>24.391999999999999</v>
      </c>
      <c r="D4222" t="s">
        <v>14</v>
      </c>
      <c r="E4222" t="s">
        <v>498</v>
      </c>
      <c r="F4222">
        <f t="shared" si="130"/>
        <v>1982</v>
      </c>
      <c r="G4222">
        <f t="shared" si="131"/>
        <v>1</v>
      </c>
      <c r="H4222" t="str">
        <f>IF(ISNUMBER(FIND(",", E4222)), TRIM(MID(E4222, FIND(",", E4222) + 1, LEN(E4222))), E4222)</f>
        <v>Aegean Sea</v>
      </c>
    </row>
    <row r="4223" spans="1:8" x14ac:dyDescent="0.25">
      <c r="A4223" s="2">
        <v>29965</v>
      </c>
      <c r="B4223">
        <v>-9.3829999999999991</v>
      </c>
      <c r="C4223">
        <v>151.98099999999999</v>
      </c>
      <c r="D4223" t="s">
        <v>14</v>
      </c>
      <c r="E4223" t="s">
        <v>507</v>
      </c>
      <c r="F4223">
        <f t="shared" si="130"/>
        <v>1982</v>
      </c>
      <c r="G4223">
        <f t="shared" si="131"/>
        <v>1</v>
      </c>
      <c r="H4223" t="str">
        <f>IF(ISNUMBER(FIND(",", E4223)), TRIM(MID(E4223, FIND(",", E4223) + 1, LEN(E4223))), E4223)</f>
        <v>D'Entrecasteaux Islands region</v>
      </c>
    </row>
    <row r="4224" spans="1:8" x14ac:dyDescent="0.25">
      <c r="A4224" s="2">
        <v>29964</v>
      </c>
      <c r="B4224">
        <v>-9.4930000000000003</v>
      </c>
      <c r="C4224">
        <v>152.298</v>
      </c>
      <c r="D4224" t="s">
        <v>14</v>
      </c>
      <c r="E4224" t="s">
        <v>507</v>
      </c>
      <c r="F4224">
        <f t="shared" si="130"/>
        <v>1982</v>
      </c>
      <c r="G4224">
        <f t="shared" si="131"/>
        <v>1</v>
      </c>
      <c r="H4224" t="str">
        <f>IF(ISNUMBER(FIND(",", E4224)), TRIM(MID(E4224, FIND(",", E4224) + 1, LEN(E4224))), E4224)</f>
        <v>D'Entrecasteaux Islands region</v>
      </c>
    </row>
    <row r="4225" spans="1:8" x14ac:dyDescent="0.25">
      <c r="A4225" s="2">
        <v>29963</v>
      </c>
      <c r="B4225">
        <v>13.172000000000001</v>
      </c>
      <c r="C4225">
        <v>-87.54</v>
      </c>
      <c r="D4225" t="s">
        <v>14</v>
      </c>
      <c r="E4225" t="s">
        <v>614</v>
      </c>
      <c r="F4225">
        <f t="shared" si="130"/>
        <v>1982</v>
      </c>
      <c r="G4225">
        <f t="shared" si="131"/>
        <v>1</v>
      </c>
      <c r="H4225" t="str">
        <f>IF(ISNUMBER(FIND(",", E4225)), TRIM(MID(E4225, FIND(",", E4225) + 1, LEN(E4225))), E4225)</f>
        <v>Honduras</v>
      </c>
    </row>
    <row r="4226" spans="1:8" x14ac:dyDescent="0.25">
      <c r="A4226" s="2">
        <v>29963</v>
      </c>
      <c r="B4226">
        <v>-52.518999999999998</v>
      </c>
      <c r="C4226">
        <v>28.03</v>
      </c>
      <c r="D4226" t="s">
        <v>14</v>
      </c>
      <c r="E4226" t="s">
        <v>465</v>
      </c>
      <c r="F4226">
        <f t="shared" ref="F4226:F4289" si="132">YEAR(A4226)</f>
        <v>1982</v>
      </c>
      <c r="G4226">
        <f t="shared" si="131"/>
        <v>1</v>
      </c>
      <c r="H4226" t="str">
        <f>IF(ISNUMBER(FIND(",", E4226)), TRIM(MID(E4226, FIND(",", E4226) + 1, LEN(E4226))), E4226)</f>
        <v>south of Africa</v>
      </c>
    </row>
    <row r="4227" spans="1:8" x14ac:dyDescent="0.25">
      <c r="A4227" s="2">
        <v>29962</v>
      </c>
      <c r="B4227">
        <v>13.833</v>
      </c>
      <c r="C4227">
        <v>124.337</v>
      </c>
      <c r="D4227" t="s">
        <v>14</v>
      </c>
      <c r="E4227" t="s">
        <v>558</v>
      </c>
      <c r="F4227">
        <f t="shared" si="132"/>
        <v>1982</v>
      </c>
      <c r="G4227">
        <f t="shared" ref="G4227:G4290" si="133">MONTH(A4227)</f>
        <v>1</v>
      </c>
      <c r="H4227" t="str">
        <f>IF(ISNUMBER(FIND(",", E4227)), TRIM(MID(E4227, FIND(",", E4227) + 1, LEN(E4227))), E4227)</f>
        <v>Philippines</v>
      </c>
    </row>
    <row r="4228" spans="1:8" x14ac:dyDescent="0.25">
      <c r="A4228" s="2">
        <v>29955</v>
      </c>
      <c r="B4228">
        <v>-23.097000000000001</v>
      </c>
      <c r="C4228">
        <v>-177.27699999999999</v>
      </c>
      <c r="D4228" t="s">
        <v>14</v>
      </c>
      <c r="E4228" t="s">
        <v>256</v>
      </c>
      <c r="F4228">
        <f t="shared" si="132"/>
        <v>1982</v>
      </c>
      <c r="G4228">
        <f t="shared" si="133"/>
        <v>1</v>
      </c>
      <c r="H4228" t="str">
        <f>IF(ISNUMBER(FIND(",", E4228)), TRIM(MID(E4228, FIND(",", E4228) + 1, LEN(E4228))), E4228)</f>
        <v>south of the Fiji Islands</v>
      </c>
    </row>
    <row r="4229" spans="1:8" x14ac:dyDescent="0.25">
      <c r="A4229" s="2">
        <v>29955</v>
      </c>
      <c r="B4229">
        <v>18.001000000000001</v>
      </c>
      <c r="C4229">
        <v>145.68799999999999</v>
      </c>
      <c r="D4229" t="s">
        <v>14</v>
      </c>
      <c r="E4229" t="s">
        <v>416</v>
      </c>
      <c r="F4229">
        <f t="shared" si="132"/>
        <v>1982</v>
      </c>
      <c r="G4229">
        <f t="shared" si="133"/>
        <v>1</v>
      </c>
      <c r="H4229" t="str">
        <f>IF(ISNUMBER(FIND(",", E4229)), TRIM(MID(E4229, FIND(",", E4229) + 1, LEN(E4229))), E4229)</f>
        <v>Northern Mariana Islands</v>
      </c>
    </row>
    <row r="4230" spans="1:8" x14ac:dyDescent="0.25">
      <c r="A4230" s="2">
        <v>29954</v>
      </c>
      <c r="B4230">
        <v>-0.98699999999999999</v>
      </c>
      <c r="C4230">
        <v>-21.869</v>
      </c>
      <c r="D4230" t="s">
        <v>14</v>
      </c>
      <c r="E4230" t="s">
        <v>291</v>
      </c>
      <c r="F4230">
        <f t="shared" si="132"/>
        <v>1982</v>
      </c>
      <c r="G4230">
        <f t="shared" si="133"/>
        <v>1</v>
      </c>
      <c r="H4230" t="str">
        <f>IF(ISNUMBER(FIND(",", E4230)), TRIM(MID(E4230, FIND(",", E4230) + 1, LEN(E4230))), E4230)</f>
        <v>central Mid-Atlantic Ridge</v>
      </c>
    </row>
    <row r="4231" spans="1:8" x14ac:dyDescent="0.25">
      <c r="A4231" s="2">
        <v>29952</v>
      </c>
      <c r="B4231">
        <v>26.82</v>
      </c>
      <c r="C4231">
        <v>142.63200000000001</v>
      </c>
      <c r="D4231" t="s">
        <v>14</v>
      </c>
      <c r="E4231" t="s">
        <v>233</v>
      </c>
      <c r="F4231">
        <f t="shared" si="132"/>
        <v>1982</v>
      </c>
      <c r="G4231">
        <f t="shared" si="133"/>
        <v>1</v>
      </c>
      <c r="H4231" t="str">
        <f>IF(ISNUMBER(FIND(",", E4231)), TRIM(MID(E4231, FIND(",", E4231) + 1, LEN(E4231))), E4231)</f>
        <v>Japan region</v>
      </c>
    </row>
    <row r="4232" spans="1:8" x14ac:dyDescent="0.25">
      <c r="A4232" s="2">
        <v>29947</v>
      </c>
      <c r="B4232">
        <v>38.850999999999999</v>
      </c>
      <c r="C4232">
        <v>24.949000000000002</v>
      </c>
      <c r="D4232" t="s">
        <v>14</v>
      </c>
      <c r="E4232" t="s">
        <v>498</v>
      </c>
      <c r="F4232">
        <f t="shared" si="132"/>
        <v>1981</v>
      </c>
      <c r="G4232">
        <f t="shared" si="133"/>
        <v>12</v>
      </c>
      <c r="H4232" t="str">
        <f>IF(ISNUMBER(FIND(",", E4232)), TRIM(MID(E4232, FIND(",", E4232) + 1, LEN(E4232))), E4232)</f>
        <v>Aegean Sea</v>
      </c>
    </row>
    <row r="4233" spans="1:8" x14ac:dyDescent="0.25">
      <c r="A4233" s="2">
        <v>29947</v>
      </c>
      <c r="B4233">
        <v>49.908999999999999</v>
      </c>
      <c r="C4233">
        <v>78.873000000000005</v>
      </c>
      <c r="D4233" t="s">
        <v>13</v>
      </c>
      <c r="E4233" t="s">
        <v>571</v>
      </c>
      <c r="F4233">
        <f t="shared" si="132"/>
        <v>1981</v>
      </c>
      <c r="G4233">
        <f t="shared" si="133"/>
        <v>12</v>
      </c>
      <c r="H4233" t="str">
        <f>IF(ISNUMBER(FIND(",", E4233)), TRIM(MID(E4233, FIND(",", E4233) + 1, LEN(E4233))), E4233)</f>
        <v>eastern Kazakhstan</v>
      </c>
    </row>
    <row r="4234" spans="1:8" x14ac:dyDescent="0.25">
      <c r="A4234" s="2">
        <v>29946</v>
      </c>
      <c r="B4234">
        <v>-29.936</v>
      </c>
      <c r="C4234">
        <v>-177.655</v>
      </c>
      <c r="D4234" t="s">
        <v>14</v>
      </c>
      <c r="E4234" t="s">
        <v>288</v>
      </c>
      <c r="F4234">
        <f t="shared" si="132"/>
        <v>1981</v>
      </c>
      <c r="G4234">
        <f t="shared" si="133"/>
        <v>12</v>
      </c>
      <c r="H4234" t="str">
        <f>IF(ISNUMBER(FIND(",", E4234)), TRIM(MID(E4234, FIND(",", E4234) + 1, LEN(E4234))), E4234)</f>
        <v>New Zealand</v>
      </c>
    </row>
    <row r="4235" spans="1:8" x14ac:dyDescent="0.25">
      <c r="A4235" s="2">
        <v>29944</v>
      </c>
      <c r="B4235">
        <v>-29.946999999999999</v>
      </c>
      <c r="C4235">
        <v>-177.535</v>
      </c>
      <c r="D4235" t="s">
        <v>14</v>
      </c>
      <c r="E4235" t="s">
        <v>288</v>
      </c>
      <c r="F4235">
        <f t="shared" si="132"/>
        <v>1981</v>
      </c>
      <c r="G4235">
        <f t="shared" si="133"/>
        <v>12</v>
      </c>
      <c r="H4235" t="str">
        <f>IF(ISNUMBER(FIND(",", E4235)), TRIM(MID(E4235, FIND(",", E4235) + 1, LEN(E4235))), E4235)</f>
        <v>New Zealand</v>
      </c>
    </row>
    <row r="4236" spans="1:8" x14ac:dyDescent="0.25">
      <c r="A4236" s="2">
        <v>29939</v>
      </c>
      <c r="B4236">
        <v>39.186</v>
      </c>
      <c r="C4236">
        <v>25.309000000000001</v>
      </c>
      <c r="D4236" t="s">
        <v>14</v>
      </c>
      <c r="E4236" t="s">
        <v>498</v>
      </c>
      <c r="F4236">
        <f t="shared" si="132"/>
        <v>1981</v>
      </c>
      <c r="G4236">
        <f t="shared" si="133"/>
        <v>12</v>
      </c>
      <c r="H4236" t="str">
        <f>IF(ISNUMBER(FIND(",", E4236)), TRIM(MID(E4236, FIND(",", E4236) + 1, LEN(E4236))), E4236)</f>
        <v>Aegean Sea</v>
      </c>
    </row>
    <row r="4237" spans="1:8" x14ac:dyDescent="0.25">
      <c r="A4237" s="2">
        <v>29932</v>
      </c>
      <c r="B4237">
        <v>23.986999999999998</v>
      </c>
      <c r="C4237">
        <v>125.87</v>
      </c>
      <c r="D4237" t="s">
        <v>14</v>
      </c>
      <c r="E4237" t="s">
        <v>312</v>
      </c>
      <c r="F4237">
        <f t="shared" si="132"/>
        <v>1981</v>
      </c>
      <c r="G4237">
        <f t="shared" si="133"/>
        <v>12</v>
      </c>
      <c r="H4237" t="str">
        <f>IF(ISNUMBER(FIND(",", E4237)), TRIM(MID(E4237, FIND(",", E4237) + 1, LEN(E4237))), E4237)</f>
        <v>Japan</v>
      </c>
    </row>
    <row r="4238" spans="1:8" x14ac:dyDescent="0.25">
      <c r="A4238" s="2">
        <v>29931</v>
      </c>
      <c r="B4238">
        <v>-6.048</v>
      </c>
      <c r="C4238">
        <v>148.20599999999999</v>
      </c>
      <c r="D4238" t="s">
        <v>14</v>
      </c>
      <c r="E4238" t="s">
        <v>190</v>
      </c>
      <c r="F4238">
        <f t="shared" si="132"/>
        <v>1981</v>
      </c>
      <c r="G4238">
        <f t="shared" si="133"/>
        <v>12</v>
      </c>
      <c r="H4238" t="str">
        <f>IF(ISNUMBER(FIND(",", E4238)), TRIM(MID(E4238, FIND(",", E4238) + 1, LEN(E4238))), E4238)</f>
        <v>Papua New Guinea</v>
      </c>
    </row>
    <row r="4239" spans="1:8" x14ac:dyDescent="0.25">
      <c r="A4239" s="2">
        <v>29926</v>
      </c>
      <c r="B4239">
        <v>-6.1189999999999998</v>
      </c>
      <c r="C4239">
        <v>152.08600000000001</v>
      </c>
      <c r="D4239" t="s">
        <v>14</v>
      </c>
      <c r="E4239" t="s">
        <v>190</v>
      </c>
      <c r="F4239">
        <f t="shared" si="132"/>
        <v>1981</v>
      </c>
      <c r="G4239">
        <f t="shared" si="133"/>
        <v>12</v>
      </c>
      <c r="H4239" t="str">
        <f>IF(ISNUMBER(FIND(",", E4239)), TRIM(MID(E4239, FIND(",", E4239) + 1, LEN(E4239))), E4239)</f>
        <v>Papua New Guinea</v>
      </c>
    </row>
    <row r="4240" spans="1:8" x14ac:dyDescent="0.25">
      <c r="A4240" s="2">
        <v>29922</v>
      </c>
      <c r="B4240">
        <v>40.942</v>
      </c>
      <c r="C4240">
        <v>142.506</v>
      </c>
      <c r="D4240" t="s">
        <v>14</v>
      </c>
      <c r="E4240" t="s">
        <v>227</v>
      </c>
      <c r="F4240">
        <f t="shared" si="132"/>
        <v>1981</v>
      </c>
      <c r="G4240">
        <f t="shared" si="133"/>
        <v>12</v>
      </c>
      <c r="H4240" t="str">
        <f>IF(ISNUMBER(FIND(",", E4240)), TRIM(MID(E4240, FIND(",", E4240) + 1, LEN(E4240))), E4240)</f>
        <v>Japan</v>
      </c>
    </row>
    <row r="4241" spans="1:8" x14ac:dyDescent="0.25">
      <c r="A4241" s="2">
        <v>29917</v>
      </c>
      <c r="B4241">
        <v>42.865000000000002</v>
      </c>
      <c r="C4241">
        <v>131.208</v>
      </c>
      <c r="D4241" t="s">
        <v>14</v>
      </c>
      <c r="E4241" t="s">
        <v>520</v>
      </c>
      <c r="F4241">
        <f t="shared" si="132"/>
        <v>1981</v>
      </c>
      <c r="G4241">
        <f t="shared" si="133"/>
        <v>11</v>
      </c>
      <c r="H4241" t="str">
        <f>IF(ISNUMBER(FIND(",", E4241)), TRIM(MID(E4241, FIND(",", E4241) + 1, LEN(E4241))), E4241)</f>
        <v>eastern Russia-northeastern China border region</v>
      </c>
    </row>
    <row r="4242" spans="1:8" x14ac:dyDescent="0.25">
      <c r="A4242" s="2">
        <v>29914</v>
      </c>
      <c r="B4242">
        <v>-22.363</v>
      </c>
      <c r="C4242">
        <v>170.631</v>
      </c>
      <c r="D4242" t="s">
        <v>14</v>
      </c>
      <c r="E4242" t="s">
        <v>254</v>
      </c>
      <c r="F4242">
        <f t="shared" si="132"/>
        <v>1981</v>
      </c>
      <c r="G4242">
        <f t="shared" si="133"/>
        <v>11</v>
      </c>
      <c r="H4242" t="str">
        <f>IF(ISNUMBER(FIND(",", E4242)), TRIM(MID(E4242, FIND(",", E4242) + 1, LEN(E4242))), E4242)</f>
        <v>southeast of the Loyalty Islands</v>
      </c>
    </row>
    <row r="4243" spans="1:8" x14ac:dyDescent="0.25">
      <c r="A4243" s="2">
        <v>29914</v>
      </c>
      <c r="B4243">
        <v>-22.475999999999999</v>
      </c>
      <c r="C4243">
        <v>170.71700000000001</v>
      </c>
      <c r="D4243" t="s">
        <v>14</v>
      </c>
      <c r="E4243" t="s">
        <v>254</v>
      </c>
      <c r="F4243">
        <f t="shared" si="132"/>
        <v>1981</v>
      </c>
      <c r="G4243">
        <f t="shared" si="133"/>
        <v>11</v>
      </c>
      <c r="H4243" t="str">
        <f>IF(ISNUMBER(FIND(",", E4243)), TRIM(MID(E4243, FIND(",", E4243) + 1, LEN(E4243))), E4243)</f>
        <v>southeast of the Loyalty Islands</v>
      </c>
    </row>
    <row r="4244" spans="1:8" x14ac:dyDescent="0.25">
      <c r="A4244" s="2">
        <v>29912</v>
      </c>
      <c r="B4244">
        <v>18.738</v>
      </c>
      <c r="C4244">
        <v>120.83499999999999</v>
      </c>
      <c r="D4244" t="s">
        <v>14</v>
      </c>
      <c r="E4244" t="s">
        <v>297</v>
      </c>
      <c r="F4244">
        <f t="shared" si="132"/>
        <v>1981</v>
      </c>
      <c r="G4244">
        <f t="shared" si="133"/>
        <v>11</v>
      </c>
      <c r="H4244" t="str">
        <f>IF(ISNUMBER(FIND(",", E4244)), TRIM(MID(E4244, FIND(",", E4244) + 1, LEN(E4244))), E4244)</f>
        <v>Philippines</v>
      </c>
    </row>
    <row r="4245" spans="1:8" x14ac:dyDescent="0.25">
      <c r="A4245" s="2">
        <v>29906</v>
      </c>
      <c r="B4245">
        <v>-22.152000000000001</v>
      </c>
      <c r="C4245">
        <v>169.608</v>
      </c>
      <c r="D4245" t="s">
        <v>14</v>
      </c>
      <c r="E4245" t="s">
        <v>254</v>
      </c>
      <c r="F4245">
        <f t="shared" si="132"/>
        <v>1981</v>
      </c>
      <c r="G4245">
        <f t="shared" si="133"/>
        <v>11</v>
      </c>
      <c r="H4245" t="str">
        <f>IF(ISNUMBER(FIND(",", E4245)), TRIM(MID(E4245, FIND(",", E4245) + 1, LEN(E4245))), E4245)</f>
        <v>southeast of the Loyalty Islands</v>
      </c>
    </row>
    <row r="4246" spans="1:8" x14ac:dyDescent="0.25">
      <c r="A4246" s="2">
        <v>29905</v>
      </c>
      <c r="B4246">
        <v>-65.635000000000005</v>
      </c>
      <c r="C4246">
        <v>179.899</v>
      </c>
      <c r="D4246" t="s">
        <v>14</v>
      </c>
      <c r="E4246" t="s">
        <v>283</v>
      </c>
      <c r="F4246">
        <f t="shared" si="132"/>
        <v>1981</v>
      </c>
      <c r="G4246">
        <f t="shared" si="133"/>
        <v>11</v>
      </c>
      <c r="H4246" t="str">
        <f>IF(ISNUMBER(FIND(",", E4246)), TRIM(MID(E4246, FIND(",", E4246) + 1, LEN(E4246))), E4246)</f>
        <v>Balleny Islands region</v>
      </c>
    </row>
    <row r="4247" spans="1:8" x14ac:dyDescent="0.25">
      <c r="A4247" s="2">
        <v>29898</v>
      </c>
      <c r="B4247">
        <v>-6.194</v>
      </c>
      <c r="C4247">
        <v>112.096</v>
      </c>
      <c r="D4247" t="s">
        <v>14</v>
      </c>
      <c r="E4247" t="s">
        <v>358</v>
      </c>
      <c r="F4247">
        <f t="shared" si="132"/>
        <v>1981</v>
      </c>
      <c r="G4247">
        <f t="shared" si="133"/>
        <v>11</v>
      </c>
      <c r="H4247" t="str">
        <f>IF(ISNUMBER(FIND(",", E4247)), TRIM(MID(E4247, FIND(",", E4247) + 1, LEN(E4247))), E4247)</f>
        <v>Indonesia</v>
      </c>
    </row>
    <row r="4248" spans="1:8" x14ac:dyDescent="0.25">
      <c r="A4248" s="2">
        <v>29897</v>
      </c>
      <c r="B4248">
        <v>-17.381</v>
      </c>
      <c r="C4248">
        <v>66.638000000000005</v>
      </c>
      <c r="D4248" t="s">
        <v>14</v>
      </c>
      <c r="E4248" t="s">
        <v>220</v>
      </c>
      <c r="F4248">
        <f t="shared" si="132"/>
        <v>1981</v>
      </c>
      <c r="G4248">
        <f t="shared" si="133"/>
        <v>11</v>
      </c>
      <c r="H4248" t="str">
        <f>IF(ISNUMBER(FIND(",", E4248)), TRIM(MID(E4248, FIND(",", E4248) + 1, LEN(E4248))), E4248)</f>
        <v>Mauritius - Reunion region</v>
      </c>
    </row>
    <row r="4249" spans="1:8" x14ac:dyDescent="0.25">
      <c r="A4249" s="2">
        <v>29897</v>
      </c>
      <c r="B4249">
        <v>-32.231999999999999</v>
      </c>
      <c r="C4249">
        <v>-71.382000000000005</v>
      </c>
      <c r="D4249" t="s">
        <v>14</v>
      </c>
      <c r="E4249" t="s">
        <v>244</v>
      </c>
      <c r="F4249">
        <f t="shared" si="132"/>
        <v>1981</v>
      </c>
      <c r="G4249">
        <f t="shared" si="133"/>
        <v>11</v>
      </c>
      <c r="H4249" t="str">
        <f>IF(ISNUMBER(FIND(",", E4249)), TRIM(MID(E4249, FIND(",", E4249) + 1, LEN(E4249))), E4249)</f>
        <v>Chile</v>
      </c>
    </row>
    <row r="4250" spans="1:8" x14ac:dyDescent="0.25">
      <c r="A4250" s="2">
        <v>29896</v>
      </c>
      <c r="B4250">
        <v>-3.4710000000000001</v>
      </c>
      <c r="C4250">
        <v>143.85499999999999</v>
      </c>
      <c r="D4250" t="s">
        <v>14</v>
      </c>
      <c r="E4250" t="s">
        <v>216</v>
      </c>
      <c r="F4250">
        <f t="shared" si="132"/>
        <v>1981</v>
      </c>
      <c r="G4250">
        <f t="shared" si="133"/>
        <v>11</v>
      </c>
      <c r="H4250" t="str">
        <f>IF(ISNUMBER(FIND(",", E4250)), TRIM(MID(E4250, FIND(",", E4250) + 1, LEN(E4250))), E4250)</f>
        <v>Papua New Guinea</v>
      </c>
    </row>
    <row r="4251" spans="1:8" x14ac:dyDescent="0.25">
      <c r="A4251" s="2">
        <v>29894</v>
      </c>
      <c r="B4251">
        <v>-20.024000000000001</v>
      </c>
      <c r="C4251">
        <v>-174.196</v>
      </c>
      <c r="D4251" t="s">
        <v>14</v>
      </c>
      <c r="E4251" t="s">
        <v>239</v>
      </c>
      <c r="F4251">
        <f t="shared" si="132"/>
        <v>1981</v>
      </c>
      <c r="G4251">
        <f t="shared" si="133"/>
        <v>11</v>
      </c>
      <c r="H4251" t="str">
        <f>IF(ISNUMBER(FIND(",", E4251)), TRIM(MID(E4251, FIND(",", E4251) + 1, LEN(E4251))), E4251)</f>
        <v>Tonga</v>
      </c>
    </row>
    <row r="4252" spans="1:8" x14ac:dyDescent="0.25">
      <c r="A4252" s="2">
        <v>29893</v>
      </c>
      <c r="B4252">
        <v>43.442999999999998</v>
      </c>
      <c r="C4252">
        <v>-127.9</v>
      </c>
      <c r="D4252" t="s">
        <v>14</v>
      </c>
      <c r="E4252" t="s">
        <v>249</v>
      </c>
      <c r="F4252">
        <f t="shared" si="132"/>
        <v>1981</v>
      </c>
      <c r="G4252">
        <f t="shared" si="133"/>
        <v>11</v>
      </c>
      <c r="H4252" t="str">
        <f>IF(ISNUMBER(FIND(",", E4252)), TRIM(MID(E4252, FIND(",", E4252) + 1, LEN(E4252))), E4252)</f>
        <v>off the coast of Oregon</v>
      </c>
    </row>
    <row r="4253" spans="1:8" x14ac:dyDescent="0.25">
      <c r="A4253" s="2">
        <v>29887</v>
      </c>
      <c r="B4253">
        <v>-31.314</v>
      </c>
      <c r="C4253">
        <v>-110.715</v>
      </c>
      <c r="D4253" t="s">
        <v>14</v>
      </c>
      <c r="E4253" t="s">
        <v>59</v>
      </c>
      <c r="F4253">
        <f t="shared" si="132"/>
        <v>1981</v>
      </c>
      <c r="G4253">
        <f t="shared" si="133"/>
        <v>10</v>
      </c>
      <c r="H4253" t="str">
        <f>IF(ISNUMBER(FIND(",", E4253)), TRIM(MID(E4253, FIND(",", E4253) + 1, LEN(E4253))), E4253)</f>
        <v>Easter Island region</v>
      </c>
    </row>
    <row r="4254" spans="1:8" x14ac:dyDescent="0.25">
      <c r="A4254" s="2">
        <v>29884</v>
      </c>
      <c r="B4254">
        <v>18.122</v>
      </c>
      <c r="C4254">
        <v>-101.996</v>
      </c>
      <c r="D4254" t="s">
        <v>14</v>
      </c>
      <c r="E4254" t="s">
        <v>192</v>
      </c>
      <c r="F4254">
        <f t="shared" si="132"/>
        <v>1981</v>
      </c>
      <c r="G4254">
        <f t="shared" si="133"/>
        <v>10</v>
      </c>
      <c r="H4254" t="str">
        <f>IF(ISNUMBER(FIND(",", E4254)), TRIM(MID(E4254, FIND(",", E4254) + 1, LEN(E4254))), E4254)</f>
        <v>Mexico</v>
      </c>
    </row>
    <row r="4255" spans="1:8" x14ac:dyDescent="0.25">
      <c r="A4255" s="2">
        <v>29877</v>
      </c>
      <c r="B4255">
        <v>49.886000000000003</v>
      </c>
      <c r="C4255">
        <v>78.897999999999996</v>
      </c>
      <c r="D4255" t="s">
        <v>13</v>
      </c>
      <c r="E4255" t="s">
        <v>571</v>
      </c>
      <c r="F4255">
        <f t="shared" si="132"/>
        <v>1981</v>
      </c>
      <c r="G4255">
        <f t="shared" si="133"/>
        <v>10</v>
      </c>
      <c r="H4255" t="str">
        <f>IF(ISNUMBER(FIND(",", E4255)), TRIM(MID(E4255, FIND(",", E4255) + 1, LEN(E4255))), E4255)</f>
        <v>eastern Kazakhstan</v>
      </c>
    </row>
    <row r="4256" spans="1:8" x14ac:dyDescent="0.25">
      <c r="A4256" s="2">
        <v>29876</v>
      </c>
      <c r="B4256">
        <v>-45.42</v>
      </c>
      <c r="C4256">
        <v>-15.138</v>
      </c>
      <c r="D4256" t="s">
        <v>14</v>
      </c>
      <c r="E4256" t="s">
        <v>422</v>
      </c>
      <c r="F4256">
        <f t="shared" si="132"/>
        <v>1981</v>
      </c>
      <c r="G4256">
        <f t="shared" si="133"/>
        <v>10</v>
      </c>
      <c r="H4256" t="str">
        <f>IF(ISNUMBER(FIND(",", E4256)), TRIM(MID(E4256, FIND(",", E4256) + 1, LEN(E4256))), E4256)</f>
        <v>southern Mid-Atlantic Ridge</v>
      </c>
    </row>
    <row r="4257" spans="1:8" x14ac:dyDescent="0.25">
      <c r="A4257" s="2">
        <v>29876</v>
      </c>
      <c r="B4257">
        <v>-7.0949999999999998</v>
      </c>
      <c r="C4257">
        <v>129.02699999999999</v>
      </c>
      <c r="D4257" t="s">
        <v>14</v>
      </c>
      <c r="E4257" t="s">
        <v>615</v>
      </c>
      <c r="F4257">
        <f t="shared" si="132"/>
        <v>1981</v>
      </c>
      <c r="G4257">
        <f t="shared" si="133"/>
        <v>10</v>
      </c>
      <c r="H4257" t="str">
        <f>IF(ISNUMBER(FIND(",", E4257)), TRIM(MID(E4257, FIND(",", E4257) + 1, LEN(E4257))), E4257)</f>
        <v>Indonesia</v>
      </c>
    </row>
    <row r="4258" spans="1:8" x14ac:dyDescent="0.25">
      <c r="A4258" s="2">
        <v>29875</v>
      </c>
      <c r="B4258">
        <v>-33.195999999999998</v>
      </c>
      <c r="C4258">
        <v>-73.054000000000002</v>
      </c>
      <c r="D4258" t="s">
        <v>14</v>
      </c>
      <c r="E4258" t="s">
        <v>501</v>
      </c>
      <c r="F4258">
        <f t="shared" si="132"/>
        <v>1981</v>
      </c>
      <c r="G4258">
        <f t="shared" si="133"/>
        <v>10</v>
      </c>
      <c r="H4258" t="str">
        <f>IF(ISNUMBER(FIND(",", E4258)), TRIM(MID(E4258, FIND(",", E4258) + 1, LEN(E4258))), E4258)</f>
        <v>Chile</v>
      </c>
    </row>
    <row r="4259" spans="1:8" x14ac:dyDescent="0.25">
      <c r="A4259" s="2">
        <v>29874</v>
      </c>
      <c r="B4259">
        <v>40.228999999999999</v>
      </c>
      <c r="C4259">
        <v>142.28700000000001</v>
      </c>
      <c r="D4259" t="s">
        <v>13</v>
      </c>
      <c r="E4259" t="s">
        <v>227</v>
      </c>
      <c r="F4259">
        <f t="shared" si="132"/>
        <v>1981</v>
      </c>
      <c r="G4259">
        <f t="shared" si="133"/>
        <v>10</v>
      </c>
      <c r="H4259" t="str">
        <f>IF(ISNUMBER(FIND(",", E4259)), TRIM(MID(E4259, FIND(",", E4259) + 1, LEN(E4259))), E4259)</f>
        <v>Japan</v>
      </c>
    </row>
    <row r="4260" spans="1:8" x14ac:dyDescent="0.25">
      <c r="A4260" s="2">
        <v>29868</v>
      </c>
      <c r="B4260">
        <v>-9.9849999999999994</v>
      </c>
      <c r="C4260">
        <v>162.13399999999999</v>
      </c>
      <c r="D4260" t="s">
        <v>14</v>
      </c>
      <c r="E4260" t="s">
        <v>221</v>
      </c>
      <c r="F4260">
        <f t="shared" si="132"/>
        <v>1981</v>
      </c>
      <c r="G4260">
        <f t="shared" si="133"/>
        <v>10</v>
      </c>
      <c r="H4260" t="str">
        <f>IF(ISNUMBER(FIND(",", E4260)), TRIM(MID(E4260, FIND(",", E4260) + 1, LEN(E4260))), E4260)</f>
        <v>Solomon Islands</v>
      </c>
    </row>
    <row r="4261" spans="1:8" x14ac:dyDescent="0.25">
      <c r="A4261" s="2">
        <v>29866</v>
      </c>
      <c r="B4261">
        <v>-20.751999999999999</v>
      </c>
      <c r="C4261">
        <v>-178.572</v>
      </c>
      <c r="D4261" t="s">
        <v>14</v>
      </c>
      <c r="E4261" t="s">
        <v>53</v>
      </c>
      <c r="F4261">
        <f t="shared" si="132"/>
        <v>1981</v>
      </c>
      <c r="G4261">
        <f t="shared" si="133"/>
        <v>10</v>
      </c>
      <c r="H4261" t="str">
        <f>IF(ISNUMBER(FIND(",", E4261)), TRIM(MID(E4261, FIND(",", E4261) + 1, LEN(E4261))), E4261)</f>
        <v>Fiji region</v>
      </c>
    </row>
    <row r="4262" spans="1:8" x14ac:dyDescent="0.25">
      <c r="A4262" s="2">
        <v>29863</v>
      </c>
      <c r="B4262">
        <v>-4.5279999999999996</v>
      </c>
      <c r="C4262">
        <v>146.24</v>
      </c>
      <c r="D4262" t="s">
        <v>14</v>
      </c>
      <c r="E4262" t="s">
        <v>243</v>
      </c>
      <c r="F4262">
        <f t="shared" si="132"/>
        <v>1981</v>
      </c>
      <c r="G4262">
        <f t="shared" si="133"/>
        <v>10</v>
      </c>
      <c r="H4262" t="str">
        <f>IF(ISNUMBER(FIND(",", E4262)), TRIM(MID(E4262, FIND(",", E4262) + 1, LEN(E4262))), E4262)</f>
        <v>Papua New Guinea</v>
      </c>
    </row>
    <row r="4263" spans="1:8" x14ac:dyDescent="0.25">
      <c r="A4263" s="2">
        <v>29857</v>
      </c>
      <c r="B4263">
        <v>-29.466000000000001</v>
      </c>
      <c r="C4263">
        <v>-178.96700000000001</v>
      </c>
      <c r="D4263" t="s">
        <v>14</v>
      </c>
      <c r="E4263" t="s">
        <v>288</v>
      </c>
      <c r="F4263">
        <f t="shared" si="132"/>
        <v>1981</v>
      </c>
      <c r="G4263">
        <f t="shared" si="133"/>
        <v>9</v>
      </c>
      <c r="H4263" t="str">
        <f>IF(ISNUMBER(FIND(",", E4263)), TRIM(MID(E4263, FIND(",", E4263) + 1, LEN(E4263))), E4263)</f>
        <v>New Zealand</v>
      </c>
    </row>
    <row r="4264" spans="1:8" x14ac:dyDescent="0.25">
      <c r="A4264" s="2">
        <v>29850</v>
      </c>
      <c r="B4264">
        <v>-22.242000000000001</v>
      </c>
      <c r="C4264">
        <v>170.57499999999999</v>
      </c>
      <c r="D4264" t="s">
        <v>14</v>
      </c>
      <c r="E4264" t="s">
        <v>254</v>
      </c>
      <c r="F4264">
        <f t="shared" si="132"/>
        <v>1981</v>
      </c>
      <c r="G4264">
        <f t="shared" si="133"/>
        <v>9</v>
      </c>
      <c r="H4264" t="str">
        <f>IF(ISNUMBER(FIND(",", E4264)), TRIM(MID(E4264, FIND(",", E4264) + 1, LEN(E4264))), E4264)</f>
        <v>southeast of the Loyalty Islands</v>
      </c>
    </row>
    <row r="4265" spans="1:8" x14ac:dyDescent="0.25">
      <c r="A4265" s="2">
        <v>29846</v>
      </c>
      <c r="B4265">
        <v>-22.529</v>
      </c>
      <c r="C4265">
        <v>170.6</v>
      </c>
      <c r="D4265" t="s">
        <v>14</v>
      </c>
      <c r="E4265" t="s">
        <v>254</v>
      </c>
      <c r="F4265">
        <f t="shared" si="132"/>
        <v>1981</v>
      </c>
      <c r="G4265">
        <f t="shared" si="133"/>
        <v>9</v>
      </c>
      <c r="H4265" t="str">
        <f>IF(ISNUMBER(FIND(",", E4265)), TRIM(MID(E4265, FIND(",", E4265) + 1, LEN(E4265))), E4265)</f>
        <v>southeast of the Loyalty Islands</v>
      </c>
    </row>
    <row r="4266" spans="1:8" x14ac:dyDescent="0.25">
      <c r="A4266" s="2">
        <v>29846</v>
      </c>
      <c r="B4266">
        <v>-6.4729999999999999</v>
      </c>
      <c r="C4266">
        <v>127.83199999999999</v>
      </c>
      <c r="D4266" t="s">
        <v>14</v>
      </c>
      <c r="E4266" t="s">
        <v>187</v>
      </c>
      <c r="F4266">
        <f t="shared" si="132"/>
        <v>1981</v>
      </c>
      <c r="G4266">
        <f t="shared" si="133"/>
        <v>9</v>
      </c>
      <c r="H4266" t="str">
        <f>IF(ISNUMBER(FIND(",", E4266)), TRIM(MID(E4266, FIND(",", E4266) + 1, LEN(E4266))), E4266)</f>
        <v>Banda Sea</v>
      </c>
    </row>
    <row r="4267" spans="1:8" x14ac:dyDescent="0.25">
      <c r="A4267" s="2">
        <v>29843</v>
      </c>
      <c r="B4267">
        <v>18.260000000000002</v>
      </c>
      <c r="C4267">
        <v>-68.917000000000002</v>
      </c>
      <c r="D4267" t="s">
        <v>14</v>
      </c>
      <c r="E4267" t="s">
        <v>616</v>
      </c>
      <c r="F4267">
        <f t="shared" si="132"/>
        <v>1981</v>
      </c>
      <c r="G4267">
        <f t="shared" si="133"/>
        <v>9</v>
      </c>
      <c r="H4267" t="str">
        <f>IF(ISNUMBER(FIND(",", E4267)), TRIM(MID(E4267, FIND(",", E4267) + 1, LEN(E4267))), E4267)</f>
        <v>Mona Passage</v>
      </c>
    </row>
    <row r="4268" spans="1:8" x14ac:dyDescent="0.25">
      <c r="A4268" s="2">
        <v>29842</v>
      </c>
      <c r="B4268">
        <v>49.896999999999998</v>
      </c>
      <c r="C4268">
        <v>78.983000000000004</v>
      </c>
      <c r="D4268" t="s">
        <v>13</v>
      </c>
      <c r="E4268" t="s">
        <v>571</v>
      </c>
      <c r="F4268">
        <f t="shared" si="132"/>
        <v>1981</v>
      </c>
      <c r="G4268">
        <f t="shared" si="133"/>
        <v>9</v>
      </c>
      <c r="H4268" t="str">
        <f>IF(ISNUMBER(FIND(",", E4268)), TRIM(MID(E4268, FIND(",", E4268) + 1, LEN(E4268))), E4268)</f>
        <v>eastern Kazakhstan</v>
      </c>
    </row>
    <row r="4269" spans="1:8" x14ac:dyDescent="0.25">
      <c r="A4269" s="2">
        <v>29841</v>
      </c>
      <c r="B4269">
        <v>35.682000000000002</v>
      </c>
      <c r="C4269">
        <v>73.594999999999999</v>
      </c>
      <c r="D4269" t="s">
        <v>14</v>
      </c>
      <c r="E4269" t="s">
        <v>484</v>
      </c>
      <c r="F4269">
        <f t="shared" si="132"/>
        <v>1981</v>
      </c>
      <c r="G4269">
        <f t="shared" si="133"/>
        <v>9</v>
      </c>
      <c r="H4269" t="str">
        <f>IF(ISNUMBER(FIND(",", E4269)), TRIM(MID(E4269, FIND(",", E4269) + 1, LEN(E4269))), E4269)</f>
        <v>northwestern Kashmir</v>
      </c>
    </row>
    <row r="4270" spans="1:8" x14ac:dyDescent="0.25">
      <c r="A4270" s="2">
        <v>29833</v>
      </c>
      <c r="B4270">
        <v>9.9540000000000006</v>
      </c>
      <c r="C4270">
        <v>123.967</v>
      </c>
      <c r="D4270" t="s">
        <v>14</v>
      </c>
      <c r="E4270" t="s">
        <v>257</v>
      </c>
      <c r="F4270">
        <f t="shared" si="132"/>
        <v>1981</v>
      </c>
      <c r="G4270">
        <f t="shared" si="133"/>
        <v>9</v>
      </c>
      <c r="H4270" t="str">
        <f>IF(ISNUMBER(FIND(",", E4270)), TRIM(MID(E4270, FIND(",", E4270) + 1, LEN(E4270))), E4270)</f>
        <v>Philippines</v>
      </c>
    </row>
    <row r="4271" spans="1:8" x14ac:dyDescent="0.25">
      <c r="A4271" s="2">
        <v>29832</v>
      </c>
      <c r="B4271">
        <v>43.624000000000002</v>
      </c>
      <c r="C4271">
        <v>146.97800000000001</v>
      </c>
      <c r="D4271" t="s">
        <v>14</v>
      </c>
      <c r="E4271" t="s">
        <v>191</v>
      </c>
      <c r="F4271">
        <f t="shared" si="132"/>
        <v>1981</v>
      </c>
      <c r="G4271">
        <f t="shared" si="133"/>
        <v>9</v>
      </c>
      <c r="H4271" t="str">
        <f>IF(ISNUMBER(FIND(",", E4271)), TRIM(MID(E4271, FIND(",", E4271) + 1, LEN(E4271))), E4271)</f>
        <v>Kuril Islands</v>
      </c>
    </row>
    <row r="4272" spans="1:8" x14ac:dyDescent="0.25">
      <c r="A4272" s="2">
        <v>29830</v>
      </c>
      <c r="B4272">
        <v>-15.111000000000001</v>
      </c>
      <c r="C4272">
        <v>-173.02099999999999</v>
      </c>
      <c r="D4272" t="s">
        <v>14</v>
      </c>
      <c r="E4272" t="s">
        <v>239</v>
      </c>
      <c r="F4272">
        <f t="shared" si="132"/>
        <v>1981</v>
      </c>
      <c r="G4272">
        <f t="shared" si="133"/>
        <v>9</v>
      </c>
      <c r="H4272" t="str">
        <f>IF(ISNUMBER(FIND(",", E4272)), TRIM(MID(E4272, FIND(",", E4272) + 1, LEN(E4272))), E4272)</f>
        <v>Tonga</v>
      </c>
    </row>
    <row r="4273" spans="1:8" x14ac:dyDescent="0.25">
      <c r="A4273" s="2">
        <v>29817</v>
      </c>
      <c r="B4273">
        <v>-9.1479999999999997</v>
      </c>
      <c r="C4273">
        <v>67.168999999999997</v>
      </c>
      <c r="D4273" t="s">
        <v>14</v>
      </c>
      <c r="E4273" t="s">
        <v>377</v>
      </c>
      <c r="F4273">
        <f t="shared" si="132"/>
        <v>1981</v>
      </c>
      <c r="G4273">
        <f t="shared" si="133"/>
        <v>8</v>
      </c>
      <c r="H4273" t="str">
        <f>IF(ISNUMBER(FIND(",", E4273)), TRIM(MID(E4273, FIND(",", E4273) + 1, LEN(E4273))), E4273)</f>
        <v>Mid-Indian Ridge</v>
      </c>
    </row>
    <row r="4274" spans="1:8" x14ac:dyDescent="0.25">
      <c r="A4274" s="2">
        <v>29805</v>
      </c>
      <c r="B4274">
        <v>-5.1660000000000004</v>
      </c>
      <c r="C4274">
        <v>151.74299999999999</v>
      </c>
      <c r="D4274" t="s">
        <v>14</v>
      </c>
      <c r="E4274" t="s">
        <v>190</v>
      </c>
      <c r="F4274">
        <f t="shared" si="132"/>
        <v>1981</v>
      </c>
      <c r="G4274">
        <f t="shared" si="133"/>
        <v>8</v>
      </c>
      <c r="H4274" t="str">
        <f>IF(ISNUMBER(FIND(",", E4274)), TRIM(MID(E4274, FIND(",", E4274) + 1, LEN(E4274))), E4274)</f>
        <v>Papua New Guinea</v>
      </c>
    </row>
    <row r="4275" spans="1:8" x14ac:dyDescent="0.25">
      <c r="A4275" s="2">
        <v>29796</v>
      </c>
      <c r="B4275">
        <v>-21.591000000000001</v>
      </c>
      <c r="C4275">
        <v>169.78299999999999</v>
      </c>
      <c r="D4275" t="s">
        <v>14</v>
      </c>
      <c r="E4275" t="s">
        <v>254</v>
      </c>
      <c r="F4275">
        <f t="shared" si="132"/>
        <v>1981</v>
      </c>
      <c r="G4275">
        <f t="shared" si="133"/>
        <v>7</v>
      </c>
      <c r="H4275" t="str">
        <f>IF(ISNUMBER(FIND(",", E4275)), TRIM(MID(E4275, FIND(",", E4275) + 1, LEN(E4275))), E4275)</f>
        <v>southeast of the Loyalty Islands</v>
      </c>
    </row>
    <row r="4276" spans="1:8" x14ac:dyDescent="0.25">
      <c r="A4276" s="2">
        <v>29795</v>
      </c>
      <c r="B4276">
        <v>29.986000000000001</v>
      </c>
      <c r="C4276">
        <v>57.771999999999998</v>
      </c>
      <c r="D4276" t="s">
        <v>14</v>
      </c>
      <c r="E4276" t="s">
        <v>390</v>
      </c>
      <c r="F4276">
        <f t="shared" si="132"/>
        <v>1981</v>
      </c>
      <c r="G4276">
        <f t="shared" si="133"/>
        <v>7</v>
      </c>
      <c r="H4276" t="str">
        <f>IF(ISNUMBER(FIND(",", E4276)), TRIM(MID(E4276, FIND(",", E4276) + 1, LEN(E4276))), E4276)</f>
        <v>southern Iran</v>
      </c>
    </row>
    <row r="4277" spans="1:8" x14ac:dyDescent="0.25">
      <c r="A4277" s="2">
        <v>29793</v>
      </c>
      <c r="B4277">
        <v>-35.725000000000001</v>
      </c>
      <c r="C4277">
        <v>-15.997</v>
      </c>
      <c r="D4277" t="s">
        <v>14</v>
      </c>
      <c r="E4277" t="s">
        <v>530</v>
      </c>
      <c r="F4277">
        <f t="shared" si="132"/>
        <v>1981</v>
      </c>
      <c r="G4277">
        <f t="shared" si="133"/>
        <v>7</v>
      </c>
      <c r="H4277" t="str">
        <f>IF(ISNUMBER(FIND(",", E4277)), TRIM(MID(E4277, FIND(",", E4277) + 1, LEN(E4277))), E4277)</f>
        <v>Tristan da Cunha region</v>
      </c>
    </row>
    <row r="4278" spans="1:8" x14ac:dyDescent="0.25">
      <c r="A4278" s="2">
        <v>29782</v>
      </c>
      <c r="B4278">
        <v>-17.271999999999998</v>
      </c>
      <c r="C4278">
        <v>167.68899999999999</v>
      </c>
      <c r="D4278" t="s">
        <v>14</v>
      </c>
      <c r="E4278" t="s">
        <v>181</v>
      </c>
      <c r="F4278">
        <f t="shared" si="132"/>
        <v>1981</v>
      </c>
      <c r="G4278">
        <f t="shared" si="133"/>
        <v>7</v>
      </c>
      <c r="H4278" t="str">
        <f>IF(ISNUMBER(FIND(",", E4278)), TRIM(MID(E4278, FIND(",", E4278) + 1, LEN(E4278))), E4278)</f>
        <v>Vanuatu</v>
      </c>
    </row>
    <row r="4279" spans="1:8" x14ac:dyDescent="0.25">
      <c r="A4279" s="2">
        <v>29774</v>
      </c>
      <c r="B4279">
        <v>-0.218</v>
      </c>
      <c r="C4279">
        <v>-18.850000000000001</v>
      </c>
      <c r="D4279" t="s">
        <v>14</v>
      </c>
      <c r="E4279" t="s">
        <v>291</v>
      </c>
      <c r="F4279">
        <f t="shared" si="132"/>
        <v>1981</v>
      </c>
      <c r="G4279">
        <f t="shared" si="133"/>
        <v>7</v>
      </c>
      <c r="H4279" t="str">
        <f>IF(ISNUMBER(FIND(",", E4279)), TRIM(MID(E4279, FIND(",", E4279) + 1, LEN(E4279))), E4279)</f>
        <v>central Mid-Atlantic Ridge</v>
      </c>
    </row>
    <row r="4280" spans="1:8" x14ac:dyDescent="0.25">
      <c r="A4280" s="2">
        <v>29773</v>
      </c>
      <c r="B4280">
        <v>-22.25</v>
      </c>
      <c r="C4280">
        <v>171.81399999999999</v>
      </c>
      <c r="D4280" t="s">
        <v>14</v>
      </c>
      <c r="E4280" t="s">
        <v>254</v>
      </c>
      <c r="F4280">
        <f t="shared" si="132"/>
        <v>1981</v>
      </c>
      <c r="G4280">
        <f t="shared" si="133"/>
        <v>7</v>
      </c>
      <c r="H4280" t="str">
        <f>IF(ISNUMBER(FIND(",", E4280)), TRIM(MID(E4280, FIND(",", E4280) + 1, LEN(E4280))), E4280)</f>
        <v>southeast of the Loyalty Islands</v>
      </c>
    </row>
    <row r="4281" spans="1:8" x14ac:dyDescent="0.25">
      <c r="A4281" s="2">
        <v>29763</v>
      </c>
      <c r="B4281">
        <v>-30.321999999999999</v>
      </c>
      <c r="C4281">
        <v>-178.86500000000001</v>
      </c>
      <c r="D4281" t="s">
        <v>14</v>
      </c>
      <c r="E4281" t="s">
        <v>288</v>
      </c>
      <c r="F4281">
        <f t="shared" si="132"/>
        <v>1981</v>
      </c>
      <c r="G4281">
        <f t="shared" si="133"/>
        <v>6</v>
      </c>
      <c r="H4281" t="str">
        <f>IF(ISNUMBER(FIND(",", E4281)), TRIM(MID(E4281, FIND(",", E4281) + 1, LEN(E4281))), E4281)</f>
        <v>New Zealand</v>
      </c>
    </row>
    <row r="4282" spans="1:8" x14ac:dyDescent="0.25">
      <c r="A4282" s="2">
        <v>29750</v>
      </c>
      <c r="B4282">
        <v>-60.344999999999999</v>
      </c>
      <c r="C4282">
        <v>154.36500000000001</v>
      </c>
      <c r="D4282" t="s">
        <v>14</v>
      </c>
      <c r="E4282" t="s">
        <v>205</v>
      </c>
      <c r="F4282">
        <f t="shared" si="132"/>
        <v>1981</v>
      </c>
      <c r="G4282">
        <f t="shared" si="133"/>
        <v>6</v>
      </c>
      <c r="H4282" t="str">
        <f>IF(ISNUMBER(FIND(",", E4282)), TRIM(MID(E4282, FIND(",", E4282) + 1, LEN(E4282))), E4282)</f>
        <v>west of Macquarie Island</v>
      </c>
    </row>
    <row r="4283" spans="1:8" x14ac:dyDescent="0.25">
      <c r="A4283" s="2">
        <v>29748</v>
      </c>
      <c r="B4283">
        <v>29.858000000000001</v>
      </c>
      <c r="C4283">
        <v>57.683999999999997</v>
      </c>
      <c r="D4283" t="s">
        <v>14</v>
      </c>
      <c r="E4283" t="s">
        <v>390</v>
      </c>
      <c r="F4283">
        <f t="shared" si="132"/>
        <v>1981</v>
      </c>
      <c r="G4283">
        <f t="shared" si="133"/>
        <v>6</v>
      </c>
      <c r="H4283" t="str">
        <f>IF(ISNUMBER(FIND(",", E4283)), TRIM(MID(E4283, FIND(",", E4283) + 1, LEN(E4283))), E4283)</f>
        <v>southern Iran</v>
      </c>
    </row>
    <row r="4284" spans="1:8" x14ac:dyDescent="0.25">
      <c r="A4284" s="2">
        <v>29740</v>
      </c>
      <c r="B4284">
        <v>-35.578000000000003</v>
      </c>
      <c r="C4284">
        <v>-17.087</v>
      </c>
      <c r="D4284" t="s">
        <v>14</v>
      </c>
      <c r="E4284" t="s">
        <v>422</v>
      </c>
      <c r="F4284">
        <f t="shared" si="132"/>
        <v>1981</v>
      </c>
      <c r="G4284">
        <f t="shared" si="133"/>
        <v>6</v>
      </c>
      <c r="H4284" t="str">
        <f>IF(ISNUMBER(FIND(",", E4284)), TRIM(MID(E4284, FIND(",", E4284) + 1, LEN(E4284))), E4284)</f>
        <v>southern Mid-Atlantic Ridge</v>
      </c>
    </row>
    <row r="4285" spans="1:8" x14ac:dyDescent="0.25">
      <c r="A4285" s="2">
        <v>29738</v>
      </c>
      <c r="B4285">
        <v>18.789000000000001</v>
      </c>
      <c r="C4285">
        <v>-107.053</v>
      </c>
      <c r="D4285" t="s">
        <v>14</v>
      </c>
      <c r="E4285" t="s">
        <v>315</v>
      </c>
      <c r="F4285">
        <f t="shared" si="132"/>
        <v>1981</v>
      </c>
      <c r="G4285">
        <f t="shared" si="133"/>
        <v>6</v>
      </c>
      <c r="H4285" t="str">
        <f>IF(ISNUMBER(FIND(",", E4285)), TRIM(MID(E4285, FIND(",", E4285) + 1, LEN(E4285))), E4285)</f>
        <v>Mexico</v>
      </c>
    </row>
    <row r="4286" spans="1:8" x14ac:dyDescent="0.25">
      <c r="A4286" s="2">
        <v>29738</v>
      </c>
      <c r="B4286">
        <v>-16.126000000000001</v>
      </c>
      <c r="C4286">
        <v>-173.559</v>
      </c>
      <c r="D4286" t="s">
        <v>14</v>
      </c>
      <c r="E4286" t="s">
        <v>239</v>
      </c>
      <c r="F4286">
        <f t="shared" si="132"/>
        <v>1981</v>
      </c>
      <c r="G4286">
        <f t="shared" si="133"/>
        <v>6</v>
      </c>
      <c r="H4286" t="str">
        <f>IF(ISNUMBER(FIND(",", E4286)), TRIM(MID(E4286, FIND(",", E4286) + 1, LEN(E4286))), E4286)</f>
        <v>Tonga</v>
      </c>
    </row>
    <row r="4287" spans="1:8" x14ac:dyDescent="0.25">
      <c r="A4287" s="2">
        <v>29734</v>
      </c>
      <c r="B4287">
        <v>-5.625</v>
      </c>
      <c r="C4287">
        <v>151.47499999999999</v>
      </c>
      <c r="D4287" t="s">
        <v>14</v>
      </c>
      <c r="E4287" t="s">
        <v>190</v>
      </c>
      <c r="F4287">
        <f t="shared" si="132"/>
        <v>1981</v>
      </c>
      <c r="G4287">
        <f t="shared" si="133"/>
        <v>5</v>
      </c>
      <c r="H4287" t="str">
        <f>IF(ISNUMBER(FIND(",", E4287)), TRIM(MID(E4287, FIND(",", E4287) + 1, LEN(E4287))), E4287)</f>
        <v>Papua New Guinea</v>
      </c>
    </row>
    <row r="4288" spans="1:8" x14ac:dyDescent="0.25">
      <c r="A4288" s="2">
        <v>29734</v>
      </c>
      <c r="B4288">
        <v>-14.744999999999999</v>
      </c>
      <c r="C4288">
        <v>167.34899999999999</v>
      </c>
      <c r="D4288" t="s">
        <v>14</v>
      </c>
      <c r="E4288" t="s">
        <v>181</v>
      </c>
      <c r="F4288">
        <f t="shared" si="132"/>
        <v>1981</v>
      </c>
      <c r="G4288">
        <f t="shared" si="133"/>
        <v>5</v>
      </c>
      <c r="H4288" t="str">
        <f>IF(ISNUMBER(FIND(",", E4288)), TRIM(MID(E4288, FIND(",", E4288) + 1, LEN(E4288))), E4288)</f>
        <v>Vanuatu</v>
      </c>
    </row>
    <row r="4289" spans="1:8" x14ac:dyDescent="0.25">
      <c r="A4289" s="2">
        <v>29731</v>
      </c>
      <c r="B4289">
        <v>-48.716000000000001</v>
      </c>
      <c r="C4289">
        <v>164.654</v>
      </c>
      <c r="D4289" t="s">
        <v>14</v>
      </c>
      <c r="E4289" t="s">
        <v>361</v>
      </c>
      <c r="F4289">
        <f t="shared" si="132"/>
        <v>1981</v>
      </c>
      <c r="G4289">
        <f t="shared" si="133"/>
        <v>5</v>
      </c>
      <c r="H4289" t="str">
        <f>IF(ISNUMBER(FIND(",", E4289)), TRIM(MID(E4289, FIND(",", E4289) + 1, LEN(E4289))), E4289)</f>
        <v>off the west coast of the South Island of New Zealand</v>
      </c>
    </row>
    <row r="4290" spans="1:8" x14ac:dyDescent="0.25">
      <c r="A4290" s="2">
        <v>29728</v>
      </c>
      <c r="B4290">
        <v>-6.6059999999999999</v>
      </c>
      <c r="C4290">
        <v>132.24199999999999</v>
      </c>
      <c r="D4290" t="s">
        <v>14</v>
      </c>
      <c r="E4290" t="s">
        <v>411</v>
      </c>
      <c r="F4290">
        <f t="shared" ref="F4290:F4353" si="134">YEAR(A4290)</f>
        <v>1981</v>
      </c>
      <c r="G4290">
        <f t="shared" si="133"/>
        <v>5</v>
      </c>
      <c r="H4290" t="str">
        <f>IF(ISNUMBER(FIND(",", E4290)), TRIM(MID(E4290, FIND(",", E4290) + 1, LEN(E4290))), E4290)</f>
        <v>Indonesia</v>
      </c>
    </row>
    <row r="4291" spans="1:8" x14ac:dyDescent="0.25">
      <c r="A4291" s="2">
        <v>29719</v>
      </c>
      <c r="B4291">
        <v>5.8280000000000003</v>
      </c>
      <c r="C4291">
        <v>126.92700000000001</v>
      </c>
      <c r="D4291" t="s">
        <v>14</v>
      </c>
      <c r="E4291" t="s">
        <v>200</v>
      </c>
      <c r="F4291">
        <f t="shared" si="134"/>
        <v>1981</v>
      </c>
      <c r="G4291">
        <f t="shared" ref="G4291:G4354" si="135">MONTH(A4291)</f>
        <v>5</v>
      </c>
      <c r="H4291" t="str">
        <f>IF(ISNUMBER(FIND(",", E4291)), TRIM(MID(E4291, FIND(",", E4291) + 1, LEN(E4291))), E4291)</f>
        <v>Philippines</v>
      </c>
    </row>
    <row r="4292" spans="1:8" x14ac:dyDescent="0.25">
      <c r="A4292" s="2">
        <v>29714</v>
      </c>
      <c r="B4292">
        <v>42.658999999999999</v>
      </c>
      <c r="C4292">
        <v>139.16499999999999</v>
      </c>
      <c r="D4292" t="s">
        <v>14</v>
      </c>
      <c r="E4292" t="s">
        <v>265</v>
      </c>
      <c r="F4292">
        <f t="shared" si="134"/>
        <v>1981</v>
      </c>
      <c r="G4292">
        <f t="shared" si="135"/>
        <v>5</v>
      </c>
      <c r="H4292" t="str">
        <f>IF(ISNUMBER(FIND(",", E4292)), TRIM(MID(E4292, FIND(",", E4292) + 1, LEN(E4292))), E4292)</f>
        <v>Japan region</v>
      </c>
    </row>
    <row r="4293" spans="1:8" x14ac:dyDescent="0.25">
      <c r="A4293" s="2">
        <v>29712</v>
      </c>
      <c r="B4293">
        <v>-1.915</v>
      </c>
      <c r="C4293">
        <v>-80.911000000000001</v>
      </c>
      <c r="D4293" t="s">
        <v>14</v>
      </c>
      <c r="E4293" t="s">
        <v>457</v>
      </c>
      <c r="F4293">
        <f t="shared" si="134"/>
        <v>1981</v>
      </c>
      <c r="G4293">
        <f t="shared" si="135"/>
        <v>5</v>
      </c>
      <c r="H4293" t="str">
        <f>IF(ISNUMBER(FIND(",", E4293)), TRIM(MID(E4293, FIND(",", E4293) + 1, LEN(E4293))), E4293)</f>
        <v>near the coast of Ecuador</v>
      </c>
    </row>
    <row r="4294" spans="1:8" x14ac:dyDescent="0.25">
      <c r="A4294" s="2">
        <v>29712</v>
      </c>
      <c r="B4294">
        <v>-2.0459999999999998</v>
      </c>
      <c r="C4294">
        <v>-80.947000000000003</v>
      </c>
      <c r="D4294" t="s">
        <v>14</v>
      </c>
      <c r="E4294" t="s">
        <v>457</v>
      </c>
      <c r="F4294">
        <f t="shared" si="134"/>
        <v>1981</v>
      </c>
      <c r="G4294">
        <f t="shared" si="135"/>
        <v>5</v>
      </c>
      <c r="H4294" t="str">
        <f>IF(ISNUMBER(FIND(",", E4294)), TRIM(MID(E4294, FIND(",", E4294) + 1, LEN(E4294))), E4294)</f>
        <v>near the coast of Ecuador</v>
      </c>
    </row>
    <row r="4295" spans="1:8" x14ac:dyDescent="0.25">
      <c r="A4295" s="2">
        <v>29708</v>
      </c>
      <c r="B4295">
        <v>36.381</v>
      </c>
      <c r="C4295">
        <v>71.14</v>
      </c>
      <c r="D4295" t="s">
        <v>14</v>
      </c>
      <c r="E4295" t="s">
        <v>314</v>
      </c>
      <c r="F4295">
        <f t="shared" si="134"/>
        <v>1981</v>
      </c>
      <c r="G4295">
        <f t="shared" si="135"/>
        <v>5</v>
      </c>
      <c r="H4295" t="str">
        <f>IF(ISNUMBER(FIND(",", E4295)), TRIM(MID(E4295, FIND(",", E4295) + 1, LEN(E4295))), E4295)</f>
        <v>Afghanistan</v>
      </c>
    </row>
    <row r="4296" spans="1:8" x14ac:dyDescent="0.25">
      <c r="A4296" s="2">
        <v>29706</v>
      </c>
      <c r="B4296">
        <v>43.307000000000002</v>
      </c>
      <c r="C4296">
        <v>150.149</v>
      </c>
      <c r="D4296" t="s">
        <v>14</v>
      </c>
      <c r="E4296" t="s">
        <v>317</v>
      </c>
      <c r="F4296">
        <f t="shared" si="134"/>
        <v>1981</v>
      </c>
      <c r="G4296">
        <f t="shared" si="135"/>
        <v>4</v>
      </c>
      <c r="H4296" t="str">
        <f>IF(ISNUMBER(FIND(",", E4296)), TRIM(MID(E4296, FIND(",", E4296) + 1, LEN(E4296))), E4296)</f>
        <v>east of the Kuril Islands</v>
      </c>
    </row>
    <row r="4297" spans="1:8" x14ac:dyDescent="0.25">
      <c r="A4297" s="2">
        <v>29704</v>
      </c>
      <c r="B4297">
        <v>-23.721</v>
      </c>
      <c r="C4297">
        <v>179.98099999999999</v>
      </c>
      <c r="D4297" t="s">
        <v>13</v>
      </c>
      <c r="E4297" t="s">
        <v>256</v>
      </c>
      <c r="F4297">
        <f t="shared" si="134"/>
        <v>1981</v>
      </c>
      <c r="G4297">
        <f t="shared" si="135"/>
        <v>4</v>
      </c>
      <c r="H4297" t="str">
        <f>IF(ISNUMBER(FIND(",", E4297)), TRIM(MID(E4297, FIND(",", E4297) + 1, LEN(E4297))), E4297)</f>
        <v>south of the Fiji Islands</v>
      </c>
    </row>
    <row r="4298" spans="1:8" x14ac:dyDescent="0.25">
      <c r="A4298" s="2">
        <v>29704</v>
      </c>
      <c r="B4298">
        <v>-23.780999999999999</v>
      </c>
      <c r="C4298">
        <v>-179.929</v>
      </c>
      <c r="D4298" t="s">
        <v>14</v>
      </c>
      <c r="E4298" t="s">
        <v>256</v>
      </c>
      <c r="F4298">
        <f t="shared" si="134"/>
        <v>1981</v>
      </c>
      <c r="G4298">
        <f t="shared" si="135"/>
        <v>4</v>
      </c>
      <c r="H4298" t="str">
        <f>IF(ISNUMBER(FIND(",", E4298)), TRIM(MID(E4298, FIND(",", E4298) + 1, LEN(E4298))), E4298)</f>
        <v>south of the Fiji Islands</v>
      </c>
    </row>
    <row r="4299" spans="1:8" x14ac:dyDescent="0.25">
      <c r="A4299" s="2">
        <v>29703</v>
      </c>
      <c r="B4299">
        <v>-57.658000000000001</v>
      </c>
      <c r="C4299">
        <v>148.20099999999999</v>
      </c>
      <c r="D4299" t="s">
        <v>14</v>
      </c>
      <c r="E4299" t="s">
        <v>205</v>
      </c>
      <c r="F4299">
        <f t="shared" si="134"/>
        <v>1981</v>
      </c>
      <c r="G4299">
        <f t="shared" si="135"/>
        <v>4</v>
      </c>
      <c r="H4299" t="str">
        <f>IF(ISNUMBER(FIND(",", E4299)), TRIM(MID(E4299, FIND(",", E4299) + 1, LEN(E4299))), E4299)</f>
        <v>west of Macquarie Island</v>
      </c>
    </row>
    <row r="4300" spans="1:8" x14ac:dyDescent="0.25">
      <c r="A4300" s="2">
        <v>29701</v>
      </c>
      <c r="B4300">
        <v>-22.283000000000001</v>
      </c>
      <c r="C4300">
        <v>179.494</v>
      </c>
      <c r="D4300" t="s">
        <v>14</v>
      </c>
      <c r="E4300" t="s">
        <v>256</v>
      </c>
      <c r="F4300">
        <f t="shared" si="134"/>
        <v>1981</v>
      </c>
      <c r="G4300">
        <f t="shared" si="135"/>
        <v>4</v>
      </c>
      <c r="H4300" t="str">
        <f>IF(ISNUMBER(FIND(",", E4300)), TRIM(MID(E4300, FIND(",", E4300) + 1, LEN(E4300))), E4300)</f>
        <v>south of the Fiji Islands</v>
      </c>
    </row>
    <row r="4301" spans="1:8" x14ac:dyDescent="0.25">
      <c r="A4301" s="2">
        <v>29700</v>
      </c>
      <c r="B4301">
        <v>-13.419</v>
      </c>
      <c r="C4301">
        <v>166.536</v>
      </c>
      <c r="D4301" t="s">
        <v>14</v>
      </c>
      <c r="E4301" t="s">
        <v>181</v>
      </c>
      <c r="F4301">
        <f t="shared" si="134"/>
        <v>1981</v>
      </c>
      <c r="G4301">
        <f t="shared" si="135"/>
        <v>4</v>
      </c>
      <c r="H4301" t="str">
        <f>IF(ISNUMBER(FIND(",", E4301)), TRIM(MID(E4301, FIND(",", E4301) + 1, LEN(E4301))), E4301)</f>
        <v>Vanuatu</v>
      </c>
    </row>
    <row r="4302" spans="1:8" x14ac:dyDescent="0.25">
      <c r="A4302" s="2">
        <v>29685</v>
      </c>
      <c r="B4302">
        <v>-59.802999999999997</v>
      </c>
      <c r="C4302">
        <v>150.27699999999999</v>
      </c>
      <c r="D4302" t="s">
        <v>14</v>
      </c>
      <c r="E4302" t="s">
        <v>205</v>
      </c>
      <c r="F4302">
        <f t="shared" si="134"/>
        <v>1981</v>
      </c>
      <c r="G4302">
        <f t="shared" si="135"/>
        <v>4</v>
      </c>
      <c r="H4302" t="str">
        <f>IF(ISNUMBER(FIND(",", E4302)), TRIM(MID(E4302, FIND(",", E4302) + 1, LEN(E4302))), E4302)</f>
        <v>west of Macquarie Island</v>
      </c>
    </row>
    <row r="4303" spans="1:8" x14ac:dyDescent="0.25">
      <c r="A4303" s="2">
        <v>29677</v>
      </c>
      <c r="B4303">
        <v>-27.332000000000001</v>
      </c>
      <c r="C4303">
        <v>-63.332000000000001</v>
      </c>
      <c r="D4303" t="s">
        <v>14</v>
      </c>
      <c r="E4303" t="s">
        <v>232</v>
      </c>
      <c r="F4303">
        <f t="shared" si="134"/>
        <v>1981</v>
      </c>
      <c r="G4303">
        <f t="shared" si="135"/>
        <v>4</v>
      </c>
      <c r="H4303" t="str">
        <f>IF(ISNUMBER(FIND(",", E4303)), TRIM(MID(E4303, FIND(",", E4303) + 1, LEN(E4303))), E4303)</f>
        <v>Argentina</v>
      </c>
    </row>
    <row r="4304" spans="1:8" x14ac:dyDescent="0.25">
      <c r="A4304" s="2">
        <v>29671</v>
      </c>
      <c r="B4304">
        <v>3.4390000000000001</v>
      </c>
      <c r="C4304">
        <v>127.998</v>
      </c>
      <c r="D4304" t="s">
        <v>14</v>
      </c>
      <c r="E4304" t="s">
        <v>372</v>
      </c>
      <c r="F4304">
        <f t="shared" si="134"/>
        <v>1981</v>
      </c>
      <c r="G4304">
        <f t="shared" si="135"/>
        <v>3</v>
      </c>
      <c r="H4304" t="str">
        <f>IF(ISNUMBER(FIND(",", E4304)), TRIM(MID(E4304, FIND(",", E4304) + 1, LEN(E4304))), E4304)</f>
        <v>Indonesia</v>
      </c>
    </row>
    <row r="4305" spans="1:8" x14ac:dyDescent="0.25">
      <c r="A4305" s="2">
        <v>29671</v>
      </c>
      <c r="B4305">
        <v>-19.492999999999999</v>
      </c>
      <c r="C4305">
        <v>-68.998000000000005</v>
      </c>
      <c r="D4305" t="s">
        <v>14</v>
      </c>
      <c r="E4305" t="s">
        <v>237</v>
      </c>
      <c r="F4305">
        <f t="shared" si="134"/>
        <v>1981</v>
      </c>
      <c r="G4305">
        <f t="shared" si="135"/>
        <v>3</v>
      </c>
      <c r="H4305" t="str">
        <f>IF(ISNUMBER(FIND(",", E4305)), TRIM(MID(E4305, FIND(",", E4305) + 1, LEN(E4305))), E4305)</f>
        <v>Chile</v>
      </c>
    </row>
    <row r="4306" spans="1:8" x14ac:dyDescent="0.25">
      <c r="A4306" s="2">
        <v>29668</v>
      </c>
      <c r="B4306">
        <v>-33.664000000000001</v>
      </c>
      <c r="C4306">
        <v>-71.965000000000003</v>
      </c>
      <c r="D4306" t="s">
        <v>14</v>
      </c>
      <c r="E4306" t="s">
        <v>286</v>
      </c>
      <c r="F4306">
        <f t="shared" si="134"/>
        <v>1981</v>
      </c>
      <c r="G4306">
        <f t="shared" si="135"/>
        <v>3</v>
      </c>
      <c r="H4306" t="str">
        <f>IF(ISNUMBER(FIND(",", E4306)), TRIM(MID(E4306, FIND(",", E4306) + 1, LEN(E4306))), E4306)</f>
        <v>Chile</v>
      </c>
    </row>
    <row r="4307" spans="1:8" x14ac:dyDescent="0.25">
      <c r="A4307" s="2">
        <v>29666</v>
      </c>
      <c r="B4307">
        <v>-5.4470000000000001</v>
      </c>
      <c r="C4307">
        <v>146.78100000000001</v>
      </c>
      <c r="D4307" t="s">
        <v>14</v>
      </c>
      <c r="E4307" t="s">
        <v>243</v>
      </c>
      <c r="F4307">
        <f t="shared" si="134"/>
        <v>1981</v>
      </c>
      <c r="G4307">
        <f t="shared" si="135"/>
        <v>3</v>
      </c>
      <c r="H4307" t="str">
        <f>IF(ISNUMBER(FIND(",", E4307)), TRIM(MID(E4307, FIND(",", E4307) + 1, LEN(E4307))), E4307)</f>
        <v>Papua New Guinea</v>
      </c>
    </row>
    <row r="4308" spans="1:8" x14ac:dyDescent="0.25">
      <c r="A4308" s="2">
        <v>29651</v>
      </c>
      <c r="B4308">
        <v>3.899</v>
      </c>
      <c r="C4308">
        <v>-85.841999999999999</v>
      </c>
      <c r="D4308" t="s">
        <v>14</v>
      </c>
      <c r="E4308" t="s">
        <v>617</v>
      </c>
      <c r="F4308">
        <f t="shared" si="134"/>
        <v>1981</v>
      </c>
      <c r="G4308">
        <f t="shared" si="135"/>
        <v>3</v>
      </c>
      <c r="H4308" t="str">
        <f>IF(ISNUMBER(FIND(",", E4308)), TRIM(MID(E4308, FIND(",", E4308) + 1, LEN(E4308))), E4308)</f>
        <v>off the coast of Central America</v>
      </c>
    </row>
    <row r="4309" spans="1:8" x14ac:dyDescent="0.25">
      <c r="A4309" s="2">
        <v>29649</v>
      </c>
      <c r="B4309">
        <v>38.198999999999998</v>
      </c>
      <c r="C4309">
        <v>23.297999999999998</v>
      </c>
      <c r="D4309" t="s">
        <v>14</v>
      </c>
      <c r="E4309" t="s">
        <v>478</v>
      </c>
      <c r="F4309">
        <f t="shared" si="134"/>
        <v>1981</v>
      </c>
      <c r="G4309">
        <f t="shared" si="135"/>
        <v>3</v>
      </c>
      <c r="H4309" t="str">
        <f>IF(ISNUMBER(FIND(",", E4309)), TRIM(MID(E4309, FIND(",", E4309) + 1, LEN(E4309))), E4309)</f>
        <v>Greece</v>
      </c>
    </row>
    <row r="4310" spans="1:8" x14ac:dyDescent="0.25">
      <c r="A4310" s="2">
        <v>29643</v>
      </c>
      <c r="B4310">
        <v>-13.801</v>
      </c>
      <c r="C4310">
        <v>166.596</v>
      </c>
      <c r="D4310" t="s">
        <v>14</v>
      </c>
      <c r="E4310" t="s">
        <v>181</v>
      </c>
      <c r="F4310">
        <f t="shared" si="134"/>
        <v>1981</v>
      </c>
      <c r="G4310">
        <f t="shared" si="135"/>
        <v>2</v>
      </c>
      <c r="H4310" t="str">
        <f>IF(ISNUMBER(FIND(",", E4310)), TRIM(MID(E4310, FIND(",", E4310) + 1, LEN(E4310))), E4310)</f>
        <v>Vanuatu</v>
      </c>
    </row>
    <row r="4311" spans="1:8" x14ac:dyDescent="0.25">
      <c r="A4311" s="2">
        <v>29642</v>
      </c>
      <c r="B4311">
        <v>38.097999999999999</v>
      </c>
      <c r="C4311">
        <v>23.17</v>
      </c>
      <c r="D4311" t="s">
        <v>14</v>
      </c>
      <c r="E4311" t="s">
        <v>478</v>
      </c>
      <c r="F4311">
        <f t="shared" si="134"/>
        <v>1981</v>
      </c>
      <c r="G4311">
        <f t="shared" si="135"/>
        <v>2</v>
      </c>
      <c r="H4311" t="str">
        <f>IF(ISNUMBER(FIND(",", E4311)), TRIM(MID(E4311, FIND(",", E4311) + 1, LEN(E4311))), E4311)</f>
        <v>Greece</v>
      </c>
    </row>
    <row r="4312" spans="1:8" x14ac:dyDescent="0.25">
      <c r="A4312" s="2">
        <v>29641</v>
      </c>
      <c r="B4312">
        <v>38.161999999999999</v>
      </c>
      <c r="C4312">
        <v>22.975000000000001</v>
      </c>
      <c r="D4312" t="s">
        <v>14</v>
      </c>
      <c r="E4312" t="s">
        <v>478</v>
      </c>
      <c r="F4312">
        <f t="shared" si="134"/>
        <v>1981</v>
      </c>
      <c r="G4312">
        <f t="shared" si="135"/>
        <v>2</v>
      </c>
      <c r="H4312" t="str">
        <f>IF(ISNUMBER(FIND(",", E4312)), TRIM(MID(E4312, FIND(",", E4312) + 1, LEN(E4312))), E4312)</f>
        <v>Greece</v>
      </c>
    </row>
    <row r="4313" spans="1:8" x14ac:dyDescent="0.25">
      <c r="A4313" s="2">
        <v>29641</v>
      </c>
      <c r="B4313">
        <v>-6.0190000000000001</v>
      </c>
      <c r="C4313">
        <v>148.738</v>
      </c>
      <c r="D4313" t="s">
        <v>14</v>
      </c>
      <c r="E4313" t="s">
        <v>190</v>
      </c>
      <c r="F4313">
        <f t="shared" si="134"/>
        <v>1981</v>
      </c>
      <c r="G4313">
        <f t="shared" si="135"/>
        <v>2</v>
      </c>
      <c r="H4313" t="str">
        <f>IF(ISNUMBER(FIND(",", E4313)), TRIM(MID(E4313, FIND(",", E4313) + 1, LEN(E4313))), E4313)</f>
        <v>Papua New Guinea</v>
      </c>
    </row>
    <row r="4314" spans="1:8" x14ac:dyDescent="0.25">
      <c r="A4314" s="2">
        <v>29639</v>
      </c>
      <c r="B4314">
        <v>-22.123999999999999</v>
      </c>
      <c r="C4314">
        <v>174.92400000000001</v>
      </c>
      <c r="D4314" t="s">
        <v>14</v>
      </c>
      <c r="E4314" t="s">
        <v>254</v>
      </c>
      <c r="F4314">
        <f t="shared" si="134"/>
        <v>1981</v>
      </c>
      <c r="G4314">
        <f t="shared" si="135"/>
        <v>2</v>
      </c>
      <c r="H4314" t="str">
        <f>IF(ISNUMBER(FIND(",", E4314)), TRIM(MID(E4314, FIND(",", E4314) + 1, LEN(E4314))), E4314)</f>
        <v>southeast of the Loyalty Islands</v>
      </c>
    </row>
    <row r="4315" spans="1:8" x14ac:dyDescent="0.25">
      <c r="A4315" s="2">
        <v>29634</v>
      </c>
      <c r="B4315">
        <v>-21.608000000000001</v>
      </c>
      <c r="C4315">
        <v>169.483</v>
      </c>
      <c r="D4315" t="s">
        <v>14</v>
      </c>
      <c r="E4315" t="s">
        <v>254</v>
      </c>
      <c r="F4315">
        <f t="shared" si="134"/>
        <v>1981</v>
      </c>
      <c r="G4315">
        <f t="shared" si="135"/>
        <v>2</v>
      </c>
      <c r="H4315" t="str">
        <f>IF(ISNUMBER(FIND(",", E4315)), TRIM(MID(E4315, FIND(",", E4315) + 1, LEN(E4315))), E4315)</f>
        <v>southeast of the Loyalty Islands</v>
      </c>
    </row>
    <row r="4316" spans="1:8" x14ac:dyDescent="0.25">
      <c r="A4316" s="2">
        <v>29623</v>
      </c>
      <c r="B4316">
        <v>-21.126999999999999</v>
      </c>
      <c r="C4316">
        <v>-178.876</v>
      </c>
      <c r="D4316" t="s">
        <v>14</v>
      </c>
      <c r="E4316" t="s">
        <v>53</v>
      </c>
      <c r="F4316">
        <f t="shared" si="134"/>
        <v>1981</v>
      </c>
      <c r="G4316">
        <f t="shared" si="135"/>
        <v>2</v>
      </c>
      <c r="H4316" t="str">
        <f>IF(ISNUMBER(FIND(",", E4316)), TRIM(MID(E4316, FIND(",", E4316) + 1, LEN(E4316))), E4316)</f>
        <v>Fiji region</v>
      </c>
    </row>
    <row r="4317" spans="1:8" x14ac:dyDescent="0.25">
      <c r="A4317" s="2">
        <v>29616</v>
      </c>
      <c r="B4317">
        <v>51.835000000000001</v>
      </c>
      <c r="C4317">
        <v>176.184</v>
      </c>
      <c r="D4317" t="s">
        <v>14</v>
      </c>
      <c r="E4317" t="s">
        <v>366</v>
      </c>
      <c r="F4317">
        <f t="shared" si="134"/>
        <v>1981</v>
      </c>
      <c r="G4317">
        <f t="shared" si="135"/>
        <v>1</v>
      </c>
      <c r="H4317" t="str">
        <f>IF(ISNUMBER(FIND(",", E4317)), TRIM(MID(E4317, FIND(",", E4317) + 1, LEN(E4317))), E4317)</f>
        <v>Aleutian Islands, Alaska</v>
      </c>
    </row>
    <row r="4318" spans="1:8" x14ac:dyDescent="0.25">
      <c r="A4318" s="2">
        <v>29609</v>
      </c>
      <c r="B4318">
        <v>-29.672000000000001</v>
      </c>
      <c r="C4318">
        <v>60.789000000000001</v>
      </c>
      <c r="D4318" t="s">
        <v>14</v>
      </c>
      <c r="E4318" t="s">
        <v>94</v>
      </c>
      <c r="F4318">
        <f t="shared" si="134"/>
        <v>1981</v>
      </c>
      <c r="G4318">
        <f t="shared" si="135"/>
        <v>1</v>
      </c>
      <c r="H4318" t="str">
        <f>IF(ISNUMBER(FIND(",", E4318)), TRIM(MID(E4318, FIND(",", E4318) + 1, LEN(E4318))), E4318)</f>
        <v>Southwest Indian Ridge</v>
      </c>
    </row>
    <row r="4319" spans="1:8" x14ac:dyDescent="0.25">
      <c r="A4319" s="2">
        <v>29609</v>
      </c>
      <c r="B4319">
        <v>30.942</v>
      </c>
      <c r="C4319">
        <v>101.105</v>
      </c>
      <c r="D4319" t="s">
        <v>14</v>
      </c>
      <c r="E4319" t="s">
        <v>578</v>
      </c>
      <c r="F4319">
        <f t="shared" si="134"/>
        <v>1981</v>
      </c>
      <c r="G4319">
        <f t="shared" si="135"/>
        <v>1</v>
      </c>
      <c r="H4319" t="str">
        <f>IF(ISNUMBER(FIND(",", E4319)), TRIM(MID(E4319, FIND(",", E4319) + 1, LEN(E4319))), E4319)</f>
        <v>China</v>
      </c>
    </row>
    <row r="4320" spans="1:8" x14ac:dyDescent="0.25">
      <c r="A4320" s="2">
        <v>29609</v>
      </c>
      <c r="B4320">
        <v>42.499000000000002</v>
      </c>
      <c r="C4320">
        <v>142.12</v>
      </c>
      <c r="D4320" t="s">
        <v>14</v>
      </c>
      <c r="E4320" t="s">
        <v>265</v>
      </c>
      <c r="F4320">
        <f t="shared" si="134"/>
        <v>1981</v>
      </c>
      <c r="G4320">
        <f t="shared" si="135"/>
        <v>1</v>
      </c>
      <c r="H4320" t="str">
        <f>IF(ISNUMBER(FIND(",", E4320)), TRIM(MID(E4320, FIND(",", E4320) + 1, LEN(E4320))), E4320)</f>
        <v>Japan region</v>
      </c>
    </row>
    <row r="4321" spans="1:8" x14ac:dyDescent="0.25">
      <c r="A4321" s="2">
        <v>29608</v>
      </c>
      <c r="B4321">
        <v>38.277000000000001</v>
      </c>
      <c r="C4321">
        <v>142.804</v>
      </c>
      <c r="D4321" t="s">
        <v>14</v>
      </c>
      <c r="E4321" t="s">
        <v>227</v>
      </c>
      <c r="F4321">
        <f t="shared" si="134"/>
        <v>1981</v>
      </c>
      <c r="G4321">
        <f t="shared" si="135"/>
        <v>1</v>
      </c>
      <c r="H4321" t="str">
        <f>IF(ISNUMBER(FIND(",", E4321)), TRIM(MID(E4321, FIND(",", E4321) + 1, LEN(E4321))), E4321)</f>
        <v>Japan</v>
      </c>
    </row>
    <row r="4322" spans="1:8" x14ac:dyDescent="0.25">
      <c r="A4322" s="2">
        <v>29605</v>
      </c>
      <c r="B4322">
        <v>-3.4580000000000002</v>
      </c>
      <c r="C4322">
        <v>146.13900000000001</v>
      </c>
      <c r="D4322" t="s">
        <v>14</v>
      </c>
      <c r="E4322" t="s">
        <v>380</v>
      </c>
      <c r="F4322">
        <f t="shared" si="134"/>
        <v>1981</v>
      </c>
      <c r="G4322">
        <f t="shared" si="135"/>
        <v>1</v>
      </c>
      <c r="H4322" t="str">
        <f>IF(ISNUMBER(FIND(",", E4322)), TRIM(MID(E4322, FIND(",", E4322) + 1, LEN(E4322))), E4322)</f>
        <v>Bismarck Sea</v>
      </c>
    </row>
    <row r="4323" spans="1:8" x14ac:dyDescent="0.25">
      <c r="A4323" s="2">
        <v>29605</v>
      </c>
      <c r="B4323">
        <v>-4.5149999999999997</v>
      </c>
      <c r="C4323">
        <v>139.28299999999999</v>
      </c>
      <c r="D4323" t="s">
        <v>14</v>
      </c>
      <c r="E4323" t="s">
        <v>210</v>
      </c>
      <c r="F4323">
        <f t="shared" si="134"/>
        <v>1981</v>
      </c>
      <c r="G4323">
        <f t="shared" si="135"/>
        <v>1</v>
      </c>
      <c r="H4323" t="str">
        <f>IF(ISNUMBER(FIND(",", E4323)), TRIM(MID(E4323, FIND(",", E4323) + 1, LEN(E4323))), E4323)</f>
        <v>Indonesia</v>
      </c>
    </row>
    <row r="4324" spans="1:8" x14ac:dyDescent="0.25">
      <c r="A4324" s="2">
        <v>29604</v>
      </c>
      <c r="B4324">
        <v>38.712000000000003</v>
      </c>
      <c r="C4324">
        <v>142.79499999999999</v>
      </c>
      <c r="D4324" t="s">
        <v>14</v>
      </c>
      <c r="E4324" t="s">
        <v>227</v>
      </c>
      <c r="F4324">
        <f t="shared" si="134"/>
        <v>1981</v>
      </c>
      <c r="G4324">
        <f t="shared" si="135"/>
        <v>1</v>
      </c>
      <c r="H4324" t="str">
        <f>IF(ISNUMBER(FIND(",", E4324)), TRIM(MID(E4324, FIND(",", E4324) + 1, LEN(E4324))), E4324)</f>
        <v>Japan</v>
      </c>
    </row>
    <row r="4325" spans="1:8" x14ac:dyDescent="0.25">
      <c r="A4325" s="2">
        <v>29604</v>
      </c>
      <c r="B4325">
        <v>38.636000000000003</v>
      </c>
      <c r="C4325">
        <v>142.89699999999999</v>
      </c>
      <c r="D4325" t="s">
        <v>14</v>
      </c>
      <c r="E4325" t="s">
        <v>227</v>
      </c>
      <c r="F4325">
        <f t="shared" si="134"/>
        <v>1981</v>
      </c>
      <c r="G4325">
        <f t="shared" si="135"/>
        <v>1</v>
      </c>
      <c r="H4325" t="str">
        <f>IF(ISNUMBER(FIND(",", E4325)), TRIM(MID(E4325, FIND(",", E4325) + 1, LEN(E4325))), E4325)</f>
        <v>Japan</v>
      </c>
    </row>
    <row r="4326" spans="1:8" x14ac:dyDescent="0.25">
      <c r="A4326" s="2">
        <v>29604</v>
      </c>
      <c r="B4326">
        <v>-61.115000000000002</v>
      </c>
      <c r="C4326">
        <v>-55.435000000000002</v>
      </c>
      <c r="D4326" t="s">
        <v>14</v>
      </c>
      <c r="E4326" t="s">
        <v>261</v>
      </c>
      <c r="F4326">
        <f t="shared" si="134"/>
        <v>1981</v>
      </c>
      <c r="G4326">
        <f t="shared" si="135"/>
        <v>1</v>
      </c>
      <c r="H4326" t="str">
        <f>IF(ISNUMBER(FIND(",", E4326)), TRIM(MID(E4326, FIND(",", E4326) + 1, LEN(E4326))), E4326)</f>
        <v>South Shetland Islands</v>
      </c>
    </row>
    <row r="4327" spans="1:8" x14ac:dyDescent="0.25">
      <c r="A4327" s="2">
        <v>29593</v>
      </c>
      <c r="B4327">
        <v>-49.753</v>
      </c>
      <c r="C4327">
        <v>-114.255</v>
      </c>
      <c r="D4327" t="s">
        <v>14</v>
      </c>
      <c r="E4327" t="s">
        <v>268</v>
      </c>
      <c r="F4327">
        <f t="shared" si="134"/>
        <v>1981</v>
      </c>
      <c r="G4327">
        <f t="shared" si="135"/>
        <v>1</v>
      </c>
      <c r="H4327" t="str">
        <f>IF(ISNUMBER(FIND(",", E4327)), TRIM(MID(E4327, FIND(",", E4327) + 1, LEN(E4327))), E4327)</f>
        <v>southern East Pacific Rise</v>
      </c>
    </row>
    <row r="4328" spans="1:8" x14ac:dyDescent="0.25">
      <c r="A4328" s="2">
        <v>29588</v>
      </c>
      <c r="B4328">
        <v>29.318999999999999</v>
      </c>
      <c r="C4328">
        <v>128.10300000000001</v>
      </c>
      <c r="D4328" t="s">
        <v>14</v>
      </c>
      <c r="E4328" t="s">
        <v>418</v>
      </c>
      <c r="F4328">
        <f t="shared" si="134"/>
        <v>1981</v>
      </c>
      <c r="G4328">
        <f t="shared" si="135"/>
        <v>1</v>
      </c>
      <c r="H4328" t="str">
        <f>IF(ISNUMBER(FIND(",", E4328)), TRIM(MID(E4328, FIND(",", E4328) + 1, LEN(E4328))), E4328)</f>
        <v>Japan</v>
      </c>
    </row>
    <row r="4329" spans="1:8" x14ac:dyDescent="0.25">
      <c r="A4329" s="2">
        <v>29586</v>
      </c>
      <c r="B4329">
        <v>46.061</v>
      </c>
      <c r="C4329">
        <v>151.452</v>
      </c>
      <c r="D4329" t="s">
        <v>14</v>
      </c>
      <c r="E4329" t="s">
        <v>191</v>
      </c>
      <c r="F4329">
        <f t="shared" si="134"/>
        <v>1980</v>
      </c>
      <c r="G4329">
        <f t="shared" si="135"/>
        <v>12</v>
      </c>
      <c r="H4329" t="str">
        <f>IF(ISNUMBER(FIND(",", E4329)), TRIM(MID(E4329, FIND(",", E4329) + 1, LEN(E4329))), E4329)</f>
        <v>Kuril Islands</v>
      </c>
    </row>
    <row r="4330" spans="1:8" x14ac:dyDescent="0.25">
      <c r="A4330" s="2">
        <v>29574</v>
      </c>
      <c r="B4330">
        <v>30.599</v>
      </c>
      <c r="C4330">
        <v>140.69499999999999</v>
      </c>
      <c r="D4330" t="s">
        <v>14</v>
      </c>
      <c r="E4330" t="s">
        <v>88</v>
      </c>
      <c r="F4330">
        <f t="shared" si="134"/>
        <v>1980</v>
      </c>
      <c r="G4330">
        <f t="shared" si="135"/>
        <v>12</v>
      </c>
      <c r="H4330" t="str">
        <f>IF(ISNUMBER(FIND(",", E4330)), TRIM(MID(E4330, FIND(",", E4330) + 1, LEN(E4330))), E4330)</f>
        <v>Japan region</v>
      </c>
    </row>
    <row r="4331" spans="1:8" x14ac:dyDescent="0.25">
      <c r="A4331" s="2">
        <v>29574</v>
      </c>
      <c r="B4331">
        <v>-21.21</v>
      </c>
      <c r="C4331">
        <v>-174.363</v>
      </c>
      <c r="D4331" t="s">
        <v>14</v>
      </c>
      <c r="E4331" t="s">
        <v>239</v>
      </c>
      <c r="F4331">
        <f t="shared" si="134"/>
        <v>1980</v>
      </c>
      <c r="G4331">
        <f t="shared" si="135"/>
        <v>12</v>
      </c>
      <c r="H4331" t="str">
        <f>IF(ISNUMBER(FIND(",", E4331)), TRIM(MID(E4331, FIND(",", E4331) + 1, LEN(E4331))), E4331)</f>
        <v>Tonga</v>
      </c>
    </row>
    <row r="4332" spans="1:8" x14ac:dyDescent="0.25">
      <c r="A4332" s="2">
        <v>29574</v>
      </c>
      <c r="B4332">
        <v>34.475999999999999</v>
      </c>
      <c r="C4332">
        <v>50.646999999999998</v>
      </c>
      <c r="D4332" t="s">
        <v>14</v>
      </c>
      <c r="E4332" t="s">
        <v>453</v>
      </c>
      <c r="F4332">
        <f t="shared" si="134"/>
        <v>1980</v>
      </c>
      <c r="G4332">
        <f t="shared" si="135"/>
        <v>12</v>
      </c>
      <c r="H4332" t="str">
        <f>IF(ISNUMBER(FIND(",", E4332)), TRIM(MID(E4332, FIND(",", E4332) + 1, LEN(E4332))), E4332)</f>
        <v>central Iran</v>
      </c>
    </row>
    <row r="4333" spans="1:8" x14ac:dyDescent="0.25">
      <c r="A4333" s="2">
        <v>29573</v>
      </c>
      <c r="B4333">
        <v>35.914999999999999</v>
      </c>
      <c r="C4333">
        <v>44.600999999999999</v>
      </c>
      <c r="D4333" t="s">
        <v>14</v>
      </c>
      <c r="E4333" t="s">
        <v>618</v>
      </c>
      <c r="F4333">
        <f t="shared" si="134"/>
        <v>1980</v>
      </c>
      <c r="G4333">
        <f t="shared" si="135"/>
        <v>12</v>
      </c>
      <c r="H4333" t="str">
        <f>IF(ISNUMBER(FIND(",", E4333)), TRIM(MID(E4333, FIND(",", E4333) + 1, LEN(E4333))), E4333)</f>
        <v>Iraq</v>
      </c>
    </row>
    <row r="4334" spans="1:8" x14ac:dyDescent="0.25">
      <c r="A4334" s="2">
        <v>29572</v>
      </c>
      <c r="B4334">
        <v>49.438000000000002</v>
      </c>
      <c r="C4334">
        <v>-129.73599999999999</v>
      </c>
      <c r="D4334" t="s">
        <v>14</v>
      </c>
      <c r="E4334" t="s">
        <v>199</v>
      </c>
      <c r="F4334">
        <f t="shared" si="134"/>
        <v>1980</v>
      </c>
      <c r="G4334">
        <f t="shared" si="135"/>
        <v>12</v>
      </c>
      <c r="H4334" t="str">
        <f>IF(ISNUMBER(FIND(",", E4334)), TRIM(MID(E4334, FIND(",", E4334) + 1, LEN(E4334))), E4334)</f>
        <v>Canada region</v>
      </c>
    </row>
    <row r="4335" spans="1:8" x14ac:dyDescent="0.25">
      <c r="A4335" s="2">
        <v>29572</v>
      </c>
      <c r="B4335">
        <v>-21.446999999999999</v>
      </c>
      <c r="C4335">
        <v>170.01</v>
      </c>
      <c r="D4335" t="s">
        <v>14</v>
      </c>
      <c r="E4335" t="s">
        <v>254</v>
      </c>
      <c r="F4335">
        <f t="shared" si="134"/>
        <v>1980</v>
      </c>
      <c r="G4335">
        <f t="shared" si="135"/>
        <v>12</v>
      </c>
      <c r="H4335" t="str">
        <f>IF(ISNUMBER(FIND(",", E4335)), TRIM(MID(E4335, FIND(",", E4335) + 1, LEN(E4335))), E4335)</f>
        <v>southeast of the Loyalty Islands</v>
      </c>
    </row>
    <row r="4336" spans="1:8" x14ac:dyDescent="0.25">
      <c r="A4336" s="2">
        <v>29570</v>
      </c>
      <c r="B4336">
        <v>-17.594999999999999</v>
      </c>
      <c r="C4336">
        <v>-172.221</v>
      </c>
      <c r="D4336" t="s">
        <v>14</v>
      </c>
      <c r="E4336" t="s">
        <v>304</v>
      </c>
      <c r="F4336">
        <f t="shared" si="134"/>
        <v>1980</v>
      </c>
      <c r="G4336">
        <f t="shared" si="135"/>
        <v>12</v>
      </c>
      <c r="H4336" t="str">
        <f>IF(ISNUMBER(FIND(",", E4336)), TRIM(MID(E4336, FIND(",", E4336) + 1, LEN(E4336))), E4336)</f>
        <v>Tonga region</v>
      </c>
    </row>
    <row r="4337" spans="1:8" x14ac:dyDescent="0.25">
      <c r="A4337" s="2">
        <v>29566</v>
      </c>
      <c r="B4337">
        <v>-21.388999999999999</v>
      </c>
      <c r="C4337">
        <v>-68.173000000000002</v>
      </c>
      <c r="D4337" t="s">
        <v>14</v>
      </c>
      <c r="E4337" t="s">
        <v>472</v>
      </c>
      <c r="F4337">
        <f t="shared" si="134"/>
        <v>1980</v>
      </c>
      <c r="G4337">
        <f t="shared" si="135"/>
        <v>12</v>
      </c>
      <c r="H4337" t="str">
        <f>IF(ISNUMBER(FIND(",", E4337)), TRIM(MID(E4337, FIND(",", E4337) + 1, LEN(E4337))), E4337)</f>
        <v>Bolivia</v>
      </c>
    </row>
    <row r="4338" spans="1:8" x14ac:dyDescent="0.25">
      <c r="A4338" s="2">
        <v>29563</v>
      </c>
      <c r="B4338">
        <v>-14.791</v>
      </c>
      <c r="C4338">
        <v>166.935</v>
      </c>
      <c r="D4338" t="s">
        <v>14</v>
      </c>
      <c r="E4338" t="s">
        <v>181</v>
      </c>
      <c r="F4338">
        <f t="shared" si="134"/>
        <v>1980</v>
      </c>
      <c r="G4338">
        <f t="shared" si="135"/>
        <v>12</v>
      </c>
      <c r="H4338" t="str">
        <f>IF(ISNUMBER(FIND(",", E4338)), TRIM(MID(E4338, FIND(",", E4338) + 1, LEN(E4338))), E4338)</f>
        <v>Vanuatu</v>
      </c>
    </row>
    <row r="4339" spans="1:8" x14ac:dyDescent="0.25">
      <c r="A4339" s="2">
        <v>29555</v>
      </c>
      <c r="B4339">
        <v>-19.486000000000001</v>
      </c>
      <c r="C4339">
        <v>-175.78899999999999</v>
      </c>
      <c r="D4339" t="s">
        <v>14</v>
      </c>
      <c r="E4339" t="s">
        <v>239</v>
      </c>
      <c r="F4339">
        <f t="shared" si="134"/>
        <v>1980</v>
      </c>
      <c r="G4339">
        <f t="shared" si="135"/>
        <v>11</v>
      </c>
      <c r="H4339" t="str">
        <f>IF(ISNUMBER(FIND(",", E4339)), TRIM(MID(E4339, FIND(",", E4339) + 1, LEN(E4339))), E4339)</f>
        <v>Tonga</v>
      </c>
    </row>
    <row r="4340" spans="1:8" x14ac:dyDescent="0.25">
      <c r="A4340" s="2">
        <v>29548</v>
      </c>
      <c r="B4340">
        <v>40.79</v>
      </c>
      <c r="C4340">
        <v>15.313000000000001</v>
      </c>
      <c r="D4340" t="s">
        <v>14</v>
      </c>
      <c r="E4340" t="s">
        <v>619</v>
      </c>
      <c r="F4340">
        <f t="shared" si="134"/>
        <v>1980</v>
      </c>
      <c r="G4340">
        <f t="shared" si="135"/>
        <v>11</v>
      </c>
      <c r="H4340" t="str">
        <f>IF(ISNUMBER(FIND(",", E4340)), TRIM(MID(E4340, FIND(",", E4340) + 1, LEN(E4340))), E4340)</f>
        <v>southern Italy</v>
      </c>
    </row>
    <row r="4341" spans="1:8" x14ac:dyDescent="0.25">
      <c r="A4341" s="2">
        <v>29544</v>
      </c>
      <c r="B4341">
        <v>27.390999999999998</v>
      </c>
      <c r="C4341">
        <v>88.8</v>
      </c>
      <c r="D4341" t="s">
        <v>14</v>
      </c>
      <c r="E4341" t="s">
        <v>275</v>
      </c>
      <c r="F4341">
        <f t="shared" si="134"/>
        <v>1980</v>
      </c>
      <c r="G4341">
        <f t="shared" si="135"/>
        <v>11</v>
      </c>
      <c r="H4341" t="str">
        <f>IF(ISNUMBER(FIND(",", E4341)), TRIM(MID(E4341, FIND(",", E4341) + 1, LEN(E4341))), E4341)</f>
        <v>India</v>
      </c>
    </row>
    <row r="4342" spans="1:8" x14ac:dyDescent="0.25">
      <c r="A4342" s="2">
        <v>29536</v>
      </c>
      <c r="B4342">
        <v>-51.372</v>
      </c>
      <c r="C4342">
        <v>28.713999999999999</v>
      </c>
      <c r="D4342" t="s">
        <v>14</v>
      </c>
      <c r="E4342" t="s">
        <v>465</v>
      </c>
      <c r="F4342">
        <f t="shared" si="134"/>
        <v>1980</v>
      </c>
      <c r="G4342">
        <f t="shared" si="135"/>
        <v>11</v>
      </c>
      <c r="H4342" t="str">
        <f>IF(ISNUMBER(FIND(",", E4342)), TRIM(MID(E4342, FIND(",", E4342) + 1, LEN(E4342))), E4342)</f>
        <v>south of Africa</v>
      </c>
    </row>
    <row r="4343" spans="1:8" x14ac:dyDescent="0.25">
      <c r="A4343" s="2">
        <v>29533</v>
      </c>
      <c r="B4343">
        <v>41.11</v>
      </c>
      <c r="C4343">
        <v>-124.3</v>
      </c>
      <c r="D4343" t="s">
        <v>14</v>
      </c>
      <c r="E4343" t="s">
        <v>343</v>
      </c>
      <c r="F4343">
        <f t="shared" si="134"/>
        <v>1980</v>
      </c>
      <c r="G4343">
        <f t="shared" si="135"/>
        <v>11</v>
      </c>
      <c r="H4343" t="str">
        <f>IF(ISNUMBER(FIND(",", E4343)), TRIM(MID(E4343, FIND(",", E4343) + 1, LEN(E4343))), E4343)</f>
        <v>offshore Northern California</v>
      </c>
    </row>
    <row r="4344" spans="1:8" x14ac:dyDescent="0.25">
      <c r="A4344" s="2">
        <v>29530</v>
      </c>
      <c r="B4344">
        <v>-2.7370000000000001</v>
      </c>
      <c r="C4344">
        <v>122</v>
      </c>
      <c r="D4344" t="s">
        <v>14</v>
      </c>
      <c r="E4344" t="s">
        <v>182</v>
      </c>
      <c r="F4344">
        <f t="shared" si="134"/>
        <v>1980</v>
      </c>
      <c r="G4344">
        <f t="shared" si="135"/>
        <v>11</v>
      </c>
      <c r="H4344" t="str">
        <f>IF(ISNUMBER(FIND(",", E4344)), TRIM(MID(E4344, FIND(",", E4344) + 1, LEN(E4344))), E4344)</f>
        <v>Indonesia</v>
      </c>
    </row>
    <row r="4345" spans="1:8" x14ac:dyDescent="0.25">
      <c r="A4345" s="2">
        <v>29526</v>
      </c>
      <c r="B4345">
        <v>18.858000000000001</v>
      </c>
      <c r="C4345">
        <v>-107.886</v>
      </c>
      <c r="D4345" t="s">
        <v>14</v>
      </c>
      <c r="E4345" t="s">
        <v>315</v>
      </c>
      <c r="F4345">
        <f t="shared" si="134"/>
        <v>1980</v>
      </c>
      <c r="G4345">
        <f t="shared" si="135"/>
        <v>11</v>
      </c>
      <c r="H4345" t="str">
        <f>IF(ISNUMBER(FIND(",", E4345)), TRIM(MID(E4345, FIND(",", E4345) + 1, LEN(E4345))), E4345)</f>
        <v>Mexico</v>
      </c>
    </row>
    <row r="4346" spans="1:8" x14ac:dyDescent="0.25">
      <c r="A4346" s="2">
        <v>29524</v>
      </c>
      <c r="B4346">
        <v>-22.29</v>
      </c>
      <c r="C4346">
        <v>169.649</v>
      </c>
      <c r="D4346" t="s">
        <v>14</v>
      </c>
      <c r="E4346" t="s">
        <v>254</v>
      </c>
      <c r="F4346">
        <f t="shared" si="134"/>
        <v>1980</v>
      </c>
      <c r="G4346">
        <f t="shared" si="135"/>
        <v>10</v>
      </c>
      <c r="H4346" t="str">
        <f>IF(ISNUMBER(FIND(",", E4346)), TRIM(MID(E4346, FIND(",", E4346) + 1, LEN(E4346))), E4346)</f>
        <v>southeast of the Loyalty Islands</v>
      </c>
    </row>
    <row r="4347" spans="1:8" x14ac:dyDescent="0.25">
      <c r="A4347" s="2">
        <v>29523</v>
      </c>
      <c r="B4347">
        <v>8.3979999999999997</v>
      </c>
      <c r="C4347">
        <v>93.35</v>
      </c>
      <c r="D4347" t="s">
        <v>14</v>
      </c>
      <c r="E4347" t="s">
        <v>322</v>
      </c>
      <c r="F4347">
        <f t="shared" si="134"/>
        <v>1980</v>
      </c>
      <c r="G4347">
        <f t="shared" si="135"/>
        <v>10</v>
      </c>
      <c r="H4347" t="str">
        <f>IF(ISNUMBER(FIND(",", E4347)), TRIM(MID(E4347, FIND(",", E4347) + 1, LEN(E4347))), E4347)</f>
        <v>India region</v>
      </c>
    </row>
    <row r="4348" spans="1:8" x14ac:dyDescent="0.25">
      <c r="A4348" s="2">
        <v>29523</v>
      </c>
      <c r="B4348">
        <v>-21.526</v>
      </c>
      <c r="C4348">
        <v>169.626</v>
      </c>
      <c r="D4348" t="s">
        <v>14</v>
      </c>
      <c r="E4348" t="s">
        <v>254</v>
      </c>
      <c r="F4348">
        <f t="shared" si="134"/>
        <v>1980</v>
      </c>
      <c r="G4348">
        <f t="shared" si="135"/>
        <v>10</v>
      </c>
      <c r="H4348" t="str">
        <f>IF(ISNUMBER(FIND(",", E4348)), TRIM(MID(E4348, FIND(",", E4348) + 1, LEN(E4348))), E4348)</f>
        <v>southeast of the Loyalty Islands</v>
      </c>
    </row>
    <row r="4349" spans="1:8" x14ac:dyDescent="0.25">
      <c r="A4349" s="2">
        <v>29521</v>
      </c>
      <c r="B4349">
        <v>-13.048</v>
      </c>
      <c r="C4349">
        <v>166.27099999999999</v>
      </c>
      <c r="D4349" t="s">
        <v>14</v>
      </c>
      <c r="E4349" t="s">
        <v>181</v>
      </c>
      <c r="F4349">
        <f t="shared" si="134"/>
        <v>1980</v>
      </c>
      <c r="G4349">
        <f t="shared" si="135"/>
        <v>10</v>
      </c>
      <c r="H4349" t="str">
        <f>IF(ISNUMBER(FIND(",", E4349)), TRIM(MID(E4349, FIND(",", E4349) + 1, LEN(E4349))), E4349)</f>
        <v>Vanuatu</v>
      </c>
    </row>
    <row r="4350" spans="1:8" x14ac:dyDescent="0.25">
      <c r="A4350" s="2">
        <v>29520</v>
      </c>
      <c r="B4350">
        <v>11.776</v>
      </c>
      <c r="C4350">
        <v>125.459</v>
      </c>
      <c r="D4350" t="s">
        <v>14</v>
      </c>
      <c r="E4350" t="s">
        <v>394</v>
      </c>
      <c r="F4350">
        <f t="shared" si="134"/>
        <v>1980</v>
      </c>
      <c r="G4350">
        <f t="shared" si="135"/>
        <v>10</v>
      </c>
      <c r="H4350" t="str">
        <f>IF(ISNUMBER(FIND(",", E4350)), TRIM(MID(E4350, FIND(",", E4350) + 1, LEN(E4350))), E4350)</f>
        <v>Philippines</v>
      </c>
    </row>
    <row r="4351" spans="1:8" x14ac:dyDescent="0.25">
      <c r="A4351" s="2">
        <v>29519</v>
      </c>
      <c r="B4351">
        <v>-22.317</v>
      </c>
      <c r="C4351">
        <v>170.482</v>
      </c>
      <c r="D4351" t="s">
        <v>14</v>
      </c>
      <c r="E4351" t="s">
        <v>254</v>
      </c>
      <c r="F4351">
        <f t="shared" si="134"/>
        <v>1980</v>
      </c>
      <c r="G4351">
        <f t="shared" si="135"/>
        <v>10</v>
      </c>
      <c r="H4351" t="str">
        <f>IF(ISNUMBER(FIND(",", E4351)), TRIM(MID(E4351, FIND(",", E4351) + 1, LEN(E4351))), E4351)</f>
        <v>southeast of the Loyalty Islands</v>
      </c>
    </row>
    <row r="4352" spans="1:8" x14ac:dyDescent="0.25">
      <c r="A4352" s="2">
        <v>29519</v>
      </c>
      <c r="B4352">
        <v>-21.94</v>
      </c>
      <c r="C4352">
        <v>170.054</v>
      </c>
      <c r="D4352" t="s">
        <v>14</v>
      </c>
      <c r="E4352" t="s">
        <v>254</v>
      </c>
      <c r="F4352">
        <f t="shared" si="134"/>
        <v>1980</v>
      </c>
      <c r="G4352">
        <f t="shared" si="135"/>
        <v>10</v>
      </c>
      <c r="H4352" t="str">
        <f>IF(ISNUMBER(FIND(",", E4352)), TRIM(MID(E4352, FIND(",", E4352) + 1, LEN(E4352))), E4352)</f>
        <v>southeast of the Loyalty Islands</v>
      </c>
    </row>
    <row r="4353" spans="1:8" x14ac:dyDescent="0.25">
      <c r="A4353" s="2">
        <v>29519</v>
      </c>
      <c r="B4353">
        <v>-22.023</v>
      </c>
      <c r="C4353">
        <v>170.13499999999999</v>
      </c>
      <c r="D4353" t="s">
        <v>14</v>
      </c>
      <c r="E4353" t="s">
        <v>254</v>
      </c>
      <c r="F4353">
        <f t="shared" si="134"/>
        <v>1980</v>
      </c>
      <c r="G4353">
        <f t="shared" si="135"/>
        <v>10</v>
      </c>
      <c r="H4353" t="str">
        <f>IF(ISNUMBER(FIND(",", E4353)), TRIM(MID(E4353, FIND(",", E4353) + 1, LEN(E4353))), E4353)</f>
        <v>southeast of the Loyalty Islands</v>
      </c>
    </row>
    <row r="4354" spans="1:8" x14ac:dyDescent="0.25">
      <c r="A4354" s="2">
        <v>29518</v>
      </c>
      <c r="B4354">
        <v>18.175999999999998</v>
      </c>
      <c r="C4354">
        <v>-98.234999999999999</v>
      </c>
      <c r="D4354" t="s">
        <v>14</v>
      </c>
      <c r="E4354" t="s">
        <v>523</v>
      </c>
      <c r="F4354">
        <f t="shared" ref="F4354:F4417" si="136">YEAR(A4354)</f>
        <v>1980</v>
      </c>
      <c r="G4354">
        <f t="shared" si="135"/>
        <v>10</v>
      </c>
      <c r="H4354" t="str">
        <f>IF(ISNUMBER(FIND(",", E4354)), TRIM(MID(E4354, FIND(",", E4354) + 1, LEN(E4354))), E4354)</f>
        <v>Mexico</v>
      </c>
    </row>
    <row r="4355" spans="1:8" x14ac:dyDescent="0.25">
      <c r="A4355" s="2">
        <v>29518</v>
      </c>
      <c r="B4355">
        <v>-21.977</v>
      </c>
      <c r="C4355">
        <v>170.22900000000001</v>
      </c>
      <c r="D4355" t="s">
        <v>14</v>
      </c>
      <c r="E4355" t="s">
        <v>254</v>
      </c>
      <c r="F4355">
        <f t="shared" si="136"/>
        <v>1980</v>
      </c>
      <c r="G4355">
        <f t="shared" ref="G4355:G4418" si="137">MONTH(A4355)</f>
        <v>10</v>
      </c>
      <c r="H4355" t="str">
        <f>IF(ISNUMBER(FIND(",", E4355)), TRIM(MID(E4355, FIND(",", E4355) + 1, LEN(E4355))), E4355)</f>
        <v>southeast of the Loyalty Islands</v>
      </c>
    </row>
    <row r="4356" spans="1:8" x14ac:dyDescent="0.25">
      <c r="A4356" s="2">
        <v>29504</v>
      </c>
      <c r="B4356">
        <v>36.213000000000001</v>
      </c>
      <c r="C4356">
        <v>1.5780000000000001</v>
      </c>
      <c r="D4356" t="s">
        <v>14</v>
      </c>
      <c r="E4356" t="s">
        <v>480</v>
      </c>
      <c r="F4356">
        <f t="shared" si="136"/>
        <v>1980</v>
      </c>
      <c r="G4356">
        <f t="shared" si="137"/>
        <v>10</v>
      </c>
      <c r="H4356" t="str">
        <f>IF(ISNUMBER(FIND(",", E4356)), TRIM(MID(E4356, FIND(",", E4356) + 1, LEN(E4356))), E4356)</f>
        <v>northern Algeria</v>
      </c>
    </row>
    <row r="4357" spans="1:8" x14ac:dyDescent="0.25">
      <c r="A4357" s="2">
        <v>29504</v>
      </c>
      <c r="B4357">
        <v>36.140999999999998</v>
      </c>
      <c r="C4357">
        <v>1.401</v>
      </c>
      <c r="D4357" t="s">
        <v>14</v>
      </c>
      <c r="E4357" t="s">
        <v>480</v>
      </c>
      <c r="F4357">
        <f t="shared" si="136"/>
        <v>1980</v>
      </c>
      <c r="G4357">
        <f t="shared" si="137"/>
        <v>10</v>
      </c>
      <c r="H4357" t="str">
        <f>IF(ISNUMBER(FIND(",", E4357)), TRIM(MID(E4357, FIND(",", E4357) + 1, LEN(E4357))), E4357)</f>
        <v>northern Algeria</v>
      </c>
    </row>
    <row r="4358" spans="1:8" x14ac:dyDescent="0.25">
      <c r="A4358" s="2">
        <v>29503</v>
      </c>
      <c r="B4358">
        <v>-15.426</v>
      </c>
      <c r="C4358">
        <v>-173.29300000000001</v>
      </c>
      <c r="D4358" t="s">
        <v>14</v>
      </c>
      <c r="E4358" t="s">
        <v>239</v>
      </c>
      <c r="F4358">
        <f t="shared" si="136"/>
        <v>1980</v>
      </c>
      <c r="G4358">
        <f t="shared" si="137"/>
        <v>10</v>
      </c>
      <c r="H4358" t="str">
        <f>IF(ISNUMBER(FIND(",", E4358)), TRIM(MID(E4358, FIND(",", E4358) + 1, LEN(E4358))), E4358)</f>
        <v>Tonga</v>
      </c>
    </row>
    <row r="4359" spans="1:8" x14ac:dyDescent="0.25">
      <c r="A4359" s="2">
        <v>29502</v>
      </c>
      <c r="B4359">
        <v>-5.3659999999999997</v>
      </c>
      <c r="C4359">
        <v>103.06699999999999</v>
      </c>
      <c r="D4359" t="s">
        <v>14</v>
      </c>
      <c r="E4359" t="s">
        <v>308</v>
      </c>
      <c r="F4359">
        <f t="shared" si="136"/>
        <v>1980</v>
      </c>
      <c r="G4359">
        <f t="shared" si="137"/>
        <v>10</v>
      </c>
      <c r="H4359" t="str">
        <f>IF(ISNUMBER(FIND(",", E4359)), TRIM(MID(E4359, FIND(",", E4359) + 1, LEN(E4359))), E4359)</f>
        <v>Indonesia</v>
      </c>
    </row>
    <row r="4360" spans="1:8" x14ac:dyDescent="0.25">
      <c r="A4360" s="2">
        <v>29498</v>
      </c>
      <c r="B4360">
        <v>-15.741</v>
      </c>
      <c r="C4360">
        <v>-179.25</v>
      </c>
      <c r="D4360" t="s">
        <v>14</v>
      </c>
      <c r="E4360" t="s">
        <v>53</v>
      </c>
      <c r="F4360">
        <f t="shared" si="136"/>
        <v>1980</v>
      </c>
      <c r="G4360">
        <f t="shared" si="137"/>
        <v>10</v>
      </c>
      <c r="H4360" t="str">
        <f>IF(ISNUMBER(FIND(",", E4360)), TRIM(MID(E4360, FIND(",", E4360) + 1, LEN(E4360))), E4360)</f>
        <v>Fiji region</v>
      </c>
    </row>
    <row r="4361" spans="1:8" x14ac:dyDescent="0.25">
      <c r="A4361" s="2">
        <v>29490</v>
      </c>
      <c r="B4361">
        <v>-3.226</v>
      </c>
      <c r="C4361">
        <v>142.334</v>
      </c>
      <c r="D4361" t="s">
        <v>14</v>
      </c>
      <c r="E4361" t="s">
        <v>216</v>
      </c>
      <c r="F4361">
        <f t="shared" si="136"/>
        <v>1980</v>
      </c>
      <c r="G4361">
        <f t="shared" si="137"/>
        <v>9</v>
      </c>
      <c r="H4361" t="str">
        <f>IF(ISNUMBER(FIND(",", E4361)), TRIM(MID(E4361, FIND(",", E4361) + 1, LEN(E4361))), E4361)</f>
        <v>Papua New Guinea</v>
      </c>
    </row>
    <row r="4362" spans="1:8" x14ac:dyDescent="0.25">
      <c r="A4362" s="2">
        <v>29467</v>
      </c>
      <c r="B4362">
        <v>3.234</v>
      </c>
      <c r="C4362">
        <v>-78.126999999999995</v>
      </c>
      <c r="D4362" t="s">
        <v>14</v>
      </c>
      <c r="E4362" t="s">
        <v>231</v>
      </c>
      <c r="F4362">
        <f t="shared" si="136"/>
        <v>1980</v>
      </c>
      <c r="G4362">
        <f t="shared" si="137"/>
        <v>9</v>
      </c>
      <c r="H4362" t="str">
        <f>IF(ISNUMBER(FIND(",", E4362)), TRIM(MID(E4362, FIND(",", E4362) + 1, LEN(E4362))), E4362)</f>
        <v>south of Panama</v>
      </c>
    </row>
    <row r="4363" spans="1:8" x14ac:dyDescent="0.25">
      <c r="A4363" s="2">
        <v>29457</v>
      </c>
      <c r="B4363">
        <v>-15.223000000000001</v>
      </c>
      <c r="C4363">
        <v>-173.44200000000001</v>
      </c>
      <c r="D4363" t="s">
        <v>14</v>
      </c>
      <c r="E4363" t="s">
        <v>239</v>
      </c>
      <c r="F4363">
        <f t="shared" si="136"/>
        <v>1980</v>
      </c>
      <c r="G4363">
        <f t="shared" si="137"/>
        <v>8</v>
      </c>
      <c r="H4363" t="str">
        <f>IF(ISNUMBER(FIND(",", E4363)), TRIM(MID(E4363, FIND(",", E4363) + 1, LEN(E4363))), E4363)</f>
        <v>Tonga</v>
      </c>
    </row>
    <row r="4364" spans="1:8" x14ac:dyDescent="0.25">
      <c r="A4364" s="2">
        <v>29454</v>
      </c>
      <c r="B4364">
        <v>-41.302999999999997</v>
      </c>
      <c r="C4364">
        <v>80.412000000000006</v>
      </c>
      <c r="D4364" t="s">
        <v>14</v>
      </c>
      <c r="E4364" t="s">
        <v>377</v>
      </c>
      <c r="F4364">
        <f t="shared" si="136"/>
        <v>1980</v>
      </c>
      <c r="G4364">
        <f t="shared" si="137"/>
        <v>8</v>
      </c>
      <c r="H4364" t="str">
        <f>IF(ISNUMBER(FIND(",", E4364)), TRIM(MID(E4364, FIND(",", E4364) + 1, LEN(E4364))), E4364)</f>
        <v>Mid-Indian Ridge</v>
      </c>
    </row>
    <row r="4365" spans="1:8" x14ac:dyDescent="0.25">
      <c r="A4365" s="2">
        <v>29452</v>
      </c>
      <c r="B4365">
        <v>-3.5459999999999998</v>
      </c>
      <c r="C4365">
        <v>140.053</v>
      </c>
      <c r="D4365" t="s">
        <v>14</v>
      </c>
      <c r="E4365" t="s">
        <v>210</v>
      </c>
      <c r="F4365">
        <f t="shared" si="136"/>
        <v>1980</v>
      </c>
      <c r="G4365">
        <f t="shared" si="137"/>
        <v>8</v>
      </c>
      <c r="H4365" t="str">
        <f>IF(ISNUMBER(FIND(",", E4365)), TRIM(MID(E4365, FIND(",", E4365) + 1, LEN(E4365))), E4365)</f>
        <v>Indonesia</v>
      </c>
    </row>
    <row r="4366" spans="1:8" x14ac:dyDescent="0.25">
      <c r="A4366" s="2">
        <v>29442</v>
      </c>
      <c r="B4366">
        <v>15.913</v>
      </c>
      <c r="C4366">
        <v>-88.489000000000004</v>
      </c>
      <c r="D4366" t="s">
        <v>14</v>
      </c>
      <c r="E4366" t="s">
        <v>196</v>
      </c>
      <c r="F4366">
        <f t="shared" si="136"/>
        <v>1980</v>
      </c>
      <c r="G4366">
        <f t="shared" si="137"/>
        <v>8</v>
      </c>
      <c r="H4366" t="str">
        <f>IF(ISNUMBER(FIND(",", E4366)), TRIM(MID(E4366, FIND(",", E4366) + 1, LEN(E4366))), E4366)</f>
        <v>offshore Guatemala</v>
      </c>
    </row>
    <row r="4367" spans="1:8" x14ac:dyDescent="0.25">
      <c r="A4367" s="2">
        <v>29435</v>
      </c>
      <c r="B4367">
        <v>-11.061</v>
      </c>
      <c r="C4367">
        <v>165.53800000000001</v>
      </c>
      <c r="D4367" t="s">
        <v>14</v>
      </c>
      <c r="E4367" t="s">
        <v>211</v>
      </c>
      <c r="F4367">
        <f t="shared" si="136"/>
        <v>1980</v>
      </c>
      <c r="G4367">
        <f t="shared" si="137"/>
        <v>8</v>
      </c>
      <c r="H4367" t="str">
        <f>IF(ISNUMBER(FIND(",", E4367)), TRIM(MID(E4367, FIND(",", E4367) + 1, LEN(E4367))), E4367)</f>
        <v>Santa Cruz Islands</v>
      </c>
    </row>
    <row r="4368" spans="1:8" x14ac:dyDescent="0.25">
      <c r="A4368" s="2">
        <v>29432</v>
      </c>
      <c r="B4368">
        <v>5.2039999999999997</v>
      </c>
      <c r="C4368">
        <v>-82.668999999999997</v>
      </c>
      <c r="D4368" t="s">
        <v>14</v>
      </c>
      <c r="E4368" t="s">
        <v>231</v>
      </c>
      <c r="F4368">
        <f t="shared" si="136"/>
        <v>1980</v>
      </c>
      <c r="G4368">
        <f t="shared" si="137"/>
        <v>7</v>
      </c>
      <c r="H4368" t="str">
        <f>IF(ISNUMBER(FIND(",", E4368)), TRIM(MID(E4368, FIND(",", E4368) + 1, LEN(E4368))), E4368)</f>
        <v>south of Panama</v>
      </c>
    </row>
    <row r="4369" spans="1:8" x14ac:dyDescent="0.25">
      <c r="A4369" s="2">
        <v>29431</v>
      </c>
      <c r="B4369">
        <v>29.614000000000001</v>
      </c>
      <c r="C4369">
        <v>81.097999999999999</v>
      </c>
      <c r="D4369" t="s">
        <v>14</v>
      </c>
      <c r="E4369" t="s">
        <v>526</v>
      </c>
      <c r="F4369">
        <f t="shared" si="136"/>
        <v>1980</v>
      </c>
      <c r="G4369">
        <f t="shared" si="137"/>
        <v>7</v>
      </c>
      <c r="H4369" t="str">
        <f>IF(ISNUMBER(FIND(",", E4369)), TRIM(MID(E4369, FIND(",", E4369) + 1, LEN(E4369))), E4369)</f>
        <v>Nepal</v>
      </c>
    </row>
    <row r="4370" spans="1:8" x14ac:dyDescent="0.25">
      <c r="A4370" s="2">
        <v>29431</v>
      </c>
      <c r="B4370">
        <v>-13.076000000000001</v>
      </c>
      <c r="C4370">
        <v>166.453</v>
      </c>
      <c r="D4370" t="s">
        <v>14</v>
      </c>
      <c r="E4370" t="s">
        <v>181</v>
      </c>
      <c r="F4370">
        <f t="shared" si="136"/>
        <v>1980</v>
      </c>
      <c r="G4370">
        <f t="shared" si="137"/>
        <v>7</v>
      </c>
      <c r="H4370" t="str">
        <f>IF(ISNUMBER(FIND(",", E4370)), TRIM(MID(E4370, FIND(",", E4370) + 1, LEN(E4370))), E4370)</f>
        <v>Vanuatu</v>
      </c>
    </row>
    <row r="4371" spans="1:8" x14ac:dyDescent="0.25">
      <c r="A4371" s="2">
        <v>29424</v>
      </c>
      <c r="B4371">
        <v>-20.334</v>
      </c>
      <c r="C4371">
        <v>169.7</v>
      </c>
      <c r="D4371" t="s">
        <v>14</v>
      </c>
      <c r="E4371" t="s">
        <v>181</v>
      </c>
      <c r="F4371">
        <f t="shared" si="136"/>
        <v>1980</v>
      </c>
      <c r="G4371">
        <f t="shared" si="137"/>
        <v>7</v>
      </c>
      <c r="H4371" t="str">
        <f>IF(ISNUMBER(FIND(",", E4371)), TRIM(MID(E4371, FIND(",", E4371) + 1, LEN(E4371))), E4371)</f>
        <v>Vanuatu</v>
      </c>
    </row>
    <row r="4372" spans="1:8" x14ac:dyDescent="0.25">
      <c r="A4372" s="2">
        <v>29423</v>
      </c>
      <c r="B4372">
        <v>-12.276</v>
      </c>
      <c r="C4372">
        <v>166.624</v>
      </c>
      <c r="D4372" t="s">
        <v>14</v>
      </c>
      <c r="E4372" t="s">
        <v>211</v>
      </c>
      <c r="F4372">
        <f t="shared" si="136"/>
        <v>1980</v>
      </c>
      <c r="G4372">
        <f t="shared" si="137"/>
        <v>7</v>
      </c>
      <c r="H4372" t="str">
        <f>IF(ISNUMBER(FIND(",", E4372)), TRIM(MID(E4372, FIND(",", E4372) + 1, LEN(E4372))), E4372)</f>
        <v>Santa Cruz Islands</v>
      </c>
    </row>
    <row r="4373" spans="1:8" x14ac:dyDescent="0.25">
      <c r="A4373" s="2">
        <v>29422</v>
      </c>
      <c r="B4373">
        <v>-17.884</v>
      </c>
      <c r="C4373">
        <v>-178.53899999999999</v>
      </c>
      <c r="D4373" t="s">
        <v>14</v>
      </c>
      <c r="E4373" t="s">
        <v>53</v>
      </c>
      <c r="F4373">
        <f t="shared" si="136"/>
        <v>1980</v>
      </c>
      <c r="G4373">
        <f t="shared" si="137"/>
        <v>7</v>
      </c>
      <c r="H4373" t="str">
        <f>IF(ISNUMBER(FIND(",", E4373)), TRIM(MID(E4373, FIND(",", E4373) + 1, LEN(E4373))), E4373)</f>
        <v>Fiji region</v>
      </c>
    </row>
    <row r="4374" spans="1:8" x14ac:dyDescent="0.25">
      <c r="A4374" s="2">
        <v>29419</v>
      </c>
      <c r="B4374">
        <v>-12.481</v>
      </c>
      <c r="C4374">
        <v>166.00399999999999</v>
      </c>
      <c r="D4374" t="s">
        <v>14</v>
      </c>
      <c r="E4374" t="s">
        <v>211</v>
      </c>
      <c r="F4374">
        <f t="shared" si="136"/>
        <v>1980</v>
      </c>
      <c r="G4374">
        <f t="shared" si="137"/>
        <v>7</v>
      </c>
      <c r="H4374" t="str">
        <f>IF(ISNUMBER(FIND(",", E4374)), TRIM(MID(E4374, FIND(",", E4374) + 1, LEN(E4374))), E4374)</f>
        <v>Santa Cruz Islands</v>
      </c>
    </row>
    <row r="4375" spans="1:8" x14ac:dyDescent="0.25">
      <c r="A4375" s="2">
        <v>29418</v>
      </c>
      <c r="B4375">
        <v>-4.4340000000000002</v>
      </c>
      <c r="C4375">
        <v>143.57900000000001</v>
      </c>
      <c r="D4375" t="s">
        <v>14</v>
      </c>
      <c r="E4375" t="s">
        <v>253</v>
      </c>
      <c r="F4375">
        <f t="shared" si="136"/>
        <v>1980</v>
      </c>
      <c r="G4375">
        <f t="shared" si="137"/>
        <v>7</v>
      </c>
      <c r="H4375" t="str">
        <f>IF(ISNUMBER(FIND(",", E4375)), TRIM(MID(E4375, FIND(",", E4375) + 1, LEN(E4375))), E4375)</f>
        <v>Papua New Guinea</v>
      </c>
    </row>
    <row r="4376" spans="1:8" x14ac:dyDescent="0.25">
      <c r="A4376" s="2">
        <v>29416</v>
      </c>
      <c r="B4376">
        <v>-29.207999999999998</v>
      </c>
      <c r="C4376">
        <v>-177.108</v>
      </c>
      <c r="D4376" t="s">
        <v>14</v>
      </c>
      <c r="E4376" t="s">
        <v>288</v>
      </c>
      <c r="F4376">
        <f t="shared" si="136"/>
        <v>1980</v>
      </c>
      <c r="G4376">
        <f t="shared" si="137"/>
        <v>7</v>
      </c>
      <c r="H4376" t="str">
        <f>IF(ISNUMBER(FIND(",", E4376)), TRIM(MID(E4376, FIND(",", E4376) + 1, LEN(E4376))), E4376)</f>
        <v>New Zealand</v>
      </c>
    </row>
    <row r="4377" spans="1:8" x14ac:dyDescent="0.25">
      <c r="A4377" s="2">
        <v>29411</v>
      </c>
      <c r="B4377">
        <v>-12.798999999999999</v>
      </c>
      <c r="C4377">
        <v>166.26499999999999</v>
      </c>
      <c r="D4377" t="s">
        <v>14</v>
      </c>
      <c r="E4377" t="s">
        <v>211</v>
      </c>
      <c r="F4377">
        <f t="shared" si="136"/>
        <v>1980</v>
      </c>
      <c r="G4377">
        <f t="shared" si="137"/>
        <v>7</v>
      </c>
      <c r="H4377" t="str">
        <f>IF(ISNUMBER(FIND(",", E4377)), TRIM(MID(E4377, FIND(",", E4377) + 1, LEN(E4377))), E4377)</f>
        <v>Santa Cruz Islands</v>
      </c>
    </row>
    <row r="4378" spans="1:8" x14ac:dyDescent="0.25">
      <c r="A4378" s="2">
        <v>29411</v>
      </c>
      <c r="B4378">
        <v>39.231000000000002</v>
      </c>
      <c r="C4378">
        <v>22.629000000000001</v>
      </c>
      <c r="D4378" t="s">
        <v>14</v>
      </c>
      <c r="E4378" t="s">
        <v>478</v>
      </c>
      <c r="F4378">
        <f t="shared" si="136"/>
        <v>1980</v>
      </c>
      <c r="G4378">
        <f t="shared" si="137"/>
        <v>7</v>
      </c>
      <c r="H4378" t="str">
        <f>IF(ISNUMBER(FIND(",", E4378)), TRIM(MID(E4378, FIND(",", E4378) + 1, LEN(E4378))), E4378)</f>
        <v>Greece</v>
      </c>
    </row>
    <row r="4379" spans="1:8" x14ac:dyDescent="0.25">
      <c r="A4379" s="2">
        <v>29411</v>
      </c>
      <c r="B4379">
        <v>39.256999999999998</v>
      </c>
      <c r="C4379">
        <v>23.01</v>
      </c>
      <c r="D4379" t="s">
        <v>14</v>
      </c>
      <c r="E4379" t="s">
        <v>498</v>
      </c>
      <c r="F4379">
        <f t="shared" si="136"/>
        <v>1980</v>
      </c>
      <c r="G4379">
        <f t="shared" si="137"/>
        <v>7</v>
      </c>
      <c r="H4379" t="str">
        <f>IF(ISNUMBER(FIND(",", E4379)), TRIM(MID(E4379, FIND(",", E4379) + 1, LEN(E4379))), E4379)</f>
        <v>Aegean Sea</v>
      </c>
    </row>
    <row r="4380" spans="1:8" x14ac:dyDescent="0.25">
      <c r="A4380" s="2">
        <v>29410</v>
      </c>
      <c r="B4380">
        <v>-12.484999999999999</v>
      </c>
      <c r="C4380">
        <v>166.482</v>
      </c>
      <c r="D4380" t="s">
        <v>14</v>
      </c>
      <c r="E4380" t="s">
        <v>211</v>
      </c>
      <c r="F4380">
        <f t="shared" si="136"/>
        <v>1980</v>
      </c>
      <c r="G4380">
        <f t="shared" si="137"/>
        <v>7</v>
      </c>
      <c r="H4380" t="str">
        <f>IF(ISNUMBER(FIND(",", E4380)), TRIM(MID(E4380, FIND(",", E4380) + 1, LEN(E4380))), E4380)</f>
        <v>Santa Cruz Islands</v>
      </c>
    </row>
    <row r="4381" spans="1:8" x14ac:dyDescent="0.25">
      <c r="A4381" s="2">
        <v>29410</v>
      </c>
      <c r="B4381">
        <v>6.617</v>
      </c>
      <c r="C4381">
        <v>125.711</v>
      </c>
      <c r="D4381" t="s">
        <v>14</v>
      </c>
      <c r="E4381" t="s">
        <v>200</v>
      </c>
      <c r="F4381">
        <f t="shared" si="136"/>
        <v>1980</v>
      </c>
      <c r="G4381">
        <f t="shared" si="137"/>
        <v>7</v>
      </c>
      <c r="H4381" t="str">
        <f>IF(ISNUMBER(FIND(",", E4381)), TRIM(MID(E4381, FIND(",", E4381) + 1, LEN(E4381))), E4381)</f>
        <v>Philippines</v>
      </c>
    </row>
    <row r="4382" spans="1:8" x14ac:dyDescent="0.25">
      <c r="A4382" s="2">
        <v>29401</v>
      </c>
      <c r="B4382">
        <v>34.847999999999999</v>
      </c>
      <c r="C4382">
        <v>139.28800000000001</v>
      </c>
      <c r="D4382" t="s">
        <v>14</v>
      </c>
      <c r="E4382" t="s">
        <v>360</v>
      </c>
      <c r="F4382">
        <f t="shared" si="136"/>
        <v>1980</v>
      </c>
      <c r="G4382">
        <f t="shared" si="137"/>
        <v>6</v>
      </c>
      <c r="H4382" t="str">
        <f>IF(ISNUMBER(FIND(",", E4382)), TRIM(MID(E4382, FIND(",", E4382) + 1, LEN(E4382))), E4382)</f>
        <v>Japan</v>
      </c>
    </row>
    <row r="4383" spans="1:8" x14ac:dyDescent="0.25">
      <c r="A4383" s="2">
        <v>29397</v>
      </c>
      <c r="B4383">
        <v>-5.1859999999999999</v>
      </c>
      <c r="C4383">
        <v>151.76400000000001</v>
      </c>
      <c r="D4383" t="s">
        <v>14</v>
      </c>
      <c r="E4383" t="s">
        <v>190</v>
      </c>
      <c r="F4383">
        <f t="shared" si="136"/>
        <v>1980</v>
      </c>
      <c r="G4383">
        <f t="shared" si="137"/>
        <v>6</v>
      </c>
      <c r="H4383" t="str">
        <f>IF(ISNUMBER(FIND(",", E4383)), TRIM(MID(E4383, FIND(",", E4383) + 1, LEN(E4383))), E4383)</f>
        <v>Papua New Guinea</v>
      </c>
    </row>
    <row r="4384" spans="1:8" x14ac:dyDescent="0.25">
      <c r="A4384" s="2">
        <v>29397</v>
      </c>
      <c r="B4384">
        <v>4.4740000000000002</v>
      </c>
      <c r="C4384">
        <v>-75.763000000000005</v>
      </c>
      <c r="D4384" t="s">
        <v>14</v>
      </c>
      <c r="E4384" t="s">
        <v>206</v>
      </c>
      <c r="F4384">
        <f t="shared" si="136"/>
        <v>1980</v>
      </c>
      <c r="G4384">
        <f t="shared" si="137"/>
        <v>6</v>
      </c>
      <c r="H4384" t="str">
        <f>IF(ISNUMBER(FIND(",", E4384)), TRIM(MID(E4384, FIND(",", E4384) + 1, LEN(E4384))), E4384)</f>
        <v>Colombia</v>
      </c>
    </row>
    <row r="4385" spans="1:8" x14ac:dyDescent="0.25">
      <c r="A4385" s="2">
        <v>29396</v>
      </c>
      <c r="B4385">
        <v>-6.0890000000000004</v>
      </c>
      <c r="C4385">
        <v>103.714</v>
      </c>
      <c r="D4385" t="s">
        <v>14</v>
      </c>
      <c r="E4385" t="s">
        <v>450</v>
      </c>
      <c r="F4385">
        <f t="shared" si="136"/>
        <v>1980</v>
      </c>
      <c r="G4385">
        <f t="shared" si="137"/>
        <v>6</v>
      </c>
      <c r="H4385" t="str">
        <f>IF(ISNUMBER(FIND(",", E4385)), TRIM(MID(E4385, FIND(",", E4385) + 1, LEN(E4385))), E4385)</f>
        <v>Indonesia</v>
      </c>
    </row>
    <row r="4386" spans="1:8" x14ac:dyDescent="0.25">
      <c r="A4386" s="2">
        <v>29395</v>
      </c>
      <c r="B4386">
        <v>-28.600999999999999</v>
      </c>
      <c r="C4386">
        <v>-176.7</v>
      </c>
      <c r="D4386" t="s">
        <v>14</v>
      </c>
      <c r="E4386" t="s">
        <v>240</v>
      </c>
      <c r="F4386">
        <f t="shared" si="136"/>
        <v>1980</v>
      </c>
      <c r="G4386">
        <f t="shared" si="137"/>
        <v>6</v>
      </c>
      <c r="H4386" t="str">
        <f>IF(ISNUMBER(FIND(",", E4386)), TRIM(MID(E4386, FIND(",", E4386) + 1, LEN(E4386))), E4386)</f>
        <v>Kermadec Islands region</v>
      </c>
    </row>
    <row r="4387" spans="1:8" x14ac:dyDescent="0.25">
      <c r="A4387" s="2">
        <v>29395</v>
      </c>
      <c r="B4387">
        <v>-28.814</v>
      </c>
      <c r="C4387">
        <v>-176.572</v>
      </c>
      <c r="D4387" t="s">
        <v>14</v>
      </c>
      <c r="E4387" t="s">
        <v>240</v>
      </c>
      <c r="F4387">
        <f t="shared" si="136"/>
        <v>1980</v>
      </c>
      <c r="G4387">
        <f t="shared" si="137"/>
        <v>6</v>
      </c>
      <c r="H4387" t="str">
        <f>IF(ISNUMBER(FIND(",", E4387)), TRIM(MID(E4387, FIND(",", E4387) + 1, LEN(E4387))), E4387)</f>
        <v>Kermadec Islands region</v>
      </c>
    </row>
    <row r="4388" spans="1:8" x14ac:dyDescent="0.25">
      <c r="A4388" s="2">
        <v>29393</v>
      </c>
      <c r="B4388">
        <v>-58.026000000000003</v>
      </c>
      <c r="C4388">
        <v>-10.738</v>
      </c>
      <c r="D4388" t="s">
        <v>14</v>
      </c>
      <c r="E4388" t="s">
        <v>242</v>
      </c>
      <c r="F4388">
        <f t="shared" si="136"/>
        <v>1980</v>
      </c>
      <c r="G4388">
        <f t="shared" si="137"/>
        <v>6</v>
      </c>
      <c r="H4388" t="str">
        <f>IF(ISNUMBER(FIND(",", E4388)), TRIM(MID(E4388, FIND(",", E4388) + 1, LEN(E4388))), E4388)</f>
        <v>east of the South Sandwich Islands</v>
      </c>
    </row>
    <row r="4389" spans="1:8" x14ac:dyDescent="0.25">
      <c r="A4389" s="2">
        <v>29391</v>
      </c>
      <c r="B4389">
        <v>9.3190000000000008</v>
      </c>
      <c r="C4389">
        <v>126.693</v>
      </c>
      <c r="D4389" t="s">
        <v>14</v>
      </c>
      <c r="E4389" t="s">
        <v>200</v>
      </c>
      <c r="F4389">
        <f t="shared" si="136"/>
        <v>1980</v>
      </c>
      <c r="G4389">
        <f t="shared" si="137"/>
        <v>6</v>
      </c>
      <c r="H4389" t="str">
        <f>IF(ISNUMBER(FIND(",", E4389)), TRIM(MID(E4389, FIND(",", E4389) + 1, LEN(E4389))), E4389)</f>
        <v>Philippines</v>
      </c>
    </row>
    <row r="4390" spans="1:8" x14ac:dyDescent="0.25">
      <c r="A4390" s="2">
        <v>29391</v>
      </c>
      <c r="B4390">
        <v>-30.024999999999999</v>
      </c>
      <c r="C4390">
        <v>-177.90600000000001</v>
      </c>
      <c r="D4390" t="s">
        <v>14</v>
      </c>
      <c r="E4390" t="s">
        <v>288</v>
      </c>
      <c r="F4390">
        <f t="shared" si="136"/>
        <v>1980</v>
      </c>
      <c r="G4390">
        <f t="shared" si="137"/>
        <v>6</v>
      </c>
      <c r="H4390" t="str">
        <f>IF(ISNUMBER(FIND(",", E4390)), TRIM(MID(E4390, FIND(",", E4390) + 1, LEN(E4390))), E4390)</f>
        <v>New Zealand</v>
      </c>
    </row>
    <row r="4391" spans="1:8" x14ac:dyDescent="0.25">
      <c r="A4391" s="2">
        <v>29391</v>
      </c>
      <c r="B4391">
        <v>9.6310000000000002</v>
      </c>
      <c r="C4391">
        <v>126.69799999999999</v>
      </c>
      <c r="D4391" t="s">
        <v>14</v>
      </c>
      <c r="E4391" t="s">
        <v>200</v>
      </c>
      <c r="F4391">
        <f t="shared" si="136"/>
        <v>1980</v>
      </c>
      <c r="G4391">
        <f t="shared" si="137"/>
        <v>6</v>
      </c>
      <c r="H4391" t="str">
        <f>IF(ISNUMBER(FIND(",", E4391)), TRIM(MID(E4391, FIND(",", E4391) + 1, LEN(E4391))), E4391)</f>
        <v>Philippines</v>
      </c>
    </row>
    <row r="4392" spans="1:8" x14ac:dyDescent="0.25">
      <c r="A4392" s="2">
        <v>29390</v>
      </c>
      <c r="B4392">
        <v>9.5299999999999994</v>
      </c>
      <c r="C4392">
        <v>126.58499999999999</v>
      </c>
      <c r="D4392" t="s">
        <v>14</v>
      </c>
      <c r="E4392" t="s">
        <v>200</v>
      </c>
      <c r="F4392">
        <f t="shared" si="136"/>
        <v>1980</v>
      </c>
      <c r="G4392">
        <f t="shared" si="137"/>
        <v>6</v>
      </c>
      <c r="H4392" t="str">
        <f>IF(ISNUMBER(FIND(",", E4392)), TRIM(MID(E4392, FIND(",", E4392) + 1, LEN(E4392))), E4392)</f>
        <v>Philippines</v>
      </c>
    </row>
    <row r="4393" spans="1:8" x14ac:dyDescent="0.25">
      <c r="A4393" s="2">
        <v>29390</v>
      </c>
      <c r="B4393">
        <v>-15.262</v>
      </c>
      <c r="C4393">
        <v>-173.512</v>
      </c>
      <c r="D4393" t="s">
        <v>14</v>
      </c>
      <c r="E4393" t="s">
        <v>239</v>
      </c>
      <c r="F4393">
        <f t="shared" si="136"/>
        <v>1980</v>
      </c>
      <c r="G4393">
        <f t="shared" si="137"/>
        <v>6</v>
      </c>
      <c r="H4393" t="str">
        <f>IF(ISNUMBER(FIND(",", E4393)), TRIM(MID(E4393, FIND(",", E4393) + 1, LEN(E4393))), E4393)</f>
        <v>Tonga</v>
      </c>
    </row>
    <row r="4394" spans="1:8" x14ac:dyDescent="0.25">
      <c r="A4394" s="2">
        <v>29390</v>
      </c>
      <c r="B4394">
        <v>-5.1529999999999996</v>
      </c>
      <c r="C4394">
        <v>152.18</v>
      </c>
      <c r="D4394" t="s">
        <v>14</v>
      </c>
      <c r="E4394" t="s">
        <v>190</v>
      </c>
      <c r="F4394">
        <f t="shared" si="136"/>
        <v>1980</v>
      </c>
      <c r="G4394">
        <f t="shared" si="137"/>
        <v>6</v>
      </c>
      <c r="H4394" t="str">
        <f>IF(ISNUMBER(FIND(",", E4394)), TRIM(MID(E4394, FIND(",", E4394) + 1, LEN(E4394))), E4394)</f>
        <v>Papua New Guinea</v>
      </c>
    </row>
    <row r="4395" spans="1:8" x14ac:dyDescent="0.25">
      <c r="A4395" s="2">
        <v>29387</v>
      </c>
      <c r="B4395">
        <v>9.81</v>
      </c>
      <c r="C4395">
        <v>126.413</v>
      </c>
      <c r="D4395" t="s">
        <v>14</v>
      </c>
      <c r="E4395" t="s">
        <v>200</v>
      </c>
      <c r="F4395">
        <f t="shared" si="136"/>
        <v>1980</v>
      </c>
      <c r="G4395">
        <f t="shared" si="137"/>
        <v>6</v>
      </c>
      <c r="H4395" t="str">
        <f>IF(ISNUMBER(FIND(",", E4395)), TRIM(MID(E4395, FIND(",", E4395) + 1, LEN(E4395))), E4395)</f>
        <v>Philippines</v>
      </c>
    </row>
    <row r="4396" spans="1:8" x14ac:dyDescent="0.25">
      <c r="A4396" s="2">
        <v>29381</v>
      </c>
      <c r="B4396">
        <v>9.7539999999999996</v>
      </c>
      <c r="C4396">
        <v>126.64</v>
      </c>
      <c r="D4396" t="s">
        <v>14</v>
      </c>
      <c r="E4396" t="s">
        <v>200</v>
      </c>
      <c r="F4396">
        <f t="shared" si="136"/>
        <v>1980</v>
      </c>
      <c r="G4396">
        <f t="shared" si="137"/>
        <v>6</v>
      </c>
      <c r="H4396" t="str">
        <f>IF(ISNUMBER(FIND(",", E4396)), TRIM(MID(E4396, FIND(",", E4396) + 1, LEN(E4396))), E4396)</f>
        <v>Philippines</v>
      </c>
    </row>
    <row r="4397" spans="1:8" x14ac:dyDescent="0.25">
      <c r="A4397" s="2">
        <v>29381</v>
      </c>
      <c r="B4397">
        <v>9.6910000000000007</v>
      </c>
      <c r="C4397">
        <v>126.59099999999999</v>
      </c>
      <c r="D4397" t="s">
        <v>14</v>
      </c>
      <c r="E4397" t="s">
        <v>200</v>
      </c>
      <c r="F4397">
        <f t="shared" si="136"/>
        <v>1980</v>
      </c>
      <c r="G4397">
        <f t="shared" si="137"/>
        <v>6</v>
      </c>
      <c r="H4397" t="str">
        <f>IF(ISNUMBER(FIND(",", E4397)), TRIM(MID(E4397, FIND(",", E4397) + 1, LEN(E4397))), E4397)</f>
        <v>Philippines</v>
      </c>
    </row>
    <row r="4398" spans="1:8" x14ac:dyDescent="0.25">
      <c r="A4398" s="2">
        <v>29381</v>
      </c>
      <c r="B4398">
        <v>32.267000000000003</v>
      </c>
      <c r="C4398">
        <v>-114.91</v>
      </c>
      <c r="D4398" t="s">
        <v>14</v>
      </c>
      <c r="E4398" t="s">
        <v>362</v>
      </c>
      <c r="F4398">
        <f t="shared" si="136"/>
        <v>1980</v>
      </c>
      <c r="G4398">
        <f t="shared" si="137"/>
        <v>6</v>
      </c>
      <c r="H4398" t="str">
        <f>IF(ISNUMBER(FIND(",", E4398)), TRIM(MID(E4398, FIND(",", E4398) + 1, LEN(E4398))), E4398)</f>
        <v>Mexico</v>
      </c>
    </row>
    <row r="4399" spans="1:8" x14ac:dyDescent="0.25">
      <c r="A4399" s="2">
        <v>29380</v>
      </c>
      <c r="B4399">
        <v>-59.131999999999998</v>
      </c>
      <c r="C4399">
        <v>158.464</v>
      </c>
      <c r="D4399" t="s">
        <v>14</v>
      </c>
      <c r="E4399" t="s">
        <v>350</v>
      </c>
      <c r="F4399">
        <f t="shared" si="136"/>
        <v>1980</v>
      </c>
      <c r="G4399">
        <f t="shared" si="137"/>
        <v>6</v>
      </c>
      <c r="H4399" t="str">
        <f>IF(ISNUMBER(FIND(",", E4399)), TRIM(MID(E4399, FIND(",", E4399) + 1, LEN(E4399))), E4399)</f>
        <v>Macquarie Island region</v>
      </c>
    </row>
    <row r="4400" spans="1:8" x14ac:dyDescent="0.25">
      <c r="A4400" s="2">
        <v>29367</v>
      </c>
      <c r="B4400">
        <v>-19.436</v>
      </c>
      <c r="C4400">
        <v>-69.287000000000006</v>
      </c>
      <c r="D4400" t="s">
        <v>14</v>
      </c>
      <c r="E4400" t="s">
        <v>237</v>
      </c>
      <c r="F4400">
        <f t="shared" si="136"/>
        <v>1980</v>
      </c>
      <c r="G4400">
        <f t="shared" si="137"/>
        <v>5</v>
      </c>
      <c r="H4400" t="str">
        <f>IF(ISNUMBER(FIND(",", E4400)), TRIM(MID(E4400, FIND(",", E4400) + 1, LEN(E4400))), E4400)</f>
        <v>Chile</v>
      </c>
    </row>
    <row r="4401" spans="1:8" x14ac:dyDescent="0.25">
      <c r="A4401" s="2">
        <v>29366</v>
      </c>
      <c r="B4401">
        <v>37.526000000000003</v>
      </c>
      <c r="C4401">
        <v>-118.834</v>
      </c>
      <c r="D4401" t="s">
        <v>14</v>
      </c>
      <c r="E4401" t="s">
        <v>464</v>
      </c>
      <c r="F4401">
        <f t="shared" si="136"/>
        <v>1980</v>
      </c>
      <c r="G4401">
        <f t="shared" si="137"/>
        <v>5</v>
      </c>
      <c r="H4401" t="str">
        <f>IF(ISNUMBER(FIND(",", E4401)), TRIM(MID(E4401, FIND(",", E4401) + 1, LEN(E4401))), E4401)</f>
        <v>Central California</v>
      </c>
    </row>
    <row r="4402" spans="1:8" x14ac:dyDescent="0.25">
      <c r="A4402" s="2">
        <v>29356</v>
      </c>
      <c r="B4402">
        <v>-6.1459999999999999</v>
      </c>
      <c r="C4402">
        <v>125.65600000000001</v>
      </c>
      <c r="D4402" t="s">
        <v>14</v>
      </c>
      <c r="E4402" t="s">
        <v>187</v>
      </c>
      <c r="F4402">
        <f t="shared" si="136"/>
        <v>1980</v>
      </c>
      <c r="G4402">
        <f t="shared" si="137"/>
        <v>5</v>
      </c>
      <c r="H4402" t="str">
        <f>IF(ISNUMBER(FIND(",", E4402)), TRIM(MID(E4402, FIND(",", E4402) + 1, LEN(E4402))), E4402)</f>
        <v>Banda Sea</v>
      </c>
    </row>
    <row r="4403" spans="1:8" x14ac:dyDescent="0.25">
      <c r="A4403" s="2">
        <v>29355</v>
      </c>
      <c r="B4403">
        <v>-6.0270000000000001</v>
      </c>
      <c r="C4403">
        <v>154.56800000000001</v>
      </c>
      <c r="D4403" t="s">
        <v>14</v>
      </c>
      <c r="E4403" t="s">
        <v>290</v>
      </c>
      <c r="F4403">
        <f t="shared" si="136"/>
        <v>1980</v>
      </c>
      <c r="G4403">
        <f t="shared" si="137"/>
        <v>5</v>
      </c>
      <c r="H4403" t="str">
        <f>IF(ISNUMBER(FIND(",", E4403)), TRIM(MID(E4403, FIND(",", E4403) + 1, LEN(E4403))), E4403)</f>
        <v>Papua New Guinea</v>
      </c>
    </row>
    <row r="4404" spans="1:8" x14ac:dyDescent="0.25">
      <c r="A4404" s="2">
        <v>29353</v>
      </c>
      <c r="B4404">
        <v>-14.489000000000001</v>
      </c>
      <c r="C4404">
        <v>168.00299999999999</v>
      </c>
      <c r="D4404" t="s">
        <v>14</v>
      </c>
      <c r="E4404" t="s">
        <v>181</v>
      </c>
      <c r="F4404">
        <f t="shared" si="136"/>
        <v>1980</v>
      </c>
      <c r="G4404">
        <f t="shared" si="137"/>
        <v>5</v>
      </c>
      <c r="H4404" t="str">
        <f>IF(ISNUMBER(FIND(",", E4404)), TRIM(MID(E4404, FIND(",", E4404) + 1, LEN(E4404))), E4404)</f>
        <v>Vanuatu</v>
      </c>
    </row>
    <row r="4405" spans="1:8" x14ac:dyDescent="0.25">
      <c r="A4405" s="2">
        <v>29351</v>
      </c>
      <c r="B4405">
        <v>-5.9039999999999999</v>
      </c>
      <c r="C4405">
        <v>154.46299999999999</v>
      </c>
      <c r="D4405" t="s">
        <v>14</v>
      </c>
      <c r="E4405" t="s">
        <v>290</v>
      </c>
      <c r="F4405">
        <f t="shared" si="136"/>
        <v>1980</v>
      </c>
      <c r="G4405">
        <f t="shared" si="137"/>
        <v>5</v>
      </c>
      <c r="H4405" t="str">
        <f>IF(ISNUMBER(FIND(",", E4405)), TRIM(MID(E4405, FIND(",", E4405) + 1, LEN(E4405))), E4405)</f>
        <v>Papua New Guinea</v>
      </c>
    </row>
    <row r="4406" spans="1:8" x14ac:dyDescent="0.25">
      <c r="A4406" s="2">
        <v>29350</v>
      </c>
      <c r="B4406">
        <v>-55.948</v>
      </c>
      <c r="C4406">
        <v>147.13300000000001</v>
      </c>
      <c r="D4406" t="s">
        <v>14</v>
      </c>
      <c r="E4406" t="s">
        <v>205</v>
      </c>
      <c r="F4406">
        <f t="shared" si="136"/>
        <v>1980</v>
      </c>
      <c r="G4406">
        <f t="shared" si="137"/>
        <v>5</v>
      </c>
      <c r="H4406" t="str">
        <f>IF(ISNUMBER(FIND(",", E4406)), TRIM(MID(E4406, FIND(",", E4406) + 1, LEN(E4406))), E4406)</f>
        <v>west of Macquarie Island</v>
      </c>
    </row>
    <row r="4407" spans="1:8" x14ac:dyDescent="0.25">
      <c r="A4407" s="2">
        <v>29345</v>
      </c>
      <c r="B4407">
        <v>38.045000000000002</v>
      </c>
      <c r="C4407">
        <v>49.012999999999998</v>
      </c>
      <c r="D4407" t="s">
        <v>14</v>
      </c>
      <c r="E4407" t="s">
        <v>620</v>
      </c>
      <c r="F4407">
        <f t="shared" si="136"/>
        <v>1980</v>
      </c>
      <c r="G4407">
        <f t="shared" si="137"/>
        <v>5</v>
      </c>
      <c r="H4407" t="str">
        <f>IF(ISNUMBER(FIND(",", E4407)), TRIM(MID(E4407, FIND(",", E4407) + 1, LEN(E4407))), E4407)</f>
        <v>Caspian Sea</v>
      </c>
    </row>
    <row r="4408" spans="1:8" x14ac:dyDescent="0.25">
      <c r="A4408" s="2">
        <v>29333</v>
      </c>
      <c r="B4408">
        <v>32.137</v>
      </c>
      <c r="C4408">
        <v>137.62799999999999</v>
      </c>
      <c r="D4408" t="s">
        <v>14</v>
      </c>
      <c r="E4408" t="s">
        <v>88</v>
      </c>
      <c r="F4408">
        <f t="shared" si="136"/>
        <v>1980</v>
      </c>
      <c r="G4408">
        <f t="shared" si="137"/>
        <v>4</v>
      </c>
      <c r="H4408" t="str">
        <f>IF(ISNUMBER(FIND(",", E4408)), TRIM(MID(E4408, FIND(",", E4408) + 1, LEN(E4408))), E4408)</f>
        <v>Japan region</v>
      </c>
    </row>
    <row r="4409" spans="1:8" x14ac:dyDescent="0.25">
      <c r="A4409" s="2">
        <v>29331</v>
      </c>
      <c r="B4409">
        <v>11.773999999999999</v>
      </c>
      <c r="C4409">
        <v>57.749000000000002</v>
      </c>
      <c r="D4409" t="s">
        <v>14</v>
      </c>
      <c r="E4409" t="s">
        <v>544</v>
      </c>
      <c r="F4409">
        <f t="shared" si="136"/>
        <v>1980</v>
      </c>
      <c r="G4409">
        <f t="shared" si="137"/>
        <v>4</v>
      </c>
      <c r="H4409" t="str">
        <f>IF(ISNUMBER(FIND(",", E4409)), TRIM(MID(E4409, FIND(",", E4409) + 1, LEN(E4409))), E4409)</f>
        <v>Owen Fracture Zone region</v>
      </c>
    </row>
    <row r="4410" spans="1:8" x14ac:dyDescent="0.25">
      <c r="A4410" s="2">
        <v>29327</v>
      </c>
      <c r="B4410">
        <v>-8.0459999999999994</v>
      </c>
      <c r="C4410">
        <v>108.741</v>
      </c>
      <c r="D4410" t="s">
        <v>14</v>
      </c>
      <c r="E4410" t="s">
        <v>358</v>
      </c>
      <c r="F4410">
        <f t="shared" si="136"/>
        <v>1980</v>
      </c>
      <c r="G4410">
        <f t="shared" si="137"/>
        <v>4</v>
      </c>
      <c r="H4410" t="str">
        <f>IF(ISNUMBER(FIND(",", E4410)), TRIM(MID(E4410, FIND(",", E4410) + 1, LEN(E4410))), E4410)</f>
        <v>Indonesia</v>
      </c>
    </row>
    <row r="4411" spans="1:8" x14ac:dyDescent="0.25">
      <c r="A4411" s="2">
        <v>29325</v>
      </c>
      <c r="B4411">
        <v>-17.155000000000001</v>
      </c>
      <c r="C4411">
        <v>66.748000000000005</v>
      </c>
      <c r="D4411" t="s">
        <v>14</v>
      </c>
      <c r="E4411" t="s">
        <v>220</v>
      </c>
      <c r="F4411">
        <f t="shared" si="136"/>
        <v>1980</v>
      </c>
      <c r="G4411">
        <f t="shared" si="137"/>
        <v>4</v>
      </c>
      <c r="H4411" t="str">
        <f>IF(ISNUMBER(FIND(",", E4411)), TRIM(MID(E4411, FIND(",", E4411) + 1, LEN(E4411))), E4411)</f>
        <v>Mauritius - Reunion region</v>
      </c>
    </row>
    <row r="4412" spans="1:8" x14ac:dyDescent="0.25">
      <c r="A4412" s="2">
        <v>29325</v>
      </c>
      <c r="B4412">
        <v>-10.874000000000001</v>
      </c>
      <c r="C4412">
        <v>164.23</v>
      </c>
      <c r="D4412" t="s">
        <v>14</v>
      </c>
      <c r="E4412" t="s">
        <v>396</v>
      </c>
      <c r="F4412">
        <f t="shared" si="136"/>
        <v>1980</v>
      </c>
      <c r="G4412">
        <f t="shared" si="137"/>
        <v>4</v>
      </c>
      <c r="H4412" t="str">
        <f>IF(ISNUMBER(FIND(",", E4412)), TRIM(MID(E4412, FIND(",", E4412) + 1, LEN(E4412))), E4412)</f>
        <v>Santa Cruz Islands region</v>
      </c>
    </row>
    <row r="4413" spans="1:8" x14ac:dyDescent="0.25">
      <c r="A4413" s="2">
        <v>29324</v>
      </c>
      <c r="B4413">
        <v>-23.593</v>
      </c>
      <c r="C4413">
        <v>-177.22399999999999</v>
      </c>
      <c r="D4413" t="s">
        <v>14</v>
      </c>
      <c r="E4413" t="s">
        <v>256</v>
      </c>
      <c r="F4413">
        <f t="shared" si="136"/>
        <v>1980</v>
      </c>
      <c r="G4413">
        <f t="shared" si="137"/>
        <v>4</v>
      </c>
      <c r="H4413" t="str">
        <f>IF(ISNUMBER(FIND(",", E4413)), TRIM(MID(E4413, FIND(",", E4413) + 1, LEN(E4413))), E4413)</f>
        <v>south of the Fiji Islands</v>
      </c>
    </row>
    <row r="4414" spans="1:8" x14ac:dyDescent="0.25">
      <c r="A4414" s="2">
        <v>29322</v>
      </c>
      <c r="B4414">
        <v>-22.925000000000001</v>
      </c>
      <c r="C4414">
        <v>171.20400000000001</v>
      </c>
      <c r="D4414" t="s">
        <v>14</v>
      </c>
      <c r="E4414" t="s">
        <v>254</v>
      </c>
      <c r="F4414">
        <f t="shared" si="136"/>
        <v>1980</v>
      </c>
      <c r="G4414">
        <f t="shared" si="137"/>
        <v>4</v>
      </c>
      <c r="H4414" t="str">
        <f>IF(ISNUMBER(FIND(",", E4414)), TRIM(MID(E4414, FIND(",", E4414) + 1, LEN(E4414))), E4414)</f>
        <v>southeast of the Loyalty Islands</v>
      </c>
    </row>
    <row r="4415" spans="1:8" x14ac:dyDescent="0.25">
      <c r="A4415" s="2">
        <v>29311</v>
      </c>
      <c r="B4415">
        <v>-20.411999999999999</v>
      </c>
      <c r="C4415">
        <v>-173.684</v>
      </c>
      <c r="D4415" t="s">
        <v>14</v>
      </c>
      <c r="E4415" t="s">
        <v>239</v>
      </c>
      <c r="F4415">
        <f t="shared" si="136"/>
        <v>1980</v>
      </c>
      <c r="G4415">
        <f t="shared" si="137"/>
        <v>3</v>
      </c>
      <c r="H4415" t="str">
        <f>IF(ISNUMBER(FIND(",", E4415)), TRIM(MID(E4415, FIND(",", E4415) + 1, LEN(E4415))), E4415)</f>
        <v>Tonga</v>
      </c>
    </row>
    <row r="4416" spans="1:8" x14ac:dyDescent="0.25">
      <c r="A4416" s="2">
        <v>29311</v>
      </c>
      <c r="B4416">
        <v>16.123000000000001</v>
      </c>
      <c r="C4416">
        <v>121.907</v>
      </c>
      <c r="D4416" t="s">
        <v>14</v>
      </c>
      <c r="E4416" t="s">
        <v>297</v>
      </c>
      <c r="F4416">
        <f t="shared" si="136"/>
        <v>1980</v>
      </c>
      <c r="G4416">
        <f t="shared" si="137"/>
        <v>3</v>
      </c>
      <c r="H4416" t="str">
        <f>IF(ISNUMBER(FIND(",", E4416)), TRIM(MID(E4416, FIND(",", E4416) + 1, LEN(E4416))), E4416)</f>
        <v>Philippines</v>
      </c>
    </row>
    <row r="4417" spans="1:8" x14ac:dyDescent="0.25">
      <c r="A4417" s="2">
        <v>29311</v>
      </c>
      <c r="B4417">
        <v>35.491</v>
      </c>
      <c r="C4417">
        <v>135.52199999999999</v>
      </c>
      <c r="D4417" t="s">
        <v>14</v>
      </c>
      <c r="E4417" t="s">
        <v>502</v>
      </c>
      <c r="F4417">
        <f t="shared" si="136"/>
        <v>1980</v>
      </c>
      <c r="G4417">
        <f t="shared" si="137"/>
        <v>3</v>
      </c>
      <c r="H4417" t="str">
        <f>IF(ISNUMBER(FIND(",", E4417)), TRIM(MID(E4417, FIND(",", E4417) + 1, LEN(E4417))), E4417)</f>
        <v>Japan</v>
      </c>
    </row>
    <row r="4418" spans="1:8" x14ac:dyDescent="0.25">
      <c r="A4418" s="2">
        <v>29309</v>
      </c>
      <c r="B4418">
        <v>-43.106999999999999</v>
      </c>
      <c r="C4418">
        <v>-75.429000000000002</v>
      </c>
      <c r="D4418" t="s">
        <v>14</v>
      </c>
      <c r="E4418" t="s">
        <v>522</v>
      </c>
      <c r="F4418">
        <f t="shared" ref="F4418:F4481" si="138">YEAR(A4418)</f>
        <v>1980</v>
      </c>
      <c r="G4418">
        <f t="shared" si="137"/>
        <v>3</v>
      </c>
      <c r="H4418" t="str">
        <f>IF(ISNUMBER(FIND(",", E4418)), TRIM(MID(E4418, FIND(",", E4418) + 1, LEN(E4418))), E4418)</f>
        <v>Chile</v>
      </c>
    </row>
    <row r="4419" spans="1:8" x14ac:dyDescent="0.25">
      <c r="A4419" s="2">
        <v>29309</v>
      </c>
      <c r="B4419">
        <v>-4.6319999999999997</v>
      </c>
      <c r="C4419">
        <v>154.90799999999999</v>
      </c>
      <c r="D4419" t="s">
        <v>14</v>
      </c>
      <c r="E4419" t="s">
        <v>290</v>
      </c>
      <c r="F4419">
        <f t="shared" si="138"/>
        <v>1980</v>
      </c>
      <c r="G4419">
        <f t="shared" ref="G4419:G4482" si="139">MONTH(A4419)</f>
        <v>3</v>
      </c>
      <c r="H4419" t="str">
        <f>IF(ISNUMBER(FIND(",", E4419)), TRIM(MID(E4419, FIND(",", E4419) + 1, LEN(E4419))), E4419)</f>
        <v>Papua New Guinea</v>
      </c>
    </row>
    <row r="4420" spans="1:8" x14ac:dyDescent="0.25">
      <c r="A4420" s="2">
        <v>29306</v>
      </c>
      <c r="B4420">
        <v>23.786999999999999</v>
      </c>
      <c r="C4420">
        <v>-45.552999999999997</v>
      </c>
      <c r="D4420" t="s">
        <v>14</v>
      </c>
      <c r="E4420" t="s">
        <v>325</v>
      </c>
      <c r="F4420">
        <f t="shared" si="138"/>
        <v>1980</v>
      </c>
      <c r="G4420">
        <f t="shared" si="139"/>
        <v>3</v>
      </c>
      <c r="H4420" t="str">
        <f>IF(ISNUMBER(FIND(",", E4420)), TRIM(MID(E4420, FIND(",", E4420) + 1, LEN(E4420))), E4420)</f>
        <v>northern Mid-Atlantic Ridge</v>
      </c>
    </row>
    <row r="4421" spans="1:8" x14ac:dyDescent="0.25">
      <c r="A4421" s="2">
        <v>29304</v>
      </c>
      <c r="B4421">
        <v>52.792000000000002</v>
      </c>
      <c r="C4421">
        <v>-167.661</v>
      </c>
      <c r="D4421" t="s">
        <v>13</v>
      </c>
      <c r="E4421" t="s">
        <v>219</v>
      </c>
      <c r="F4421">
        <f t="shared" si="138"/>
        <v>1980</v>
      </c>
      <c r="G4421">
        <f t="shared" si="139"/>
        <v>3</v>
      </c>
      <c r="H4421" t="str">
        <f>IF(ISNUMBER(FIND(",", E4421)), TRIM(MID(E4421, FIND(",", E4421) + 1, LEN(E4421))), E4421)</f>
        <v>Aleutian Islands, Alaska</v>
      </c>
    </row>
    <row r="4422" spans="1:8" x14ac:dyDescent="0.25">
      <c r="A4422" s="2">
        <v>29304</v>
      </c>
      <c r="B4422">
        <v>52.945999999999998</v>
      </c>
      <c r="C4422">
        <v>-167.71199999999999</v>
      </c>
      <c r="D4422" t="s">
        <v>14</v>
      </c>
      <c r="E4422" t="s">
        <v>219</v>
      </c>
      <c r="F4422">
        <f t="shared" si="138"/>
        <v>1980</v>
      </c>
      <c r="G4422">
        <f t="shared" si="139"/>
        <v>3</v>
      </c>
      <c r="H4422" t="str">
        <f>IF(ISNUMBER(FIND(",", E4422)), TRIM(MID(E4422, FIND(",", E4422) + 1, LEN(E4422))), E4422)</f>
        <v>Aleutian Islands, Alaska</v>
      </c>
    </row>
    <row r="4423" spans="1:8" x14ac:dyDescent="0.25">
      <c r="A4423" s="2">
        <v>29288</v>
      </c>
      <c r="B4423">
        <v>-22.638000000000002</v>
      </c>
      <c r="C4423">
        <v>171.452</v>
      </c>
      <c r="D4423" t="s">
        <v>14</v>
      </c>
      <c r="E4423" t="s">
        <v>254</v>
      </c>
      <c r="F4423">
        <f t="shared" si="138"/>
        <v>1980</v>
      </c>
      <c r="G4423">
        <f t="shared" si="139"/>
        <v>3</v>
      </c>
      <c r="H4423" t="str">
        <f>IF(ISNUMBER(FIND(",", E4423)), TRIM(MID(E4423, FIND(",", E4423) + 1, LEN(E4423))), E4423)</f>
        <v>southeast of the Loyalty Islands</v>
      </c>
    </row>
    <row r="4424" spans="1:8" x14ac:dyDescent="0.25">
      <c r="A4424" s="2">
        <v>29288</v>
      </c>
      <c r="B4424">
        <v>-22.765000000000001</v>
      </c>
      <c r="C4424">
        <v>171.453</v>
      </c>
      <c r="D4424" t="s">
        <v>14</v>
      </c>
      <c r="E4424" t="s">
        <v>254</v>
      </c>
      <c r="F4424">
        <f t="shared" si="138"/>
        <v>1980</v>
      </c>
      <c r="G4424">
        <f t="shared" si="139"/>
        <v>3</v>
      </c>
      <c r="H4424" t="str">
        <f>IF(ISNUMBER(FIND(",", E4424)), TRIM(MID(E4424, FIND(",", E4424) + 1, LEN(E4424))), E4424)</f>
        <v>southeast of the Loyalty Islands</v>
      </c>
    </row>
    <row r="4425" spans="1:8" x14ac:dyDescent="0.25">
      <c r="A4425" s="2">
        <v>29287</v>
      </c>
      <c r="B4425">
        <v>-16.706</v>
      </c>
      <c r="C4425">
        <v>-72.834000000000003</v>
      </c>
      <c r="D4425" t="s">
        <v>14</v>
      </c>
      <c r="E4425" t="s">
        <v>499</v>
      </c>
      <c r="F4425">
        <f t="shared" si="138"/>
        <v>1980</v>
      </c>
      <c r="G4425">
        <f t="shared" si="139"/>
        <v>3</v>
      </c>
      <c r="H4425" t="str">
        <f>IF(ISNUMBER(FIND(",", E4425)), TRIM(MID(E4425, FIND(",", E4425) + 1, LEN(E4425))), E4425)</f>
        <v>near the coast of southern Peru</v>
      </c>
    </row>
    <row r="4426" spans="1:8" x14ac:dyDescent="0.25">
      <c r="A4426" s="2">
        <v>29282</v>
      </c>
      <c r="B4426">
        <v>27.015999999999998</v>
      </c>
      <c r="C4426">
        <v>126.63800000000001</v>
      </c>
      <c r="D4426" t="s">
        <v>14</v>
      </c>
      <c r="E4426" t="s">
        <v>418</v>
      </c>
      <c r="F4426">
        <f t="shared" si="138"/>
        <v>1980</v>
      </c>
      <c r="G4426">
        <f t="shared" si="139"/>
        <v>3</v>
      </c>
      <c r="H4426" t="str">
        <f>IF(ISNUMBER(FIND(",", E4426)), TRIM(MID(E4426, FIND(",", E4426) + 1, LEN(E4426))), E4426)</f>
        <v>Japan</v>
      </c>
    </row>
    <row r="4427" spans="1:8" x14ac:dyDescent="0.25">
      <c r="A4427" s="2">
        <v>29280</v>
      </c>
      <c r="B4427">
        <v>6.3220000000000001</v>
      </c>
      <c r="C4427">
        <v>126.858</v>
      </c>
      <c r="D4427" t="s">
        <v>14</v>
      </c>
      <c r="E4427" t="s">
        <v>200</v>
      </c>
      <c r="F4427">
        <f t="shared" si="138"/>
        <v>1980</v>
      </c>
      <c r="G4427">
        <f t="shared" si="139"/>
        <v>2</v>
      </c>
      <c r="H4427" t="str">
        <f>IF(ISNUMBER(FIND(",", E4427)), TRIM(MID(E4427, FIND(",", E4427) + 1, LEN(E4427))), E4427)</f>
        <v>Philippines</v>
      </c>
    </row>
    <row r="4428" spans="1:8" x14ac:dyDescent="0.25">
      <c r="A4428" s="2">
        <v>29278</v>
      </c>
      <c r="B4428">
        <v>-6.1230000000000002</v>
      </c>
      <c r="C4428">
        <v>150.24</v>
      </c>
      <c r="D4428" t="s">
        <v>14</v>
      </c>
      <c r="E4428" t="s">
        <v>190</v>
      </c>
      <c r="F4428">
        <f t="shared" si="138"/>
        <v>1980</v>
      </c>
      <c r="G4428">
        <f t="shared" si="139"/>
        <v>2</v>
      </c>
      <c r="H4428" t="str">
        <f>IF(ISNUMBER(FIND(",", E4428)), TRIM(MID(E4428, FIND(",", E4428) + 1, LEN(E4428))), E4428)</f>
        <v>Papua New Guinea</v>
      </c>
    </row>
    <row r="4429" spans="1:8" x14ac:dyDescent="0.25">
      <c r="A4429" s="2">
        <v>29278</v>
      </c>
      <c r="B4429">
        <v>-5.9569999999999999</v>
      </c>
      <c r="C4429">
        <v>150.191</v>
      </c>
      <c r="D4429" t="s">
        <v>14</v>
      </c>
      <c r="E4429" t="s">
        <v>190</v>
      </c>
      <c r="F4429">
        <f t="shared" si="138"/>
        <v>1980</v>
      </c>
      <c r="G4429">
        <f t="shared" si="139"/>
        <v>2</v>
      </c>
      <c r="H4429" t="str">
        <f>IF(ISNUMBER(FIND(",", E4429)), TRIM(MID(E4429, FIND(",", E4429) + 1, LEN(E4429))), E4429)</f>
        <v>Papua New Guinea</v>
      </c>
    </row>
    <row r="4430" spans="1:8" x14ac:dyDescent="0.25">
      <c r="A4430" s="2">
        <v>29274</v>
      </c>
      <c r="B4430">
        <v>43.591999999999999</v>
      </c>
      <c r="C4430">
        <v>146.678</v>
      </c>
      <c r="D4430" t="s">
        <v>14</v>
      </c>
      <c r="E4430" t="s">
        <v>191</v>
      </c>
      <c r="F4430">
        <f t="shared" si="138"/>
        <v>1980</v>
      </c>
      <c r="G4430">
        <f t="shared" si="139"/>
        <v>2</v>
      </c>
      <c r="H4430" t="str">
        <f>IF(ISNUMBER(FIND(",", E4430)), TRIM(MID(E4430, FIND(",", E4430) + 1, LEN(E4430))), E4430)</f>
        <v>Kuril Islands</v>
      </c>
    </row>
    <row r="4431" spans="1:8" x14ac:dyDescent="0.25">
      <c r="A4431" s="2">
        <v>29273</v>
      </c>
      <c r="B4431">
        <v>-10.676</v>
      </c>
      <c r="C4431">
        <v>161.69800000000001</v>
      </c>
      <c r="D4431" t="s">
        <v>14</v>
      </c>
      <c r="E4431" t="s">
        <v>221</v>
      </c>
      <c r="F4431">
        <f t="shared" si="138"/>
        <v>1980</v>
      </c>
      <c r="G4431">
        <f t="shared" si="139"/>
        <v>2</v>
      </c>
      <c r="H4431" t="str">
        <f>IF(ISNUMBER(FIND(",", E4431)), TRIM(MID(E4431, FIND(",", E4431) + 1, LEN(E4431))), E4431)</f>
        <v>Solomon Islands</v>
      </c>
    </row>
    <row r="4432" spans="1:8" x14ac:dyDescent="0.25">
      <c r="A4432" s="2">
        <v>29273</v>
      </c>
      <c r="B4432">
        <v>30.548999999999999</v>
      </c>
      <c r="C4432">
        <v>88.616</v>
      </c>
      <c r="D4432" t="s">
        <v>14</v>
      </c>
      <c r="E4432" t="s">
        <v>388</v>
      </c>
      <c r="F4432">
        <f t="shared" si="138"/>
        <v>1980</v>
      </c>
      <c r="G4432">
        <f t="shared" si="139"/>
        <v>2</v>
      </c>
      <c r="H4432" t="str">
        <f>IF(ISNUMBER(FIND(",", E4432)), TRIM(MID(E4432, FIND(",", E4432) + 1, LEN(E4432))), E4432)</f>
        <v>western Xizang</v>
      </c>
    </row>
    <row r="4433" spans="1:8" x14ac:dyDescent="0.25">
      <c r="A4433" s="2">
        <v>29263</v>
      </c>
      <c r="B4433">
        <v>-4.7050000000000001</v>
      </c>
      <c r="C4433">
        <v>153.184</v>
      </c>
      <c r="D4433" t="s">
        <v>14</v>
      </c>
      <c r="E4433" t="s">
        <v>183</v>
      </c>
      <c r="F4433">
        <f t="shared" si="138"/>
        <v>1980</v>
      </c>
      <c r="G4433">
        <f t="shared" si="139"/>
        <v>2</v>
      </c>
      <c r="H4433" t="str">
        <f>IF(ISNUMBER(FIND(",", E4433)), TRIM(MID(E4433, FIND(",", E4433) + 1, LEN(E4433))), E4433)</f>
        <v>Papua New Guinea</v>
      </c>
    </row>
    <row r="4434" spans="1:8" x14ac:dyDescent="0.25">
      <c r="A4434" s="2">
        <v>29258</v>
      </c>
      <c r="B4434">
        <v>-54.378999999999998</v>
      </c>
      <c r="C4434">
        <v>158.91999999999999</v>
      </c>
      <c r="D4434" t="s">
        <v>14</v>
      </c>
      <c r="E4434" t="s">
        <v>350</v>
      </c>
      <c r="F4434">
        <f t="shared" si="138"/>
        <v>1980</v>
      </c>
      <c r="G4434">
        <f t="shared" si="139"/>
        <v>2</v>
      </c>
      <c r="H4434" t="str">
        <f>IF(ISNUMBER(FIND(",", E4434)), TRIM(MID(E4434, FIND(",", E4434) + 1, LEN(E4434))), E4434)</f>
        <v>Macquarie Island region</v>
      </c>
    </row>
    <row r="4435" spans="1:8" x14ac:dyDescent="0.25">
      <c r="A4435" s="2">
        <v>29258</v>
      </c>
      <c r="B4435">
        <v>-54.021000000000001</v>
      </c>
      <c r="C4435">
        <v>159.03200000000001</v>
      </c>
      <c r="D4435" t="s">
        <v>14</v>
      </c>
      <c r="E4435" t="s">
        <v>350</v>
      </c>
      <c r="F4435">
        <f t="shared" si="138"/>
        <v>1980</v>
      </c>
      <c r="G4435">
        <f t="shared" si="139"/>
        <v>2</v>
      </c>
      <c r="H4435" t="str">
        <f>IF(ISNUMBER(FIND(",", E4435)), TRIM(MID(E4435, FIND(",", E4435) + 1, LEN(E4435))), E4435)</f>
        <v>Macquarie Island region</v>
      </c>
    </row>
    <row r="4436" spans="1:8" x14ac:dyDescent="0.25">
      <c r="A4436" s="2">
        <v>29255</v>
      </c>
      <c r="B4436">
        <v>-57.954000000000001</v>
      </c>
      <c r="C4436">
        <v>-7.2220000000000004</v>
      </c>
      <c r="D4436" t="s">
        <v>14</v>
      </c>
      <c r="E4436" t="s">
        <v>242</v>
      </c>
      <c r="F4436">
        <f t="shared" si="138"/>
        <v>1980</v>
      </c>
      <c r="G4436">
        <f t="shared" si="139"/>
        <v>2</v>
      </c>
      <c r="H4436" t="str">
        <f>IF(ISNUMBER(FIND(",", E4436)), TRIM(MID(E4436, FIND(",", E4436) + 1, LEN(E4436))), E4436)</f>
        <v>east of the South Sandwich Islands</v>
      </c>
    </row>
    <row r="4437" spans="1:8" x14ac:dyDescent="0.25">
      <c r="A4437" s="2">
        <v>29254</v>
      </c>
      <c r="B4437">
        <v>-17.652000000000001</v>
      </c>
      <c r="C4437">
        <v>-171.08</v>
      </c>
      <c r="D4437" t="s">
        <v>14</v>
      </c>
      <c r="E4437" t="s">
        <v>304</v>
      </c>
      <c r="F4437">
        <f t="shared" si="138"/>
        <v>1980</v>
      </c>
      <c r="G4437">
        <f t="shared" si="139"/>
        <v>2</v>
      </c>
      <c r="H4437" t="str">
        <f>IF(ISNUMBER(FIND(",", E4437)), TRIM(MID(E4437, FIND(",", E4437) + 1, LEN(E4437))), E4437)</f>
        <v>Tonga region</v>
      </c>
    </row>
    <row r="4438" spans="1:8" x14ac:dyDescent="0.25">
      <c r="A4438" s="2">
        <v>29247</v>
      </c>
      <c r="B4438">
        <v>-35.351999999999997</v>
      </c>
      <c r="C4438">
        <v>-105.913</v>
      </c>
      <c r="D4438" t="s">
        <v>14</v>
      </c>
      <c r="E4438" t="s">
        <v>268</v>
      </c>
      <c r="F4438">
        <f t="shared" si="138"/>
        <v>1980</v>
      </c>
      <c r="G4438">
        <f t="shared" si="139"/>
        <v>1</v>
      </c>
      <c r="H4438" t="str">
        <f>IF(ISNUMBER(FIND(",", E4438)), TRIM(MID(E4438, FIND(",", E4438) + 1, LEN(E4438))), E4438)</f>
        <v>southern East Pacific Rise</v>
      </c>
    </row>
    <row r="4439" spans="1:8" x14ac:dyDescent="0.25">
      <c r="A4439" s="2">
        <v>29238</v>
      </c>
      <c r="B4439">
        <v>37.825000000000003</v>
      </c>
      <c r="C4439">
        <v>133.41800000000001</v>
      </c>
      <c r="D4439" t="s">
        <v>14</v>
      </c>
      <c r="E4439" t="s">
        <v>420</v>
      </c>
      <c r="F4439">
        <f t="shared" si="138"/>
        <v>1980</v>
      </c>
      <c r="G4439">
        <f t="shared" si="139"/>
        <v>1</v>
      </c>
      <c r="H4439" t="str">
        <f>IF(ISNUMBER(FIND(",", E4439)), TRIM(MID(E4439, FIND(",", E4439) + 1, LEN(E4439))), E4439)</f>
        <v>Sea of Japan</v>
      </c>
    </row>
    <row r="4440" spans="1:8" x14ac:dyDescent="0.25">
      <c r="A4440" s="2">
        <v>29238</v>
      </c>
      <c r="B4440">
        <v>-53.935000000000002</v>
      </c>
      <c r="C4440">
        <v>158.49</v>
      </c>
      <c r="D4440" t="s">
        <v>14</v>
      </c>
      <c r="E4440" t="s">
        <v>350</v>
      </c>
      <c r="F4440">
        <f t="shared" si="138"/>
        <v>1980</v>
      </c>
      <c r="G4440">
        <f t="shared" si="139"/>
        <v>1</v>
      </c>
      <c r="H4440" t="str">
        <f>IF(ISNUMBER(FIND(",", E4440)), TRIM(MID(E4440, FIND(",", E4440) + 1, LEN(E4440))), E4440)</f>
        <v>Macquarie Island region</v>
      </c>
    </row>
    <row r="4441" spans="1:8" x14ac:dyDescent="0.25">
      <c r="A4441" s="2">
        <v>29232</v>
      </c>
      <c r="B4441">
        <v>41.744</v>
      </c>
      <c r="C4441">
        <v>143.65600000000001</v>
      </c>
      <c r="D4441" t="s">
        <v>14</v>
      </c>
      <c r="E4441" t="s">
        <v>265</v>
      </c>
      <c r="F4441">
        <f t="shared" si="138"/>
        <v>1980</v>
      </c>
      <c r="G4441">
        <f t="shared" si="139"/>
        <v>1</v>
      </c>
      <c r="H4441" t="str">
        <f>IF(ISNUMBER(FIND(",", E4441)), TRIM(MID(E4441, FIND(",", E4441) + 1, LEN(E4441))), E4441)</f>
        <v>Japan region</v>
      </c>
    </row>
    <row r="4442" spans="1:8" x14ac:dyDescent="0.25">
      <c r="A4442" s="2">
        <v>29222</v>
      </c>
      <c r="B4442">
        <v>5.9850000000000003</v>
      </c>
      <c r="C4442">
        <v>126.15300000000001</v>
      </c>
      <c r="D4442" t="s">
        <v>14</v>
      </c>
      <c r="E4442" t="s">
        <v>200</v>
      </c>
      <c r="F4442">
        <f t="shared" si="138"/>
        <v>1980</v>
      </c>
      <c r="G4442">
        <f t="shared" si="139"/>
        <v>1</v>
      </c>
      <c r="H4442" t="str">
        <f>IF(ISNUMBER(FIND(",", E4442)), TRIM(MID(E4442, FIND(",", E4442) + 1, LEN(E4442))), E4442)</f>
        <v>Philippines</v>
      </c>
    </row>
    <row r="4443" spans="1:8" x14ac:dyDescent="0.25">
      <c r="A4443" s="2">
        <v>29221</v>
      </c>
      <c r="B4443">
        <v>38.725999999999999</v>
      </c>
      <c r="C4443">
        <v>-27.751999999999999</v>
      </c>
      <c r="D4443" t="s">
        <v>14</v>
      </c>
      <c r="E4443" t="s">
        <v>527</v>
      </c>
      <c r="F4443">
        <f t="shared" si="138"/>
        <v>1980</v>
      </c>
      <c r="G4443">
        <f t="shared" si="139"/>
        <v>1</v>
      </c>
      <c r="H4443" t="str">
        <f>IF(ISNUMBER(FIND(",", E4443)), TRIM(MID(E4443, FIND(",", E4443) + 1, LEN(E4443))), E4443)</f>
        <v>Portugal</v>
      </c>
    </row>
    <row r="4444" spans="1:8" x14ac:dyDescent="0.25">
      <c r="A4444" s="2">
        <v>29206</v>
      </c>
      <c r="B4444">
        <v>-8.4740000000000002</v>
      </c>
      <c r="C4444">
        <v>115.767</v>
      </c>
      <c r="D4444" t="s">
        <v>14</v>
      </c>
      <c r="E4444" t="s">
        <v>621</v>
      </c>
      <c r="F4444">
        <f t="shared" si="138"/>
        <v>1979</v>
      </c>
      <c r="G4444">
        <f t="shared" si="139"/>
        <v>12</v>
      </c>
      <c r="H4444" t="str">
        <f>IF(ISNUMBER(FIND(",", E4444)), TRIM(MID(E4444, FIND(",", E4444) + 1, LEN(E4444))), E4444)</f>
        <v>Indonesia</v>
      </c>
    </row>
    <row r="4445" spans="1:8" x14ac:dyDescent="0.25">
      <c r="A4445" s="2">
        <v>29204</v>
      </c>
      <c r="B4445">
        <v>-3.3860000000000001</v>
      </c>
      <c r="C4445">
        <v>102.54300000000001</v>
      </c>
      <c r="D4445" t="s">
        <v>14</v>
      </c>
      <c r="E4445" t="s">
        <v>308</v>
      </c>
      <c r="F4445">
        <f t="shared" si="138"/>
        <v>1979</v>
      </c>
      <c r="G4445">
        <f t="shared" si="139"/>
        <v>12</v>
      </c>
      <c r="H4445" t="str">
        <f>IF(ISNUMBER(FIND(",", E4445)), TRIM(MID(E4445, FIND(",", E4445) + 1, LEN(E4445))), E4445)</f>
        <v>Indonesia</v>
      </c>
    </row>
    <row r="4446" spans="1:8" x14ac:dyDescent="0.25">
      <c r="A4446" s="2">
        <v>29202</v>
      </c>
      <c r="B4446">
        <v>2.476</v>
      </c>
      <c r="C4446">
        <v>-79.415000000000006</v>
      </c>
      <c r="D4446" t="s">
        <v>14</v>
      </c>
      <c r="E4446" t="s">
        <v>231</v>
      </c>
      <c r="F4446">
        <f t="shared" si="138"/>
        <v>1979</v>
      </c>
      <c r="G4446">
        <f t="shared" si="139"/>
        <v>12</v>
      </c>
      <c r="H4446" t="str">
        <f>IF(ISNUMBER(FIND(",", E4446)), TRIM(MID(E4446, FIND(",", E4446) + 1, LEN(E4446))), E4446)</f>
        <v>south of Panama</v>
      </c>
    </row>
    <row r="4447" spans="1:8" x14ac:dyDescent="0.25">
      <c r="A4447" s="2">
        <v>29201</v>
      </c>
      <c r="B4447">
        <v>1.6020000000000001</v>
      </c>
      <c r="C4447">
        <v>-79.363</v>
      </c>
      <c r="D4447" t="s">
        <v>14</v>
      </c>
      <c r="E4447" t="s">
        <v>457</v>
      </c>
      <c r="F4447">
        <f t="shared" si="138"/>
        <v>1979</v>
      </c>
      <c r="G4447">
        <f t="shared" si="139"/>
        <v>12</v>
      </c>
      <c r="H4447" t="str">
        <f>IF(ISNUMBER(FIND(",", E4447)), TRIM(MID(E4447, FIND(",", E4447) + 1, LEN(E4447))), E4447)</f>
        <v>near the coast of Ecuador</v>
      </c>
    </row>
    <row r="4448" spans="1:8" x14ac:dyDescent="0.25">
      <c r="A4448" s="2">
        <v>29200</v>
      </c>
      <c r="B4448">
        <v>28.925000000000001</v>
      </c>
      <c r="C4448">
        <v>140.78800000000001</v>
      </c>
      <c r="D4448" t="s">
        <v>14</v>
      </c>
      <c r="E4448" t="s">
        <v>233</v>
      </c>
      <c r="F4448">
        <f t="shared" si="138"/>
        <v>1979</v>
      </c>
      <c r="G4448">
        <f t="shared" si="139"/>
        <v>12</v>
      </c>
      <c r="H4448" t="str">
        <f>IF(ISNUMBER(FIND(",", E4448)), TRIM(MID(E4448, FIND(",", E4448) + 1, LEN(E4448))), E4448)</f>
        <v>Japan region</v>
      </c>
    </row>
    <row r="4449" spans="1:8" x14ac:dyDescent="0.25">
      <c r="A4449" s="2">
        <v>29196</v>
      </c>
      <c r="B4449">
        <v>34.08</v>
      </c>
      <c r="C4449">
        <v>59.85</v>
      </c>
      <c r="D4449" t="s">
        <v>14</v>
      </c>
      <c r="E4449" t="s">
        <v>622</v>
      </c>
      <c r="F4449">
        <f t="shared" si="138"/>
        <v>1979</v>
      </c>
      <c r="G4449">
        <f t="shared" si="139"/>
        <v>12</v>
      </c>
      <c r="H4449" t="str">
        <f>IF(ISNUMBER(FIND(",", E4449)), TRIM(MID(E4449, FIND(",", E4449) + 1, LEN(E4449))), E4449)</f>
        <v>northeastern Iran</v>
      </c>
    </row>
    <row r="4450" spans="1:8" x14ac:dyDescent="0.25">
      <c r="A4450" s="2">
        <v>29192</v>
      </c>
      <c r="B4450">
        <v>-55.14</v>
      </c>
      <c r="C4450">
        <v>-128.65100000000001</v>
      </c>
      <c r="D4450" t="s">
        <v>14</v>
      </c>
      <c r="E4450" t="s">
        <v>179</v>
      </c>
      <c r="F4450">
        <f t="shared" si="138"/>
        <v>1979</v>
      </c>
      <c r="G4450">
        <f t="shared" si="139"/>
        <v>12</v>
      </c>
      <c r="H4450" t="str">
        <f>IF(ISNUMBER(FIND(",", E4450)), TRIM(MID(E4450, FIND(",", E4450) + 1, LEN(E4450))), E4450)</f>
        <v>Pacific-Antarctic Ridge</v>
      </c>
    </row>
    <row r="4451" spans="1:8" x14ac:dyDescent="0.25">
      <c r="A4451" s="2">
        <v>29186</v>
      </c>
      <c r="B4451">
        <v>34.058</v>
      </c>
      <c r="C4451">
        <v>59.758000000000003</v>
      </c>
      <c r="D4451" t="s">
        <v>14</v>
      </c>
      <c r="E4451" t="s">
        <v>622</v>
      </c>
      <c r="F4451">
        <f t="shared" si="138"/>
        <v>1979</v>
      </c>
      <c r="G4451">
        <f t="shared" si="139"/>
        <v>11</v>
      </c>
      <c r="H4451" t="str">
        <f>IF(ISNUMBER(FIND(",", E4451)), TRIM(MID(E4451, FIND(",", E4451) + 1, LEN(E4451))), E4451)</f>
        <v>northeastern Iran</v>
      </c>
    </row>
    <row r="4452" spans="1:8" x14ac:dyDescent="0.25">
      <c r="A4452" s="2">
        <v>29183</v>
      </c>
      <c r="B4452">
        <v>-18.899000000000001</v>
      </c>
      <c r="C4452">
        <v>-176.55799999999999</v>
      </c>
      <c r="D4452" t="s">
        <v>14</v>
      </c>
      <c r="E4452" t="s">
        <v>53</v>
      </c>
      <c r="F4452">
        <f t="shared" si="138"/>
        <v>1979</v>
      </c>
      <c r="G4452">
        <f t="shared" si="139"/>
        <v>11</v>
      </c>
      <c r="H4452" t="str">
        <f>IF(ISNUMBER(FIND(",", E4452)), TRIM(MID(E4452, FIND(",", E4452) + 1, LEN(E4452))), E4452)</f>
        <v>Fiji region</v>
      </c>
    </row>
    <row r="4453" spans="1:8" x14ac:dyDescent="0.25">
      <c r="A4453" s="2">
        <v>29182</v>
      </c>
      <c r="B4453">
        <v>4.7939999999999996</v>
      </c>
      <c r="C4453">
        <v>-76.188000000000002</v>
      </c>
      <c r="D4453" t="s">
        <v>14</v>
      </c>
      <c r="E4453" t="s">
        <v>206</v>
      </c>
      <c r="F4453">
        <f t="shared" si="138"/>
        <v>1979</v>
      </c>
      <c r="G4453">
        <f t="shared" si="139"/>
        <v>11</v>
      </c>
      <c r="H4453" t="str">
        <f>IF(ISNUMBER(FIND(",", E4453)), TRIM(MID(E4453, FIND(",", E4453) + 1, LEN(E4453))), E4453)</f>
        <v>Colombia</v>
      </c>
    </row>
    <row r="4454" spans="1:8" x14ac:dyDescent="0.25">
      <c r="A4454" s="2">
        <v>29181</v>
      </c>
      <c r="B4454">
        <v>-24.27</v>
      </c>
      <c r="C4454">
        <v>-67.134</v>
      </c>
      <c r="D4454" t="s">
        <v>14</v>
      </c>
      <c r="E4454" t="s">
        <v>337</v>
      </c>
      <c r="F4454">
        <f t="shared" si="138"/>
        <v>1979</v>
      </c>
      <c r="G4454">
        <f t="shared" si="139"/>
        <v>11</v>
      </c>
      <c r="H4454" t="str">
        <f>IF(ISNUMBER(FIND(",", E4454)), TRIM(MID(E4454, FIND(",", E4454) + 1, LEN(E4454))), E4454)</f>
        <v>Argentina</v>
      </c>
    </row>
    <row r="4455" spans="1:8" x14ac:dyDescent="0.25">
      <c r="A4455" s="2">
        <v>29178</v>
      </c>
      <c r="B4455">
        <v>5.8620000000000001</v>
      </c>
      <c r="C4455">
        <v>125.24</v>
      </c>
      <c r="D4455" t="s">
        <v>14</v>
      </c>
      <c r="E4455" t="s">
        <v>200</v>
      </c>
      <c r="F4455">
        <f t="shared" si="138"/>
        <v>1979</v>
      </c>
      <c r="G4455">
        <f t="shared" si="139"/>
        <v>11</v>
      </c>
      <c r="H4455" t="str">
        <f>IF(ISNUMBER(FIND(",", E4455)), TRIM(MID(E4455, FIND(",", E4455) + 1, LEN(E4455))), E4455)</f>
        <v>Philippines</v>
      </c>
    </row>
    <row r="4456" spans="1:8" x14ac:dyDescent="0.25">
      <c r="A4456" s="2">
        <v>29175</v>
      </c>
      <c r="B4456">
        <v>-1.9510000000000001</v>
      </c>
      <c r="C4456">
        <v>134.16900000000001</v>
      </c>
      <c r="D4456" t="s">
        <v>14</v>
      </c>
      <c r="E4456" t="s">
        <v>241</v>
      </c>
      <c r="F4456">
        <f t="shared" si="138"/>
        <v>1979</v>
      </c>
      <c r="G4456">
        <f t="shared" si="139"/>
        <v>11</v>
      </c>
      <c r="H4456" t="str">
        <f>IF(ISNUMBER(FIND(",", E4456)), TRIM(MID(E4456, FIND(",", E4456) + 1, LEN(E4456))), E4456)</f>
        <v>Indonesia</v>
      </c>
    </row>
    <row r="4457" spans="1:8" x14ac:dyDescent="0.25">
      <c r="A4457" s="2">
        <v>29175</v>
      </c>
      <c r="B4457">
        <v>-16.678999999999998</v>
      </c>
      <c r="C4457">
        <v>-179.91</v>
      </c>
      <c r="D4457" t="s">
        <v>14</v>
      </c>
      <c r="E4457" t="s">
        <v>53</v>
      </c>
      <c r="F4457">
        <f t="shared" si="138"/>
        <v>1979</v>
      </c>
      <c r="G4457">
        <f t="shared" si="139"/>
        <v>11</v>
      </c>
      <c r="H4457" t="str">
        <f>IF(ISNUMBER(FIND(",", E4457)), TRIM(MID(E4457, FIND(",", E4457) + 1, LEN(E4457))), E4457)</f>
        <v>Fiji region</v>
      </c>
    </row>
    <row r="4458" spans="1:8" x14ac:dyDescent="0.25">
      <c r="A4458" s="2">
        <v>29173</v>
      </c>
      <c r="B4458">
        <v>33.957000000000001</v>
      </c>
      <c r="C4458">
        <v>59.73</v>
      </c>
      <c r="D4458" t="s">
        <v>14</v>
      </c>
      <c r="E4458" t="s">
        <v>528</v>
      </c>
      <c r="F4458">
        <f t="shared" si="138"/>
        <v>1979</v>
      </c>
      <c r="G4458">
        <f t="shared" si="139"/>
        <v>11</v>
      </c>
      <c r="H4458" t="str">
        <f>IF(ISNUMBER(FIND(",", E4458)), TRIM(MID(E4458, FIND(",", E4458) + 1, LEN(E4458))), E4458)</f>
        <v>eastern Iran</v>
      </c>
    </row>
    <row r="4459" spans="1:8" x14ac:dyDescent="0.25">
      <c r="A4459" s="2">
        <v>29172</v>
      </c>
      <c r="B4459">
        <v>-23.582000000000001</v>
      </c>
      <c r="C4459">
        <v>-174.76</v>
      </c>
      <c r="D4459" t="s">
        <v>14</v>
      </c>
      <c r="E4459" t="s">
        <v>304</v>
      </c>
      <c r="F4459">
        <f t="shared" si="138"/>
        <v>1979</v>
      </c>
      <c r="G4459">
        <f t="shared" si="139"/>
        <v>11</v>
      </c>
      <c r="H4459" t="str">
        <f>IF(ISNUMBER(FIND(",", E4459)), TRIM(MID(E4459, FIND(",", E4459) + 1, LEN(E4459))), E4459)</f>
        <v>Tonga region</v>
      </c>
    </row>
    <row r="4460" spans="1:8" x14ac:dyDescent="0.25">
      <c r="A4460" s="2">
        <v>29172</v>
      </c>
      <c r="B4460">
        <v>-4.476</v>
      </c>
      <c r="C4460">
        <v>101.94</v>
      </c>
      <c r="D4460" t="s">
        <v>14</v>
      </c>
      <c r="E4460" t="s">
        <v>308</v>
      </c>
      <c r="F4460">
        <f t="shared" si="138"/>
        <v>1979</v>
      </c>
      <c r="G4460">
        <f t="shared" si="139"/>
        <v>11</v>
      </c>
      <c r="H4460" t="str">
        <f>IF(ISNUMBER(FIND(",", E4460)), TRIM(MID(E4460, FIND(",", E4460) + 1, LEN(E4460))), E4460)</f>
        <v>Indonesia</v>
      </c>
    </row>
    <row r="4461" spans="1:8" x14ac:dyDescent="0.25">
      <c r="A4461" s="2">
        <v>29168</v>
      </c>
      <c r="B4461">
        <v>-13.31</v>
      </c>
      <c r="C4461">
        <v>166.767</v>
      </c>
      <c r="D4461" t="s">
        <v>14</v>
      </c>
      <c r="E4461" t="s">
        <v>181</v>
      </c>
      <c r="F4461">
        <f t="shared" si="138"/>
        <v>1979</v>
      </c>
      <c r="G4461">
        <f t="shared" si="139"/>
        <v>11</v>
      </c>
      <c r="H4461" t="str">
        <f>IF(ISNUMBER(FIND(",", E4461)), TRIM(MID(E4461, FIND(",", E4461) + 1, LEN(E4461))), E4461)</f>
        <v>Vanuatu</v>
      </c>
    </row>
    <row r="4462" spans="1:8" x14ac:dyDescent="0.25">
      <c r="A4462" s="2">
        <v>29167</v>
      </c>
      <c r="B4462">
        <v>-32.276000000000003</v>
      </c>
      <c r="C4462">
        <v>179.40299999999999</v>
      </c>
      <c r="D4462" t="s">
        <v>14</v>
      </c>
      <c r="E4462" t="s">
        <v>262</v>
      </c>
      <c r="F4462">
        <f t="shared" si="138"/>
        <v>1979</v>
      </c>
      <c r="G4462">
        <f t="shared" si="139"/>
        <v>11</v>
      </c>
      <c r="H4462" t="str">
        <f>IF(ISNUMBER(FIND(",", E4462)), TRIM(MID(E4462, FIND(",", E4462) + 1, LEN(E4462))), E4462)</f>
        <v>south of the Kermadec Islands</v>
      </c>
    </row>
    <row r="4463" spans="1:8" x14ac:dyDescent="0.25">
      <c r="A4463" s="2">
        <v>29165</v>
      </c>
      <c r="B4463">
        <v>-9.5139999999999993</v>
      </c>
      <c r="C4463">
        <v>159.304</v>
      </c>
      <c r="D4463" t="s">
        <v>14</v>
      </c>
      <c r="E4463" t="s">
        <v>221</v>
      </c>
      <c r="F4463">
        <f t="shared" si="138"/>
        <v>1979</v>
      </c>
      <c r="G4463">
        <f t="shared" si="139"/>
        <v>11</v>
      </c>
      <c r="H4463" t="str">
        <f>IF(ISNUMBER(FIND(",", E4463)), TRIM(MID(E4463, FIND(",", E4463) + 1, LEN(E4463))), E4463)</f>
        <v>Solomon Islands</v>
      </c>
    </row>
    <row r="4464" spans="1:8" x14ac:dyDescent="0.25">
      <c r="A4464" s="2">
        <v>29164</v>
      </c>
      <c r="B4464">
        <v>17.823</v>
      </c>
      <c r="C4464">
        <v>-68.649000000000001</v>
      </c>
      <c r="D4464" t="s">
        <v>14</v>
      </c>
      <c r="E4464" t="s">
        <v>601</v>
      </c>
      <c r="F4464">
        <f t="shared" si="138"/>
        <v>1979</v>
      </c>
      <c r="G4464">
        <f t="shared" si="139"/>
        <v>11</v>
      </c>
      <c r="H4464" t="str">
        <f>IF(ISNUMBER(FIND(",", E4464)), TRIM(MID(E4464, FIND(",", E4464) + 1, LEN(E4464))), E4464)</f>
        <v>Dominican Republic region</v>
      </c>
    </row>
    <row r="4465" spans="1:8" x14ac:dyDescent="0.25">
      <c r="A4465" s="2">
        <v>29161</v>
      </c>
      <c r="B4465">
        <v>-7.7460000000000004</v>
      </c>
      <c r="C4465">
        <v>108.16500000000001</v>
      </c>
      <c r="D4465" t="s">
        <v>14</v>
      </c>
      <c r="E4465" t="s">
        <v>358</v>
      </c>
      <c r="F4465">
        <f t="shared" si="138"/>
        <v>1979</v>
      </c>
      <c r="G4465">
        <f t="shared" si="139"/>
        <v>11</v>
      </c>
      <c r="H4465" t="str">
        <f>IF(ISNUMBER(FIND(",", E4465)), TRIM(MID(E4465, FIND(",", E4465) + 1, LEN(E4465))), E4465)</f>
        <v>Indonesia</v>
      </c>
    </row>
    <row r="4466" spans="1:8" x14ac:dyDescent="0.25">
      <c r="A4466" s="2">
        <v>29161</v>
      </c>
      <c r="B4466">
        <v>-13.43</v>
      </c>
      <c r="C4466">
        <v>166.822</v>
      </c>
      <c r="D4466" t="s">
        <v>14</v>
      </c>
      <c r="E4466" t="s">
        <v>181</v>
      </c>
      <c r="F4466">
        <f t="shared" si="138"/>
        <v>1979</v>
      </c>
      <c r="G4466">
        <f t="shared" si="139"/>
        <v>11</v>
      </c>
      <c r="H4466" t="str">
        <f>IF(ISNUMBER(FIND(",", E4466)), TRIM(MID(E4466, FIND(",", E4466) + 1, LEN(E4466))), E4466)</f>
        <v>Vanuatu</v>
      </c>
    </row>
    <row r="4467" spans="1:8" x14ac:dyDescent="0.25">
      <c r="A4467" s="2">
        <v>29158</v>
      </c>
      <c r="B4467">
        <v>18.809000000000001</v>
      </c>
      <c r="C4467">
        <v>145.18100000000001</v>
      </c>
      <c r="D4467" t="s">
        <v>14</v>
      </c>
      <c r="E4467" t="s">
        <v>416</v>
      </c>
      <c r="F4467">
        <f t="shared" si="138"/>
        <v>1979</v>
      </c>
      <c r="G4467">
        <f t="shared" si="139"/>
        <v>10</v>
      </c>
      <c r="H4467" t="str">
        <f>IF(ISNUMBER(FIND(",", E4467)), TRIM(MID(E4467, FIND(",", E4467) + 1, LEN(E4467))), E4467)</f>
        <v>Northern Mariana Islands</v>
      </c>
    </row>
    <row r="4468" spans="1:8" x14ac:dyDescent="0.25">
      <c r="A4468" s="2">
        <v>29155</v>
      </c>
      <c r="B4468">
        <v>13.762</v>
      </c>
      <c r="C4468">
        <v>-90.715000000000003</v>
      </c>
      <c r="D4468" t="s">
        <v>14</v>
      </c>
      <c r="E4468" t="s">
        <v>196</v>
      </c>
      <c r="F4468">
        <f t="shared" si="138"/>
        <v>1979</v>
      </c>
      <c r="G4468">
        <f t="shared" si="139"/>
        <v>10</v>
      </c>
      <c r="H4468" t="str">
        <f>IF(ISNUMBER(FIND(",", E4468)), TRIM(MID(E4468, FIND(",", E4468) + 1, LEN(E4468))), E4468)</f>
        <v>offshore Guatemala</v>
      </c>
    </row>
    <row r="4469" spans="1:8" x14ac:dyDescent="0.25">
      <c r="A4469" s="2">
        <v>29155</v>
      </c>
      <c r="B4469">
        <v>13.834</v>
      </c>
      <c r="C4469">
        <v>-90.840999999999994</v>
      </c>
      <c r="D4469" t="s">
        <v>14</v>
      </c>
      <c r="E4469" t="s">
        <v>196</v>
      </c>
      <c r="F4469">
        <f t="shared" si="138"/>
        <v>1979</v>
      </c>
      <c r="G4469">
        <f t="shared" si="139"/>
        <v>10</v>
      </c>
      <c r="H4469" t="str">
        <f>IF(ISNUMBER(FIND(",", E4469)), TRIM(MID(E4469, FIND(",", E4469) + 1, LEN(E4469))), E4469)</f>
        <v>offshore Guatemala</v>
      </c>
    </row>
    <row r="4470" spans="1:8" x14ac:dyDescent="0.25">
      <c r="A4470" s="2">
        <v>29155</v>
      </c>
      <c r="B4470">
        <v>13.76</v>
      </c>
      <c r="C4470">
        <v>-90.72</v>
      </c>
      <c r="E4470" t="s">
        <v>196</v>
      </c>
      <c r="F4470">
        <f t="shared" si="138"/>
        <v>1979</v>
      </c>
      <c r="G4470">
        <f t="shared" si="139"/>
        <v>10</v>
      </c>
      <c r="H4470" t="str">
        <f>IF(ISNUMBER(FIND(",", E4470)), TRIM(MID(E4470, FIND(",", E4470) + 1, LEN(E4470))), E4470)</f>
        <v>offshore Guatemala</v>
      </c>
    </row>
    <row r="4471" spans="1:8" x14ac:dyDescent="0.25">
      <c r="A4471" s="2">
        <v>29151</v>
      </c>
      <c r="B4471">
        <v>-10.635</v>
      </c>
      <c r="C4471">
        <v>161.352</v>
      </c>
      <c r="D4471" t="s">
        <v>14</v>
      </c>
      <c r="E4471" t="s">
        <v>221</v>
      </c>
      <c r="F4471">
        <f t="shared" si="138"/>
        <v>1979</v>
      </c>
      <c r="G4471">
        <f t="shared" si="139"/>
        <v>10</v>
      </c>
      <c r="H4471" t="str">
        <f>IF(ISNUMBER(FIND(",", E4471)), TRIM(MID(E4471, FIND(",", E4471) + 1, LEN(E4471))), E4471)</f>
        <v>Solomon Islands</v>
      </c>
    </row>
    <row r="4472" spans="1:8" x14ac:dyDescent="0.25">
      <c r="A4472" s="2">
        <v>29151</v>
      </c>
      <c r="B4472">
        <v>-10.593999999999999</v>
      </c>
      <c r="C4472">
        <v>161.37299999999999</v>
      </c>
      <c r="D4472" t="s">
        <v>14</v>
      </c>
      <c r="E4472" t="s">
        <v>221</v>
      </c>
      <c r="F4472">
        <f t="shared" si="138"/>
        <v>1979</v>
      </c>
      <c r="G4472">
        <f t="shared" si="139"/>
        <v>10</v>
      </c>
      <c r="H4472" t="str">
        <f>IF(ISNUMBER(FIND(",", E4472)), TRIM(MID(E4472, FIND(",", E4472) + 1, LEN(E4472))), E4472)</f>
        <v>Solomon Islands</v>
      </c>
    </row>
    <row r="4473" spans="1:8" x14ac:dyDescent="0.25">
      <c r="A4473" s="2">
        <v>29150</v>
      </c>
      <c r="B4473">
        <v>0.63300000000000001</v>
      </c>
      <c r="C4473">
        <v>125.943</v>
      </c>
      <c r="D4473" t="s">
        <v>14</v>
      </c>
      <c r="E4473" t="s">
        <v>186</v>
      </c>
      <c r="F4473">
        <f t="shared" si="138"/>
        <v>1979</v>
      </c>
      <c r="G4473">
        <f t="shared" si="139"/>
        <v>10</v>
      </c>
      <c r="H4473" t="str">
        <f>IF(ISNUMBER(FIND(",", E4473)), TRIM(MID(E4473, FIND(",", E4473) + 1, LEN(E4473))), E4473)</f>
        <v>Molucca Sea</v>
      </c>
    </row>
    <row r="4474" spans="1:8" x14ac:dyDescent="0.25">
      <c r="A4474" s="2">
        <v>29148</v>
      </c>
      <c r="B4474">
        <v>-8.3629999999999995</v>
      </c>
      <c r="C4474">
        <v>115.783</v>
      </c>
      <c r="D4474" t="s">
        <v>14</v>
      </c>
      <c r="E4474" t="s">
        <v>621</v>
      </c>
      <c r="F4474">
        <f t="shared" si="138"/>
        <v>1979</v>
      </c>
      <c r="G4474">
        <f t="shared" si="139"/>
        <v>10</v>
      </c>
      <c r="H4474" t="str">
        <f>IF(ISNUMBER(FIND(",", E4474)), TRIM(MID(E4474, FIND(",", E4474) + 1, LEN(E4474))), E4474)</f>
        <v>Indonesia</v>
      </c>
    </row>
    <row r="4475" spans="1:8" x14ac:dyDescent="0.25">
      <c r="A4475" s="2">
        <v>29145</v>
      </c>
      <c r="B4475">
        <v>18.518000000000001</v>
      </c>
      <c r="C4475">
        <v>145.41300000000001</v>
      </c>
      <c r="D4475" t="s">
        <v>14</v>
      </c>
      <c r="E4475" t="s">
        <v>416</v>
      </c>
      <c r="F4475">
        <f t="shared" si="138"/>
        <v>1979</v>
      </c>
      <c r="G4475">
        <f t="shared" si="139"/>
        <v>10</v>
      </c>
      <c r="H4475" t="str">
        <f>IF(ISNUMBER(FIND(",", E4475)), TRIM(MID(E4475, FIND(",", E4475) + 1, LEN(E4475))), E4475)</f>
        <v>Northern Mariana Islands</v>
      </c>
    </row>
    <row r="4476" spans="1:8" x14ac:dyDescent="0.25">
      <c r="A4476" s="2">
        <v>29143</v>
      </c>
      <c r="B4476">
        <v>32.814999999999998</v>
      </c>
      <c r="C4476">
        <v>-115.639</v>
      </c>
      <c r="D4476" t="s">
        <v>14</v>
      </c>
      <c r="E4476" t="s">
        <v>521</v>
      </c>
      <c r="F4476">
        <f t="shared" si="138"/>
        <v>1979</v>
      </c>
      <c r="G4476">
        <f t="shared" si="139"/>
        <v>10</v>
      </c>
      <c r="H4476" t="str">
        <f>IF(ISNUMBER(FIND(",", E4476)), TRIM(MID(E4476, FIND(",", E4476) + 1, LEN(E4476))), E4476)</f>
        <v>Southern California</v>
      </c>
    </row>
    <row r="4477" spans="1:8" x14ac:dyDescent="0.25">
      <c r="A4477" s="2">
        <v>29140</v>
      </c>
      <c r="B4477">
        <v>-46.692999999999998</v>
      </c>
      <c r="C4477">
        <v>165.82499999999999</v>
      </c>
      <c r="D4477" t="s">
        <v>14</v>
      </c>
      <c r="E4477" t="s">
        <v>361</v>
      </c>
      <c r="F4477">
        <f t="shared" si="138"/>
        <v>1979</v>
      </c>
      <c r="G4477">
        <f t="shared" si="139"/>
        <v>10</v>
      </c>
      <c r="H4477" t="str">
        <f>IF(ISNUMBER(FIND(",", E4477)), TRIM(MID(E4477, FIND(",", E4477) + 1, LEN(E4477))), E4477)</f>
        <v>off the west coast of the South Island of New Zealand</v>
      </c>
    </row>
    <row r="4478" spans="1:8" x14ac:dyDescent="0.25">
      <c r="A4478" s="2">
        <v>29129</v>
      </c>
      <c r="B4478">
        <v>15.763999999999999</v>
      </c>
      <c r="C4478">
        <v>-92.195999999999998</v>
      </c>
      <c r="D4478" t="s">
        <v>14</v>
      </c>
      <c r="E4478" t="s">
        <v>421</v>
      </c>
      <c r="F4478">
        <f t="shared" si="138"/>
        <v>1979</v>
      </c>
      <c r="G4478">
        <f t="shared" si="139"/>
        <v>10</v>
      </c>
      <c r="H4478" t="str">
        <f>IF(ISNUMBER(FIND(",", E4478)), TRIM(MID(E4478, FIND(",", E4478) + 1, LEN(E4478))), E4478)</f>
        <v>Mexico</v>
      </c>
    </row>
    <row r="4479" spans="1:8" x14ac:dyDescent="0.25">
      <c r="A4479" s="2">
        <v>29127</v>
      </c>
      <c r="B4479">
        <v>1.161</v>
      </c>
      <c r="C4479">
        <v>94.171999999999997</v>
      </c>
      <c r="D4479" t="s">
        <v>14</v>
      </c>
      <c r="E4479" t="s">
        <v>245</v>
      </c>
      <c r="F4479">
        <f t="shared" si="138"/>
        <v>1979</v>
      </c>
      <c r="G4479">
        <f t="shared" si="139"/>
        <v>9</v>
      </c>
      <c r="H4479" t="str">
        <f>IF(ISNUMBER(FIND(",", E4479)), TRIM(MID(E4479, FIND(",", E4479) + 1, LEN(E4479))), E4479)</f>
        <v>off the west coast of northern Sumatra</v>
      </c>
    </row>
    <row r="4480" spans="1:8" x14ac:dyDescent="0.25">
      <c r="A4480" s="2">
        <v>29121</v>
      </c>
      <c r="B4480">
        <v>-60.58</v>
      </c>
      <c r="C4480">
        <v>-50.488</v>
      </c>
      <c r="D4480" t="s">
        <v>14</v>
      </c>
      <c r="E4480" t="s">
        <v>56</v>
      </c>
      <c r="F4480">
        <f t="shared" si="138"/>
        <v>1979</v>
      </c>
      <c r="G4480">
        <f t="shared" si="139"/>
        <v>9</v>
      </c>
      <c r="H4480" t="str">
        <f>IF(ISNUMBER(FIND(",", E4480)), TRIM(MID(E4480, FIND(",", E4480) + 1, LEN(E4480))), E4480)</f>
        <v>Scotia Sea</v>
      </c>
    </row>
    <row r="4481" spans="1:8" x14ac:dyDescent="0.25">
      <c r="A4481" s="2">
        <v>29111</v>
      </c>
      <c r="B4481">
        <v>-1.1659999999999999</v>
      </c>
      <c r="C4481">
        <v>136.43</v>
      </c>
      <c r="D4481" t="s">
        <v>14</v>
      </c>
      <c r="E4481" t="s">
        <v>547</v>
      </c>
      <c r="F4481">
        <f t="shared" si="138"/>
        <v>1979</v>
      </c>
      <c r="G4481">
        <f t="shared" si="139"/>
        <v>9</v>
      </c>
      <c r="H4481" t="str">
        <f>IF(ISNUMBER(FIND(",", E4481)), TRIM(MID(E4481, FIND(",", E4481) + 1, LEN(E4481))), E4481)</f>
        <v>Indonesia</v>
      </c>
    </row>
    <row r="4482" spans="1:8" x14ac:dyDescent="0.25">
      <c r="A4482" s="2">
        <v>29110</v>
      </c>
      <c r="B4482">
        <v>-1.6859999999999999</v>
      </c>
      <c r="C4482">
        <v>135.96899999999999</v>
      </c>
      <c r="D4482" t="s">
        <v>14</v>
      </c>
      <c r="E4482" t="s">
        <v>547</v>
      </c>
      <c r="F4482">
        <f t="shared" ref="F4482:F4545" si="140">YEAR(A4482)</f>
        <v>1979</v>
      </c>
      <c r="G4482">
        <f t="shared" si="139"/>
        <v>9</v>
      </c>
      <c r="H4482" t="str">
        <f>IF(ISNUMBER(FIND(",", E4482)), TRIM(MID(E4482, FIND(",", E4482) + 1, LEN(E4482))), E4482)</f>
        <v>Indonesia</v>
      </c>
    </row>
    <row r="4483" spans="1:8" x14ac:dyDescent="0.25">
      <c r="A4483" s="2">
        <v>29093</v>
      </c>
      <c r="B4483">
        <v>19.047999999999998</v>
      </c>
      <c r="C4483">
        <v>122.077</v>
      </c>
      <c r="D4483" t="s">
        <v>14</v>
      </c>
      <c r="E4483" t="s">
        <v>405</v>
      </c>
      <c r="F4483">
        <f t="shared" si="140"/>
        <v>1979</v>
      </c>
      <c r="G4483">
        <f t="shared" ref="G4483:G4546" si="141">MONTH(A4483)</f>
        <v>8</v>
      </c>
      <c r="H4483" t="str">
        <f>IF(ISNUMBER(FIND(",", E4483)), TRIM(MID(E4483, FIND(",", E4483) + 1, LEN(E4483))), E4483)</f>
        <v>Philippines</v>
      </c>
    </row>
    <row r="4484" spans="1:8" x14ac:dyDescent="0.25">
      <c r="A4484" s="2">
        <v>29093</v>
      </c>
      <c r="B4484">
        <v>-17.635999999999999</v>
      </c>
      <c r="C4484">
        <v>167.774</v>
      </c>
      <c r="D4484" t="s">
        <v>14</v>
      </c>
      <c r="E4484" t="s">
        <v>181</v>
      </c>
      <c r="F4484">
        <f t="shared" si="140"/>
        <v>1979</v>
      </c>
      <c r="G4484">
        <f t="shared" si="141"/>
        <v>8</v>
      </c>
      <c r="H4484" t="str">
        <f>IF(ISNUMBER(FIND(",", E4484)), TRIM(MID(E4484, FIND(",", E4484) + 1, LEN(E4484))), E4484)</f>
        <v>Vanuatu</v>
      </c>
    </row>
    <row r="4485" spans="1:8" x14ac:dyDescent="0.25">
      <c r="A4485" s="2">
        <v>29092</v>
      </c>
      <c r="B4485">
        <v>10.696999999999999</v>
      </c>
      <c r="C4485">
        <v>-41.695999999999998</v>
      </c>
      <c r="D4485" t="s">
        <v>14</v>
      </c>
      <c r="E4485" t="s">
        <v>325</v>
      </c>
      <c r="F4485">
        <f t="shared" si="140"/>
        <v>1979</v>
      </c>
      <c r="G4485">
        <f t="shared" si="141"/>
        <v>8</v>
      </c>
      <c r="H4485" t="str">
        <f>IF(ISNUMBER(FIND(",", E4485)), TRIM(MID(E4485, FIND(",", E4485) + 1, LEN(E4485))), E4485)</f>
        <v>northern Mid-Atlantic Ridge</v>
      </c>
    </row>
    <row r="4486" spans="1:8" x14ac:dyDescent="0.25">
      <c r="A4486" s="2">
        <v>29091</v>
      </c>
      <c r="B4486">
        <v>8.93</v>
      </c>
      <c r="C4486">
        <v>-83.477000000000004</v>
      </c>
      <c r="D4486" t="s">
        <v>14</v>
      </c>
      <c r="E4486" t="s">
        <v>202</v>
      </c>
      <c r="F4486">
        <f t="shared" si="140"/>
        <v>1979</v>
      </c>
      <c r="G4486">
        <f t="shared" si="141"/>
        <v>8</v>
      </c>
      <c r="H4486" t="str">
        <f>IF(ISNUMBER(FIND(",", E4486)), TRIM(MID(E4486, FIND(",", E4486) + 1, LEN(E4486))), E4486)</f>
        <v>Costa Rica</v>
      </c>
    </row>
    <row r="4487" spans="1:8" x14ac:dyDescent="0.25">
      <c r="A4487" s="2">
        <v>29084</v>
      </c>
      <c r="B4487">
        <v>-17.733000000000001</v>
      </c>
      <c r="C4487">
        <v>167.95099999999999</v>
      </c>
      <c r="D4487" t="s">
        <v>14</v>
      </c>
      <c r="E4487" t="s">
        <v>181</v>
      </c>
      <c r="F4487">
        <f t="shared" si="140"/>
        <v>1979</v>
      </c>
      <c r="G4487">
        <f t="shared" si="141"/>
        <v>8</v>
      </c>
      <c r="H4487" t="str">
        <f>IF(ISNUMBER(FIND(",", E4487)), TRIM(MID(E4487, FIND(",", E4487) + 1, LEN(E4487))), E4487)</f>
        <v>Vanuatu</v>
      </c>
    </row>
    <row r="4488" spans="1:8" x14ac:dyDescent="0.25">
      <c r="A4488" s="2">
        <v>29083</v>
      </c>
      <c r="B4488">
        <v>41.798000000000002</v>
      </c>
      <c r="C4488">
        <v>130.9</v>
      </c>
      <c r="D4488" t="s">
        <v>14</v>
      </c>
      <c r="E4488" t="s">
        <v>576</v>
      </c>
      <c r="F4488">
        <f t="shared" si="140"/>
        <v>1979</v>
      </c>
      <c r="G4488">
        <f t="shared" si="141"/>
        <v>8</v>
      </c>
      <c r="H4488" t="str">
        <f>IF(ISNUMBER(FIND(",", E4488)), TRIM(MID(E4488, FIND(",", E4488) + 1, LEN(E4488))), E4488)</f>
        <v>North Korea</v>
      </c>
    </row>
    <row r="4489" spans="1:8" x14ac:dyDescent="0.25">
      <c r="A4489" s="2">
        <v>29072</v>
      </c>
      <c r="B4489">
        <v>-22.896000000000001</v>
      </c>
      <c r="C4489">
        <v>-177.447</v>
      </c>
      <c r="D4489" t="s">
        <v>14</v>
      </c>
      <c r="E4489" t="s">
        <v>256</v>
      </c>
      <c r="F4489">
        <f t="shared" si="140"/>
        <v>1979</v>
      </c>
      <c r="G4489">
        <f t="shared" si="141"/>
        <v>8</v>
      </c>
      <c r="H4489" t="str">
        <f>IF(ISNUMBER(FIND(",", E4489)), TRIM(MID(E4489, FIND(",", E4489) + 1, LEN(E4489))), E4489)</f>
        <v>south of the Fiji Islands</v>
      </c>
    </row>
    <row r="4490" spans="1:8" x14ac:dyDescent="0.25">
      <c r="A4490" s="2">
        <v>29061</v>
      </c>
      <c r="B4490">
        <v>-21.891999999999999</v>
      </c>
      <c r="C4490">
        <v>-138.99299999999999</v>
      </c>
      <c r="D4490" t="s">
        <v>13</v>
      </c>
      <c r="E4490" t="s">
        <v>623</v>
      </c>
      <c r="F4490">
        <f t="shared" si="140"/>
        <v>1979</v>
      </c>
      <c r="G4490">
        <f t="shared" si="141"/>
        <v>7</v>
      </c>
      <c r="H4490" t="str">
        <f>IF(ISNUMBER(FIND(",", E4490)), TRIM(MID(E4490, FIND(",", E4490) + 1, LEN(E4490))), E4490)</f>
        <v>French Polynesia region</v>
      </c>
    </row>
    <row r="4491" spans="1:8" x14ac:dyDescent="0.25">
      <c r="A4491" s="2">
        <v>29060</v>
      </c>
      <c r="B4491">
        <v>-11.186</v>
      </c>
      <c r="C4491">
        <v>107.634</v>
      </c>
      <c r="D4491" t="s">
        <v>14</v>
      </c>
      <c r="E4491" t="s">
        <v>212</v>
      </c>
      <c r="F4491">
        <f t="shared" si="140"/>
        <v>1979</v>
      </c>
      <c r="G4491">
        <f t="shared" si="141"/>
        <v>7</v>
      </c>
      <c r="H4491" t="str">
        <f>IF(ISNUMBER(FIND(",", E4491)), TRIM(MID(E4491, FIND(",", E4491) + 1, LEN(E4491))), E4491)</f>
        <v>Indonesia</v>
      </c>
    </row>
    <row r="4492" spans="1:8" x14ac:dyDescent="0.25">
      <c r="A4492" s="2">
        <v>29060</v>
      </c>
      <c r="B4492">
        <v>-20.452999999999999</v>
      </c>
      <c r="C4492">
        <v>-174.125</v>
      </c>
      <c r="D4492" t="s">
        <v>14</v>
      </c>
      <c r="E4492" t="s">
        <v>239</v>
      </c>
      <c r="F4492">
        <f t="shared" si="140"/>
        <v>1979</v>
      </c>
      <c r="G4492">
        <f t="shared" si="141"/>
        <v>7</v>
      </c>
      <c r="H4492" t="str">
        <f>IF(ISNUMBER(FIND(",", E4492)), TRIM(MID(E4492, FIND(",", E4492) + 1, LEN(E4492))), E4492)</f>
        <v>Tonga</v>
      </c>
    </row>
    <row r="4493" spans="1:8" x14ac:dyDescent="0.25">
      <c r="A4493" s="2">
        <v>29049</v>
      </c>
      <c r="B4493">
        <v>33.886000000000003</v>
      </c>
      <c r="C4493">
        <v>131.84899999999999</v>
      </c>
      <c r="D4493" t="s">
        <v>14</v>
      </c>
      <c r="E4493" t="s">
        <v>357</v>
      </c>
      <c r="F4493">
        <f t="shared" si="140"/>
        <v>1979</v>
      </c>
      <c r="G4493">
        <f t="shared" si="141"/>
        <v>7</v>
      </c>
      <c r="H4493" t="str">
        <f>IF(ISNUMBER(FIND(",", E4493)), TRIM(MID(E4493, FIND(",", E4493) + 1, LEN(E4493))), E4493)</f>
        <v>Japan</v>
      </c>
    </row>
    <row r="4494" spans="1:8" x14ac:dyDescent="0.25">
      <c r="A4494" s="2">
        <v>29045</v>
      </c>
      <c r="B4494">
        <v>-5.6029999999999998</v>
      </c>
      <c r="C4494">
        <v>153.29900000000001</v>
      </c>
      <c r="D4494" t="s">
        <v>14</v>
      </c>
      <c r="E4494" t="s">
        <v>183</v>
      </c>
      <c r="F4494">
        <f t="shared" si="140"/>
        <v>1979</v>
      </c>
      <c r="G4494">
        <f t="shared" si="141"/>
        <v>7</v>
      </c>
      <c r="H4494" t="str">
        <f>IF(ISNUMBER(FIND(",", E4494)), TRIM(MID(E4494, FIND(",", E4494) + 1, LEN(E4494))), E4494)</f>
        <v>Papua New Guinea</v>
      </c>
    </row>
    <row r="4495" spans="1:8" x14ac:dyDescent="0.25">
      <c r="A4495" s="2">
        <v>29037</v>
      </c>
      <c r="B4495">
        <v>8.375</v>
      </c>
      <c r="C4495">
        <v>-82.846999999999994</v>
      </c>
      <c r="D4495" t="s">
        <v>14</v>
      </c>
      <c r="E4495" t="s">
        <v>379</v>
      </c>
      <c r="F4495">
        <f t="shared" si="140"/>
        <v>1979</v>
      </c>
      <c r="G4495">
        <f t="shared" si="141"/>
        <v>7</v>
      </c>
      <c r="H4495" t="str">
        <f>IF(ISNUMBER(FIND(",", E4495)), TRIM(MID(E4495, FIND(",", E4495) + 1, LEN(E4495))), E4495)</f>
        <v>Panama-Costa Rica border region</v>
      </c>
    </row>
    <row r="4496" spans="1:8" x14ac:dyDescent="0.25">
      <c r="A4496" s="2">
        <v>29033</v>
      </c>
      <c r="B4496">
        <v>7.1360000000000001</v>
      </c>
      <c r="C4496">
        <v>-82.274000000000001</v>
      </c>
      <c r="D4496" t="s">
        <v>14</v>
      </c>
      <c r="E4496" t="s">
        <v>231</v>
      </c>
      <c r="F4496">
        <f t="shared" si="140"/>
        <v>1979</v>
      </c>
      <c r="G4496">
        <f t="shared" si="141"/>
        <v>6</v>
      </c>
      <c r="H4496" t="str">
        <f>IF(ISNUMBER(FIND(",", E4496)), TRIM(MID(E4496, FIND(",", E4496) + 1, LEN(E4496))), E4496)</f>
        <v>south of Panama</v>
      </c>
    </row>
    <row r="4497" spans="1:8" x14ac:dyDescent="0.25">
      <c r="A4497" s="2">
        <v>29031</v>
      </c>
      <c r="B4497">
        <v>-5.0030000000000001</v>
      </c>
      <c r="C4497">
        <v>145.64599999999999</v>
      </c>
      <c r="D4497" t="s">
        <v>14</v>
      </c>
      <c r="E4497" t="s">
        <v>243</v>
      </c>
      <c r="F4497">
        <f t="shared" si="140"/>
        <v>1979</v>
      </c>
      <c r="G4497">
        <f t="shared" si="141"/>
        <v>6</v>
      </c>
      <c r="H4497" t="str">
        <f>IF(ISNUMBER(FIND(",", E4497)), TRIM(MID(E4497, FIND(",", E4497) + 1, LEN(E4497))), E4497)</f>
        <v>Papua New Guinea</v>
      </c>
    </row>
    <row r="4498" spans="1:8" x14ac:dyDescent="0.25">
      <c r="A4498" s="2">
        <v>29028</v>
      </c>
      <c r="B4498">
        <v>17.007000000000001</v>
      </c>
      <c r="C4498">
        <v>-94.623000000000005</v>
      </c>
      <c r="D4498" t="s">
        <v>14</v>
      </c>
      <c r="E4498" t="s">
        <v>251</v>
      </c>
      <c r="F4498">
        <f t="shared" si="140"/>
        <v>1979</v>
      </c>
      <c r="G4498">
        <f t="shared" si="141"/>
        <v>6</v>
      </c>
      <c r="H4498" t="str">
        <f>IF(ISNUMBER(FIND(",", E4498)), TRIM(MID(E4498, FIND(",", E4498) + 1, LEN(E4498))), E4498)</f>
        <v>Mexico</v>
      </c>
    </row>
    <row r="4499" spans="1:8" x14ac:dyDescent="0.25">
      <c r="A4499" s="2">
        <v>29016</v>
      </c>
      <c r="B4499">
        <v>8.0860000000000003</v>
      </c>
      <c r="C4499">
        <v>-38.145000000000003</v>
      </c>
      <c r="D4499" t="s">
        <v>14</v>
      </c>
      <c r="E4499" t="s">
        <v>291</v>
      </c>
      <c r="F4499">
        <f t="shared" si="140"/>
        <v>1979</v>
      </c>
      <c r="G4499">
        <f t="shared" si="141"/>
        <v>6</v>
      </c>
      <c r="H4499" t="str">
        <f>IF(ISNUMBER(FIND(",", E4499)), TRIM(MID(E4499, FIND(",", E4499) + 1, LEN(E4499))), E4499)</f>
        <v>central Mid-Atlantic Ridge</v>
      </c>
    </row>
    <row r="4500" spans="1:8" x14ac:dyDescent="0.25">
      <c r="A4500" s="2">
        <v>29008</v>
      </c>
      <c r="B4500">
        <v>-30.818000000000001</v>
      </c>
      <c r="C4500">
        <v>117.105</v>
      </c>
      <c r="D4500" t="s">
        <v>14</v>
      </c>
      <c r="E4500" t="s">
        <v>534</v>
      </c>
      <c r="F4500">
        <f t="shared" si="140"/>
        <v>1979</v>
      </c>
      <c r="G4500">
        <f t="shared" si="141"/>
        <v>6</v>
      </c>
      <c r="H4500" t="str">
        <f>IF(ISNUMBER(FIND(",", E4500)), TRIM(MID(E4500, FIND(",", E4500) + 1, LEN(E4500))), E4500)</f>
        <v>Western Australia</v>
      </c>
    </row>
    <row r="4501" spans="1:8" x14ac:dyDescent="0.25">
      <c r="A4501" s="2">
        <v>29005</v>
      </c>
      <c r="B4501">
        <v>-8.3209999999999997</v>
      </c>
      <c r="C4501">
        <v>115.892</v>
      </c>
      <c r="D4501" t="s">
        <v>14</v>
      </c>
      <c r="E4501" t="s">
        <v>621</v>
      </c>
      <c r="F4501">
        <f t="shared" si="140"/>
        <v>1979</v>
      </c>
      <c r="G4501">
        <f t="shared" si="141"/>
        <v>5</v>
      </c>
      <c r="H4501" t="str">
        <f>IF(ISNUMBER(FIND(",", E4501)), TRIM(MID(E4501, FIND(",", E4501) + 1, LEN(E4501))), E4501)</f>
        <v>Indonesia</v>
      </c>
    </row>
    <row r="4502" spans="1:8" x14ac:dyDescent="0.25">
      <c r="A4502" s="2">
        <v>29000</v>
      </c>
      <c r="B4502">
        <v>52.581000000000003</v>
      </c>
      <c r="C4502">
        <v>-167.001</v>
      </c>
      <c r="D4502" t="s">
        <v>14</v>
      </c>
      <c r="E4502" t="s">
        <v>219</v>
      </c>
      <c r="F4502">
        <f t="shared" si="140"/>
        <v>1979</v>
      </c>
      <c r="G4502">
        <f t="shared" si="141"/>
        <v>5</v>
      </c>
      <c r="H4502" t="str">
        <f>IF(ISNUMBER(FIND(",", E4502)), TRIM(MID(E4502, FIND(",", E4502) + 1, LEN(E4502))), E4502)</f>
        <v>Aleutian Islands, Alaska</v>
      </c>
    </row>
    <row r="4503" spans="1:8" x14ac:dyDescent="0.25">
      <c r="A4503" s="2">
        <v>28999</v>
      </c>
      <c r="B4503">
        <v>42.24</v>
      </c>
      <c r="C4503">
        <v>18.827000000000002</v>
      </c>
      <c r="D4503" t="s">
        <v>14</v>
      </c>
      <c r="E4503" t="s">
        <v>624</v>
      </c>
      <c r="F4503">
        <f t="shared" si="140"/>
        <v>1979</v>
      </c>
      <c r="G4503">
        <f t="shared" si="141"/>
        <v>5</v>
      </c>
      <c r="H4503" t="str">
        <f>IF(ISNUMBER(FIND(",", E4503)), TRIM(MID(E4503, FIND(",", E4503) + 1, LEN(E4503))), E4503)</f>
        <v>Croatia-Bosnia-Montenegro border region</v>
      </c>
    </row>
    <row r="4504" spans="1:8" x14ac:dyDescent="0.25">
      <c r="A4504" s="2">
        <v>28996</v>
      </c>
      <c r="B4504">
        <v>-15.425000000000001</v>
      </c>
      <c r="C4504">
        <v>-70.048000000000002</v>
      </c>
      <c r="D4504" t="s">
        <v>14</v>
      </c>
      <c r="E4504" t="s">
        <v>229</v>
      </c>
      <c r="F4504">
        <f t="shared" si="140"/>
        <v>1979</v>
      </c>
      <c r="G4504">
        <f t="shared" si="141"/>
        <v>5</v>
      </c>
      <c r="H4504" t="str">
        <f>IF(ISNUMBER(FIND(",", E4504)), TRIM(MID(E4504, FIND(",", E4504) + 1, LEN(E4504))), E4504)</f>
        <v>southern Peru</v>
      </c>
    </row>
    <row r="4505" spans="1:8" x14ac:dyDescent="0.25">
      <c r="A4505" s="2">
        <v>28995</v>
      </c>
      <c r="B4505">
        <v>56.610999999999997</v>
      </c>
      <c r="C4505">
        <v>-156.71899999999999</v>
      </c>
      <c r="D4505" t="s">
        <v>14</v>
      </c>
      <c r="E4505" t="s">
        <v>285</v>
      </c>
      <c r="F4505">
        <f t="shared" si="140"/>
        <v>1979</v>
      </c>
      <c r="G4505">
        <f t="shared" si="141"/>
        <v>5</v>
      </c>
      <c r="H4505" t="str">
        <f>IF(ISNUMBER(FIND(",", E4505)), TRIM(MID(E4505, FIND(",", E4505) + 1, LEN(E4505))), E4505)</f>
        <v>Alaska Peninsula</v>
      </c>
    </row>
    <row r="4506" spans="1:8" x14ac:dyDescent="0.25">
      <c r="A4506" s="2">
        <v>28993</v>
      </c>
      <c r="B4506">
        <v>0.63100000000000001</v>
      </c>
      <c r="C4506">
        <v>125.983</v>
      </c>
      <c r="D4506" t="s">
        <v>14</v>
      </c>
      <c r="E4506" t="s">
        <v>186</v>
      </c>
      <c r="F4506">
        <f t="shared" si="140"/>
        <v>1979</v>
      </c>
      <c r="G4506">
        <f t="shared" si="141"/>
        <v>5</v>
      </c>
      <c r="H4506" t="str">
        <f>IF(ISNUMBER(FIND(",", E4506)), TRIM(MID(E4506, FIND(",", E4506) + 1, LEN(E4506))), E4506)</f>
        <v>Molucca Sea</v>
      </c>
    </row>
    <row r="4507" spans="1:8" x14ac:dyDescent="0.25">
      <c r="A4507" s="2">
        <v>28993</v>
      </c>
      <c r="B4507">
        <v>24.149000000000001</v>
      </c>
      <c r="C4507">
        <v>142.43199999999999</v>
      </c>
      <c r="D4507" t="s">
        <v>14</v>
      </c>
      <c r="E4507" t="s">
        <v>519</v>
      </c>
      <c r="F4507">
        <f t="shared" si="140"/>
        <v>1979</v>
      </c>
      <c r="G4507">
        <f t="shared" si="141"/>
        <v>5</v>
      </c>
      <c r="H4507" t="str">
        <f>IF(ISNUMBER(FIND(",", E4507)), TRIM(MID(E4507, FIND(",", E4507) + 1, LEN(E4507))), E4507)</f>
        <v>Japan region</v>
      </c>
    </row>
    <row r="4508" spans="1:8" x14ac:dyDescent="0.25">
      <c r="A4508" s="2">
        <v>28991</v>
      </c>
      <c r="B4508">
        <v>-35.534999999999997</v>
      </c>
      <c r="C4508">
        <v>-16.248000000000001</v>
      </c>
      <c r="D4508" t="s">
        <v>14</v>
      </c>
      <c r="E4508" t="s">
        <v>422</v>
      </c>
      <c r="F4508">
        <f t="shared" si="140"/>
        <v>1979</v>
      </c>
      <c r="G4508">
        <f t="shared" si="141"/>
        <v>5</v>
      </c>
      <c r="H4508" t="str">
        <f>IF(ISNUMBER(FIND(",", E4508)), TRIM(MID(E4508, FIND(",", E4508) + 1, LEN(E4508))), E4508)</f>
        <v>southern Mid-Atlantic Ridge</v>
      </c>
    </row>
    <row r="4509" spans="1:8" x14ac:dyDescent="0.25">
      <c r="A4509" s="2">
        <v>28990</v>
      </c>
      <c r="B4509">
        <v>34.585999999999999</v>
      </c>
      <c r="C4509">
        <v>24.478000000000002</v>
      </c>
      <c r="D4509" t="s">
        <v>14</v>
      </c>
      <c r="E4509" t="s">
        <v>296</v>
      </c>
      <c r="F4509">
        <f t="shared" si="140"/>
        <v>1979</v>
      </c>
      <c r="G4509">
        <f t="shared" si="141"/>
        <v>5</v>
      </c>
      <c r="H4509" t="str">
        <f>IF(ISNUMBER(FIND(",", E4509)), TRIM(MID(E4509, FIND(",", E4509) + 1, LEN(E4509))), E4509)</f>
        <v>Greece</v>
      </c>
    </row>
    <row r="4510" spans="1:8" x14ac:dyDescent="0.25">
      <c r="A4510" s="2">
        <v>28989</v>
      </c>
      <c r="B4510">
        <v>-22.920999999999999</v>
      </c>
      <c r="C4510">
        <v>-69.087000000000003</v>
      </c>
      <c r="D4510" t="s">
        <v>14</v>
      </c>
      <c r="E4510" t="s">
        <v>289</v>
      </c>
      <c r="F4510">
        <f t="shared" si="140"/>
        <v>1979</v>
      </c>
      <c r="G4510">
        <f t="shared" si="141"/>
        <v>5</v>
      </c>
      <c r="H4510" t="str">
        <f>IF(ISNUMBER(FIND(",", E4510)), TRIM(MID(E4510, FIND(",", E4510) + 1, LEN(E4510))), E4510)</f>
        <v>Chile</v>
      </c>
    </row>
    <row r="4511" spans="1:8" x14ac:dyDescent="0.25">
      <c r="A4511" s="2">
        <v>28988</v>
      </c>
      <c r="B4511">
        <v>19.021000000000001</v>
      </c>
      <c r="C4511">
        <v>145.434</v>
      </c>
      <c r="D4511" t="s">
        <v>14</v>
      </c>
      <c r="E4511" t="s">
        <v>335</v>
      </c>
      <c r="F4511">
        <f t="shared" si="140"/>
        <v>1979</v>
      </c>
      <c r="G4511">
        <f t="shared" si="141"/>
        <v>5</v>
      </c>
      <c r="H4511" t="str">
        <f>IF(ISNUMBER(FIND(",", E4511)), TRIM(MID(E4511, FIND(",", E4511) + 1, LEN(E4511))), E4511)</f>
        <v>Northern Mariana Islands</v>
      </c>
    </row>
    <row r="4512" spans="1:8" x14ac:dyDescent="0.25">
      <c r="A4512" s="2">
        <v>28976</v>
      </c>
      <c r="B4512">
        <v>-21.263999999999999</v>
      </c>
      <c r="C4512">
        <v>169.874</v>
      </c>
      <c r="D4512" t="s">
        <v>14</v>
      </c>
      <c r="E4512" t="s">
        <v>254</v>
      </c>
      <c r="F4512">
        <f t="shared" si="140"/>
        <v>1979</v>
      </c>
      <c r="G4512">
        <f t="shared" si="141"/>
        <v>5</v>
      </c>
      <c r="H4512" t="str">
        <f>IF(ISNUMBER(FIND(",", E4512)), TRIM(MID(E4512, FIND(",", E4512) + 1, LEN(E4512))), E4512)</f>
        <v>southeast of the Loyalty Islands</v>
      </c>
    </row>
    <row r="4513" spans="1:8" x14ac:dyDescent="0.25">
      <c r="A4513" s="2">
        <v>28976</v>
      </c>
      <c r="B4513">
        <v>9.327</v>
      </c>
      <c r="C4513">
        <v>125.524</v>
      </c>
      <c r="D4513" t="s">
        <v>14</v>
      </c>
      <c r="E4513" t="s">
        <v>200</v>
      </c>
      <c r="F4513">
        <f t="shared" si="140"/>
        <v>1979</v>
      </c>
      <c r="G4513">
        <f t="shared" si="141"/>
        <v>5</v>
      </c>
      <c r="H4513" t="str">
        <f>IF(ISNUMBER(FIND(",", E4513)), TRIM(MID(E4513, FIND(",", E4513) + 1, LEN(E4513))), E4513)</f>
        <v>Philippines</v>
      </c>
    </row>
    <row r="4514" spans="1:8" x14ac:dyDescent="0.25">
      <c r="A4514" s="2">
        <v>28974</v>
      </c>
      <c r="B4514">
        <v>-15.382</v>
      </c>
      <c r="C4514">
        <v>-178.30799999999999</v>
      </c>
      <c r="D4514" t="s">
        <v>14</v>
      </c>
      <c r="E4514" t="s">
        <v>53</v>
      </c>
      <c r="F4514">
        <f t="shared" si="140"/>
        <v>1979</v>
      </c>
      <c r="G4514">
        <f t="shared" si="141"/>
        <v>4</v>
      </c>
      <c r="H4514" t="str">
        <f>IF(ISNUMBER(FIND(",", E4514)), TRIM(MID(E4514, FIND(",", E4514) + 1, LEN(E4514))), E4514)</f>
        <v>Fiji region</v>
      </c>
    </row>
    <row r="4515" spans="1:8" x14ac:dyDescent="0.25">
      <c r="A4515" s="2">
        <v>28973</v>
      </c>
      <c r="B4515">
        <v>-27.536999999999999</v>
      </c>
      <c r="C4515">
        <v>-70.994</v>
      </c>
      <c r="D4515" t="s">
        <v>14</v>
      </c>
      <c r="E4515" t="s">
        <v>439</v>
      </c>
      <c r="F4515">
        <f t="shared" si="140"/>
        <v>1979</v>
      </c>
      <c r="G4515">
        <f t="shared" si="141"/>
        <v>4</v>
      </c>
      <c r="H4515" t="str">
        <f>IF(ISNUMBER(FIND(",", E4515)), TRIM(MID(E4515, FIND(",", E4515) + 1, LEN(E4515))), E4515)</f>
        <v>Chile</v>
      </c>
    </row>
    <row r="4516" spans="1:8" x14ac:dyDescent="0.25">
      <c r="A4516" s="2">
        <v>28969</v>
      </c>
      <c r="B4516">
        <v>-20.870999999999999</v>
      </c>
      <c r="C4516">
        <v>-178.60900000000001</v>
      </c>
      <c r="D4516" t="s">
        <v>14</v>
      </c>
      <c r="E4516" t="s">
        <v>53</v>
      </c>
      <c r="F4516">
        <f t="shared" si="140"/>
        <v>1979</v>
      </c>
      <c r="G4516">
        <f t="shared" si="141"/>
        <v>4</v>
      </c>
      <c r="H4516" t="str">
        <f>IF(ISNUMBER(FIND(",", E4516)), TRIM(MID(E4516, FIND(",", E4516) + 1, LEN(E4516))), E4516)</f>
        <v>Fiji region</v>
      </c>
    </row>
    <row r="4517" spans="1:8" x14ac:dyDescent="0.25">
      <c r="A4517" s="2">
        <v>28968</v>
      </c>
      <c r="B4517">
        <v>-53.036000000000001</v>
      </c>
      <c r="C4517">
        <v>159.84899999999999</v>
      </c>
      <c r="D4517" t="s">
        <v>14</v>
      </c>
      <c r="E4517" t="s">
        <v>350</v>
      </c>
      <c r="F4517">
        <f t="shared" si="140"/>
        <v>1979</v>
      </c>
      <c r="G4517">
        <f t="shared" si="141"/>
        <v>4</v>
      </c>
      <c r="H4517" t="str">
        <f>IF(ISNUMBER(FIND(",", E4517)), TRIM(MID(E4517, FIND(",", E4517) + 1, LEN(E4517))), E4517)</f>
        <v>Macquarie Island region</v>
      </c>
    </row>
    <row r="4518" spans="1:8" x14ac:dyDescent="0.25">
      <c r="A4518" s="2">
        <v>28968</v>
      </c>
      <c r="B4518">
        <v>-16.616</v>
      </c>
      <c r="C4518">
        <v>120.163</v>
      </c>
      <c r="D4518" t="s">
        <v>14</v>
      </c>
      <c r="E4518" t="s">
        <v>625</v>
      </c>
      <c r="F4518">
        <f t="shared" si="140"/>
        <v>1979</v>
      </c>
      <c r="G4518">
        <f t="shared" si="141"/>
        <v>4</v>
      </c>
      <c r="H4518" t="str">
        <f>IF(ISNUMBER(FIND(",", E4518)), TRIM(MID(E4518, FIND(",", E4518) + 1, LEN(E4518))), E4518)</f>
        <v>northwest of Australia</v>
      </c>
    </row>
    <row r="4519" spans="1:8" x14ac:dyDescent="0.25">
      <c r="A4519" s="2">
        <v>28960</v>
      </c>
      <c r="B4519">
        <v>5.6349999999999998</v>
      </c>
      <c r="C4519">
        <v>123.557</v>
      </c>
      <c r="D4519" t="s">
        <v>14</v>
      </c>
      <c r="E4519" t="s">
        <v>203</v>
      </c>
      <c r="F4519">
        <f t="shared" si="140"/>
        <v>1979</v>
      </c>
      <c r="G4519">
        <f t="shared" si="141"/>
        <v>4</v>
      </c>
      <c r="H4519" t="str">
        <f>IF(ISNUMBER(FIND(",", E4519)), TRIM(MID(E4519, FIND(",", E4519) + 1, LEN(E4519))), E4519)</f>
        <v>Celebes Sea</v>
      </c>
    </row>
    <row r="4520" spans="1:8" x14ac:dyDescent="0.25">
      <c r="A4520" s="2">
        <v>28960</v>
      </c>
      <c r="B4520">
        <v>42.000999999999998</v>
      </c>
      <c r="C4520">
        <v>19.152999999999999</v>
      </c>
      <c r="D4520" t="s">
        <v>14</v>
      </c>
      <c r="E4520" t="s">
        <v>626</v>
      </c>
      <c r="F4520">
        <f t="shared" si="140"/>
        <v>1979</v>
      </c>
      <c r="G4520">
        <f t="shared" si="141"/>
        <v>4</v>
      </c>
      <c r="H4520" t="str">
        <f>IF(ISNUMBER(FIND(",", E4520)), TRIM(MID(E4520, FIND(",", E4520) + 1, LEN(E4520))), E4520)</f>
        <v>Montenegro-Albania border region</v>
      </c>
    </row>
    <row r="4521" spans="1:8" x14ac:dyDescent="0.25">
      <c r="A4521" s="2">
        <v>28959</v>
      </c>
      <c r="B4521">
        <v>-35.866999999999997</v>
      </c>
      <c r="C4521">
        <v>-102.801</v>
      </c>
      <c r="D4521" t="s">
        <v>14</v>
      </c>
      <c r="E4521" t="s">
        <v>364</v>
      </c>
      <c r="F4521">
        <f t="shared" si="140"/>
        <v>1979</v>
      </c>
      <c r="G4521">
        <f t="shared" si="141"/>
        <v>4</v>
      </c>
      <c r="H4521" t="str">
        <f>IF(ISNUMBER(FIND(",", E4521)), TRIM(MID(E4521, FIND(",", E4521) + 1, LEN(E4521))), E4521)</f>
        <v>southeast of Easter Island</v>
      </c>
    </row>
    <row r="4522" spans="1:8" x14ac:dyDescent="0.25">
      <c r="A4522" s="2">
        <v>28955</v>
      </c>
      <c r="B4522">
        <v>2.9870000000000001</v>
      </c>
      <c r="C4522">
        <v>126.965</v>
      </c>
      <c r="D4522" t="s">
        <v>14</v>
      </c>
      <c r="E4522" t="s">
        <v>186</v>
      </c>
      <c r="F4522">
        <f t="shared" si="140"/>
        <v>1979</v>
      </c>
      <c r="G4522">
        <f t="shared" si="141"/>
        <v>4</v>
      </c>
      <c r="H4522" t="str">
        <f>IF(ISNUMBER(FIND(",", E4522)), TRIM(MID(E4522, FIND(",", E4522) + 1, LEN(E4522))), E4522)</f>
        <v>Molucca Sea</v>
      </c>
    </row>
    <row r="4523" spans="1:8" x14ac:dyDescent="0.25">
      <c r="A4523" s="2">
        <v>28937</v>
      </c>
      <c r="B4523">
        <v>17.965</v>
      </c>
      <c r="C4523">
        <v>-69.075000000000003</v>
      </c>
      <c r="D4523" t="s">
        <v>14</v>
      </c>
      <c r="E4523" t="s">
        <v>601</v>
      </c>
      <c r="F4523">
        <f t="shared" si="140"/>
        <v>1979</v>
      </c>
      <c r="G4523">
        <f t="shared" si="141"/>
        <v>3</v>
      </c>
      <c r="H4523" t="str">
        <f>IF(ISNUMBER(FIND(",", E4523)), TRIM(MID(E4523, FIND(",", E4523) + 1, LEN(E4523))), E4523)</f>
        <v>Dominican Republic region</v>
      </c>
    </row>
    <row r="4524" spans="1:8" x14ac:dyDescent="0.25">
      <c r="A4524" s="2">
        <v>28934</v>
      </c>
      <c r="B4524">
        <v>-36.529000000000003</v>
      </c>
      <c r="C4524">
        <v>78.760999999999996</v>
      </c>
      <c r="D4524" t="s">
        <v>14</v>
      </c>
      <c r="E4524" t="s">
        <v>377</v>
      </c>
      <c r="F4524">
        <f t="shared" si="140"/>
        <v>1979</v>
      </c>
      <c r="G4524">
        <f t="shared" si="141"/>
        <v>3</v>
      </c>
      <c r="H4524" t="str">
        <f>IF(ISNUMBER(FIND(",", E4524)), TRIM(MID(E4524, FIND(",", E4524) + 1, LEN(E4524))), E4524)</f>
        <v>Mid-Indian Ridge</v>
      </c>
    </row>
    <row r="4525" spans="1:8" x14ac:dyDescent="0.25">
      <c r="A4525" s="2">
        <v>28933</v>
      </c>
      <c r="B4525">
        <v>-36.719000000000001</v>
      </c>
      <c r="C4525">
        <v>78.744</v>
      </c>
      <c r="D4525" t="s">
        <v>14</v>
      </c>
      <c r="E4525" t="s">
        <v>377</v>
      </c>
      <c r="F4525">
        <f t="shared" si="140"/>
        <v>1979</v>
      </c>
      <c r="G4525">
        <f t="shared" si="141"/>
        <v>3</v>
      </c>
      <c r="H4525" t="str">
        <f>IF(ISNUMBER(FIND(",", E4525)), TRIM(MID(E4525, FIND(",", E4525) + 1, LEN(E4525))), E4525)</f>
        <v>Mid-Indian Ridge</v>
      </c>
    </row>
    <row r="4526" spans="1:8" x14ac:dyDescent="0.25">
      <c r="A4526" s="2">
        <v>28928</v>
      </c>
      <c r="B4526">
        <v>17.759</v>
      </c>
      <c r="C4526">
        <v>-101.223</v>
      </c>
      <c r="D4526" t="s">
        <v>14</v>
      </c>
      <c r="E4526" t="s">
        <v>192</v>
      </c>
      <c r="F4526">
        <f t="shared" si="140"/>
        <v>1979</v>
      </c>
      <c r="G4526">
        <f t="shared" si="141"/>
        <v>3</v>
      </c>
      <c r="H4526" t="str">
        <f>IF(ISNUMBER(FIND(",", E4526)), TRIM(MID(E4526, FIND(",", E4526) + 1, LEN(E4526))), E4526)</f>
        <v>Mexico</v>
      </c>
    </row>
    <row r="4527" spans="1:8" x14ac:dyDescent="0.25">
      <c r="A4527" s="2">
        <v>28923</v>
      </c>
      <c r="B4527">
        <v>-9.5609999999999999</v>
      </c>
      <c r="C4527">
        <v>147.982</v>
      </c>
      <c r="D4527" t="s">
        <v>14</v>
      </c>
      <c r="E4527" t="s">
        <v>243</v>
      </c>
      <c r="F4527">
        <f t="shared" si="140"/>
        <v>1979</v>
      </c>
      <c r="G4527">
        <f t="shared" si="141"/>
        <v>3</v>
      </c>
      <c r="H4527" t="str">
        <f>IF(ISNUMBER(FIND(",", E4527)), TRIM(MID(E4527, FIND(",", E4527) + 1, LEN(E4527))), E4527)</f>
        <v>Papua New Guinea</v>
      </c>
    </row>
    <row r="4528" spans="1:8" x14ac:dyDescent="0.25">
      <c r="A4528" s="2">
        <v>28922</v>
      </c>
      <c r="B4528">
        <v>0.99</v>
      </c>
      <c r="C4528">
        <v>120.363</v>
      </c>
      <c r="D4528" t="s">
        <v>14</v>
      </c>
      <c r="E4528" t="s">
        <v>263</v>
      </c>
      <c r="F4528">
        <f t="shared" si="140"/>
        <v>1979</v>
      </c>
      <c r="G4528">
        <f t="shared" si="141"/>
        <v>3</v>
      </c>
      <c r="H4528" t="str">
        <f>IF(ISNUMBER(FIND(",", E4528)), TRIM(MID(E4528, FIND(",", E4528) + 1, LEN(E4528))), E4528)</f>
        <v>Sulawesi, Indonesia</v>
      </c>
    </row>
    <row r="4529" spans="1:8" x14ac:dyDescent="0.25">
      <c r="A4529" s="2">
        <v>28914</v>
      </c>
      <c r="B4529">
        <v>60.656999999999996</v>
      </c>
      <c r="C4529">
        <v>-141.65799999999999</v>
      </c>
      <c r="D4529" t="s">
        <v>14</v>
      </c>
      <c r="E4529" t="s">
        <v>497</v>
      </c>
      <c r="F4529">
        <f t="shared" si="140"/>
        <v>1979</v>
      </c>
      <c r="G4529">
        <f t="shared" si="141"/>
        <v>2</v>
      </c>
      <c r="H4529" t="str">
        <f>IF(ISNUMBER(FIND(",", E4529)), TRIM(MID(E4529, FIND(",", E4529) + 1, LEN(E4529))), E4529)</f>
        <v>Southern Alaska</v>
      </c>
    </row>
    <row r="4530" spans="1:8" x14ac:dyDescent="0.25">
      <c r="A4530" s="2">
        <v>28908</v>
      </c>
      <c r="B4530">
        <v>-0.157</v>
      </c>
      <c r="C4530">
        <v>-17.672000000000001</v>
      </c>
      <c r="D4530" t="s">
        <v>14</v>
      </c>
      <c r="E4530" t="s">
        <v>378</v>
      </c>
      <c r="F4530">
        <f t="shared" si="140"/>
        <v>1979</v>
      </c>
      <c r="G4530">
        <f t="shared" si="141"/>
        <v>2</v>
      </c>
      <c r="H4530" t="str">
        <f>IF(ISNUMBER(FIND(",", E4530)), TRIM(MID(E4530, FIND(",", E4530) + 1, LEN(E4530))), E4530)</f>
        <v>north of Ascension Island</v>
      </c>
    </row>
    <row r="4531" spans="1:8" x14ac:dyDescent="0.25">
      <c r="A4531" s="2">
        <v>28906</v>
      </c>
      <c r="B4531">
        <v>40.296999999999997</v>
      </c>
      <c r="C4531">
        <v>143.71899999999999</v>
      </c>
      <c r="D4531" t="s">
        <v>14</v>
      </c>
      <c r="E4531" t="s">
        <v>189</v>
      </c>
      <c r="F4531">
        <f t="shared" si="140"/>
        <v>1979</v>
      </c>
      <c r="G4531">
        <f t="shared" si="141"/>
        <v>2</v>
      </c>
      <c r="H4531" t="str">
        <f>IF(ISNUMBER(FIND(",", E4531)), TRIM(MID(E4531, FIND(",", E4531) + 1, LEN(E4531))), E4531)</f>
        <v>Japan</v>
      </c>
    </row>
    <row r="4532" spans="1:8" x14ac:dyDescent="0.25">
      <c r="A4532" s="2">
        <v>28904</v>
      </c>
      <c r="B4532">
        <v>-43.142000000000003</v>
      </c>
      <c r="C4532">
        <v>41.466999999999999</v>
      </c>
      <c r="D4532" t="s">
        <v>14</v>
      </c>
      <c r="E4532" t="s">
        <v>369</v>
      </c>
      <c r="F4532">
        <f t="shared" si="140"/>
        <v>1979</v>
      </c>
      <c r="G4532">
        <f t="shared" si="141"/>
        <v>2</v>
      </c>
      <c r="H4532" t="str">
        <f>IF(ISNUMBER(FIND(",", E4532)), TRIM(MID(E4532, FIND(",", E4532) + 1, LEN(E4532))), E4532)</f>
        <v>Prince Edward Islands region</v>
      </c>
    </row>
    <row r="4533" spans="1:8" x14ac:dyDescent="0.25">
      <c r="A4533" s="2">
        <v>28902</v>
      </c>
      <c r="B4533">
        <v>-16.538</v>
      </c>
      <c r="C4533">
        <v>-72.552999999999997</v>
      </c>
      <c r="D4533" t="s">
        <v>14</v>
      </c>
      <c r="E4533" t="s">
        <v>499</v>
      </c>
      <c r="F4533">
        <f t="shared" si="140"/>
        <v>1979</v>
      </c>
      <c r="G4533">
        <f t="shared" si="141"/>
        <v>2</v>
      </c>
      <c r="H4533" t="str">
        <f>IF(ISNUMBER(FIND(",", E4533)), TRIM(MID(E4533, FIND(",", E4533) + 1, LEN(E4533))), E4533)</f>
        <v>near the coast of southern Peru</v>
      </c>
    </row>
    <row r="4534" spans="1:8" x14ac:dyDescent="0.25">
      <c r="A4534" s="2">
        <v>28902</v>
      </c>
      <c r="B4534">
        <v>-13.625999999999999</v>
      </c>
      <c r="C4534">
        <v>166.76599999999999</v>
      </c>
      <c r="D4534" t="s">
        <v>14</v>
      </c>
      <c r="E4534" t="s">
        <v>181</v>
      </c>
      <c r="F4534">
        <f t="shared" si="140"/>
        <v>1979</v>
      </c>
      <c r="G4534">
        <f t="shared" si="141"/>
        <v>2</v>
      </c>
      <c r="H4534" t="str">
        <f>IF(ISNUMBER(FIND(",", E4534)), TRIM(MID(E4534, FIND(",", E4534) + 1, LEN(E4534))), E4534)</f>
        <v>Vanuatu</v>
      </c>
    </row>
    <row r="4535" spans="1:8" x14ac:dyDescent="0.25">
      <c r="A4535" s="2">
        <v>28900</v>
      </c>
      <c r="B4535">
        <v>-15.577</v>
      </c>
      <c r="C4535">
        <v>167.703</v>
      </c>
      <c r="D4535" t="s">
        <v>14</v>
      </c>
      <c r="E4535" t="s">
        <v>181</v>
      </c>
      <c r="F4535">
        <f t="shared" si="140"/>
        <v>1979</v>
      </c>
      <c r="G4535">
        <f t="shared" si="141"/>
        <v>2</v>
      </c>
      <c r="H4535" t="str">
        <f>IF(ISNUMBER(FIND(",", E4535)), TRIM(MID(E4535, FIND(",", E4535) + 1, LEN(E4535))), E4535)</f>
        <v>Vanuatu</v>
      </c>
    </row>
    <row r="4536" spans="1:8" x14ac:dyDescent="0.25">
      <c r="A4536" s="2">
        <v>28899</v>
      </c>
      <c r="B4536">
        <v>55.427</v>
      </c>
      <c r="C4536">
        <v>-157.155</v>
      </c>
      <c r="D4536" t="s">
        <v>14</v>
      </c>
      <c r="E4536" t="s">
        <v>285</v>
      </c>
      <c r="F4536">
        <f t="shared" si="140"/>
        <v>1979</v>
      </c>
      <c r="G4536">
        <f t="shared" si="141"/>
        <v>2</v>
      </c>
      <c r="H4536" t="str">
        <f>IF(ISNUMBER(FIND(",", E4536)), TRIM(MID(E4536, FIND(",", E4536) + 1, LEN(E4536))), E4536)</f>
        <v>Alaska Peninsula</v>
      </c>
    </row>
    <row r="4537" spans="1:8" x14ac:dyDescent="0.25">
      <c r="A4537" s="2">
        <v>28897</v>
      </c>
      <c r="B4537">
        <v>6.0140000000000002</v>
      </c>
      <c r="C4537">
        <v>125.938</v>
      </c>
      <c r="D4537" t="s">
        <v>14</v>
      </c>
      <c r="E4537" t="s">
        <v>200</v>
      </c>
      <c r="F4537">
        <f t="shared" si="140"/>
        <v>1979</v>
      </c>
      <c r="G4537">
        <f t="shared" si="141"/>
        <v>2</v>
      </c>
      <c r="H4537" t="str">
        <f>IF(ISNUMBER(FIND(",", E4537)), TRIM(MID(E4537, FIND(",", E4537) + 1, LEN(E4537))), E4537)</f>
        <v>Philippines</v>
      </c>
    </row>
    <row r="4538" spans="1:8" x14ac:dyDescent="0.25">
      <c r="A4538" s="2">
        <v>28893</v>
      </c>
      <c r="B4538">
        <v>5.18</v>
      </c>
      <c r="C4538">
        <v>127.32599999999999</v>
      </c>
      <c r="D4538" t="s">
        <v>14</v>
      </c>
      <c r="E4538" t="s">
        <v>213</v>
      </c>
      <c r="F4538">
        <f t="shared" si="140"/>
        <v>1979</v>
      </c>
      <c r="G4538">
        <f t="shared" si="141"/>
        <v>2</v>
      </c>
      <c r="H4538" t="str">
        <f>IF(ISNUMBER(FIND(",", E4538)), TRIM(MID(E4538, FIND(",", E4538) + 1, LEN(E4538))), E4538)</f>
        <v>Philippine Islands region</v>
      </c>
    </row>
    <row r="4539" spans="1:8" x14ac:dyDescent="0.25">
      <c r="A4539" s="2">
        <v>28882</v>
      </c>
      <c r="B4539">
        <v>54.765000000000001</v>
      </c>
      <c r="C4539">
        <v>-161.24100000000001</v>
      </c>
      <c r="D4539" t="s">
        <v>14</v>
      </c>
      <c r="E4539" t="s">
        <v>285</v>
      </c>
      <c r="F4539">
        <f t="shared" si="140"/>
        <v>1979</v>
      </c>
      <c r="G4539">
        <f t="shared" si="141"/>
        <v>1</v>
      </c>
      <c r="H4539" t="str">
        <f>IF(ISNUMBER(FIND(",", E4539)), TRIM(MID(E4539, FIND(",", E4539) + 1, LEN(E4539))), E4539)</f>
        <v>Alaska Peninsula</v>
      </c>
    </row>
    <row r="4540" spans="1:8" x14ac:dyDescent="0.25">
      <c r="A4540" s="2">
        <v>28882</v>
      </c>
      <c r="B4540">
        <v>-18.556999999999999</v>
      </c>
      <c r="C4540">
        <v>168.291</v>
      </c>
      <c r="D4540" t="s">
        <v>14</v>
      </c>
      <c r="E4540" t="s">
        <v>181</v>
      </c>
      <c r="F4540">
        <f t="shared" si="140"/>
        <v>1979</v>
      </c>
      <c r="G4540">
        <f t="shared" si="141"/>
        <v>1</v>
      </c>
      <c r="H4540" t="str">
        <f>IF(ISNUMBER(FIND(",", E4540)), TRIM(MID(E4540, FIND(",", E4540) + 1, LEN(E4540))), E4540)</f>
        <v>Vanuatu</v>
      </c>
    </row>
    <row r="4541" spans="1:8" x14ac:dyDescent="0.25">
      <c r="A4541" s="2">
        <v>28881</v>
      </c>
      <c r="B4541">
        <v>17.405999999999999</v>
      </c>
      <c r="C4541">
        <v>-100.86499999999999</v>
      </c>
      <c r="D4541" t="s">
        <v>14</v>
      </c>
      <c r="E4541" t="s">
        <v>192</v>
      </c>
      <c r="F4541">
        <f t="shared" si="140"/>
        <v>1979</v>
      </c>
      <c r="G4541">
        <f t="shared" si="141"/>
        <v>1</v>
      </c>
      <c r="H4541" t="str">
        <f>IF(ISNUMBER(FIND(",", E4541)), TRIM(MID(E4541, FIND(",", E4541) + 1, LEN(E4541))), E4541)</f>
        <v>Mexico</v>
      </c>
    </row>
    <row r="4542" spans="1:8" x14ac:dyDescent="0.25">
      <c r="A4542" s="2">
        <v>28880</v>
      </c>
      <c r="B4542">
        <v>-29.977</v>
      </c>
      <c r="C4542">
        <v>-177.38499999999999</v>
      </c>
      <c r="D4542" t="s">
        <v>14</v>
      </c>
      <c r="E4542" t="s">
        <v>288</v>
      </c>
      <c r="F4542">
        <f t="shared" si="140"/>
        <v>1979</v>
      </c>
      <c r="G4542">
        <f t="shared" si="141"/>
        <v>1</v>
      </c>
      <c r="H4542" t="str">
        <f>IF(ISNUMBER(FIND(",", E4542)), TRIM(MID(E4542, FIND(",", E4542) + 1, LEN(E4542))), E4542)</f>
        <v>New Zealand</v>
      </c>
    </row>
    <row r="4543" spans="1:8" x14ac:dyDescent="0.25">
      <c r="A4543" s="2">
        <v>28872</v>
      </c>
      <c r="B4543">
        <v>47.883000000000003</v>
      </c>
      <c r="C4543">
        <v>48.128</v>
      </c>
      <c r="D4543" t="s">
        <v>13</v>
      </c>
      <c r="E4543" t="s">
        <v>627</v>
      </c>
      <c r="F4543">
        <f t="shared" si="140"/>
        <v>1979</v>
      </c>
      <c r="G4543">
        <f t="shared" si="141"/>
        <v>1</v>
      </c>
      <c r="H4543" t="str">
        <f>IF(ISNUMBER(FIND(",", E4543)), TRIM(MID(E4543, FIND(",", E4543) + 1, LEN(E4543))), E4543)</f>
        <v>Russia-Kazakhstan border region</v>
      </c>
    </row>
    <row r="4544" spans="1:8" x14ac:dyDescent="0.25">
      <c r="A4544" s="2">
        <v>28871</v>
      </c>
      <c r="B4544">
        <v>-45.643999999999998</v>
      </c>
      <c r="C4544">
        <v>96.102000000000004</v>
      </c>
      <c r="D4544" t="s">
        <v>14</v>
      </c>
      <c r="E4544" t="s">
        <v>310</v>
      </c>
      <c r="F4544">
        <f t="shared" si="140"/>
        <v>1979</v>
      </c>
      <c r="G4544">
        <f t="shared" si="141"/>
        <v>1</v>
      </c>
      <c r="H4544" t="str">
        <f>IF(ISNUMBER(FIND(",", E4544)), TRIM(MID(E4544, FIND(",", E4544) + 1, LEN(E4544))), E4544)</f>
        <v>southeast Indian Ridge</v>
      </c>
    </row>
    <row r="4545" spans="1:8" x14ac:dyDescent="0.25">
      <c r="A4545" s="2">
        <v>28871</v>
      </c>
      <c r="B4545">
        <v>33.904000000000003</v>
      </c>
      <c r="C4545">
        <v>59.470999999999997</v>
      </c>
      <c r="D4545" t="s">
        <v>14</v>
      </c>
      <c r="E4545" t="s">
        <v>528</v>
      </c>
      <c r="F4545">
        <f t="shared" si="140"/>
        <v>1979</v>
      </c>
      <c r="G4545">
        <f t="shared" si="141"/>
        <v>1</v>
      </c>
      <c r="H4545" t="str">
        <f>IF(ISNUMBER(FIND(",", E4545)), TRIM(MID(E4545, FIND(",", E4545) + 1, LEN(E4545))), E4545)</f>
        <v>eastern Iran</v>
      </c>
    </row>
    <row r="4546" spans="1:8" x14ac:dyDescent="0.25">
      <c r="A4546" s="2">
        <v>28867</v>
      </c>
      <c r="B4546">
        <v>14.275</v>
      </c>
      <c r="C4546">
        <v>-91.546000000000006</v>
      </c>
      <c r="D4546" t="s">
        <v>14</v>
      </c>
      <c r="E4546" t="s">
        <v>371</v>
      </c>
      <c r="F4546">
        <f t="shared" ref="F4546:F4609" si="142">YEAR(A4546)</f>
        <v>1979</v>
      </c>
      <c r="G4546">
        <f t="shared" si="141"/>
        <v>1</v>
      </c>
      <c r="H4546" t="str">
        <f>IF(ISNUMBER(FIND(",", E4546)), TRIM(MID(E4546, FIND(",", E4546) + 1, LEN(E4546))), E4546)</f>
        <v>Guatemala</v>
      </c>
    </row>
    <row r="4547" spans="1:8" x14ac:dyDescent="0.25">
      <c r="A4547" s="2">
        <v>28866</v>
      </c>
      <c r="B4547">
        <v>-4.077</v>
      </c>
      <c r="C4547">
        <v>101.241</v>
      </c>
      <c r="D4547" t="s">
        <v>14</v>
      </c>
      <c r="E4547" t="s">
        <v>308</v>
      </c>
      <c r="F4547">
        <f t="shared" si="142"/>
        <v>1979</v>
      </c>
      <c r="G4547">
        <f t="shared" ref="G4547:G4610" si="143">MONTH(A4547)</f>
        <v>1</v>
      </c>
      <c r="H4547" t="str">
        <f>IF(ISNUMBER(FIND(",", E4547)), TRIM(MID(E4547, FIND(",", E4547) + 1, LEN(E4547))), E4547)</f>
        <v>Indonesia</v>
      </c>
    </row>
    <row r="4548" spans="1:8" x14ac:dyDescent="0.25">
      <c r="A4548" s="2">
        <v>28865</v>
      </c>
      <c r="B4548">
        <v>26.495000000000001</v>
      </c>
      <c r="C4548">
        <v>60.985999999999997</v>
      </c>
      <c r="D4548" t="s">
        <v>14</v>
      </c>
      <c r="E4548" t="s">
        <v>305</v>
      </c>
      <c r="F4548">
        <f t="shared" si="142"/>
        <v>1979</v>
      </c>
      <c r="G4548">
        <f t="shared" si="143"/>
        <v>1</v>
      </c>
      <c r="H4548" t="str">
        <f>IF(ISNUMBER(FIND(",", E4548)), TRIM(MID(E4548, FIND(",", E4548) + 1, LEN(E4548))), E4548)</f>
        <v>southeastern Iran</v>
      </c>
    </row>
    <row r="4549" spans="1:8" x14ac:dyDescent="0.25">
      <c r="A4549" s="2">
        <v>28849</v>
      </c>
      <c r="B4549">
        <v>10.249000000000001</v>
      </c>
      <c r="C4549">
        <v>-103.95399999999999</v>
      </c>
      <c r="D4549" t="s">
        <v>14</v>
      </c>
      <c r="E4549" t="s">
        <v>252</v>
      </c>
      <c r="F4549">
        <f t="shared" si="142"/>
        <v>1978</v>
      </c>
      <c r="G4549">
        <f t="shared" si="143"/>
        <v>12</v>
      </c>
      <c r="H4549" t="str">
        <f>IF(ISNUMBER(FIND(",", E4549)), TRIM(MID(E4549, FIND(",", E4549) + 1, LEN(E4549))), E4549)</f>
        <v>northern East Pacific Rise</v>
      </c>
    </row>
    <row r="4550" spans="1:8" x14ac:dyDescent="0.25">
      <c r="A4550" s="2">
        <v>28847</v>
      </c>
      <c r="B4550">
        <v>23.225999999999999</v>
      </c>
      <c r="C4550">
        <v>122.024</v>
      </c>
      <c r="D4550" t="s">
        <v>14</v>
      </c>
      <c r="E4550" t="s">
        <v>363</v>
      </c>
      <c r="F4550">
        <f t="shared" si="142"/>
        <v>1978</v>
      </c>
      <c r="G4550">
        <f t="shared" si="143"/>
        <v>12</v>
      </c>
      <c r="H4550" t="str">
        <f>IF(ISNUMBER(FIND(",", E4550)), TRIM(MID(E4550, FIND(",", E4550) + 1, LEN(E4550))), E4550)</f>
        <v>Taiwan region</v>
      </c>
    </row>
    <row r="4551" spans="1:8" x14ac:dyDescent="0.25">
      <c r="A4551" s="2">
        <v>28847</v>
      </c>
      <c r="B4551">
        <v>-8.2590000000000003</v>
      </c>
      <c r="C4551">
        <v>121.32599999999999</v>
      </c>
      <c r="D4551" t="s">
        <v>14</v>
      </c>
      <c r="E4551" t="s">
        <v>399</v>
      </c>
      <c r="F4551">
        <f t="shared" si="142"/>
        <v>1978</v>
      </c>
      <c r="G4551">
        <f t="shared" si="143"/>
        <v>12</v>
      </c>
      <c r="H4551" t="str">
        <f>IF(ISNUMBER(FIND(",", E4551)), TRIM(MID(E4551, FIND(",", E4551) + 1, LEN(E4551))), E4551)</f>
        <v>Indonesia</v>
      </c>
    </row>
    <row r="4552" spans="1:8" x14ac:dyDescent="0.25">
      <c r="A4552" s="2">
        <v>28845</v>
      </c>
      <c r="B4552">
        <v>-11.161</v>
      </c>
      <c r="C4552">
        <v>162.70500000000001</v>
      </c>
      <c r="D4552" t="s">
        <v>14</v>
      </c>
      <c r="E4552" t="s">
        <v>221</v>
      </c>
      <c r="F4552">
        <f t="shared" si="142"/>
        <v>1978</v>
      </c>
      <c r="G4552">
        <f t="shared" si="143"/>
        <v>12</v>
      </c>
      <c r="H4552" t="str">
        <f>IF(ISNUMBER(FIND(",", E4552)), TRIM(MID(E4552, FIND(",", E4552) + 1, LEN(E4552))), E4552)</f>
        <v>Solomon Islands</v>
      </c>
    </row>
    <row r="4553" spans="1:8" x14ac:dyDescent="0.25">
      <c r="A4553" s="2">
        <v>28842</v>
      </c>
      <c r="B4553">
        <v>-54.463999999999999</v>
      </c>
      <c r="C4553">
        <v>2.133</v>
      </c>
      <c r="D4553" t="s">
        <v>14</v>
      </c>
      <c r="E4553" t="s">
        <v>368</v>
      </c>
      <c r="F4553">
        <f t="shared" si="142"/>
        <v>1978</v>
      </c>
      <c r="G4553">
        <f t="shared" si="143"/>
        <v>12</v>
      </c>
      <c r="H4553" t="str">
        <f>IF(ISNUMBER(FIND(",", E4553)), TRIM(MID(E4553, FIND(",", E4553) + 1, LEN(E4553))), E4553)</f>
        <v>Bouvet Island region</v>
      </c>
    </row>
    <row r="4554" spans="1:8" x14ac:dyDescent="0.25">
      <c r="A4554" s="2">
        <v>28838</v>
      </c>
      <c r="B4554">
        <v>0.51300000000000001</v>
      </c>
      <c r="C4554">
        <v>126</v>
      </c>
      <c r="D4554" t="s">
        <v>14</v>
      </c>
      <c r="E4554" t="s">
        <v>186</v>
      </c>
      <c r="F4554">
        <f t="shared" si="142"/>
        <v>1978</v>
      </c>
      <c r="G4554">
        <f t="shared" si="143"/>
        <v>12</v>
      </c>
      <c r="H4554" t="str">
        <f>IF(ISNUMBER(FIND(",", E4554)), TRIM(MID(E4554, FIND(",", E4554) + 1, LEN(E4554))), E4554)</f>
        <v>Molucca Sea</v>
      </c>
    </row>
    <row r="4555" spans="1:8" x14ac:dyDescent="0.25">
      <c r="A4555" s="2">
        <v>28838</v>
      </c>
      <c r="B4555">
        <v>32.130000000000003</v>
      </c>
      <c r="C4555">
        <v>49.636000000000003</v>
      </c>
      <c r="D4555" t="s">
        <v>14</v>
      </c>
      <c r="E4555" t="s">
        <v>444</v>
      </c>
      <c r="F4555">
        <f t="shared" si="142"/>
        <v>1978</v>
      </c>
      <c r="G4555">
        <f t="shared" si="143"/>
        <v>12</v>
      </c>
      <c r="H4555" t="str">
        <f>IF(ISNUMBER(FIND(",", E4555)), TRIM(MID(E4555, FIND(",", E4555) + 1, LEN(E4555))), E4555)</f>
        <v>western Iran</v>
      </c>
    </row>
    <row r="4556" spans="1:8" x14ac:dyDescent="0.25">
      <c r="A4556" s="2">
        <v>28836</v>
      </c>
      <c r="B4556">
        <v>7.3769999999999998</v>
      </c>
      <c r="C4556">
        <v>123.389</v>
      </c>
      <c r="D4556" t="s">
        <v>14</v>
      </c>
      <c r="E4556" t="s">
        <v>200</v>
      </c>
      <c r="F4556">
        <f t="shared" si="142"/>
        <v>1978</v>
      </c>
      <c r="G4556">
        <f t="shared" si="143"/>
        <v>12</v>
      </c>
      <c r="H4556" t="str">
        <f>IF(ISNUMBER(FIND(",", E4556)), TRIM(MID(E4556, FIND(",", E4556) + 1, LEN(E4556))), E4556)</f>
        <v>Philippines</v>
      </c>
    </row>
    <row r="4557" spans="1:8" x14ac:dyDescent="0.25">
      <c r="A4557" s="2">
        <v>28833</v>
      </c>
      <c r="B4557">
        <v>45.329000000000001</v>
      </c>
      <c r="C4557">
        <v>150.11199999999999</v>
      </c>
      <c r="D4557" t="s">
        <v>14</v>
      </c>
      <c r="E4557" t="s">
        <v>191</v>
      </c>
      <c r="F4557">
        <f t="shared" si="142"/>
        <v>1978</v>
      </c>
      <c r="G4557">
        <f t="shared" si="143"/>
        <v>12</v>
      </c>
      <c r="H4557" t="str">
        <f>IF(ISNUMBER(FIND(",", E4557)), TRIM(MID(E4557, FIND(",", E4557) + 1, LEN(E4557))), E4557)</f>
        <v>Kuril Islands</v>
      </c>
    </row>
    <row r="4558" spans="1:8" x14ac:dyDescent="0.25">
      <c r="A4558" s="2">
        <v>28830</v>
      </c>
      <c r="B4558">
        <v>44.557000000000002</v>
      </c>
      <c r="C4558">
        <v>146.58799999999999</v>
      </c>
      <c r="D4558" t="s">
        <v>14</v>
      </c>
      <c r="E4558" t="s">
        <v>191</v>
      </c>
      <c r="F4558">
        <f t="shared" si="142"/>
        <v>1978</v>
      </c>
      <c r="G4558">
        <f t="shared" si="143"/>
        <v>12</v>
      </c>
      <c r="H4558" t="str">
        <f>IF(ISNUMBER(FIND(",", E4558)), TRIM(MID(E4558, FIND(",", E4558) + 1, LEN(E4558))), E4558)</f>
        <v>Kuril Islands</v>
      </c>
    </row>
    <row r="4559" spans="1:8" x14ac:dyDescent="0.25">
      <c r="A4559" s="2">
        <v>28830</v>
      </c>
      <c r="B4559">
        <v>13.288</v>
      </c>
      <c r="C4559">
        <v>-89.703999999999994</v>
      </c>
      <c r="D4559" t="s">
        <v>14</v>
      </c>
      <c r="E4559" t="s">
        <v>461</v>
      </c>
      <c r="F4559">
        <f t="shared" si="142"/>
        <v>1978</v>
      </c>
      <c r="G4559">
        <f t="shared" si="143"/>
        <v>12</v>
      </c>
      <c r="H4559" t="str">
        <f>IF(ISNUMBER(FIND(",", E4559)), TRIM(MID(E4559, FIND(",", E4559) + 1, LEN(E4559))), E4559)</f>
        <v>offshore El Salvador</v>
      </c>
    </row>
    <row r="4560" spans="1:8" x14ac:dyDescent="0.25">
      <c r="A4560" s="2">
        <v>28823</v>
      </c>
      <c r="B4560">
        <v>16.010000000000002</v>
      </c>
      <c r="C4560">
        <v>-96.602000000000004</v>
      </c>
      <c r="D4560" t="s">
        <v>14</v>
      </c>
      <c r="E4560" t="s">
        <v>251</v>
      </c>
      <c r="F4560">
        <f t="shared" si="142"/>
        <v>1978</v>
      </c>
      <c r="G4560">
        <f t="shared" si="143"/>
        <v>11</v>
      </c>
      <c r="H4560" t="str">
        <f>IF(ISNUMBER(FIND(",", E4560)), TRIM(MID(E4560, FIND(",", E4560) + 1, LEN(E4560))), E4560)</f>
        <v>Mexico</v>
      </c>
    </row>
    <row r="4561" spans="1:8" x14ac:dyDescent="0.25">
      <c r="A4561" s="2">
        <v>28821</v>
      </c>
      <c r="B4561">
        <v>-10.91</v>
      </c>
      <c r="C4561">
        <v>162.18100000000001</v>
      </c>
      <c r="D4561" t="s">
        <v>14</v>
      </c>
      <c r="E4561" t="s">
        <v>221</v>
      </c>
      <c r="F4561">
        <f t="shared" si="142"/>
        <v>1978</v>
      </c>
      <c r="G4561">
        <f t="shared" si="143"/>
        <v>11</v>
      </c>
      <c r="H4561" t="str">
        <f>IF(ISNUMBER(FIND(",", E4561)), TRIM(MID(E4561, FIND(",", E4561) + 1, LEN(E4561))), E4561)</f>
        <v>Solomon Islands</v>
      </c>
    </row>
    <row r="4562" spans="1:8" x14ac:dyDescent="0.25">
      <c r="A4562" s="2">
        <v>28801</v>
      </c>
      <c r="B4562">
        <v>-10.97</v>
      </c>
      <c r="C4562">
        <v>162.261</v>
      </c>
      <c r="D4562" t="s">
        <v>14</v>
      </c>
      <c r="E4562" t="s">
        <v>221</v>
      </c>
      <c r="F4562">
        <f t="shared" si="142"/>
        <v>1978</v>
      </c>
      <c r="G4562">
        <f t="shared" si="143"/>
        <v>11</v>
      </c>
      <c r="H4562" t="str">
        <f>IF(ISNUMBER(FIND(",", E4562)), TRIM(MID(E4562, FIND(",", E4562) + 1, LEN(E4562))), E4562)</f>
        <v>Solomon Islands</v>
      </c>
    </row>
    <row r="4563" spans="1:8" x14ac:dyDescent="0.25">
      <c r="A4563" s="2">
        <v>28799</v>
      </c>
      <c r="B4563">
        <v>-11.127000000000001</v>
      </c>
      <c r="C4563">
        <v>162.209</v>
      </c>
      <c r="D4563" t="s">
        <v>14</v>
      </c>
      <c r="E4563" t="s">
        <v>221</v>
      </c>
      <c r="F4563">
        <f t="shared" si="142"/>
        <v>1978</v>
      </c>
      <c r="G4563">
        <f t="shared" si="143"/>
        <v>11</v>
      </c>
      <c r="H4563" t="str">
        <f>IF(ISNUMBER(FIND(",", E4563)), TRIM(MID(E4563, FIND(",", E4563) + 1, LEN(E4563))), E4563)</f>
        <v>Solomon Islands</v>
      </c>
    </row>
    <row r="4564" spans="1:8" x14ac:dyDescent="0.25">
      <c r="A4564" s="2">
        <v>28798</v>
      </c>
      <c r="B4564">
        <v>-11.178000000000001</v>
      </c>
      <c r="C4564">
        <v>162.15600000000001</v>
      </c>
      <c r="D4564" t="s">
        <v>14</v>
      </c>
      <c r="E4564" t="s">
        <v>221</v>
      </c>
      <c r="F4564">
        <f t="shared" si="142"/>
        <v>1978</v>
      </c>
      <c r="G4564">
        <f t="shared" si="143"/>
        <v>11</v>
      </c>
      <c r="H4564" t="str">
        <f>IF(ISNUMBER(FIND(",", E4564)), TRIM(MID(E4564, FIND(",", E4564) + 1, LEN(E4564))), E4564)</f>
        <v>Solomon Islands</v>
      </c>
    </row>
    <row r="4565" spans="1:8" x14ac:dyDescent="0.25">
      <c r="A4565" s="2">
        <v>28798</v>
      </c>
      <c r="B4565">
        <v>-11.333</v>
      </c>
      <c r="C4565">
        <v>162.244</v>
      </c>
      <c r="D4565" t="s">
        <v>14</v>
      </c>
      <c r="E4565" t="s">
        <v>221</v>
      </c>
      <c r="F4565">
        <f t="shared" si="142"/>
        <v>1978</v>
      </c>
      <c r="G4565">
        <f t="shared" si="143"/>
        <v>11</v>
      </c>
      <c r="H4565" t="str">
        <f>IF(ISNUMBER(FIND(",", E4565)), TRIM(MID(E4565, FIND(",", E4565) + 1, LEN(E4565))), E4565)</f>
        <v>Solomon Islands</v>
      </c>
    </row>
    <row r="4566" spans="1:8" x14ac:dyDescent="0.25">
      <c r="A4566" s="2">
        <v>28798</v>
      </c>
      <c r="B4566">
        <v>37.673999999999999</v>
      </c>
      <c r="C4566">
        <v>48.912999999999997</v>
      </c>
      <c r="D4566" t="s">
        <v>14</v>
      </c>
      <c r="E4566" t="s">
        <v>218</v>
      </c>
      <c r="F4566">
        <f t="shared" si="142"/>
        <v>1978</v>
      </c>
      <c r="G4566">
        <f t="shared" si="143"/>
        <v>11</v>
      </c>
      <c r="H4566" t="str">
        <f>IF(ISNUMBER(FIND(",", E4566)), TRIM(MID(E4566, FIND(",", E4566) + 1, LEN(E4566))), E4566)</f>
        <v>northwestern Iran</v>
      </c>
    </row>
    <row r="4567" spans="1:8" x14ac:dyDescent="0.25">
      <c r="A4567" s="2">
        <v>28795</v>
      </c>
      <c r="B4567">
        <v>39.360999999999997</v>
      </c>
      <c r="C4567">
        <v>72.59</v>
      </c>
      <c r="D4567" t="s">
        <v>14</v>
      </c>
      <c r="E4567" t="s">
        <v>284</v>
      </c>
      <c r="F4567">
        <f t="shared" si="142"/>
        <v>1978</v>
      </c>
      <c r="G4567">
        <f t="shared" si="143"/>
        <v>11</v>
      </c>
      <c r="H4567" t="str">
        <f>IF(ISNUMBER(FIND(",", E4567)), TRIM(MID(E4567, FIND(",", E4567) + 1, LEN(E4567))), E4567)</f>
        <v>Kyrgyzstan</v>
      </c>
    </row>
    <row r="4568" spans="1:8" x14ac:dyDescent="0.25">
      <c r="A4568" s="2">
        <v>28793</v>
      </c>
      <c r="B4568">
        <v>13.869</v>
      </c>
      <c r="C4568">
        <v>-91.058999999999997</v>
      </c>
      <c r="D4568" t="s">
        <v>14</v>
      </c>
      <c r="E4568" t="s">
        <v>196</v>
      </c>
      <c r="F4568">
        <f t="shared" si="142"/>
        <v>1978</v>
      </c>
      <c r="G4568">
        <f t="shared" si="143"/>
        <v>10</v>
      </c>
      <c r="H4568" t="str">
        <f>IF(ISNUMBER(FIND(",", E4568)), TRIM(MID(E4568, FIND(",", E4568) + 1, LEN(E4568))), E4568)</f>
        <v>offshore Guatemala</v>
      </c>
    </row>
    <row r="4569" spans="1:8" x14ac:dyDescent="0.25">
      <c r="A4569" s="2">
        <v>28756</v>
      </c>
      <c r="B4569">
        <v>-13.92</v>
      </c>
      <c r="C4569">
        <v>167.28</v>
      </c>
      <c r="D4569" t="s">
        <v>14</v>
      </c>
      <c r="E4569" t="s">
        <v>181</v>
      </c>
      <c r="F4569">
        <f t="shared" si="142"/>
        <v>1978</v>
      </c>
      <c r="G4569">
        <f t="shared" si="143"/>
        <v>9</v>
      </c>
      <c r="H4569" t="str">
        <f>IF(ISNUMBER(FIND(",", E4569)), TRIM(MID(E4569, FIND(",", E4569) + 1, LEN(E4569))), E4569)</f>
        <v>Vanuatu</v>
      </c>
    </row>
    <row r="4570" spans="1:8" x14ac:dyDescent="0.25">
      <c r="A4570" s="2">
        <v>28749</v>
      </c>
      <c r="B4570">
        <v>33.238</v>
      </c>
      <c r="C4570">
        <v>57.381999999999998</v>
      </c>
      <c r="D4570" t="s">
        <v>14</v>
      </c>
      <c r="E4570" t="s">
        <v>528</v>
      </c>
      <c r="F4570">
        <f t="shared" si="142"/>
        <v>1978</v>
      </c>
      <c r="G4570">
        <f t="shared" si="143"/>
        <v>9</v>
      </c>
      <c r="H4570" t="str">
        <f>IF(ISNUMBER(FIND(",", E4570)), TRIM(MID(E4570, FIND(",", E4570) + 1, LEN(E4570))), E4570)</f>
        <v>eastern Iran</v>
      </c>
    </row>
    <row r="4571" spans="1:8" x14ac:dyDescent="0.25">
      <c r="A4571" s="2">
        <v>28748</v>
      </c>
      <c r="B4571">
        <v>49.898000000000003</v>
      </c>
      <c r="C4571">
        <v>78.924999999999997</v>
      </c>
      <c r="D4571" t="s">
        <v>13</v>
      </c>
      <c r="E4571" t="s">
        <v>571</v>
      </c>
      <c r="F4571">
        <f t="shared" si="142"/>
        <v>1978</v>
      </c>
      <c r="G4571">
        <f t="shared" si="143"/>
        <v>9</v>
      </c>
      <c r="H4571" t="str">
        <f>IF(ISNUMBER(FIND(",", E4571)), TRIM(MID(E4571, FIND(",", E4571) + 1, LEN(E4571))), E4571)</f>
        <v>eastern Kazakhstan</v>
      </c>
    </row>
    <row r="4572" spans="1:8" x14ac:dyDescent="0.25">
      <c r="A4572" s="2">
        <v>28743</v>
      </c>
      <c r="B4572">
        <v>14.26</v>
      </c>
      <c r="C4572">
        <v>-91.534000000000006</v>
      </c>
      <c r="D4572" t="s">
        <v>14</v>
      </c>
      <c r="E4572" t="s">
        <v>371</v>
      </c>
      <c r="F4572">
        <f t="shared" si="142"/>
        <v>1978</v>
      </c>
      <c r="G4572">
        <f t="shared" si="143"/>
        <v>9</v>
      </c>
      <c r="H4572" t="str">
        <f>IF(ISNUMBER(FIND(",", E4572)), TRIM(MID(E4572, FIND(",", E4572) + 1, LEN(E4572))), E4572)</f>
        <v>Guatemala</v>
      </c>
    </row>
    <row r="4573" spans="1:8" x14ac:dyDescent="0.25">
      <c r="A4573" s="2">
        <v>28739</v>
      </c>
      <c r="B4573">
        <v>-13.305999999999999</v>
      </c>
      <c r="C4573">
        <v>167.227</v>
      </c>
      <c r="D4573" t="s">
        <v>14</v>
      </c>
      <c r="E4573" t="s">
        <v>181</v>
      </c>
      <c r="F4573">
        <f t="shared" si="142"/>
        <v>1978</v>
      </c>
      <c r="G4573">
        <f t="shared" si="143"/>
        <v>9</v>
      </c>
      <c r="H4573" t="str">
        <f>IF(ISNUMBER(FIND(",", E4573)), TRIM(MID(E4573, FIND(",", E4573) + 1, LEN(E4573))), E4573)</f>
        <v>Vanuatu</v>
      </c>
    </row>
    <row r="4574" spans="1:8" x14ac:dyDescent="0.25">
      <c r="A4574" s="2">
        <v>28739</v>
      </c>
      <c r="B4574">
        <v>-20.210999999999999</v>
      </c>
      <c r="C4574">
        <v>168.83099999999999</v>
      </c>
      <c r="D4574" t="s">
        <v>14</v>
      </c>
      <c r="E4574" t="s">
        <v>292</v>
      </c>
      <c r="F4574">
        <f t="shared" si="142"/>
        <v>1978</v>
      </c>
      <c r="G4574">
        <f t="shared" si="143"/>
        <v>9</v>
      </c>
      <c r="H4574" t="str">
        <f>IF(ISNUMBER(FIND(",", E4574)), TRIM(MID(E4574, FIND(",", E4574) + 1, LEN(E4574))), E4574)</f>
        <v>New Caledonia</v>
      </c>
    </row>
    <row r="4575" spans="1:8" x14ac:dyDescent="0.25">
      <c r="A4575" s="2">
        <v>28735</v>
      </c>
      <c r="B4575">
        <v>24.878</v>
      </c>
      <c r="C4575">
        <v>121.892</v>
      </c>
      <c r="D4575" t="s">
        <v>14</v>
      </c>
      <c r="E4575" t="s">
        <v>336</v>
      </c>
      <c r="F4575">
        <f t="shared" si="142"/>
        <v>1978</v>
      </c>
      <c r="G4575">
        <f t="shared" si="143"/>
        <v>9</v>
      </c>
      <c r="H4575" t="str">
        <f>IF(ISNUMBER(FIND(",", E4575)), TRIM(MID(E4575, FIND(",", E4575) + 1, LEN(E4575))), E4575)</f>
        <v>Taiwan</v>
      </c>
    </row>
    <row r="4576" spans="1:8" x14ac:dyDescent="0.25">
      <c r="A4576" s="2">
        <v>28734</v>
      </c>
      <c r="B4576">
        <v>-7.4870000000000001</v>
      </c>
      <c r="C4576">
        <v>156.547</v>
      </c>
      <c r="D4576" t="s">
        <v>14</v>
      </c>
      <c r="E4576" t="s">
        <v>221</v>
      </c>
      <c r="F4576">
        <f t="shared" si="142"/>
        <v>1978</v>
      </c>
      <c r="G4576">
        <f t="shared" si="143"/>
        <v>9</v>
      </c>
      <c r="H4576" t="str">
        <f>IF(ISNUMBER(FIND(",", E4576)), TRIM(MID(E4576, FIND(",", E4576) + 1, LEN(E4576))), E4576)</f>
        <v>Solomon Islands</v>
      </c>
    </row>
    <row r="4577" spans="1:8" x14ac:dyDescent="0.25">
      <c r="A4577" s="2">
        <v>28734</v>
      </c>
      <c r="B4577">
        <v>-17.393999999999998</v>
      </c>
      <c r="C4577">
        <v>168.08199999999999</v>
      </c>
      <c r="D4577" t="s">
        <v>14</v>
      </c>
      <c r="E4577" t="s">
        <v>181</v>
      </c>
      <c r="F4577">
        <f t="shared" si="142"/>
        <v>1978</v>
      </c>
      <c r="G4577">
        <f t="shared" si="143"/>
        <v>9</v>
      </c>
      <c r="H4577" t="str">
        <f>IF(ISNUMBER(FIND(",", E4577)), TRIM(MID(E4577, FIND(",", E4577) + 1, LEN(E4577))), E4577)</f>
        <v>Vanuatu</v>
      </c>
    </row>
    <row r="4578" spans="1:8" x14ac:dyDescent="0.25">
      <c r="A4578" s="2">
        <v>28725</v>
      </c>
      <c r="B4578">
        <v>10.223000000000001</v>
      </c>
      <c r="C4578">
        <v>-85.203999999999994</v>
      </c>
      <c r="D4578" t="s">
        <v>14</v>
      </c>
      <c r="E4578" t="s">
        <v>202</v>
      </c>
      <c r="F4578">
        <f t="shared" si="142"/>
        <v>1978</v>
      </c>
      <c r="G4578">
        <f t="shared" si="143"/>
        <v>8</v>
      </c>
      <c r="H4578" t="str">
        <f>IF(ISNUMBER(FIND(",", E4578)), TRIM(MID(E4578, FIND(",", E4578) + 1, LEN(E4578))), E4578)</f>
        <v>Costa Rica</v>
      </c>
    </row>
    <row r="4579" spans="1:8" x14ac:dyDescent="0.25">
      <c r="A4579" s="2">
        <v>28723</v>
      </c>
      <c r="B4579">
        <v>-47.570999999999998</v>
      </c>
      <c r="C4579">
        <v>32.438000000000002</v>
      </c>
      <c r="D4579" t="s">
        <v>14</v>
      </c>
      <c r="E4579" t="s">
        <v>369</v>
      </c>
      <c r="F4579">
        <f t="shared" si="142"/>
        <v>1978</v>
      </c>
      <c r="G4579">
        <f t="shared" si="143"/>
        <v>8</v>
      </c>
      <c r="H4579" t="str">
        <f>IF(ISNUMBER(FIND(",", E4579)), TRIM(MID(E4579, FIND(",", E4579) + 1, LEN(E4579))), E4579)</f>
        <v>Prince Edward Islands region</v>
      </c>
    </row>
    <row r="4580" spans="1:8" x14ac:dyDescent="0.25">
      <c r="A4580" s="2">
        <v>28720</v>
      </c>
      <c r="B4580">
        <v>59.863999999999997</v>
      </c>
      <c r="C4580">
        <v>-153.613</v>
      </c>
      <c r="D4580" t="s">
        <v>14</v>
      </c>
      <c r="E4580" t="s">
        <v>497</v>
      </c>
      <c r="F4580">
        <f t="shared" si="142"/>
        <v>1978</v>
      </c>
      <c r="G4580">
        <f t="shared" si="143"/>
        <v>8</v>
      </c>
      <c r="H4580" t="str">
        <f>IF(ISNUMBER(FIND(",", E4580)), TRIM(MID(E4580, FIND(",", E4580) + 1, LEN(E4580))), E4580)</f>
        <v>Southern Alaska</v>
      </c>
    </row>
    <row r="4581" spans="1:8" x14ac:dyDescent="0.25">
      <c r="A4581" s="2">
        <v>28720</v>
      </c>
      <c r="B4581">
        <v>14.342000000000001</v>
      </c>
      <c r="C4581">
        <v>-91.471000000000004</v>
      </c>
      <c r="D4581" t="s">
        <v>14</v>
      </c>
      <c r="E4581" t="s">
        <v>371</v>
      </c>
      <c r="F4581">
        <f t="shared" si="142"/>
        <v>1978</v>
      </c>
      <c r="G4581">
        <f t="shared" si="143"/>
        <v>8</v>
      </c>
      <c r="H4581" t="str">
        <f>IF(ISNUMBER(FIND(",", E4581)), TRIM(MID(E4581, FIND(",", E4581) + 1, LEN(E4581))), E4581)</f>
        <v>Guatemala</v>
      </c>
    </row>
    <row r="4582" spans="1:8" x14ac:dyDescent="0.25">
      <c r="A4582" s="2">
        <v>28717</v>
      </c>
      <c r="B4582">
        <v>-30.523</v>
      </c>
      <c r="C4582">
        <v>-178.04</v>
      </c>
      <c r="D4582" t="s">
        <v>14</v>
      </c>
      <c r="E4582" t="s">
        <v>288</v>
      </c>
      <c r="F4582">
        <f t="shared" si="142"/>
        <v>1978</v>
      </c>
      <c r="G4582">
        <f t="shared" si="143"/>
        <v>8</v>
      </c>
      <c r="H4582" t="str">
        <f>IF(ISNUMBER(FIND(",", E4582)), TRIM(MID(E4582, FIND(",", E4582) + 1, LEN(E4582))), E4582)</f>
        <v>New Zealand</v>
      </c>
    </row>
    <row r="4583" spans="1:8" x14ac:dyDescent="0.25">
      <c r="A4583" s="2">
        <v>28712</v>
      </c>
      <c r="B4583">
        <v>-35.997999999999998</v>
      </c>
      <c r="C4583">
        <v>-17.475000000000001</v>
      </c>
      <c r="D4583" t="s">
        <v>14</v>
      </c>
      <c r="E4583" t="s">
        <v>422</v>
      </c>
      <c r="F4583">
        <f t="shared" si="142"/>
        <v>1978</v>
      </c>
      <c r="G4583">
        <f t="shared" si="143"/>
        <v>8</v>
      </c>
      <c r="H4583" t="str">
        <f>IF(ISNUMBER(FIND(",", E4583)), TRIM(MID(E4583, FIND(",", E4583) + 1, LEN(E4583))), E4583)</f>
        <v>southern Mid-Atlantic Ridge</v>
      </c>
    </row>
    <row r="4584" spans="1:8" x14ac:dyDescent="0.25">
      <c r="A4584" s="2">
        <v>28710</v>
      </c>
      <c r="B4584">
        <v>-12.365</v>
      </c>
      <c r="C4584">
        <v>166.517</v>
      </c>
      <c r="D4584" t="s">
        <v>14</v>
      </c>
      <c r="E4584" t="s">
        <v>211</v>
      </c>
      <c r="F4584">
        <f t="shared" si="142"/>
        <v>1978</v>
      </c>
      <c r="G4584">
        <f t="shared" si="143"/>
        <v>8</v>
      </c>
      <c r="H4584" t="str">
        <f>IF(ISNUMBER(FIND(",", E4584)), TRIM(MID(E4584, FIND(",", E4584) + 1, LEN(E4584))), E4584)</f>
        <v>Santa Cruz Islands</v>
      </c>
    </row>
    <row r="4585" spans="1:8" x14ac:dyDescent="0.25">
      <c r="A4585" s="2">
        <v>28707</v>
      </c>
      <c r="B4585">
        <v>-3.5049999999999999</v>
      </c>
      <c r="C4585">
        <v>151.03100000000001</v>
      </c>
      <c r="D4585" t="s">
        <v>14</v>
      </c>
      <c r="E4585" t="s">
        <v>183</v>
      </c>
      <c r="F4585">
        <f t="shared" si="142"/>
        <v>1978</v>
      </c>
      <c r="G4585">
        <f t="shared" si="143"/>
        <v>8</v>
      </c>
      <c r="H4585" t="str">
        <f>IF(ISNUMBER(FIND(",", E4585)), TRIM(MID(E4585, FIND(",", E4585) + 1, LEN(E4585))), E4585)</f>
        <v>Papua New Guinea</v>
      </c>
    </row>
    <row r="4586" spans="1:8" x14ac:dyDescent="0.25">
      <c r="A4586" s="2">
        <v>28705</v>
      </c>
      <c r="B4586">
        <v>-0.157</v>
      </c>
      <c r="C4586">
        <v>131.78200000000001</v>
      </c>
      <c r="D4586" t="s">
        <v>14</v>
      </c>
      <c r="E4586" t="s">
        <v>241</v>
      </c>
      <c r="F4586">
        <f t="shared" si="142"/>
        <v>1978</v>
      </c>
      <c r="G4586">
        <f t="shared" si="143"/>
        <v>8</v>
      </c>
      <c r="H4586" t="str">
        <f>IF(ISNUMBER(FIND(",", E4586)), TRIM(MID(E4586, FIND(",", E4586) + 1, LEN(E4586))), E4586)</f>
        <v>Indonesia</v>
      </c>
    </row>
    <row r="4587" spans="1:8" x14ac:dyDescent="0.25">
      <c r="A4587" s="2">
        <v>28705</v>
      </c>
      <c r="B4587">
        <v>-26.542999999999999</v>
      </c>
      <c r="C4587">
        <v>-70.543999999999997</v>
      </c>
      <c r="D4587" t="s">
        <v>14</v>
      </c>
      <c r="E4587" t="s">
        <v>264</v>
      </c>
      <c r="F4587">
        <f t="shared" si="142"/>
        <v>1978</v>
      </c>
      <c r="G4587">
        <f t="shared" si="143"/>
        <v>8</v>
      </c>
      <c r="H4587" t="str">
        <f>IF(ISNUMBER(FIND(",", E4587)), TRIM(MID(E4587, FIND(",", E4587) + 1, LEN(E4587))), E4587)</f>
        <v>Chile</v>
      </c>
    </row>
    <row r="4588" spans="1:8" x14ac:dyDescent="0.25">
      <c r="A4588" s="2">
        <v>28695</v>
      </c>
      <c r="B4588">
        <v>22.125</v>
      </c>
      <c r="C4588">
        <v>121.431</v>
      </c>
      <c r="D4588" t="s">
        <v>14</v>
      </c>
      <c r="E4588" t="s">
        <v>363</v>
      </c>
      <c r="F4588">
        <f t="shared" si="142"/>
        <v>1978</v>
      </c>
      <c r="G4588">
        <f t="shared" si="143"/>
        <v>7</v>
      </c>
      <c r="H4588" t="str">
        <f>IF(ISNUMBER(FIND(",", E4588)), TRIM(MID(E4588, FIND(",", E4588) + 1, LEN(E4588))), E4588)</f>
        <v>Taiwan region</v>
      </c>
    </row>
    <row r="4589" spans="1:8" x14ac:dyDescent="0.25">
      <c r="A4589" s="2">
        <v>28695</v>
      </c>
      <c r="B4589">
        <v>-20.632000000000001</v>
      </c>
      <c r="C4589">
        <v>172.64</v>
      </c>
      <c r="D4589" t="s">
        <v>14</v>
      </c>
      <c r="E4589" t="s">
        <v>281</v>
      </c>
      <c r="F4589">
        <f t="shared" si="142"/>
        <v>1978</v>
      </c>
      <c r="G4589">
        <f t="shared" si="143"/>
        <v>7</v>
      </c>
      <c r="H4589" t="str">
        <f>IF(ISNUMBER(FIND(",", E4589)), TRIM(MID(E4589, FIND(",", E4589) + 1, LEN(E4589))), E4589)</f>
        <v>Vanuatu region</v>
      </c>
    </row>
    <row r="4590" spans="1:8" x14ac:dyDescent="0.25">
      <c r="A4590" s="2">
        <v>28694</v>
      </c>
      <c r="B4590">
        <v>22.24</v>
      </c>
      <c r="C4590">
        <v>121.41800000000001</v>
      </c>
      <c r="D4590" t="s">
        <v>14</v>
      </c>
      <c r="E4590" t="s">
        <v>363</v>
      </c>
      <c r="F4590">
        <f t="shared" si="142"/>
        <v>1978</v>
      </c>
      <c r="G4590">
        <f t="shared" si="143"/>
        <v>7</v>
      </c>
      <c r="H4590" t="str">
        <f>IF(ISNUMBER(FIND(",", E4590)), TRIM(MID(E4590, FIND(",", E4590) + 1, LEN(E4590))), E4590)</f>
        <v>Taiwan region</v>
      </c>
    </row>
    <row r="4591" spans="1:8" x14ac:dyDescent="0.25">
      <c r="A4591" s="2">
        <v>28693</v>
      </c>
      <c r="B4591">
        <v>-4.2050000000000001</v>
      </c>
      <c r="C4591">
        <v>152.80799999999999</v>
      </c>
      <c r="D4591" t="s">
        <v>14</v>
      </c>
      <c r="E4591" t="s">
        <v>190</v>
      </c>
      <c r="F4591">
        <f t="shared" si="142"/>
        <v>1978</v>
      </c>
      <c r="G4591">
        <f t="shared" si="143"/>
        <v>7</v>
      </c>
      <c r="H4591" t="str">
        <f>IF(ISNUMBER(FIND(",", E4591)), TRIM(MID(E4591, FIND(",", E4591) + 1, LEN(E4591))), E4591)</f>
        <v>Papua New Guinea</v>
      </c>
    </row>
    <row r="4592" spans="1:8" x14ac:dyDescent="0.25">
      <c r="A4592" s="2">
        <v>28688</v>
      </c>
      <c r="B4592">
        <v>-14.956</v>
      </c>
      <c r="C4592">
        <v>-175.77600000000001</v>
      </c>
      <c r="D4592" t="s">
        <v>14</v>
      </c>
      <c r="E4592" t="s">
        <v>352</v>
      </c>
      <c r="F4592">
        <f t="shared" si="142"/>
        <v>1978</v>
      </c>
      <c r="G4592">
        <f t="shared" si="143"/>
        <v>7</v>
      </c>
      <c r="H4592" t="str">
        <f>IF(ISNUMBER(FIND(",", E4592)), TRIM(MID(E4592, FIND(",", E4592) + 1, LEN(E4592))), E4592)</f>
        <v>Samoa Islands region</v>
      </c>
    </row>
    <row r="4593" spans="1:8" x14ac:dyDescent="0.25">
      <c r="A4593" s="2">
        <v>28673</v>
      </c>
      <c r="B4593">
        <v>-15.287000000000001</v>
      </c>
      <c r="C4593">
        <v>-175.39500000000001</v>
      </c>
      <c r="D4593" t="s">
        <v>14</v>
      </c>
      <c r="E4593" t="s">
        <v>239</v>
      </c>
      <c r="F4593">
        <f t="shared" si="142"/>
        <v>1978</v>
      </c>
      <c r="G4593">
        <f t="shared" si="143"/>
        <v>7</v>
      </c>
      <c r="H4593" t="str">
        <f>IF(ISNUMBER(FIND(",", E4593)), TRIM(MID(E4593, FIND(",", E4593) + 1, LEN(E4593))), E4593)</f>
        <v>Tonga</v>
      </c>
    </row>
    <row r="4594" spans="1:8" x14ac:dyDescent="0.25">
      <c r="A4594" s="2">
        <v>28668</v>
      </c>
      <c r="B4594">
        <v>-56.488</v>
      </c>
      <c r="C4594">
        <v>147.22200000000001</v>
      </c>
      <c r="D4594" t="s">
        <v>14</v>
      </c>
      <c r="E4594" t="s">
        <v>205</v>
      </c>
      <c r="F4594">
        <f t="shared" si="142"/>
        <v>1978</v>
      </c>
      <c r="G4594">
        <f t="shared" si="143"/>
        <v>6</v>
      </c>
      <c r="H4594" t="str">
        <f>IF(ISNUMBER(FIND(",", E4594)), TRIM(MID(E4594, FIND(",", E4594) + 1, LEN(E4594))), E4594)</f>
        <v>west of Macquarie Island</v>
      </c>
    </row>
    <row r="4595" spans="1:8" x14ac:dyDescent="0.25">
      <c r="A4595" s="2">
        <v>28665</v>
      </c>
      <c r="B4595">
        <v>-5.0910000000000002</v>
      </c>
      <c r="C4595">
        <v>102.29900000000001</v>
      </c>
      <c r="D4595" t="s">
        <v>14</v>
      </c>
      <c r="E4595" t="s">
        <v>308</v>
      </c>
      <c r="F4595">
        <f t="shared" si="142"/>
        <v>1978</v>
      </c>
      <c r="G4595">
        <f t="shared" si="143"/>
        <v>6</v>
      </c>
      <c r="H4595" t="str">
        <f>IF(ISNUMBER(FIND(",", E4595)), TRIM(MID(E4595, FIND(",", E4595) + 1, LEN(E4595))), E4595)</f>
        <v>Indonesia</v>
      </c>
    </row>
    <row r="4596" spans="1:8" x14ac:dyDescent="0.25">
      <c r="A4596" s="2">
        <v>28662</v>
      </c>
      <c r="B4596">
        <v>48.265000000000001</v>
      </c>
      <c r="C4596">
        <v>148.63800000000001</v>
      </c>
      <c r="D4596" t="s">
        <v>14</v>
      </c>
      <c r="E4596" t="s">
        <v>485</v>
      </c>
      <c r="F4596">
        <f t="shared" si="142"/>
        <v>1978</v>
      </c>
      <c r="G4596">
        <f t="shared" si="143"/>
        <v>6</v>
      </c>
      <c r="H4596" t="str">
        <f>IF(ISNUMBER(FIND(",", E4596)), TRIM(MID(E4596, FIND(",", E4596) + 1, LEN(E4596))), E4596)</f>
        <v>northwest of the Kuril Islands</v>
      </c>
    </row>
    <row r="4597" spans="1:8" x14ac:dyDescent="0.25">
      <c r="A4597" s="2">
        <v>28661</v>
      </c>
      <c r="B4597">
        <v>40.761000000000003</v>
      </c>
      <c r="C4597">
        <v>23.303000000000001</v>
      </c>
      <c r="D4597" t="s">
        <v>14</v>
      </c>
      <c r="E4597" t="s">
        <v>478</v>
      </c>
      <c r="F4597">
        <f t="shared" si="142"/>
        <v>1978</v>
      </c>
      <c r="G4597">
        <f t="shared" si="143"/>
        <v>6</v>
      </c>
      <c r="H4597" t="str">
        <f>IF(ISNUMBER(FIND(",", E4597)), TRIM(MID(E4597, FIND(",", E4597) + 1, LEN(E4597))), E4597)</f>
        <v>Greece</v>
      </c>
    </row>
    <row r="4598" spans="1:8" x14ac:dyDescent="0.25">
      <c r="A4598" s="2">
        <v>28659</v>
      </c>
      <c r="B4598">
        <v>-3.24</v>
      </c>
      <c r="C4598">
        <v>138.81700000000001</v>
      </c>
      <c r="E4598" t="s">
        <v>210</v>
      </c>
      <c r="F4598">
        <f t="shared" si="142"/>
        <v>1978</v>
      </c>
      <c r="G4598">
        <f t="shared" si="143"/>
        <v>6</v>
      </c>
      <c r="H4598" t="str">
        <f>IF(ISNUMBER(FIND(",", E4598)), TRIM(MID(E4598, FIND(",", E4598) + 1, LEN(E4598))), E4598)</f>
        <v>Indonesia</v>
      </c>
    </row>
    <row r="4599" spans="1:8" x14ac:dyDescent="0.25">
      <c r="A4599" s="2">
        <v>28658</v>
      </c>
      <c r="B4599">
        <v>-17.103000000000002</v>
      </c>
      <c r="C4599">
        <v>-172.167</v>
      </c>
      <c r="D4599" t="s">
        <v>14</v>
      </c>
      <c r="E4599" t="s">
        <v>304</v>
      </c>
      <c r="F4599">
        <f t="shared" si="142"/>
        <v>1978</v>
      </c>
      <c r="G4599">
        <f t="shared" si="143"/>
        <v>6</v>
      </c>
      <c r="H4599" t="str">
        <f>IF(ISNUMBER(FIND(",", E4599)), TRIM(MID(E4599, FIND(",", E4599) + 1, LEN(E4599))), E4599)</f>
        <v>Tonga region</v>
      </c>
    </row>
    <row r="4600" spans="1:8" x14ac:dyDescent="0.25">
      <c r="A4600" s="2">
        <v>28656</v>
      </c>
      <c r="B4600">
        <v>5.6859999999999999</v>
      </c>
      <c r="C4600">
        <v>-82.718999999999994</v>
      </c>
      <c r="D4600" t="s">
        <v>14</v>
      </c>
      <c r="E4600" t="s">
        <v>231</v>
      </c>
      <c r="F4600">
        <f t="shared" si="142"/>
        <v>1978</v>
      </c>
      <c r="G4600">
        <f t="shared" si="143"/>
        <v>6</v>
      </c>
      <c r="H4600" t="str">
        <f>IF(ISNUMBER(FIND(",", E4600)), TRIM(MID(E4600, FIND(",", E4600) + 1, LEN(E4600))), E4600)</f>
        <v>south of Panama</v>
      </c>
    </row>
    <row r="4601" spans="1:8" x14ac:dyDescent="0.25">
      <c r="A4601" s="2">
        <v>28655</v>
      </c>
      <c r="B4601">
        <v>8.2469999999999999</v>
      </c>
      <c r="C4601">
        <v>122.339</v>
      </c>
      <c r="D4601" t="s">
        <v>14</v>
      </c>
      <c r="E4601" t="s">
        <v>200</v>
      </c>
      <c r="F4601">
        <f t="shared" si="142"/>
        <v>1978</v>
      </c>
      <c r="G4601">
        <f t="shared" si="143"/>
        <v>6</v>
      </c>
      <c r="H4601" t="str">
        <f>IF(ISNUMBER(FIND(",", E4601)), TRIM(MID(E4601, FIND(",", E4601) + 1, LEN(E4601))), E4601)</f>
        <v>Philippines</v>
      </c>
    </row>
    <row r="4602" spans="1:8" x14ac:dyDescent="0.25">
      <c r="A4602" s="2">
        <v>28655</v>
      </c>
      <c r="B4602">
        <v>8.2859999999999996</v>
      </c>
      <c r="C4602">
        <v>122.39400000000001</v>
      </c>
      <c r="D4602" t="s">
        <v>14</v>
      </c>
      <c r="E4602" t="s">
        <v>200</v>
      </c>
      <c r="F4602">
        <f t="shared" si="142"/>
        <v>1978</v>
      </c>
      <c r="G4602">
        <f t="shared" si="143"/>
        <v>6</v>
      </c>
      <c r="H4602" t="str">
        <f>IF(ISNUMBER(FIND(",", E4602)), TRIM(MID(E4602, FIND(",", E4602) + 1, LEN(E4602))), E4602)</f>
        <v>Philippines</v>
      </c>
    </row>
    <row r="4603" spans="1:8" x14ac:dyDescent="0.25">
      <c r="A4603" s="2">
        <v>28655</v>
      </c>
      <c r="B4603">
        <v>38.420999999999999</v>
      </c>
      <c r="C4603">
        <v>142.38800000000001</v>
      </c>
      <c r="D4603" t="s">
        <v>14</v>
      </c>
      <c r="E4603" t="s">
        <v>227</v>
      </c>
      <c r="F4603">
        <f t="shared" si="142"/>
        <v>1978</v>
      </c>
      <c r="G4603">
        <f t="shared" si="143"/>
        <v>6</v>
      </c>
      <c r="H4603" t="str">
        <f>IF(ISNUMBER(FIND(",", E4603)), TRIM(MID(E4603, FIND(",", E4603) + 1, LEN(E4603))), E4603)</f>
        <v>Japan</v>
      </c>
    </row>
    <row r="4604" spans="1:8" x14ac:dyDescent="0.25">
      <c r="A4604" s="2">
        <v>28653</v>
      </c>
      <c r="B4604">
        <v>38.222999999999999</v>
      </c>
      <c r="C4604">
        <v>142.02199999999999</v>
      </c>
      <c r="D4604" t="s">
        <v>14</v>
      </c>
      <c r="E4604" t="s">
        <v>227</v>
      </c>
      <c r="F4604">
        <f t="shared" si="142"/>
        <v>1978</v>
      </c>
      <c r="G4604">
        <f t="shared" si="143"/>
        <v>6</v>
      </c>
      <c r="H4604" t="str">
        <f>IF(ISNUMBER(FIND(",", E4604)), TRIM(MID(E4604, FIND(",", E4604) + 1, LEN(E4604))), E4604)</f>
        <v>Japan</v>
      </c>
    </row>
    <row r="4605" spans="1:8" x14ac:dyDescent="0.25">
      <c r="A4605" s="2">
        <v>28652</v>
      </c>
      <c r="B4605">
        <v>49.222000000000001</v>
      </c>
      <c r="C4605">
        <v>-129.512</v>
      </c>
      <c r="D4605" t="s">
        <v>14</v>
      </c>
      <c r="E4605" t="s">
        <v>199</v>
      </c>
      <c r="F4605">
        <f t="shared" si="142"/>
        <v>1978</v>
      </c>
      <c r="G4605">
        <f t="shared" si="143"/>
        <v>6</v>
      </c>
      <c r="H4605" t="str">
        <f>IF(ISNUMBER(FIND(",", E4605)), TRIM(MID(E4605, FIND(",", E4605) + 1, LEN(E4605))), E4605)</f>
        <v>Canada region</v>
      </c>
    </row>
    <row r="4606" spans="1:8" x14ac:dyDescent="0.25">
      <c r="A4606" s="2">
        <v>28652</v>
      </c>
      <c r="B4606">
        <v>-15.231</v>
      </c>
      <c r="C4606">
        <v>-173.52099999999999</v>
      </c>
      <c r="D4606" t="s">
        <v>14</v>
      </c>
      <c r="E4606" t="s">
        <v>239</v>
      </c>
      <c r="F4606">
        <f t="shared" si="142"/>
        <v>1978</v>
      </c>
      <c r="G4606">
        <f t="shared" si="143"/>
        <v>6</v>
      </c>
      <c r="H4606" t="str">
        <f>IF(ISNUMBER(FIND(",", E4606)), TRIM(MID(E4606, FIND(",", E4606) + 1, LEN(E4606))), E4606)</f>
        <v>Tonga</v>
      </c>
    </row>
    <row r="4607" spans="1:8" x14ac:dyDescent="0.25">
      <c r="A4607" s="2">
        <v>28645</v>
      </c>
      <c r="B4607">
        <v>40.381</v>
      </c>
      <c r="C4607">
        <v>63.619</v>
      </c>
      <c r="D4607" t="s">
        <v>13</v>
      </c>
      <c r="E4607" t="s">
        <v>604</v>
      </c>
      <c r="F4607">
        <f t="shared" si="142"/>
        <v>1978</v>
      </c>
      <c r="G4607">
        <f t="shared" si="143"/>
        <v>6</v>
      </c>
      <c r="H4607" t="str">
        <f>IF(ISNUMBER(FIND(",", E4607)), TRIM(MID(E4607, FIND(",", E4607) + 1, LEN(E4607))), E4607)</f>
        <v>western Uzbekistan</v>
      </c>
    </row>
    <row r="4608" spans="1:8" x14ac:dyDescent="0.25">
      <c r="A4608" s="2">
        <v>28644</v>
      </c>
      <c r="B4608">
        <v>-57.031999999999996</v>
      </c>
      <c r="C4608">
        <v>-140.79300000000001</v>
      </c>
      <c r="D4608" t="s">
        <v>14</v>
      </c>
      <c r="E4608" t="s">
        <v>179</v>
      </c>
      <c r="F4608">
        <f t="shared" si="142"/>
        <v>1978</v>
      </c>
      <c r="G4608">
        <f t="shared" si="143"/>
        <v>6</v>
      </c>
      <c r="H4608" t="str">
        <f>IF(ISNUMBER(FIND(",", E4608)), TRIM(MID(E4608, FIND(",", E4608) + 1, LEN(E4608))), E4608)</f>
        <v>Pacific-Antarctic Ridge</v>
      </c>
    </row>
    <row r="4609" spans="1:8" x14ac:dyDescent="0.25">
      <c r="A4609" s="2">
        <v>28641</v>
      </c>
      <c r="B4609">
        <v>12.654</v>
      </c>
      <c r="C4609">
        <v>-87.239000000000004</v>
      </c>
      <c r="D4609" t="s">
        <v>14</v>
      </c>
      <c r="E4609" t="s">
        <v>448</v>
      </c>
      <c r="F4609">
        <f t="shared" si="142"/>
        <v>1978</v>
      </c>
      <c r="G4609">
        <f t="shared" si="143"/>
        <v>5</v>
      </c>
      <c r="H4609" t="str">
        <f>IF(ISNUMBER(FIND(",", E4609)), TRIM(MID(E4609, FIND(",", E4609) + 1, LEN(E4609))), E4609)</f>
        <v>near the coast of Nicaragua</v>
      </c>
    </row>
    <row r="4610" spans="1:8" x14ac:dyDescent="0.25">
      <c r="A4610" s="2">
        <v>28639</v>
      </c>
      <c r="B4610">
        <v>-44.895000000000003</v>
      </c>
      <c r="C4610">
        <v>-79.611999999999995</v>
      </c>
      <c r="D4610" t="s">
        <v>14</v>
      </c>
      <c r="E4610" t="s">
        <v>194</v>
      </c>
      <c r="F4610">
        <f t="shared" ref="F4610:F4673" si="144">YEAR(A4610)</f>
        <v>1978</v>
      </c>
      <c r="G4610">
        <f t="shared" si="143"/>
        <v>5</v>
      </c>
      <c r="H4610" t="str">
        <f>IF(ISNUMBER(FIND(",", E4610)), TRIM(MID(E4610, FIND(",", E4610) + 1, LEN(E4610))), E4610)</f>
        <v>Chile</v>
      </c>
    </row>
    <row r="4611" spans="1:8" x14ac:dyDescent="0.25">
      <c r="A4611" s="2">
        <v>28636</v>
      </c>
      <c r="B4611">
        <v>24.283000000000001</v>
      </c>
      <c r="C4611">
        <v>142.73599999999999</v>
      </c>
      <c r="D4611" t="s">
        <v>14</v>
      </c>
      <c r="E4611" t="s">
        <v>519</v>
      </c>
      <c r="F4611">
        <f t="shared" si="144"/>
        <v>1978</v>
      </c>
      <c r="G4611">
        <f t="shared" ref="G4611:G4674" si="145">MONTH(A4611)</f>
        <v>5</v>
      </c>
      <c r="H4611" t="str">
        <f>IF(ISNUMBER(FIND(",", E4611)), TRIM(MID(E4611, FIND(",", E4611) + 1, LEN(E4611))), E4611)</f>
        <v>Japan region</v>
      </c>
    </row>
    <row r="4612" spans="1:8" x14ac:dyDescent="0.25">
      <c r="A4612" s="2">
        <v>28634</v>
      </c>
      <c r="B4612">
        <v>51.234000000000002</v>
      </c>
      <c r="C4612">
        <v>-179.227</v>
      </c>
      <c r="D4612" t="s">
        <v>14</v>
      </c>
      <c r="E4612" t="s">
        <v>207</v>
      </c>
      <c r="F4612">
        <f t="shared" si="144"/>
        <v>1978</v>
      </c>
      <c r="G4612">
        <f t="shared" si="145"/>
        <v>5</v>
      </c>
      <c r="H4612" t="str">
        <f>IF(ISNUMBER(FIND(",", E4612)), TRIM(MID(E4612, FIND(",", E4612) + 1, LEN(E4612))), E4612)</f>
        <v>Aleutian Islands, Alaska</v>
      </c>
    </row>
    <row r="4613" spans="1:8" x14ac:dyDescent="0.25">
      <c r="A4613" s="2">
        <v>28633</v>
      </c>
      <c r="B4613">
        <v>31.082999999999998</v>
      </c>
      <c r="C4613">
        <v>130.149</v>
      </c>
      <c r="D4613" t="s">
        <v>14</v>
      </c>
      <c r="E4613" t="s">
        <v>357</v>
      </c>
      <c r="F4613">
        <f t="shared" si="144"/>
        <v>1978</v>
      </c>
      <c r="G4613">
        <f t="shared" si="145"/>
        <v>5</v>
      </c>
      <c r="H4613" t="str">
        <f>IF(ISNUMBER(FIND(",", E4613)), TRIM(MID(E4613, FIND(",", E4613) + 1, LEN(E4613))), E4613)</f>
        <v>Japan</v>
      </c>
    </row>
    <row r="4614" spans="1:8" x14ac:dyDescent="0.25">
      <c r="A4614" s="2">
        <v>28632</v>
      </c>
      <c r="B4614">
        <v>-54.819000000000003</v>
      </c>
      <c r="C4614">
        <v>1.002</v>
      </c>
      <c r="D4614" t="s">
        <v>14</v>
      </c>
      <c r="E4614" t="s">
        <v>368</v>
      </c>
      <c r="F4614">
        <f t="shared" si="144"/>
        <v>1978</v>
      </c>
      <c r="G4614">
        <f t="shared" si="145"/>
        <v>5</v>
      </c>
      <c r="H4614" t="str">
        <f>IF(ISNUMBER(FIND(",", E4614)), TRIM(MID(E4614, FIND(",", E4614) + 1, LEN(E4614))), E4614)</f>
        <v>Bouvet Island region</v>
      </c>
    </row>
    <row r="4615" spans="1:8" x14ac:dyDescent="0.25">
      <c r="A4615" s="2">
        <v>28623</v>
      </c>
      <c r="B4615">
        <v>-14.589</v>
      </c>
      <c r="C4615">
        <v>167.38800000000001</v>
      </c>
      <c r="D4615" t="s">
        <v>14</v>
      </c>
      <c r="E4615" t="s">
        <v>181</v>
      </c>
      <c r="F4615">
        <f t="shared" si="144"/>
        <v>1978</v>
      </c>
      <c r="G4615">
        <f t="shared" si="145"/>
        <v>5</v>
      </c>
      <c r="H4615" t="str">
        <f>IF(ISNUMBER(FIND(",", E4615)), TRIM(MID(E4615, FIND(",", E4615) + 1, LEN(E4615))), E4615)</f>
        <v>Vanuatu</v>
      </c>
    </row>
    <row r="4616" spans="1:8" x14ac:dyDescent="0.25">
      <c r="A4616" s="2">
        <v>28621</v>
      </c>
      <c r="B4616">
        <v>51.646000000000001</v>
      </c>
      <c r="C4616">
        <v>-176.09800000000001</v>
      </c>
      <c r="D4616" t="s">
        <v>14</v>
      </c>
      <c r="E4616" t="s">
        <v>207</v>
      </c>
      <c r="F4616">
        <f t="shared" si="144"/>
        <v>1978</v>
      </c>
      <c r="G4616">
        <f t="shared" si="145"/>
        <v>5</v>
      </c>
      <c r="H4616" t="str">
        <f>IF(ISNUMBER(FIND(",", E4616)), TRIM(MID(E4616, FIND(",", E4616) + 1, LEN(E4616))), E4616)</f>
        <v>Aleutian Islands, Alaska</v>
      </c>
    </row>
    <row r="4617" spans="1:8" x14ac:dyDescent="0.25">
      <c r="A4617" s="2">
        <v>28609</v>
      </c>
      <c r="B4617">
        <v>-9.8330000000000002</v>
      </c>
      <c r="C4617">
        <v>160.49100000000001</v>
      </c>
      <c r="D4617" t="s">
        <v>14</v>
      </c>
      <c r="E4617" t="s">
        <v>221</v>
      </c>
      <c r="F4617">
        <f t="shared" si="144"/>
        <v>1978</v>
      </c>
      <c r="G4617">
        <f t="shared" si="145"/>
        <v>4</v>
      </c>
      <c r="H4617" t="str">
        <f>IF(ISNUMBER(FIND(",", E4617)), TRIM(MID(E4617, FIND(",", E4617) + 1, LEN(E4617))), E4617)</f>
        <v>Solomon Islands</v>
      </c>
    </row>
    <row r="4618" spans="1:8" x14ac:dyDescent="0.25">
      <c r="A4618" s="2">
        <v>28605</v>
      </c>
      <c r="B4618">
        <v>4.665</v>
      </c>
      <c r="C4618">
        <v>124.586</v>
      </c>
      <c r="D4618" t="s">
        <v>14</v>
      </c>
      <c r="E4618" t="s">
        <v>203</v>
      </c>
      <c r="F4618">
        <f t="shared" si="144"/>
        <v>1978</v>
      </c>
      <c r="G4618">
        <f t="shared" si="145"/>
        <v>4</v>
      </c>
      <c r="H4618" t="str">
        <f>IF(ISNUMBER(FIND(",", E4618)), TRIM(MID(E4618, FIND(",", E4618) + 1, LEN(E4618))), E4618)</f>
        <v>Celebes Sea</v>
      </c>
    </row>
    <row r="4619" spans="1:8" x14ac:dyDescent="0.25">
      <c r="A4619" s="2">
        <v>28598</v>
      </c>
      <c r="B4619">
        <v>5.1059999999999999</v>
      </c>
      <c r="C4619">
        <v>127.40900000000001</v>
      </c>
      <c r="D4619" t="s">
        <v>14</v>
      </c>
      <c r="E4619" t="s">
        <v>213</v>
      </c>
      <c r="F4619">
        <f t="shared" si="144"/>
        <v>1978</v>
      </c>
      <c r="G4619">
        <f t="shared" si="145"/>
        <v>4</v>
      </c>
      <c r="H4619" t="str">
        <f>IF(ISNUMBER(FIND(",", E4619)), TRIM(MID(E4619, FIND(",", E4619) + 1, LEN(E4619))), E4619)</f>
        <v>Philippine Islands region</v>
      </c>
    </row>
    <row r="4620" spans="1:8" x14ac:dyDescent="0.25">
      <c r="A4620" s="2">
        <v>28592</v>
      </c>
      <c r="B4620">
        <v>56.408999999999999</v>
      </c>
      <c r="C4620">
        <v>-152.70699999999999</v>
      </c>
      <c r="D4620" t="s">
        <v>14</v>
      </c>
      <c r="E4620" t="s">
        <v>374</v>
      </c>
      <c r="F4620">
        <f t="shared" si="144"/>
        <v>1978</v>
      </c>
      <c r="G4620">
        <f t="shared" si="145"/>
        <v>4</v>
      </c>
      <c r="H4620" t="str">
        <f>IF(ISNUMBER(FIND(",", E4620)), TRIM(MID(E4620, FIND(",", E4620) + 1, LEN(E4620))), E4620)</f>
        <v>Alaska</v>
      </c>
    </row>
    <row r="4621" spans="1:8" x14ac:dyDescent="0.25">
      <c r="A4621" s="2">
        <v>28590</v>
      </c>
      <c r="B4621">
        <v>-11.507</v>
      </c>
      <c r="C4621">
        <v>116.57299999999999</v>
      </c>
      <c r="D4621" t="s">
        <v>14</v>
      </c>
      <c r="E4621" t="s">
        <v>628</v>
      </c>
      <c r="F4621">
        <f t="shared" si="144"/>
        <v>1978</v>
      </c>
      <c r="G4621">
        <f t="shared" si="145"/>
        <v>4</v>
      </c>
      <c r="H4621" t="str">
        <f>IF(ISNUMBER(FIND(",", E4621)), TRIM(MID(E4621, FIND(",", E4621) + 1, LEN(E4621))), E4621)</f>
        <v>Indonesia</v>
      </c>
    </row>
    <row r="4622" spans="1:8" x14ac:dyDescent="0.25">
      <c r="A4622" s="2">
        <v>28584</v>
      </c>
      <c r="B4622">
        <v>10.098000000000001</v>
      </c>
      <c r="C4622">
        <v>-77.822000000000003</v>
      </c>
      <c r="D4622" t="s">
        <v>14</v>
      </c>
      <c r="E4622" t="s">
        <v>598</v>
      </c>
      <c r="F4622">
        <f t="shared" si="144"/>
        <v>1978</v>
      </c>
      <c r="G4622">
        <f t="shared" si="145"/>
        <v>4</v>
      </c>
      <c r="H4622" t="str">
        <f>IF(ISNUMBER(FIND(",", E4622)), TRIM(MID(E4622, FIND(",", E4622) + 1, LEN(E4622))), E4622)</f>
        <v>north of Panama</v>
      </c>
    </row>
    <row r="4623" spans="1:8" x14ac:dyDescent="0.25">
      <c r="A4623" s="2">
        <v>28583</v>
      </c>
      <c r="B4623">
        <v>-4.8849999999999998</v>
      </c>
      <c r="C4623">
        <v>133.95500000000001</v>
      </c>
      <c r="D4623" t="s">
        <v>14</v>
      </c>
      <c r="E4623" t="s">
        <v>204</v>
      </c>
      <c r="F4623">
        <f t="shared" si="144"/>
        <v>1978</v>
      </c>
      <c r="G4623">
        <f t="shared" si="145"/>
        <v>4</v>
      </c>
      <c r="H4623" t="str">
        <f>IF(ISNUMBER(FIND(",", E4623)), TRIM(MID(E4623, FIND(",", E4623) + 1, LEN(E4623))), E4623)</f>
        <v>Indonesia</v>
      </c>
    </row>
    <row r="4624" spans="1:8" x14ac:dyDescent="0.25">
      <c r="A4624" s="2">
        <v>28577</v>
      </c>
      <c r="B4624">
        <v>48.753999999999998</v>
      </c>
      <c r="C4624">
        <v>154.90600000000001</v>
      </c>
      <c r="D4624" t="s">
        <v>14</v>
      </c>
      <c r="E4624" t="s">
        <v>191</v>
      </c>
      <c r="F4624">
        <f t="shared" si="144"/>
        <v>1978</v>
      </c>
      <c r="G4624">
        <f t="shared" si="145"/>
        <v>3</v>
      </c>
      <c r="H4624" t="str">
        <f>IF(ISNUMBER(FIND(",", E4624)), TRIM(MID(E4624, FIND(",", E4624) + 1, LEN(E4624))), E4624)</f>
        <v>Kuril Islands</v>
      </c>
    </row>
    <row r="4625" spans="1:8" x14ac:dyDescent="0.25">
      <c r="A4625" s="2">
        <v>28576</v>
      </c>
      <c r="B4625">
        <v>-8.6509999999999998</v>
      </c>
      <c r="C4625">
        <v>125.027</v>
      </c>
      <c r="D4625" t="s">
        <v>14</v>
      </c>
      <c r="E4625" t="s">
        <v>553</v>
      </c>
      <c r="F4625">
        <f t="shared" si="144"/>
        <v>1978</v>
      </c>
      <c r="G4625">
        <f t="shared" si="145"/>
        <v>3</v>
      </c>
      <c r="H4625" t="str">
        <f>IF(ISNUMBER(FIND(",", E4625)), TRIM(MID(E4625, FIND(",", E4625) + 1, LEN(E4625))), E4625)</f>
        <v>East Timor region</v>
      </c>
    </row>
    <row r="4626" spans="1:8" x14ac:dyDescent="0.25">
      <c r="A4626" s="2">
        <v>28573</v>
      </c>
      <c r="B4626">
        <v>44.127000000000002</v>
      </c>
      <c r="C4626">
        <v>148.965</v>
      </c>
      <c r="D4626" t="s">
        <v>14</v>
      </c>
      <c r="E4626" t="s">
        <v>191</v>
      </c>
      <c r="F4626">
        <f t="shared" si="144"/>
        <v>1978</v>
      </c>
      <c r="G4626">
        <f t="shared" si="145"/>
        <v>3</v>
      </c>
      <c r="H4626" t="str">
        <f>IF(ISNUMBER(FIND(",", E4626)), TRIM(MID(E4626, FIND(",", E4626) + 1, LEN(E4626))), E4626)</f>
        <v>Kuril Islands</v>
      </c>
    </row>
    <row r="4627" spans="1:8" x14ac:dyDescent="0.25">
      <c r="A4627" s="2">
        <v>28573</v>
      </c>
      <c r="B4627">
        <v>42.834000000000003</v>
      </c>
      <c r="C4627">
        <v>78.572999999999993</v>
      </c>
      <c r="D4627" t="s">
        <v>14</v>
      </c>
      <c r="E4627" t="s">
        <v>284</v>
      </c>
      <c r="F4627">
        <f t="shared" si="144"/>
        <v>1978</v>
      </c>
      <c r="G4627">
        <f t="shared" si="145"/>
        <v>3</v>
      </c>
      <c r="H4627" t="str">
        <f>IF(ISNUMBER(FIND(",", E4627)), TRIM(MID(E4627, FIND(",", E4627) + 1, LEN(E4627))), E4627)</f>
        <v>Kyrgyzstan</v>
      </c>
    </row>
    <row r="4628" spans="1:8" x14ac:dyDescent="0.25">
      <c r="A4628" s="2">
        <v>28573</v>
      </c>
      <c r="B4628">
        <v>44.231999999999999</v>
      </c>
      <c r="C4628">
        <v>148.92400000000001</v>
      </c>
      <c r="D4628" t="s">
        <v>14</v>
      </c>
      <c r="E4628" t="s">
        <v>191</v>
      </c>
      <c r="F4628">
        <f t="shared" si="144"/>
        <v>1978</v>
      </c>
      <c r="G4628">
        <f t="shared" si="145"/>
        <v>3</v>
      </c>
      <c r="H4628" t="str">
        <f>IF(ISNUMBER(FIND(",", E4628)), TRIM(MID(E4628, FIND(",", E4628) + 1, LEN(E4628))), E4628)</f>
        <v>Kuril Islands</v>
      </c>
    </row>
    <row r="4629" spans="1:8" x14ac:dyDescent="0.25">
      <c r="A4629" s="2">
        <v>28573</v>
      </c>
      <c r="B4629">
        <v>29.771000000000001</v>
      </c>
      <c r="C4629">
        <v>-67.436999999999998</v>
      </c>
      <c r="D4629" t="s">
        <v>14</v>
      </c>
      <c r="E4629" t="s">
        <v>481</v>
      </c>
      <c r="F4629">
        <f t="shared" si="144"/>
        <v>1978</v>
      </c>
      <c r="G4629">
        <f t="shared" si="145"/>
        <v>3</v>
      </c>
      <c r="H4629" t="str">
        <f>IF(ISNUMBER(FIND(",", E4629)), TRIM(MID(E4629, FIND(",", E4629) + 1, LEN(E4629))), E4629)</f>
        <v>North Atlantic Ocean</v>
      </c>
    </row>
    <row r="4630" spans="1:8" x14ac:dyDescent="0.25">
      <c r="A4630" s="2">
        <v>28572</v>
      </c>
      <c r="B4630">
        <v>44.365000000000002</v>
      </c>
      <c r="C4630">
        <v>149.71299999999999</v>
      </c>
      <c r="D4630" t="s">
        <v>14</v>
      </c>
      <c r="E4630" t="s">
        <v>191</v>
      </c>
      <c r="F4630">
        <f t="shared" si="144"/>
        <v>1978</v>
      </c>
      <c r="G4630">
        <f t="shared" si="145"/>
        <v>3</v>
      </c>
      <c r="H4630" t="str">
        <f>IF(ISNUMBER(FIND(",", E4630)), TRIM(MID(E4630, FIND(",", E4630) + 1, LEN(E4630))), E4630)</f>
        <v>Kuril Islands</v>
      </c>
    </row>
    <row r="4631" spans="1:8" x14ac:dyDescent="0.25">
      <c r="A4631" s="2">
        <v>28572</v>
      </c>
      <c r="B4631">
        <v>44.429000000000002</v>
      </c>
      <c r="C4631">
        <v>149.572</v>
      </c>
      <c r="D4631" t="s">
        <v>13</v>
      </c>
      <c r="E4631" t="s">
        <v>191</v>
      </c>
      <c r="F4631">
        <f t="shared" si="144"/>
        <v>1978</v>
      </c>
      <c r="G4631">
        <f t="shared" si="145"/>
        <v>3</v>
      </c>
      <c r="H4631" t="str">
        <f>IF(ISNUMBER(FIND(",", E4631)), TRIM(MID(E4631, FIND(",", E4631) + 1, LEN(E4631))), E4631)</f>
        <v>Kuril Islands</v>
      </c>
    </row>
    <row r="4632" spans="1:8" x14ac:dyDescent="0.25">
      <c r="A4632" s="2">
        <v>28572</v>
      </c>
      <c r="B4632">
        <v>44.982999999999997</v>
      </c>
      <c r="C4632">
        <v>148.523</v>
      </c>
      <c r="D4632" t="s">
        <v>14</v>
      </c>
      <c r="E4632" t="s">
        <v>191</v>
      </c>
      <c r="F4632">
        <f t="shared" si="144"/>
        <v>1978</v>
      </c>
      <c r="G4632">
        <f t="shared" si="145"/>
        <v>3</v>
      </c>
      <c r="H4632" t="str">
        <f>IF(ISNUMBER(FIND(",", E4632)), TRIM(MID(E4632, FIND(",", E4632) + 1, LEN(E4632))), E4632)</f>
        <v>Kuril Islands</v>
      </c>
    </row>
    <row r="4633" spans="1:8" x14ac:dyDescent="0.25">
      <c r="A4633" s="2">
        <v>28572</v>
      </c>
      <c r="B4633">
        <v>44.357999999999997</v>
      </c>
      <c r="C4633">
        <v>149.11799999999999</v>
      </c>
      <c r="D4633" t="s">
        <v>14</v>
      </c>
      <c r="E4633" t="s">
        <v>191</v>
      </c>
      <c r="F4633">
        <f t="shared" si="144"/>
        <v>1978</v>
      </c>
      <c r="G4633">
        <f t="shared" si="145"/>
        <v>3</v>
      </c>
      <c r="H4633" t="str">
        <f>IF(ISNUMBER(FIND(",", E4633)), TRIM(MID(E4633, FIND(",", E4633) + 1, LEN(E4633))), E4633)</f>
        <v>Kuril Islands</v>
      </c>
    </row>
    <row r="4634" spans="1:8" x14ac:dyDescent="0.25">
      <c r="A4634" s="2">
        <v>28572</v>
      </c>
      <c r="B4634">
        <v>44.223999999999997</v>
      </c>
      <c r="C4634">
        <v>148.745</v>
      </c>
      <c r="D4634" t="s">
        <v>14</v>
      </c>
      <c r="E4634" t="s">
        <v>191</v>
      </c>
      <c r="F4634">
        <f t="shared" si="144"/>
        <v>1978</v>
      </c>
      <c r="G4634">
        <f t="shared" si="145"/>
        <v>3</v>
      </c>
      <c r="H4634" t="str">
        <f>IF(ISNUMBER(FIND(",", E4634)), TRIM(MID(E4634, FIND(",", E4634) + 1, LEN(E4634))), E4634)</f>
        <v>Kuril Islands</v>
      </c>
    </row>
    <row r="4635" spans="1:8" x14ac:dyDescent="0.25">
      <c r="A4635" s="2">
        <v>28572</v>
      </c>
      <c r="B4635">
        <v>43.877000000000002</v>
      </c>
      <c r="C4635">
        <v>148.898</v>
      </c>
      <c r="D4635" t="s">
        <v>14</v>
      </c>
      <c r="E4635" t="s">
        <v>317</v>
      </c>
      <c r="F4635">
        <f t="shared" si="144"/>
        <v>1978</v>
      </c>
      <c r="G4635">
        <f t="shared" si="145"/>
        <v>3</v>
      </c>
      <c r="H4635" t="str">
        <f>IF(ISNUMBER(FIND(",", E4635)), TRIM(MID(E4635, FIND(",", E4635) + 1, LEN(E4635))), E4635)</f>
        <v>east of the Kuril Islands</v>
      </c>
    </row>
    <row r="4636" spans="1:8" x14ac:dyDescent="0.25">
      <c r="A4636" s="2">
        <v>28572</v>
      </c>
      <c r="B4636">
        <v>44.292000000000002</v>
      </c>
      <c r="C4636">
        <v>148.94800000000001</v>
      </c>
      <c r="D4636" t="s">
        <v>14</v>
      </c>
      <c r="E4636" t="s">
        <v>191</v>
      </c>
      <c r="F4636">
        <f t="shared" si="144"/>
        <v>1978</v>
      </c>
      <c r="G4636">
        <f t="shared" si="145"/>
        <v>3</v>
      </c>
      <c r="H4636" t="str">
        <f>IF(ISNUMBER(FIND(",", E4636)), TRIM(MID(E4636, FIND(",", E4636) + 1, LEN(E4636))), E4636)</f>
        <v>Kuril Islands</v>
      </c>
    </row>
    <row r="4637" spans="1:8" x14ac:dyDescent="0.25">
      <c r="A4637" s="2">
        <v>28571</v>
      </c>
      <c r="B4637">
        <v>44.124000000000002</v>
      </c>
      <c r="C4637">
        <v>149.01599999999999</v>
      </c>
      <c r="D4637" t="s">
        <v>14</v>
      </c>
      <c r="E4637" t="s">
        <v>191</v>
      </c>
      <c r="F4637">
        <f t="shared" si="144"/>
        <v>1978</v>
      </c>
      <c r="G4637">
        <f t="shared" si="145"/>
        <v>3</v>
      </c>
      <c r="H4637" t="str">
        <f>IF(ISNUMBER(FIND(",", E4637)), TRIM(MID(E4637, FIND(",", E4637) + 1, LEN(E4637))), E4637)</f>
        <v>Kuril Islands</v>
      </c>
    </row>
    <row r="4638" spans="1:8" x14ac:dyDescent="0.25">
      <c r="A4638" s="2">
        <v>28571</v>
      </c>
      <c r="B4638">
        <v>44.015999999999998</v>
      </c>
      <c r="C4638">
        <v>148.98599999999999</v>
      </c>
      <c r="D4638" t="s">
        <v>14</v>
      </c>
      <c r="E4638" t="s">
        <v>191</v>
      </c>
      <c r="F4638">
        <f t="shared" si="144"/>
        <v>1978</v>
      </c>
      <c r="G4638">
        <f t="shared" si="145"/>
        <v>3</v>
      </c>
      <c r="H4638" t="str">
        <f>IF(ISNUMBER(FIND(",", E4638)), TRIM(MID(E4638, FIND(",", E4638) + 1, LEN(E4638))), E4638)</f>
        <v>Kuril Islands</v>
      </c>
    </row>
    <row r="4639" spans="1:8" x14ac:dyDescent="0.25">
      <c r="A4639" s="2">
        <v>28569</v>
      </c>
      <c r="B4639">
        <v>0.748</v>
      </c>
      <c r="C4639">
        <v>-29.701000000000001</v>
      </c>
      <c r="D4639" t="s">
        <v>14</v>
      </c>
      <c r="E4639" t="s">
        <v>291</v>
      </c>
      <c r="F4639">
        <f t="shared" si="144"/>
        <v>1978</v>
      </c>
      <c r="G4639">
        <f t="shared" si="145"/>
        <v>3</v>
      </c>
      <c r="H4639" t="str">
        <f>IF(ISNUMBER(FIND(",", E4639)), TRIM(MID(E4639, FIND(",", E4639) + 1, LEN(E4639))), E4639)</f>
        <v>central Mid-Atlantic Ridge</v>
      </c>
    </row>
    <row r="4640" spans="1:8" x14ac:dyDescent="0.25">
      <c r="A4640" s="2">
        <v>28568</v>
      </c>
      <c r="B4640">
        <v>16.998000000000001</v>
      </c>
      <c r="C4640">
        <v>-99.75</v>
      </c>
      <c r="D4640" t="s">
        <v>14</v>
      </c>
      <c r="E4640" t="s">
        <v>192</v>
      </c>
      <c r="F4640">
        <f t="shared" si="144"/>
        <v>1978</v>
      </c>
      <c r="G4640">
        <f t="shared" si="145"/>
        <v>3</v>
      </c>
      <c r="H4640" t="str">
        <f>IF(ISNUMBER(FIND(",", E4640)), TRIM(MID(E4640, FIND(",", E4640) + 1, LEN(E4640))), E4640)</f>
        <v>Mexico</v>
      </c>
    </row>
    <row r="4641" spans="1:8" x14ac:dyDescent="0.25">
      <c r="A4641" s="2">
        <v>28565</v>
      </c>
      <c r="B4641">
        <v>29.93</v>
      </c>
      <c r="C4641">
        <v>66.233000000000004</v>
      </c>
      <c r="D4641" t="s">
        <v>14</v>
      </c>
      <c r="E4641" t="s">
        <v>629</v>
      </c>
      <c r="F4641">
        <f t="shared" si="144"/>
        <v>1978</v>
      </c>
      <c r="G4641">
        <f t="shared" si="145"/>
        <v>3</v>
      </c>
      <c r="H4641" t="str">
        <f>IF(ISNUMBER(FIND(",", E4641)), TRIM(MID(E4641, FIND(",", E4641) + 1, LEN(E4641))), E4641)</f>
        <v>western Afghanistan</v>
      </c>
    </row>
    <row r="4642" spans="1:8" x14ac:dyDescent="0.25">
      <c r="A4642" s="2">
        <v>28564</v>
      </c>
      <c r="B4642">
        <v>26.428000000000001</v>
      </c>
      <c r="C4642">
        <v>140.738</v>
      </c>
      <c r="D4642" t="s">
        <v>14</v>
      </c>
      <c r="E4642" t="s">
        <v>233</v>
      </c>
      <c r="F4642">
        <f t="shared" si="144"/>
        <v>1978</v>
      </c>
      <c r="G4642">
        <f t="shared" si="145"/>
        <v>3</v>
      </c>
      <c r="H4642" t="str">
        <f>IF(ISNUMBER(FIND(",", E4642)), TRIM(MID(E4642, FIND(",", E4642) + 1, LEN(E4642))), E4642)</f>
        <v>Japan region</v>
      </c>
    </row>
    <row r="4643" spans="1:8" x14ac:dyDescent="0.25">
      <c r="A4643" s="2">
        <v>28556</v>
      </c>
      <c r="B4643">
        <v>31.945</v>
      </c>
      <c r="C4643">
        <v>137.46</v>
      </c>
      <c r="D4643" t="s">
        <v>14</v>
      </c>
      <c r="E4643" t="s">
        <v>88</v>
      </c>
      <c r="F4643">
        <f t="shared" si="144"/>
        <v>1978</v>
      </c>
      <c r="G4643">
        <f t="shared" si="145"/>
        <v>3</v>
      </c>
      <c r="H4643" t="str">
        <f>IF(ISNUMBER(FIND(",", E4643)), TRIM(MID(E4643, FIND(",", E4643) + 1, LEN(E4643))), E4643)</f>
        <v>Japan region</v>
      </c>
    </row>
    <row r="4644" spans="1:8" x14ac:dyDescent="0.25">
      <c r="A4644" s="2">
        <v>28553</v>
      </c>
      <c r="B4644">
        <v>-4.641</v>
      </c>
      <c r="C4644">
        <v>153.06399999999999</v>
      </c>
      <c r="D4644" t="s">
        <v>14</v>
      </c>
      <c r="E4644" t="s">
        <v>183</v>
      </c>
      <c r="F4644">
        <f t="shared" si="144"/>
        <v>1978</v>
      </c>
      <c r="G4644">
        <f t="shared" si="145"/>
        <v>3</v>
      </c>
      <c r="H4644" t="str">
        <f>IF(ISNUMBER(FIND(",", E4644)), TRIM(MID(E4644, FIND(",", E4644) + 1, LEN(E4644))), E4644)</f>
        <v>Papua New Guinea</v>
      </c>
    </row>
    <row r="4645" spans="1:8" x14ac:dyDescent="0.25">
      <c r="A4645" s="2">
        <v>28553</v>
      </c>
      <c r="B4645">
        <v>-21.859000000000002</v>
      </c>
      <c r="C4645">
        <v>-174.696</v>
      </c>
      <c r="D4645" t="s">
        <v>14</v>
      </c>
      <c r="E4645" t="s">
        <v>239</v>
      </c>
      <c r="F4645">
        <f t="shared" si="144"/>
        <v>1978</v>
      </c>
      <c r="G4645">
        <f t="shared" si="145"/>
        <v>3</v>
      </c>
      <c r="H4645" t="str">
        <f>IF(ISNUMBER(FIND(",", E4645)), TRIM(MID(E4645, FIND(",", E4645) + 1, LEN(E4645))), E4645)</f>
        <v>Tonga</v>
      </c>
    </row>
    <row r="4646" spans="1:8" x14ac:dyDescent="0.25">
      <c r="A4646" s="2">
        <v>28552</v>
      </c>
      <c r="B4646">
        <v>-15.276999999999999</v>
      </c>
      <c r="C4646">
        <v>-173.46100000000001</v>
      </c>
      <c r="D4646" t="s">
        <v>14</v>
      </c>
      <c r="E4646" t="s">
        <v>239</v>
      </c>
      <c r="F4646">
        <f t="shared" si="144"/>
        <v>1978</v>
      </c>
      <c r="G4646">
        <f t="shared" si="145"/>
        <v>3</v>
      </c>
      <c r="H4646" t="str">
        <f>IF(ISNUMBER(FIND(",", E4646)), TRIM(MID(E4646, FIND(",", E4646) + 1, LEN(E4646))), E4646)</f>
        <v>Tonga</v>
      </c>
    </row>
    <row r="4647" spans="1:8" x14ac:dyDescent="0.25">
      <c r="A4647" s="2">
        <v>28543</v>
      </c>
      <c r="B4647">
        <v>14.268000000000001</v>
      </c>
      <c r="C4647">
        <v>-91.4</v>
      </c>
      <c r="D4647" t="s">
        <v>14</v>
      </c>
      <c r="E4647" t="s">
        <v>371</v>
      </c>
      <c r="F4647">
        <f t="shared" si="144"/>
        <v>1978</v>
      </c>
      <c r="G4647">
        <f t="shared" si="145"/>
        <v>2</v>
      </c>
      <c r="H4647" t="str">
        <f>IF(ISNUMBER(FIND(",", E4647)), TRIM(MID(E4647, FIND(",", E4647) + 1, LEN(E4647))), E4647)</f>
        <v>Guatemala</v>
      </c>
    </row>
    <row r="4648" spans="1:8" x14ac:dyDescent="0.25">
      <c r="A4648" s="2">
        <v>28542</v>
      </c>
      <c r="B4648">
        <v>-5.1020000000000003</v>
      </c>
      <c r="C4648">
        <v>125.217</v>
      </c>
      <c r="D4648" t="s">
        <v>14</v>
      </c>
      <c r="E4648" t="s">
        <v>187</v>
      </c>
      <c r="F4648">
        <f t="shared" si="144"/>
        <v>1978</v>
      </c>
      <c r="G4648">
        <f t="shared" si="145"/>
        <v>2</v>
      </c>
      <c r="H4648" t="str">
        <f>IF(ISNUMBER(FIND(",", E4648)), TRIM(MID(E4648, FIND(",", E4648) + 1, LEN(E4648))), E4648)</f>
        <v>Banda Sea</v>
      </c>
    </row>
    <row r="4649" spans="1:8" x14ac:dyDescent="0.25">
      <c r="A4649" s="2">
        <v>28542</v>
      </c>
      <c r="B4649">
        <v>-4.9569999999999999</v>
      </c>
      <c r="C4649">
        <v>125.319</v>
      </c>
      <c r="D4649" t="s">
        <v>13</v>
      </c>
      <c r="E4649" t="s">
        <v>187</v>
      </c>
      <c r="F4649">
        <f t="shared" si="144"/>
        <v>1978</v>
      </c>
      <c r="G4649">
        <f t="shared" si="145"/>
        <v>2</v>
      </c>
      <c r="H4649" t="str">
        <f>IF(ISNUMBER(FIND(",", E4649)), TRIM(MID(E4649, FIND(",", E4649) + 1, LEN(E4649))), E4649)</f>
        <v>Banda Sea</v>
      </c>
    </row>
    <row r="4650" spans="1:8" x14ac:dyDescent="0.25">
      <c r="A4650" s="2">
        <v>28541</v>
      </c>
      <c r="B4650">
        <v>38.831000000000003</v>
      </c>
      <c r="C4650">
        <v>141.96600000000001</v>
      </c>
      <c r="D4650" t="s">
        <v>14</v>
      </c>
      <c r="E4650" t="s">
        <v>227</v>
      </c>
      <c r="F4650">
        <f t="shared" si="144"/>
        <v>1978</v>
      </c>
      <c r="G4650">
        <f t="shared" si="145"/>
        <v>2</v>
      </c>
      <c r="H4650" t="str">
        <f>IF(ISNUMBER(FIND(",", E4650)), TRIM(MID(E4650, FIND(",", E4650) + 1, LEN(E4650))), E4650)</f>
        <v>Japan</v>
      </c>
    </row>
    <row r="4651" spans="1:8" x14ac:dyDescent="0.25">
      <c r="A4651" s="2">
        <v>28532</v>
      </c>
      <c r="B4651">
        <v>5.6680000000000001</v>
      </c>
      <c r="C4651">
        <v>-32.935000000000002</v>
      </c>
      <c r="D4651" t="s">
        <v>14</v>
      </c>
      <c r="E4651" t="s">
        <v>291</v>
      </c>
      <c r="F4651">
        <f t="shared" si="144"/>
        <v>1978</v>
      </c>
      <c r="G4651">
        <f t="shared" si="145"/>
        <v>2</v>
      </c>
      <c r="H4651" t="str">
        <f>IF(ISNUMBER(FIND(",", E4651)), TRIM(MID(E4651, FIND(",", E4651) + 1, LEN(E4651))), E4651)</f>
        <v>central Mid-Atlantic Ridge</v>
      </c>
    </row>
    <row r="4652" spans="1:8" x14ac:dyDescent="0.25">
      <c r="A4652" s="2">
        <v>28532</v>
      </c>
      <c r="B4652">
        <v>-30.245000000000001</v>
      </c>
      <c r="C4652">
        <v>-176.96799999999999</v>
      </c>
      <c r="D4652" t="s">
        <v>14</v>
      </c>
      <c r="E4652" t="s">
        <v>240</v>
      </c>
      <c r="F4652">
        <f t="shared" si="144"/>
        <v>1978</v>
      </c>
      <c r="G4652">
        <f t="shared" si="145"/>
        <v>2</v>
      </c>
      <c r="H4652" t="str">
        <f>IF(ISNUMBER(FIND(",", E4652)), TRIM(MID(E4652, FIND(",", E4652) + 1, LEN(E4652))), E4652)</f>
        <v>Kermadec Islands region</v>
      </c>
    </row>
    <row r="4653" spans="1:8" x14ac:dyDescent="0.25">
      <c r="A4653" s="2">
        <v>28531</v>
      </c>
      <c r="B4653">
        <v>-30.103999999999999</v>
      </c>
      <c r="C4653">
        <v>-177.173</v>
      </c>
      <c r="D4653" t="s">
        <v>14</v>
      </c>
      <c r="E4653" t="s">
        <v>288</v>
      </c>
      <c r="F4653">
        <f t="shared" si="144"/>
        <v>1978</v>
      </c>
      <c r="G4653">
        <f t="shared" si="145"/>
        <v>2</v>
      </c>
      <c r="H4653" t="str">
        <f>IF(ISNUMBER(FIND(",", E4653)), TRIM(MID(E4653, FIND(",", E4653) + 1, LEN(E4653))), E4653)</f>
        <v>New Zealand</v>
      </c>
    </row>
    <row r="4654" spans="1:8" x14ac:dyDescent="0.25">
      <c r="A4654" s="2">
        <v>28531</v>
      </c>
      <c r="B4654">
        <v>-30.734000000000002</v>
      </c>
      <c r="C4654">
        <v>-177.363</v>
      </c>
      <c r="D4654" t="s">
        <v>14</v>
      </c>
      <c r="E4654" t="s">
        <v>288</v>
      </c>
      <c r="F4654">
        <f t="shared" si="144"/>
        <v>1978</v>
      </c>
      <c r="G4654">
        <f t="shared" si="145"/>
        <v>2</v>
      </c>
      <c r="H4654" t="str">
        <f>IF(ISNUMBER(FIND(",", E4654)), TRIM(MID(E4654, FIND(",", E4654) + 1, LEN(E4654))), E4654)</f>
        <v>New Zealand</v>
      </c>
    </row>
    <row r="4655" spans="1:8" x14ac:dyDescent="0.25">
      <c r="A4655" s="2">
        <v>28530</v>
      </c>
      <c r="B4655">
        <v>-30.605</v>
      </c>
      <c r="C4655">
        <v>-177.18799999999999</v>
      </c>
      <c r="D4655" t="s">
        <v>14</v>
      </c>
      <c r="E4655" t="s">
        <v>288</v>
      </c>
      <c r="F4655">
        <f t="shared" si="144"/>
        <v>1978</v>
      </c>
      <c r="G4655">
        <f t="shared" si="145"/>
        <v>2</v>
      </c>
      <c r="H4655" t="str">
        <f>IF(ISNUMBER(FIND(",", E4655)), TRIM(MID(E4655, FIND(",", E4655) + 1, LEN(E4655))), E4655)</f>
        <v>New Zealand</v>
      </c>
    </row>
    <row r="4656" spans="1:8" x14ac:dyDescent="0.25">
      <c r="A4656" s="2">
        <v>28530</v>
      </c>
      <c r="B4656">
        <v>-30.564</v>
      </c>
      <c r="C4656">
        <v>-177.517</v>
      </c>
      <c r="D4656" t="s">
        <v>14</v>
      </c>
      <c r="E4656" t="s">
        <v>288</v>
      </c>
      <c r="F4656">
        <f t="shared" si="144"/>
        <v>1978</v>
      </c>
      <c r="G4656">
        <f t="shared" si="145"/>
        <v>2</v>
      </c>
      <c r="H4656" t="str">
        <f>IF(ISNUMBER(FIND(",", E4656)), TRIM(MID(E4656, FIND(",", E4656) + 1, LEN(E4656))), E4656)</f>
        <v>New Zealand</v>
      </c>
    </row>
    <row r="4657" spans="1:8" x14ac:dyDescent="0.25">
      <c r="A4657" s="2">
        <v>28528</v>
      </c>
      <c r="B4657">
        <v>-6.3E-2</v>
      </c>
      <c r="C4657">
        <v>124.065</v>
      </c>
      <c r="D4657" t="s">
        <v>14</v>
      </c>
      <c r="E4657" t="s">
        <v>186</v>
      </c>
      <c r="F4657">
        <f t="shared" si="144"/>
        <v>1978</v>
      </c>
      <c r="G4657">
        <f t="shared" si="145"/>
        <v>2</v>
      </c>
      <c r="H4657" t="str">
        <f>IF(ISNUMBER(FIND(",", E4657)), TRIM(MID(E4657, FIND(",", E4657) + 1, LEN(E4657))), E4657)</f>
        <v>Molucca Sea</v>
      </c>
    </row>
    <row r="4658" spans="1:8" x14ac:dyDescent="0.25">
      <c r="A4658" s="2">
        <v>28523</v>
      </c>
      <c r="B4658">
        <v>-5.5259999999999998</v>
      </c>
      <c r="C4658">
        <v>151.756</v>
      </c>
      <c r="D4658" t="s">
        <v>14</v>
      </c>
      <c r="E4658" t="s">
        <v>190</v>
      </c>
      <c r="F4658">
        <f t="shared" si="144"/>
        <v>1978</v>
      </c>
      <c r="G4658">
        <f t="shared" si="145"/>
        <v>2</v>
      </c>
      <c r="H4658" t="str">
        <f>IF(ISNUMBER(FIND(",", E4658)), TRIM(MID(E4658, FIND(",", E4658) + 1, LEN(E4658))), E4658)</f>
        <v>Papua New Guinea</v>
      </c>
    </row>
    <row r="4659" spans="1:8" x14ac:dyDescent="0.25">
      <c r="A4659" s="2">
        <v>28518</v>
      </c>
      <c r="B4659">
        <v>-25.983000000000001</v>
      </c>
      <c r="C4659">
        <v>-177.203</v>
      </c>
      <c r="D4659" t="s">
        <v>14</v>
      </c>
      <c r="E4659" t="s">
        <v>256</v>
      </c>
      <c r="F4659">
        <f t="shared" si="144"/>
        <v>1978</v>
      </c>
      <c r="G4659">
        <f t="shared" si="145"/>
        <v>1</v>
      </c>
      <c r="H4659" t="str">
        <f>IF(ISNUMBER(FIND(",", E4659)), TRIM(MID(E4659, FIND(",", E4659) + 1, LEN(E4659))), E4659)</f>
        <v>south of the Fiji Islands</v>
      </c>
    </row>
    <row r="4660" spans="1:8" x14ac:dyDescent="0.25">
      <c r="A4660" s="2">
        <v>28515</v>
      </c>
      <c r="B4660">
        <v>-5.351</v>
      </c>
      <c r="C4660">
        <v>151.73699999999999</v>
      </c>
      <c r="D4660" t="s">
        <v>14</v>
      </c>
      <c r="E4660" t="s">
        <v>190</v>
      </c>
      <c r="F4660">
        <f t="shared" si="144"/>
        <v>1978</v>
      </c>
      <c r="G4660">
        <f t="shared" si="145"/>
        <v>1</v>
      </c>
      <c r="H4660" t="str">
        <f>IF(ISNUMBER(FIND(",", E4660)), TRIM(MID(E4660, FIND(",", E4660) + 1, LEN(E4660))), E4660)</f>
        <v>Papua New Guinea</v>
      </c>
    </row>
    <row r="4661" spans="1:8" x14ac:dyDescent="0.25">
      <c r="A4661" s="2">
        <v>28514</v>
      </c>
      <c r="B4661">
        <v>-5.976</v>
      </c>
      <c r="C4661">
        <v>148.886</v>
      </c>
      <c r="D4661" t="s">
        <v>14</v>
      </c>
      <c r="E4661" t="s">
        <v>190</v>
      </c>
      <c r="F4661">
        <f t="shared" si="144"/>
        <v>1978</v>
      </c>
      <c r="G4661">
        <f t="shared" si="145"/>
        <v>1</v>
      </c>
      <c r="H4661" t="str">
        <f>IF(ISNUMBER(FIND(",", E4661)), TRIM(MID(E4661, FIND(",", E4661) + 1, LEN(E4661))), E4661)</f>
        <v>Papua New Guinea</v>
      </c>
    </row>
    <row r="4662" spans="1:8" x14ac:dyDescent="0.25">
      <c r="A4662" s="2">
        <v>28505</v>
      </c>
      <c r="B4662">
        <v>-30.187999999999999</v>
      </c>
      <c r="C4662">
        <v>-177.39500000000001</v>
      </c>
      <c r="D4662" t="s">
        <v>14</v>
      </c>
      <c r="E4662" t="s">
        <v>288</v>
      </c>
      <c r="F4662">
        <f t="shared" si="144"/>
        <v>1978</v>
      </c>
      <c r="G4662">
        <f t="shared" si="145"/>
        <v>1</v>
      </c>
      <c r="H4662" t="str">
        <f>IF(ISNUMBER(FIND(",", E4662)), TRIM(MID(E4662, FIND(",", E4662) + 1, LEN(E4662))), E4662)</f>
        <v>New Zealand</v>
      </c>
    </row>
    <row r="4663" spans="1:8" x14ac:dyDescent="0.25">
      <c r="A4663" s="2">
        <v>28504</v>
      </c>
      <c r="B4663">
        <v>-30.138000000000002</v>
      </c>
      <c r="C4663">
        <v>-177.447</v>
      </c>
      <c r="D4663" t="s">
        <v>14</v>
      </c>
      <c r="E4663" t="s">
        <v>288</v>
      </c>
      <c r="F4663">
        <f t="shared" si="144"/>
        <v>1978</v>
      </c>
      <c r="G4663">
        <f t="shared" si="145"/>
        <v>1</v>
      </c>
      <c r="H4663" t="str">
        <f>IF(ISNUMBER(FIND(",", E4663)), TRIM(MID(E4663, FIND(",", E4663) + 1, LEN(E4663))), E4663)</f>
        <v>New Zealand</v>
      </c>
    </row>
    <row r="4664" spans="1:8" x14ac:dyDescent="0.25">
      <c r="A4664" s="2">
        <v>28504</v>
      </c>
      <c r="B4664">
        <v>34.814</v>
      </c>
      <c r="C4664">
        <v>139.28899999999999</v>
      </c>
      <c r="D4664" t="s">
        <v>14</v>
      </c>
      <c r="E4664" t="s">
        <v>360</v>
      </c>
      <c r="F4664">
        <f t="shared" si="144"/>
        <v>1978</v>
      </c>
      <c r="G4664">
        <f t="shared" si="145"/>
        <v>1</v>
      </c>
      <c r="H4664" t="str">
        <f>IF(ISNUMBER(FIND(",", E4664)), TRIM(MID(E4664, FIND(",", E4664) + 1, LEN(E4664))), E4664)</f>
        <v>Japan</v>
      </c>
    </row>
    <row r="4665" spans="1:8" x14ac:dyDescent="0.25">
      <c r="A4665" s="2">
        <v>28496</v>
      </c>
      <c r="B4665">
        <v>18.821999999999999</v>
      </c>
      <c r="C4665">
        <v>121.916</v>
      </c>
      <c r="D4665" t="s">
        <v>14</v>
      </c>
      <c r="E4665" t="s">
        <v>297</v>
      </c>
      <c r="F4665">
        <f t="shared" si="144"/>
        <v>1978</v>
      </c>
      <c r="G4665">
        <f t="shared" si="145"/>
        <v>1</v>
      </c>
      <c r="H4665" t="str">
        <f>IF(ISNUMBER(FIND(",", E4665)), TRIM(MID(E4665, FIND(",", E4665) + 1, LEN(E4665))), E4665)</f>
        <v>Philippines</v>
      </c>
    </row>
    <row r="4666" spans="1:8" x14ac:dyDescent="0.25">
      <c r="A4666" s="2">
        <v>28490</v>
      </c>
      <c r="B4666">
        <v>-15.411</v>
      </c>
      <c r="C4666">
        <v>-71.662000000000006</v>
      </c>
      <c r="D4666" t="s">
        <v>14</v>
      </c>
      <c r="E4666" t="s">
        <v>229</v>
      </c>
      <c r="F4666">
        <f t="shared" si="144"/>
        <v>1977</v>
      </c>
      <c r="G4666">
        <f t="shared" si="145"/>
        <v>12</v>
      </c>
      <c r="H4666" t="str">
        <f>IF(ISNUMBER(FIND(",", E4666)), TRIM(MID(E4666, FIND(",", E4666) + 1, LEN(E4666))), E4666)</f>
        <v>southern Peru</v>
      </c>
    </row>
    <row r="4667" spans="1:8" x14ac:dyDescent="0.25">
      <c r="A4667" s="2">
        <v>28487</v>
      </c>
      <c r="B4667">
        <v>16.584</v>
      </c>
      <c r="C4667">
        <v>40.265999999999998</v>
      </c>
      <c r="D4667" t="s">
        <v>14</v>
      </c>
      <c r="E4667" t="s">
        <v>630</v>
      </c>
      <c r="F4667">
        <f t="shared" si="144"/>
        <v>1977</v>
      </c>
      <c r="G4667">
        <f t="shared" si="145"/>
        <v>12</v>
      </c>
      <c r="H4667" t="str">
        <f>IF(ISNUMBER(FIND(",", E4667)), TRIM(MID(E4667, FIND(",", E4667) + 1, LEN(E4667))), E4667)</f>
        <v>Red Sea</v>
      </c>
    </row>
    <row r="4668" spans="1:8" x14ac:dyDescent="0.25">
      <c r="A4668" s="2">
        <v>28482</v>
      </c>
      <c r="B4668">
        <v>39.198999999999998</v>
      </c>
      <c r="C4668">
        <v>143.124</v>
      </c>
      <c r="D4668" t="s">
        <v>14</v>
      </c>
      <c r="E4668" t="s">
        <v>189</v>
      </c>
      <c r="F4668">
        <f t="shared" si="144"/>
        <v>1977</v>
      </c>
      <c r="G4668">
        <f t="shared" si="145"/>
        <v>12</v>
      </c>
      <c r="H4668" t="str">
        <f>IF(ISNUMBER(FIND(",", E4668)), TRIM(MID(E4668, FIND(",", E4668) + 1, LEN(E4668))), E4668)</f>
        <v>Japan</v>
      </c>
    </row>
    <row r="4669" spans="1:8" x14ac:dyDescent="0.25">
      <c r="A4669" s="2">
        <v>28482</v>
      </c>
      <c r="B4669">
        <v>39.186</v>
      </c>
      <c r="C4669">
        <v>143.251</v>
      </c>
      <c r="D4669" t="s">
        <v>14</v>
      </c>
      <c r="E4669" t="s">
        <v>189</v>
      </c>
      <c r="F4669">
        <f t="shared" si="144"/>
        <v>1977</v>
      </c>
      <c r="G4669">
        <f t="shared" si="145"/>
        <v>12</v>
      </c>
      <c r="H4669" t="str">
        <f>IF(ISNUMBER(FIND(",", E4669)), TRIM(MID(E4669, FIND(",", E4669) + 1, LEN(E4669))), E4669)</f>
        <v>Japan</v>
      </c>
    </row>
    <row r="4670" spans="1:8" x14ac:dyDescent="0.25">
      <c r="A4670" s="2">
        <v>28480</v>
      </c>
      <c r="B4670">
        <v>25.562000000000001</v>
      </c>
      <c r="C4670">
        <v>143.18299999999999</v>
      </c>
      <c r="D4670" t="s">
        <v>14</v>
      </c>
      <c r="E4670" t="s">
        <v>519</v>
      </c>
      <c r="F4670">
        <f t="shared" si="144"/>
        <v>1977</v>
      </c>
      <c r="G4670">
        <f t="shared" si="145"/>
        <v>12</v>
      </c>
      <c r="H4670" t="str">
        <f>IF(ISNUMBER(FIND(",", E4670)), TRIM(MID(E4670, FIND(",", E4670) + 1, LEN(E4670))), E4670)</f>
        <v>Japan region</v>
      </c>
    </row>
    <row r="4671" spans="1:8" x14ac:dyDescent="0.25">
      <c r="A4671" s="2">
        <v>28472</v>
      </c>
      <c r="B4671">
        <v>17.32</v>
      </c>
      <c r="C4671">
        <v>-54.834000000000003</v>
      </c>
      <c r="D4671" t="s">
        <v>14</v>
      </c>
      <c r="E4671" t="s">
        <v>481</v>
      </c>
      <c r="F4671">
        <f t="shared" si="144"/>
        <v>1977</v>
      </c>
      <c r="G4671">
        <f t="shared" si="145"/>
        <v>12</v>
      </c>
      <c r="H4671" t="str">
        <f>IF(ISNUMBER(FIND(",", E4671)), TRIM(MID(E4671, FIND(",", E4671) + 1, LEN(E4671))), E4671)</f>
        <v>North Atlantic Ocean</v>
      </c>
    </row>
    <row r="4672" spans="1:8" x14ac:dyDescent="0.25">
      <c r="A4672" s="2">
        <v>28463</v>
      </c>
      <c r="B4672">
        <v>-23.852</v>
      </c>
      <c r="C4672">
        <v>-175.94200000000001</v>
      </c>
      <c r="D4672" t="s">
        <v>14</v>
      </c>
      <c r="E4672" t="s">
        <v>304</v>
      </c>
      <c r="F4672">
        <f t="shared" si="144"/>
        <v>1977</v>
      </c>
      <c r="G4672">
        <f t="shared" si="145"/>
        <v>12</v>
      </c>
      <c r="H4672" t="str">
        <f>IF(ISNUMBER(FIND(",", E4672)), TRIM(MID(E4672, FIND(",", E4672) + 1, LEN(E4672))), E4672)</f>
        <v>Tonga region</v>
      </c>
    </row>
    <row r="4673" spans="1:8" x14ac:dyDescent="0.25">
      <c r="A4673" s="2">
        <v>28457</v>
      </c>
      <c r="B4673">
        <v>-31.474</v>
      </c>
      <c r="C4673">
        <v>-67.391000000000005</v>
      </c>
      <c r="D4673" t="s">
        <v>14</v>
      </c>
      <c r="E4673" t="s">
        <v>339</v>
      </c>
      <c r="F4673">
        <f t="shared" si="144"/>
        <v>1977</v>
      </c>
      <c r="G4673">
        <f t="shared" si="145"/>
        <v>11</v>
      </c>
      <c r="H4673" t="str">
        <f>IF(ISNUMBER(FIND(",", E4673)), TRIM(MID(E4673, FIND(",", E4673) + 1, LEN(E4673))), E4673)</f>
        <v>Argentina</v>
      </c>
    </row>
    <row r="4674" spans="1:8" x14ac:dyDescent="0.25">
      <c r="A4674" s="2">
        <v>28453</v>
      </c>
      <c r="B4674">
        <v>-21.893999999999998</v>
      </c>
      <c r="C4674">
        <v>-138.959</v>
      </c>
      <c r="D4674" t="s">
        <v>13</v>
      </c>
      <c r="E4674" t="s">
        <v>623</v>
      </c>
      <c r="F4674">
        <f t="shared" ref="F4674:F4737" si="146">YEAR(A4674)</f>
        <v>1977</v>
      </c>
      <c r="G4674">
        <f t="shared" si="145"/>
        <v>11</v>
      </c>
      <c r="H4674" t="str">
        <f>IF(ISNUMBER(FIND(",", E4674)), TRIM(MID(E4674, FIND(",", E4674) + 1, LEN(E4674))), E4674)</f>
        <v>French Polynesia region</v>
      </c>
    </row>
    <row r="4675" spans="1:8" x14ac:dyDescent="0.25">
      <c r="A4675" s="2">
        <v>28453</v>
      </c>
      <c r="B4675">
        <v>-31.599</v>
      </c>
      <c r="C4675">
        <v>-67.715000000000003</v>
      </c>
      <c r="D4675" t="s">
        <v>14</v>
      </c>
      <c r="E4675" t="s">
        <v>339</v>
      </c>
      <c r="F4675">
        <f t="shared" si="146"/>
        <v>1977</v>
      </c>
      <c r="G4675">
        <f t="shared" ref="G4675:G4738" si="147">MONTH(A4675)</f>
        <v>11</v>
      </c>
      <c r="H4675" t="str">
        <f>IF(ISNUMBER(FIND(",", E4675)), TRIM(MID(E4675, FIND(",", E4675) + 1, LEN(E4675))), E4675)</f>
        <v>Argentina</v>
      </c>
    </row>
    <row r="4676" spans="1:8" x14ac:dyDescent="0.25">
      <c r="A4676" s="2">
        <v>28453</v>
      </c>
      <c r="B4676">
        <v>-31.571000000000002</v>
      </c>
      <c r="C4676">
        <v>-67.781999999999996</v>
      </c>
      <c r="D4676" t="s">
        <v>14</v>
      </c>
      <c r="E4676" t="s">
        <v>339</v>
      </c>
      <c r="F4676">
        <f t="shared" si="146"/>
        <v>1977</v>
      </c>
      <c r="G4676">
        <f t="shared" si="147"/>
        <v>11</v>
      </c>
      <c r="H4676" t="str">
        <f>IF(ISNUMBER(FIND(",", E4676)), TRIM(MID(E4676, FIND(",", E4676) + 1, LEN(E4676))), E4676)</f>
        <v>Argentina</v>
      </c>
    </row>
    <row r="4677" spans="1:8" x14ac:dyDescent="0.25">
      <c r="A4677" s="2">
        <v>28452</v>
      </c>
      <c r="B4677">
        <v>-31.061</v>
      </c>
      <c r="C4677">
        <v>-67.611999999999995</v>
      </c>
      <c r="D4677" t="s">
        <v>13</v>
      </c>
      <c r="E4677" t="s">
        <v>339</v>
      </c>
      <c r="F4677">
        <f t="shared" si="146"/>
        <v>1977</v>
      </c>
      <c r="G4677">
        <f t="shared" si="147"/>
        <v>11</v>
      </c>
      <c r="H4677" t="str">
        <f>IF(ISNUMBER(FIND(",", E4677)), TRIM(MID(E4677, FIND(",", E4677) + 1, LEN(E4677))), E4677)</f>
        <v>Argentina</v>
      </c>
    </row>
    <row r="4678" spans="1:8" x14ac:dyDescent="0.25">
      <c r="A4678" s="2">
        <v>28452</v>
      </c>
      <c r="B4678">
        <v>-31.08</v>
      </c>
      <c r="C4678">
        <v>-67.778000000000006</v>
      </c>
      <c r="D4678" t="s">
        <v>14</v>
      </c>
      <c r="E4678" t="s">
        <v>339</v>
      </c>
      <c r="F4678">
        <f t="shared" si="146"/>
        <v>1977</v>
      </c>
      <c r="G4678">
        <f t="shared" si="147"/>
        <v>11</v>
      </c>
      <c r="H4678" t="str">
        <f>IF(ISNUMBER(FIND(",", E4678)), TRIM(MID(E4678, FIND(",", E4678) + 1, LEN(E4678))), E4678)</f>
        <v>Argentina</v>
      </c>
    </row>
    <row r="4679" spans="1:8" x14ac:dyDescent="0.25">
      <c r="A4679" s="2">
        <v>28451</v>
      </c>
      <c r="B4679">
        <v>-10.195</v>
      </c>
      <c r="C4679">
        <v>161.15799999999999</v>
      </c>
      <c r="D4679" t="s">
        <v>14</v>
      </c>
      <c r="E4679" t="s">
        <v>221</v>
      </c>
      <c r="F4679">
        <f t="shared" si="146"/>
        <v>1977</v>
      </c>
      <c r="G4679">
        <f t="shared" si="147"/>
        <v>11</v>
      </c>
      <c r="H4679" t="str">
        <f>IF(ISNUMBER(FIND(",", E4679)), TRIM(MID(E4679, FIND(",", E4679) + 1, LEN(E4679))), E4679)</f>
        <v>Solomon Islands</v>
      </c>
    </row>
    <row r="4680" spans="1:8" x14ac:dyDescent="0.25">
      <c r="A4680" s="2">
        <v>28447</v>
      </c>
      <c r="B4680">
        <v>-4.3929999999999998</v>
      </c>
      <c r="C4680">
        <v>101.973</v>
      </c>
      <c r="D4680" t="s">
        <v>14</v>
      </c>
      <c r="E4680" t="s">
        <v>308</v>
      </c>
      <c r="F4680">
        <f t="shared" si="146"/>
        <v>1977</v>
      </c>
      <c r="G4680">
        <f t="shared" si="147"/>
        <v>11</v>
      </c>
      <c r="H4680" t="str">
        <f>IF(ISNUMBER(FIND(",", E4680)), TRIM(MID(E4680, FIND(",", E4680) + 1, LEN(E4680))), E4680)</f>
        <v>Indonesia</v>
      </c>
    </row>
    <row r="4681" spans="1:8" x14ac:dyDescent="0.25">
      <c r="A4681" s="2">
        <v>28447</v>
      </c>
      <c r="B4681">
        <v>32.610999999999997</v>
      </c>
      <c r="C4681">
        <v>88.397000000000006</v>
      </c>
      <c r="D4681" t="s">
        <v>14</v>
      </c>
      <c r="E4681" t="s">
        <v>388</v>
      </c>
      <c r="F4681">
        <f t="shared" si="146"/>
        <v>1977</v>
      </c>
      <c r="G4681">
        <f t="shared" si="147"/>
        <v>11</v>
      </c>
      <c r="H4681" t="str">
        <f>IF(ISNUMBER(FIND(",", E4681)), TRIM(MID(E4681, FIND(",", E4681) + 1, LEN(E4681))), E4681)</f>
        <v>western Xizang</v>
      </c>
    </row>
    <row r="4682" spans="1:8" x14ac:dyDescent="0.25">
      <c r="A4682" s="2">
        <v>28433</v>
      </c>
      <c r="B4682">
        <v>51.646000000000001</v>
      </c>
      <c r="C4682">
        <v>-175.99199999999999</v>
      </c>
      <c r="D4682" t="s">
        <v>14</v>
      </c>
      <c r="E4682" t="s">
        <v>207</v>
      </c>
      <c r="F4682">
        <f t="shared" si="146"/>
        <v>1977</v>
      </c>
      <c r="G4682">
        <f t="shared" si="147"/>
        <v>11</v>
      </c>
      <c r="H4682" t="str">
        <f>IF(ISNUMBER(FIND(",", E4682)), TRIM(MID(E4682, FIND(",", E4682) + 1, LEN(E4682))), E4682)</f>
        <v>Aleutian Islands, Alaska</v>
      </c>
    </row>
    <row r="4683" spans="1:8" x14ac:dyDescent="0.25">
      <c r="A4683" s="2">
        <v>28429</v>
      </c>
      <c r="B4683">
        <v>-11.436999999999999</v>
      </c>
      <c r="C4683">
        <v>118.22499999999999</v>
      </c>
      <c r="D4683" t="s">
        <v>13</v>
      </c>
      <c r="E4683" t="s">
        <v>346</v>
      </c>
      <c r="F4683">
        <f t="shared" si="146"/>
        <v>1977</v>
      </c>
      <c r="G4683">
        <f t="shared" si="147"/>
        <v>10</v>
      </c>
      <c r="H4683" t="str">
        <f>IF(ISNUMBER(FIND(",", E4683)), TRIM(MID(E4683, FIND(",", E4683) + 1, LEN(E4683))), E4683)</f>
        <v>Indonesia</v>
      </c>
    </row>
    <row r="4684" spans="1:8" x14ac:dyDescent="0.25">
      <c r="A4684" s="2">
        <v>28428</v>
      </c>
      <c r="B4684">
        <v>-14.864000000000001</v>
      </c>
      <c r="C4684">
        <v>167.01900000000001</v>
      </c>
      <c r="D4684" t="s">
        <v>14</v>
      </c>
      <c r="E4684" t="s">
        <v>181</v>
      </c>
      <c r="F4684">
        <f t="shared" si="146"/>
        <v>1977</v>
      </c>
      <c r="G4684">
        <f t="shared" si="147"/>
        <v>10</v>
      </c>
      <c r="H4684" t="str">
        <f>IF(ISNUMBER(FIND(",", E4684)), TRIM(MID(E4684, FIND(",", E4684) + 1, LEN(E4684))), E4684)</f>
        <v>Vanuatu</v>
      </c>
    </row>
    <row r="4685" spans="1:8" x14ac:dyDescent="0.25">
      <c r="A4685" s="2">
        <v>28427</v>
      </c>
      <c r="B4685">
        <v>-6.2030000000000003</v>
      </c>
      <c r="C4685">
        <v>146.64500000000001</v>
      </c>
      <c r="D4685" t="s">
        <v>14</v>
      </c>
      <c r="E4685" t="s">
        <v>243</v>
      </c>
      <c r="F4685">
        <f t="shared" si="146"/>
        <v>1977</v>
      </c>
      <c r="G4685">
        <f t="shared" si="147"/>
        <v>10</v>
      </c>
      <c r="H4685" t="str">
        <f>IF(ISNUMBER(FIND(",", E4685)), TRIM(MID(E4685, FIND(",", E4685) + 1, LEN(E4685))), E4685)</f>
        <v>Papua New Guinea</v>
      </c>
    </row>
    <row r="4686" spans="1:8" x14ac:dyDescent="0.25">
      <c r="A4686" s="2">
        <v>28420</v>
      </c>
      <c r="B4686">
        <v>-28.006</v>
      </c>
      <c r="C4686">
        <v>-62.932000000000002</v>
      </c>
      <c r="D4686" t="s">
        <v>14</v>
      </c>
      <c r="E4686" t="s">
        <v>232</v>
      </c>
      <c r="F4686">
        <f t="shared" si="146"/>
        <v>1977</v>
      </c>
      <c r="G4686">
        <f t="shared" si="147"/>
        <v>10</v>
      </c>
      <c r="H4686" t="str">
        <f>IF(ISNUMBER(FIND(",", E4686)), TRIM(MID(E4686, FIND(",", E4686) + 1, LEN(E4686))), E4686)</f>
        <v>Argentina</v>
      </c>
    </row>
    <row r="4687" spans="1:8" x14ac:dyDescent="0.25">
      <c r="A4687" s="2">
        <v>28415</v>
      </c>
      <c r="B4687">
        <v>-27.991</v>
      </c>
      <c r="C4687">
        <v>173.21100000000001</v>
      </c>
      <c r="D4687" t="s">
        <v>14</v>
      </c>
      <c r="E4687" t="s">
        <v>631</v>
      </c>
      <c r="F4687">
        <f t="shared" si="146"/>
        <v>1977</v>
      </c>
      <c r="G4687">
        <f t="shared" si="147"/>
        <v>10</v>
      </c>
      <c r="H4687" t="str">
        <f>IF(ISNUMBER(FIND(",", E4687)), TRIM(MID(E4687, FIND(",", E4687) + 1, LEN(E4687))), E4687)</f>
        <v>north of New Zealand</v>
      </c>
    </row>
    <row r="4688" spans="1:8" x14ac:dyDescent="0.25">
      <c r="A4688" s="2">
        <v>28414</v>
      </c>
      <c r="B4688">
        <v>-9.7720000000000002</v>
      </c>
      <c r="C4688">
        <v>117.032</v>
      </c>
      <c r="D4688" t="s">
        <v>14</v>
      </c>
      <c r="E4688" t="s">
        <v>349</v>
      </c>
      <c r="F4688">
        <f t="shared" si="146"/>
        <v>1977</v>
      </c>
      <c r="G4688">
        <f t="shared" si="147"/>
        <v>10</v>
      </c>
      <c r="H4688" t="str">
        <f>IF(ISNUMBER(FIND(",", E4688)), TRIM(MID(E4688, FIND(",", E4688) + 1, LEN(E4688))), E4688)</f>
        <v>Indonesia</v>
      </c>
    </row>
    <row r="4689" spans="1:8" x14ac:dyDescent="0.25">
      <c r="A4689" s="2">
        <v>28412</v>
      </c>
      <c r="B4689">
        <v>-15.757999999999999</v>
      </c>
      <c r="C4689">
        <v>-172.96899999999999</v>
      </c>
      <c r="D4689" t="s">
        <v>14</v>
      </c>
      <c r="E4689" t="s">
        <v>352</v>
      </c>
      <c r="F4689">
        <f t="shared" si="146"/>
        <v>1977</v>
      </c>
      <c r="G4689">
        <f t="shared" si="147"/>
        <v>10</v>
      </c>
      <c r="H4689" t="str">
        <f>IF(ISNUMBER(FIND(",", E4689)), TRIM(MID(E4689, FIND(",", E4689) + 1, LEN(E4689))), E4689)</f>
        <v>Samoa Islands region</v>
      </c>
    </row>
    <row r="4690" spans="1:8" x14ac:dyDescent="0.25">
      <c r="A4690" s="2">
        <v>28408</v>
      </c>
      <c r="B4690">
        <v>-25.847999999999999</v>
      </c>
      <c r="C4690">
        <v>-175.28399999999999</v>
      </c>
      <c r="D4690" t="s">
        <v>14</v>
      </c>
      <c r="E4690" t="s">
        <v>351</v>
      </c>
      <c r="F4690">
        <f t="shared" si="146"/>
        <v>1977</v>
      </c>
      <c r="G4690">
        <f t="shared" si="147"/>
        <v>10</v>
      </c>
      <c r="H4690" t="str">
        <f>IF(ISNUMBER(FIND(",", E4690)), TRIM(MID(E4690, FIND(",", E4690) + 1, LEN(E4690))), E4690)</f>
        <v>south of Tonga</v>
      </c>
    </row>
    <row r="4691" spans="1:8" x14ac:dyDescent="0.25">
      <c r="A4691" s="2">
        <v>28405</v>
      </c>
      <c r="B4691">
        <v>-9.9339999999999993</v>
      </c>
      <c r="C4691">
        <v>117.22799999999999</v>
      </c>
      <c r="D4691" t="s">
        <v>14</v>
      </c>
      <c r="E4691" t="s">
        <v>349</v>
      </c>
      <c r="F4691">
        <f t="shared" si="146"/>
        <v>1977</v>
      </c>
      <c r="G4691">
        <f t="shared" si="147"/>
        <v>10</v>
      </c>
      <c r="H4691" t="str">
        <f>IF(ISNUMBER(FIND(",", E4691)), TRIM(MID(E4691, FIND(",", E4691) + 1, LEN(E4691))), E4691)</f>
        <v>Indonesia</v>
      </c>
    </row>
    <row r="4692" spans="1:8" x14ac:dyDescent="0.25">
      <c r="A4692" s="2">
        <v>28394</v>
      </c>
      <c r="B4692">
        <v>-60.064</v>
      </c>
      <c r="C4692">
        <v>150.577</v>
      </c>
      <c r="D4692" t="s">
        <v>14</v>
      </c>
      <c r="E4692" t="s">
        <v>205</v>
      </c>
      <c r="F4692">
        <f t="shared" si="146"/>
        <v>1977</v>
      </c>
      <c r="G4692">
        <f t="shared" si="147"/>
        <v>9</v>
      </c>
      <c r="H4692" t="str">
        <f>IF(ISNUMBER(FIND(",", E4692)), TRIM(MID(E4692, FIND(",", E4692) + 1, LEN(E4692))), E4692)</f>
        <v>west of Macquarie Island</v>
      </c>
    </row>
    <row r="4693" spans="1:8" x14ac:dyDescent="0.25">
      <c r="A4693" s="2">
        <v>28389</v>
      </c>
      <c r="B4693">
        <v>51.710999999999999</v>
      </c>
      <c r="C4693">
        <v>155.18799999999999</v>
      </c>
      <c r="D4693" t="s">
        <v>14</v>
      </c>
      <c r="E4693" t="s">
        <v>485</v>
      </c>
      <c r="F4693">
        <f t="shared" si="146"/>
        <v>1977</v>
      </c>
      <c r="G4693">
        <f t="shared" si="147"/>
        <v>9</v>
      </c>
      <c r="H4693" t="str">
        <f>IF(ISNUMBER(FIND(",", E4693)), TRIM(MID(E4693, FIND(",", E4693) + 1, LEN(E4693))), E4693)</f>
        <v>northwest of the Kuril Islands</v>
      </c>
    </row>
    <row r="4694" spans="1:8" x14ac:dyDescent="0.25">
      <c r="A4694" s="2">
        <v>28387</v>
      </c>
      <c r="B4694">
        <v>-1.9359999999999999</v>
      </c>
      <c r="C4694">
        <v>126.614</v>
      </c>
      <c r="D4694" t="s">
        <v>14</v>
      </c>
      <c r="E4694" t="s">
        <v>429</v>
      </c>
      <c r="F4694">
        <f t="shared" si="146"/>
        <v>1977</v>
      </c>
      <c r="G4694">
        <f t="shared" si="147"/>
        <v>9</v>
      </c>
      <c r="H4694" t="str">
        <f>IF(ISNUMBER(FIND(",", E4694)), TRIM(MID(E4694, FIND(",", E4694) + 1, LEN(E4694))), E4694)</f>
        <v>Indonesia</v>
      </c>
    </row>
    <row r="4695" spans="1:8" x14ac:dyDescent="0.25">
      <c r="A4695" s="2">
        <v>28385</v>
      </c>
      <c r="B4695">
        <v>11.832000000000001</v>
      </c>
      <c r="C4695">
        <v>143.21</v>
      </c>
      <c r="D4695" t="s">
        <v>14</v>
      </c>
      <c r="E4695" t="s">
        <v>321</v>
      </c>
      <c r="F4695">
        <f t="shared" si="146"/>
        <v>1977</v>
      </c>
      <c r="G4695">
        <f t="shared" si="147"/>
        <v>9</v>
      </c>
      <c r="H4695" t="str">
        <f>IF(ISNUMBER(FIND(",", E4695)), TRIM(MID(E4695, FIND(",", E4695) + 1, LEN(E4695))), E4695)</f>
        <v>south of the Mariana Islands</v>
      </c>
    </row>
    <row r="4696" spans="1:8" x14ac:dyDescent="0.25">
      <c r="A4696" s="2">
        <v>28382</v>
      </c>
      <c r="B4696">
        <v>-56.43</v>
      </c>
      <c r="C4696">
        <v>-25.748000000000001</v>
      </c>
      <c r="D4696" t="s">
        <v>14</v>
      </c>
      <c r="E4696" t="s">
        <v>260</v>
      </c>
      <c r="F4696">
        <f t="shared" si="146"/>
        <v>1977</v>
      </c>
      <c r="G4696">
        <f t="shared" si="147"/>
        <v>9</v>
      </c>
      <c r="H4696" t="str">
        <f>IF(ISNUMBER(FIND(",", E4696)), TRIM(MID(E4696, FIND(",", E4696) + 1, LEN(E4696))), E4696)</f>
        <v>South Sandwich Islands region</v>
      </c>
    </row>
    <row r="4697" spans="1:8" x14ac:dyDescent="0.25">
      <c r="A4697" s="2">
        <v>28381</v>
      </c>
      <c r="B4697">
        <v>-15.47</v>
      </c>
      <c r="C4697">
        <v>-173.209</v>
      </c>
      <c r="D4697" t="s">
        <v>14</v>
      </c>
      <c r="E4697" t="s">
        <v>239</v>
      </c>
      <c r="F4697">
        <f t="shared" si="146"/>
        <v>1977</v>
      </c>
      <c r="G4697">
        <f t="shared" si="147"/>
        <v>9</v>
      </c>
      <c r="H4697" t="str">
        <f>IF(ISNUMBER(FIND(",", E4697)), TRIM(MID(E4697, FIND(",", E4697) + 1, LEN(E4697))), E4697)</f>
        <v>Tonga</v>
      </c>
    </row>
    <row r="4698" spans="1:8" x14ac:dyDescent="0.25">
      <c r="A4698" s="2">
        <v>28372</v>
      </c>
      <c r="B4698">
        <v>51.101999999999997</v>
      </c>
      <c r="C4698">
        <v>177.94499999999999</v>
      </c>
      <c r="D4698" t="s">
        <v>14</v>
      </c>
      <c r="E4698" t="s">
        <v>366</v>
      </c>
      <c r="F4698">
        <f t="shared" si="146"/>
        <v>1977</v>
      </c>
      <c r="G4698">
        <f t="shared" si="147"/>
        <v>9</v>
      </c>
      <c r="H4698" t="str">
        <f>IF(ISNUMBER(FIND(",", E4698)), TRIM(MID(E4698, FIND(",", E4698) + 1, LEN(E4698))), E4698)</f>
        <v>Aleutian Islands, Alaska</v>
      </c>
    </row>
    <row r="4699" spans="1:8" x14ac:dyDescent="0.25">
      <c r="A4699" s="2">
        <v>28372</v>
      </c>
      <c r="B4699">
        <v>51.095999999999997</v>
      </c>
      <c r="C4699">
        <v>178.274</v>
      </c>
      <c r="D4699" t="s">
        <v>14</v>
      </c>
      <c r="E4699" t="s">
        <v>366</v>
      </c>
      <c r="F4699">
        <f t="shared" si="146"/>
        <v>1977</v>
      </c>
      <c r="G4699">
        <f t="shared" si="147"/>
        <v>9</v>
      </c>
      <c r="H4699" t="str">
        <f>IF(ISNUMBER(FIND(",", E4699)), TRIM(MID(E4699, FIND(",", E4699) + 1, LEN(E4699))), E4699)</f>
        <v>Aleutian Islands, Alaska</v>
      </c>
    </row>
    <row r="4700" spans="1:8" x14ac:dyDescent="0.25">
      <c r="A4700" s="2">
        <v>28372</v>
      </c>
      <c r="B4700">
        <v>51.115000000000002</v>
      </c>
      <c r="C4700">
        <v>178.38</v>
      </c>
      <c r="D4700" t="s">
        <v>14</v>
      </c>
      <c r="E4700" t="s">
        <v>366</v>
      </c>
      <c r="F4700">
        <f t="shared" si="146"/>
        <v>1977</v>
      </c>
      <c r="G4700">
        <f t="shared" si="147"/>
        <v>9</v>
      </c>
      <c r="H4700" t="str">
        <f>IF(ISNUMBER(FIND(",", E4700)), TRIM(MID(E4700, FIND(",", E4700) + 1, LEN(E4700))), E4700)</f>
        <v>Aleutian Islands, Alaska</v>
      </c>
    </row>
    <row r="4701" spans="1:8" x14ac:dyDescent="0.25">
      <c r="A4701" s="2">
        <v>28372</v>
      </c>
      <c r="B4701">
        <v>-13.728</v>
      </c>
      <c r="C4701">
        <v>166.834</v>
      </c>
      <c r="D4701" t="s">
        <v>14</v>
      </c>
      <c r="E4701" t="s">
        <v>181</v>
      </c>
      <c r="F4701">
        <f t="shared" si="146"/>
        <v>1977</v>
      </c>
      <c r="G4701">
        <f t="shared" si="147"/>
        <v>9</v>
      </c>
      <c r="H4701" t="str">
        <f>IF(ISNUMBER(FIND(",", E4701)), TRIM(MID(E4701, FIND(",", E4701) + 1, LEN(E4701))), E4701)</f>
        <v>Vanuatu</v>
      </c>
    </row>
    <row r="4702" spans="1:8" x14ac:dyDescent="0.25">
      <c r="A4702" s="2">
        <v>28370</v>
      </c>
      <c r="B4702">
        <v>-11.054</v>
      </c>
      <c r="C4702">
        <v>119.02</v>
      </c>
      <c r="D4702" t="s">
        <v>14</v>
      </c>
      <c r="E4702" t="s">
        <v>632</v>
      </c>
      <c r="F4702">
        <f t="shared" si="146"/>
        <v>1977</v>
      </c>
      <c r="G4702">
        <f t="shared" si="147"/>
        <v>9</v>
      </c>
      <c r="H4702" t="str">
        <f>IF(ISNUMBER(FIND(",", E4702)), TRIM(MID(E4702, FIND(",", E4702) + 1, LEN(E4702))), E4702)</f>
        <v>Indonesia</v>
      </c>
    </row>
    <row r="4703" spans="1:8" x14ac:dyDescent="0.25">
      <c r="A4703" s="2">
        <v>28368</v>
      </c>
      <c r="B4703">
        <v>7.3520000000000003</v>
      </c>
      <c r="C4703">
        <v>-76.159000000000006</v>
      </c>
      <c r="D4703" t="s">
        <v>14</v>
      </c>
      <c r="E4703" t="s">
        <v>565</v>
      </c>
      <c r="F4703">
        <f t="shared" si="146"/>
        <v>1977</v>
      </c>
      <c r="G4703">
        <f t="shared" si="147"/>
        <v>8</v>
      </c>
      <c r="H4703" t="str">
        <f>IF(ISNUMBER(FIND(",", E4703)), TRIM(MID(E4703, FIND(",", E4703) + 1, LEN(E4703))), E4703)</f>
        <v>northern Colombia</v>
      </c>
    </row>
    <row r="4704" spans="1:8" x14ac:dyDescent="0.25">
      <c r="A4704" s="2">
        <v>28366</v>
      </c>
      <c r="B4704">
        <v>17.466999999999999</v>
      </c>
      <c r="C4704">
        <v>119.82899999999999</v>
      </c>
      <c r="D4704" t="s">
        <v>14</v>
      </c>
      <c r="E4704" t="s">
        <v>213</v>
      </c>
      <c r="F4704">
        <f t="shared" si="146"/>
        <v>1977</v>
      </c>
      <c r="G4704">
        <f t="shared" si="147"/>
        <v>8</v>
      </c>
      <c r="H4704" t="str">
        <f>IF(ISNUMBER(FIND(",", E4704)), TRIM(MID(E4704, FIND(",", E4704) + 1, LEN(E4704))), E4704)</f>
        <v>Philippine Islands region</v>
      </c>
    </row>
    <row r="4705" spans="1:8" x14ac:dyDescent="0.25">
      <c r="A4705" s="2">
        <v>28364</v>
      </c>
      <c r="B4705">
        <v>-8.1370000000000005</v>
      </c>
      <c r="C4705">
        <v>125.32599999999999</v>
      </c>
      <c r="D4705" t="s">
        <v>14</v>
      </c>
      <c r="E4705" t="s">
        <v>553</v>
      </c>
      <c r="F4705">
        <f t="shared" si="146"/>
        <v>1977</v>
      </c>
      <c r="G4705">
        <f t="shared" si="147"/>
        <v>8</v>
      </c>
      <c r="H4705" t="str">
        <f>IF(ISNUMBER(FIND(",", E4705)), TRIM(MID(E4705, FIND(",", E4705) + 1, LEN(E4705))), E4705)</f>
        <v>East Timor region</v>
      </c>
    </row>
    <row r="4706" spans="1:8" x14ac:dyDescent="0.25">
      <c r="A4706" s="2">
        <v>28363</v>
      </c>
      <c r="B4706">
        <v>-59.566000000000003</v>
      </c>
      <c r="C4706">
        <v>-20.512</v>
      </c>
      <c r="D4706" t="s">
        <v>14</v>
      </c>
      <c r="E4706" t="s">
        <v>242</v>
      </c>
      <c r="F4706">
        <f t="shared" si="146"/>
        <v>1977</v>
      </c>
      <c r="G4706">
        <f t="shared" si="147"/>
        <v>8</v>
      </c>
      <c r="H4706" t="str">
        <f>IF(ISNUMBER(FIND(",", E4706)), TRIM(MID(E4706, FIND(",", E4706) + 1, LEN(E4706))), E4706)</f>
        <v>east of the South Sandwich Islands</v>
      </c>
    </row>
    <row r="4707" spans="1:8" x14ac:dyDescent="0.25">
      <c r="A4707" s="2">
        <v>28362</v>
      </c>
      <c r="B4707">
        <v>-10.891</v>
      </c>
      <c r="C4707">
        <v>119.21599999999999</v>
      </c>
      <c r="D4707" t="s">
        <v>14</v>
      </c>
      <c r="E4707" t="s">
        <v>592</v>
      </c>
      <c r="F4707">
        <f t="shared" si="146"/>
        <v>1977</v>
      </c>
      <c r="G4707">
        <f t="shared" si="147"/>
        <v>8</v>
      </c>
      <c r="H4707" t="str">
        <f>IF(ISNUMBER(FIND(",", E4707)), TRIM(MID(E4707, FIND(",", E4707) + 1, LEN(E4707))), E4707)</f>
        <v>Indonesia</v>
      </c>
    </row>
    <row r="4708" spans="1:8" x14ac:dyDescent="0.25">
      <c r="A4708" s="2">
        <v>28357</v>
      </c>
      <c r="B4708">
        <v>-11.11</v>
      </c>
      <c r="C4708">
        <v>118.986</v>
      </c>
      <c r="D4708" t="s">
        <v>14</v>
      </c>
      <c r="E4708" t="s">
        <v>346</v>
      </c>
      <c r="F4708">
        <f t="shared" si="146"/>
        <v>1977</v>
      </c>
      <c r="G4708">
        <f t="shared" si="147"/>
        <v>8</v>
      </c>
      <c r="H4708" t="str">
        <f>IF(ISNUMBER(FIND(",", E4708)), TRIM(MID(E4708, FIND(",", E4708) + 1, LEN(E4708))), E4708)</f>
        <v>Indonesia</v>
      </c>
    </row>
    <row r="4709" spans="1:8" x14ac:dyDescent="0.25">
      <c r="A4709" s="2">
        <v>28357</v>
      </c>
      <c r="B4709">
        <v>-11.169</v>
      </c>
      <c r="C4709">
        <v>119.018</v>
      </c>
      <c r="D4709" t="s">
        <v>14</v>
      </c>
      <c r="E4709" t="s">
        <v>632</v>
      </c>
      <c r="F4709">
        <f t="shared" si="146"/>
        <v>1977</v>
      </c>
      <c r="G4709">
        <f t="shared" si="147"/>
        <v>8</v>
      </c>
      <c r="H4709" t="str">
        <f>IF(ISNUMBER(FIND(",", E4709)), TRIM(MID(E4709, FIND(",", E4709) + 1, LEN(E4709))), E4709)</f>
        <v>Indonesia</v>
      </c>
    </row>
    <row r="4710" spans="1:8" x14ac:dyDescent="0.25">
      <c r="A4710" s="2">
        <v>28357</v>
      </c>
      <c r="B4710">
        <v>-11.227</v>
      </c>
      <c r="C4710">
        <v>118.19199999999999</v>
      </c>
      <c r="D4710" t="s">
        <v>14</v>
      </c>
      <c r="E4710" t="s">
        <v>346</v>
      </c>
      <c r="F4710">
        <f t="shared" si="146"/>
        <v>1977</v>
      </c>
      <c r="G4710">
        <f t="shared" si="147"/>
        <v>8</v>
      </c>
      <c r="H4710" t="str">
        <f>IF(ISNUMBER(FIND(",", E4710)), TRIM(MID(E4710, FIND(",", E4710) + 1, LEN(E4710))), E4710)</f>
        <v>Indonesia</v>
      </c>
    </row>
    <row r="4711" spans="1:8" x14ac:dyDescent="0.25">
      <c r="A4711" s="2">
        <v>28357</v>
      </c>
      <c r="B4711">
        <v>16.721</v>
      </c>
      <c r="C4711">
        <v>-86.635999999999996</v>
      </c>
      <c r="D4711" t="s">
        <v>14</v>
      </c>
      <c r="E4711" t="s">
        <v>370</v>
      </c>
      <c r="F4711">
        <f t="shared" si="146"/>
        <v>1977</v>
      </c>
      <c r="G4711">
        <f t="shared" si="147"/>
        <v>8</v>
      </c>
      <c r="H4711" t="str">
        <f>IF(ISNUMBER(FIND(",", E4711)), TRIM(MID(E4711, FIND(",", E4711) + 1, LEN(E4711))), E4711)</f>
        <v>offshore Honduras</v>
      </c>
    </row>
    <row r="4712" spans="1:8" x14ac:dyDescent="0.25">
      <c r="A4712" s="2">
        <v>28357</v>
      </c>
      <c r="B4712">
        <v>16.658999999999999</v>
      </c>
      <c r="C4712">
        <v>-86.799000000000007</v>
      </c>
      <c r="D4712" t="s">
        <v>14</v>
      </c>
      <c r="E4712" t="s">
        <v>370</v>
      </c>
      <c r="F4712">
        <f t="shared" si="146"/>
        <v>1977</v>
      </c>
      <c r="G4712">
        <f t="shared" si="147"/>
        <v>8</v>
      </c>
      <c r="H4712" t="str">
        <f>IF(ISNUMBER(FIND(",", E4712)), TRIM(MID(E4712, FIND(",", E4712) + 1, LEN(E4712))), E4712)</f>
        <v>offshore Honduras</v>
      </c>
    </row>
    <row r="4713" spans="1:8" x14ac:dyDescent="0.25">
      <c r="A4713" s="2">
        <v>28356</v>
      </c>
      <c r="B4713">
        <v>-11.125</v>
      </c>
      <c r="C4713">
        <v>118.38</v>
      </c>
      <c r="D4713" t="s">
        <v>14</v>
      </c>
      <c r="E4713" t="s">
        <v>346</v>
      </c>
      <c r="F4713">
        <f t="shared" si="146"/>
        <v>1977</v>
      </c>
      <c r="G4713">
        <f t="shared" si="147"/>
        <v>8</v>
      </c>
      <c r="H4713" t="str">
        <f>IF(ISNUMBER(FIND(",", E4713)), TRIM(MID(E4713, FIND(",", E4713) + 1, LEN(E4713))), E4713)</f>
        <v>Indonesia</v>
      </c>
    </row>
    <row r="4714" spans="1:8" x14ac:dyDescent="0.25">
      <c r="A4714" s="2">
        <v>28351</v>
      </c>
      <c r="B4714">
        <v>-7.8440000000000003</v>
      </c>
      <c r="C4714">
        <v>107.521</v>
      </c>
      <c r="D4714" t="s">
        <v>14</v>
      </c>
      <c r="E4714" t="s">
        <v>358</v>
      </c>
      <c r="F4714">
        <f t="shared" si="146"/>
        <v>1977</v>
      </c>
      <c r="G4714">
        <f t="shared" si="147"/>
        <v>8</v>
      </c>
      <c r="H4714" t="str">
        <f>IF(ISNUMBER(FIND(",", E4714)), TRIM(MID(E4714, FIND(",", E4714) + 1, LEN(E4714))), E4714)</f>
        <v>Indonesia</v>
      </c>
    </row>
    <row r="4715" spans="1:8" x14ac:dyDescent="0.25">
      <c r="A4715" s="2">
        <v>28348</v>
      </c>
      <c r="B4715">
        <v>-17.672999999999998</v>
      </c>
      <c r="C4715">
        <v>-174.28800000000001</v>
      </c>
      <c r="D4715" t="s">
        <v>14</v>
      </c>
      <c r="E4715" t="s">
        <v>239</v>
      </c>
      <c r="F4715">
        <f t="shared" si="146"/>
        <v>1977</v>
      </c>
      <c r="G4715">
        <f t="shared" si="147"/>
        <v>8</v>
      </c>
      <c r="H4715" t="str">
        <f>IF(ISNUMBER(FIND(",", E4715)), TRIM(MID(E4715, FIND(",", E4715) + 1, LEN(E4715))), E4715)</f>
        <v>Tonga</v>
      </c>
    </row>
    <row r="4716" spans="1:8" x14ac:dyDescent="0.25">
      <c r="A4716" s="2">
        <v>28335</v>
      </c>
      <c r="B4716">
        <v>-8.0380000000000003</v>
      </c>
      <c r="C4716">
        <v>155.584</v>
      </c>
      <c r="D4716" t="s">
        <v>14</v>
      </c>
      <c r="E4716" t="s">
        <v>221</v>
      </c>
      <c r="F4716">
        <f t="shared" si="146"/>
        <v>1977</v>
      </c>
      <c r="G4716">
        <f t="shared" si="147"/>
        <v>7</v>
      </c>
      <c r="H4716" t="str">
        <f>IF(ISNUMBER(FIND(",", E4716)), TRIM(MID(E4716, FIND(",", E4716) + 1, LEN(E4716))), E4716)</f>
        <v>Solomon Islands</v>
      </c>
    </row>
    <row r="4717" spans="1:8" x14ac:dyDescent="0.25">
      <c r="A4717" s="2">
        <v>28330</v>
      </c>
      <c r="B4717">
        <v>-15.311999999999999</v>
      </c>
      <c r="C4717">
        <v>-173.06</v>
      </c>
      <c r="D4717" t="s">
        <v>14</v>
      </c>
      <c r="E4717" t="s">
        <v>239</v>
      </c>
      <c r="F4717">
        <f t="shared" si="146"/>
        <v>1977</v>
      </c>
      <c r="G4717">
        <f t="shared" si="147"/>
        <v>7</v>
      </c>
      <c r="H4717" t="str">
        <f>IF(ISNUMBER(FIND(",", E4717)), TRIM(MID(E4717, FIND(",", E4717) + 1, LEN(E4717))), E4717)</f>
        <v>Tonga</v>
      </c>
    </row>
    <row r="4718" spans="1:8" x14ac:dyDescent="0.25">
      <c r="A4718" s="2">
        <v>28328</v>
      </c>
      <c r="B4718">
        <v>-33.741999999999997</v>
      </c>
      <c r="C4718">
        <v>-179.589</v>
      </c>
      <c r="D4718" t="s">
        <v>14</v>
      </c>
      <c r="E4718" t="s">
        <v>262</v>
      </c>
      <c r="F4718">
        <f t="shared" si="146"/>
        <v>1977</v>
      </c>
      <c r="G4718">
        <f t="shared" si="147"/>
        <v>7</v>
      </c>
      <c r="H4718" t="str">
        <f>IF(ISNUMBER(FIND(",", E4718)), TRIM(MID(E4718, FIND(",", E4718) + 1, LEN(E4718))), E4718)</f>
        <v>south of the Kermadec Islands</v>
      </c>
    </row>
    <row r="4719" spans="1:8" x14ac:dyDescent="0.25">
      <c r="A4719" s="2">
        <v>28327</v>
      </c>
      <c r="B4719">
        <v>16.887</v>
      </c>
      <c r="C4719">
        <v>122.376</v>
      </c>
      <c r="D4719" t="s">
        <v>14</v>
      </c>
      <c r="E4719" t="s">
        <v>297</v>
      </c>
      <c r="F4719">
        <f t="shared" si="146"/>
        <v>1977</v>
      </c>
      <c r="G4719">
        <f t="shared" si="147"/>
        <v>7</v>
      </c>
      <c r="H4719" t="str">
        <f>IF(ISNUMBER(FIND(",", E4719)), TRIM(MID(E4719, FIND(",", E4719) + 1, LEN(E4719))), E4719)</f>
        <v>Philippines</v>
      </c>
    </row>
    <row r="4720" spans="1:8" x14ac:dyDescent="0.25">
      <c r="A4720" s="2">
        <v>28327</v>
      </c>
      <c r="B4720">
        <v>-53.970999999999997</v>
      </c>
      <c r="C4720">
        <v>158.76499999999999</v>
      </c>
      <c r="D4720" t="s">
        <v>14</v>
      </c>
      <c r="E4720" t="s">
        <v>350</v>
      </c>
      <c r="F4720">
        <f t="shared" si="146"/>
        <v>1977</v>
      </c>
      <c r="G4720">
        <f t="shared" si="147"/>
        <v>7</v>
      </c>
      <c r="H4720" t="str">
        <f>IF(ISNUMBER(FIND(",", E4720)), TRIM(MID(E4720, FIND(",", E4720) + 1, LEN(E4720))), E4720)</f>
        <v>Macquarie Island region</v>
      </c>
    </row>
    <row r="4721" spans="1:8" x14ac:dyDescent="0.25">
      <c r="A4721" s="2">
        <v>28312</v>
      </c>
      <c r="B4721">
        <v>-21.062999999999999</v>
      </c>
      <c r="C4721">
        <v>-178.53800000000001</v>
      </c>
      <c r="D4721" t="s">
        <v>14</v>
      </c>
      <c r="E4721" t="s">
        <v>53</v>
      </c>
      <c r="F4721">
        <f t="shared" si="146"/>
        <v>1977</v>
      </c>
      <c r="G4721">
        <f t="shared" si="147"/>
        <v>7</v>
      </c>
      <c r="H4721" t="str">
        <f>IF(ISNUMBER(FIND(",", E4721)), TRIM(MID(E4721, FIND(",", E4721) + 1, LEN(E4721))), E4721)</f>
        <v>Fiji region</v>
      </c>
    </row>
    <row r="4722" spans="1:8" x14ac:dyDescent="0.25">
      <c r="A4722" s="2">
        <v>28309</v>
      </c>
      <c r="B4722">
        <v>1.403</v>
      </c>
      <c r="C4722">
        <v>126.32</v>
      </c>
      <c r="D4722" t="s">
        <v>14</v>
      </c>
      <c r="E4722" t="s">
        <v>186</v>
      </c>
      <c r="F4722">
        <f t="shared" si="146"/>
        <v>1977</v>
      </c>
      <c r="G4722">
        <f t="shared" si="147"/>
        <v>7</v>
      </c>
      <c r="H4722" t="str">
        <f>IF(ISNUMBER(FIND(",", E4722)), TRIM(MID(E4722, FIND(",", E4722) + 1, LEN(E4722))), E4722)</f>
        <v>Molucca Sea</v>
      </c>
    </row>
    <row r="4723" spans="1:8" x14ac:dyDescent="0.25">
      <c r="A4723" s="2">
        <v>28308</v>
      </c>
      <c r="B4723">
        <v>-9.91</v>
      </c>
      <c r="C4723">
        <v>160.57</v>
      </c>
      <c r="D4723" t="s">
        <v>14</v>
      </c>
      <c r="E4723" t="s">
        <v>221</v>
      </c>
      <c r="F4723">
        <f t="shared" si="146"/>
        <v>1977</v>
      </c>
      <c r="G4723">
        <f t="shared" si="147"/>
        <v>7</v>
      </c>
      <c r="H4723" t="str">
        <f>IF(ISNUMBER(FIND(",", E4723)), TRIM(MID(E4723, FIND(",", E4723) + 1, LEN(E4723))), E4723)</f>
        <v>Solomon Islands</v>
      </c>
    </row>
    <row r="4724" spans="1:8" x14ac:dyDescent="0.25">
      <c r="A4724" s="2">
        <v>28305</v>
      </c>
      <c r="B4724">
        <v>-7.6980000000000004</v>
      </c>
      <c r="C4724">
        <v>127.727</v>
      </c>
      <c r="D4724" t="s">
        <v>14</v>
      </c>
      <c r="E4724" t="s">
        <v>49</v>
      </c>
      <c r="F4724">
        <f t="shared" si="146"/>
        <v>1977</v>
      </c>
      <c r="G4724">
        <f t="shared" si="147"/>
        <v>6</v>
      </c>
      <c r="H4724" t="str">
        <f>IF(ISNUMBER(FIND(",", E4724)), TRIM(MID(E4724, FIND(",", E4724) + 1, LEN(E4724))), E4724)</f>
        <v>Indonesia</v>
      </c>
    </row>
    <row r="4725" spans="1:8" x14ac:dyDescent="0.25">
      <c r="A4725" s="2">
        <v>28298</v>
      </c>
      <c r="B4725">
        <v>-22.908000000000001</v>
      </c>
      <c r="C4725">
        <v>-175.749</v>
      </c>
      <c r="D4725" t="s">
        <v>14</v>
      </c>
      <c r="E4725" t="s">
        <v>304</v>
      </c>
      <c r="F4725">
        <f t="shared" si="146"/>
        <v>1977</v>
      </c>
      <c r="G4725">
        <f t="shared" si="147"/>
        <v>6</v>
      </c>
      <c r="H4725" t="str">
        <f>IF(ISNUMBER(FIND(",", E4725)), TRIM(MID(E4725, FIND(",", E4725) + 1, LEN(E4725))), E4725)</f>
        <v>Tonga region</v>
      </c>
    </row>
    <row r="4726" spans="1:8" x14ac:dyDescent="0.25">
      <c r="A4726" s="2">
        <v>28294</v>
      </c>
      <c r="B4726">
        <v>-9.7210000000000001</v>
      </c>
      <c r="C4726">
        <v>159.739</v>
      </c>
      <c r="D4726" t="s">
        <v>14</v>
      </c>
      <c r="E4726" t="s">
        <v>221</v>
      </c>
      <c r="F4726">
        <f t="shared" si="146"/>
        <v>1977</v>
      </c>
      <c r="G4726">
        <f t="shared" si="147"/>
        <v>6</v>
      </c>
      <c r="H4726" t="str">
        <f>IF(ISNUMBER(FIND(",", E4726)), TRIM(MID(E4726, FIND(",", E4726) + 1, LEN(E4726))), E4726)</f>
        <v>Solomon Islands</v>
      </c>
    </row>
    <row r="4727" spans="1:8" x14ac:dyDescent="0.25">
      <c r="A4727" s="2">
        <v>28293</v>
      </c>
      <c r="B4727">
        <v>-19.873000000000001</v>
      </c>
      <c r="C4727">
        <v>-179.02</v>
      </c>
      <c r="D4727" t="s">
        <v>14</v>
      </c>
      <c r="E4727" t="s">
        <v>53</v>
      </c>
      <c r="F4727">
        <f t="shared" si="146"/>
        <v>1977</v>
      </c>
      <c r="G4727">
        <f t="shared" si="147"/>
        <v>6</v>
      </c>
      <c r="H4727" t="str">
        <f>IF(ISNUMBER(FIND(",", E4727)), TRIM(MID(E4727, FIND(",", E4727) + 1, LEN(E4727))), E4727)</f>
        <v>Fiji region</v>
      </c>
    </row>
    <row r="4728" spans="1:8" x14ac:dyDescent="0.25">
      <c r="A4728" s="2">
        <v>28281</v>
      </c>
      <c r="B4728">
        <v>32.613999999999997</v>
      </c>
      <c r="C4728">
        <v>48.082000000000001</v>
      </c>
      <c r="D4728" t="s">
        <v>14</v>
      </c>
      <c r="E4728" t="s">
        <v>444</v>
      </c>
      <c r="F4728">
        <f t="shared" si="146"/>
        <v>1977</v>
      </c>
      <c r="G4728">
        <f t="shared" si="147"/>
        <v>6</v>
      </c>
      <c r="H4728" t="str">
        <f>IF(ISNUMBER(FIND(",", E4728)), TRIM(MID(E4728, FIND(",", E4728) + 1, LEN(E4728))), E4728)</f>
        <v>western Iran</v>
      </c>
    </row>
    <row r="4729" spans="1:8" x14ac:dyDescent="0.25">
      <c r="A4729" s="2">
        <v>28279</v>
      </c>
      <c r="B4729">
        <v>36.375</v>
      </c>
      <c r="C4729">
        <v>70.760000000000005</v>
      </c>
      <c r="D4729" t="s">
        <v>14</v>
      </c>
      <c r="E4729" t="s">
        <v>314</v>
      </c>
      <c r="F4729">
        <f t="shared" si="146"/>
        <v>1977</v>
      </c>
      <c r="G4729">
        <f t="shared" si="147"/>
        <v>6</v>
      </c>
      <c r="H4729" t="str">
        <f>IF(ISNUMBER(FIND(",", E4729)), TRIM(MID(E4729, FIND(",", E4729) + 1, LEN(E4729))), E4729)</f>
        <v>Afghanistan</v>
      </c>
    </row>
    <row r="4730" spans="1:8" x14ac:dyDescent="0.25">
      <c r="A4730" s="2">
        <v>28275</v>
      </c>
      <c r="B4730">
        <v>52.384</v>
      </c>
      <c r="C4730">
        <v>-169.703</v>
      </c>
      <c r="D4730" t="s">
        <v>14</v>
      </c>
      <c r="E4730" t="s">
        <v>219</v>
      </c>
      <c r="F4730">
        <f t="shared" si="146"/>
        <v>1977</v>
      </c>
      <c r="G4730">
        <f t="shared" si="147"/>
        <v>5</v>
      </c>
      <c r="H4730" t="str">
        <f>IF(ISNUMBER(FIND(",", E4730)), TRIM(MID(E4730, FIND(",", E4730) + 1, LEN(E4730))), E4730)</f>
        <v>Aleutian Islands, Alaska</v>
      </c>
    </row>
    <row r="4731" spans="1:8" x14ac:dyDescent="0.25">
      <c r="A4731" s="2">
        <v>28273</v>
      </c>
      <c r="B4731">
        <v>-1.853</v>
      </c>
      <c r="C4731">
        <v>120.425</v>
      </c>
      <c r="D4731" t="s">
        <v>14</v>
      </c>
      <c r="E4731" t="s">
        <v>182</v>
      </c>
      <c r="F4731">
        <f t="shared" si="146"/>
        <v>1977</v>
      </c>
      <c r="G4731">
        <f t="shared" si="147"/>
        <v>5</v>
      </c>
      <c r="H4731" t="str">
        <f>IF(ISNUMBER(FIND(",", E4731)), TRIM(MID(E4731, FIND(",", E4731) + 1, LEN(E4731))), E4731)</f>
        <v>Indonesia</v>
      </c>
    </row>
    <row r="4732" spans="1:8" x14ac:dyDescent="0.25">
      <c r="A4732" s="2">
        <v>28270</v>
      </c>
      <c r="B4732">
        <v>4.22</v>
      </c>
      <c r="C4732">
        <v>95.700999999999993</v>
      </c>
      <c r="D4732" t="s">
        <v>14</v>
      </c>
      <c r="E4732" t="s">
        <v>226</v>
      </c>
      <c r="F4732">
        <f t="shared" si="146"/>
        <v>1977</v>
      </c>
      <c r="G4732">
        <f t="shared" si="147"/>
        <v>5</v>
      </c>
      <c r="H4732" t="str">
        <f>IF(ISNUMBER(FIND(",", E4732)), TRIM(MID(E4732, FIND(",", E4732) + 1, LEN(E4732))), E4732)</f>
        <v>Indonesia</v>
      </c>
    </row>
    <row r="4733" spans="1:8" x14ac:dyDescent="0.25">
      <c r="A4733" s="2">
        <v>28269</v>
      </c>
      <c r="B4733">
        <v>18.815000000000001</v>
      </c>
      <c r="C4733">
        <v>145.446</v>
      </c>
      <c r="D4733" t="s">
        <v>14</v>
      </c>
      <c r="E4733" t="s">
        <v>416</v>
      </c>
      <c r="F4733">
        <f t="shared" si="146"/>
        <v>1977</v>
      </c>
      <c r="G4733">
        <f t="shared" si="147"/>
        <v>5</v>
      </c>
      <c r="H4733" t="str">
        <f>IF(ISNUMBER(FIND(",", E4733)), TRIM(MID(E4733, FIND(",", E4733) + 1, LEN(E4733))), E4733)</f>
        <v>Northern Mariana Islands</v>
      </c>
    </row>
    <row r="4734" spans="1:8" x14ac:dyDescent="0.25">
      <c r="A4734" s="2">
        <v>28266</v>
      </c>
      <c r="B4734">
        <v>15.648999999999999</v>
      </c>
      <c r="C4734">
        <v>120.813</v>
      </c>
      <c r="D4734" t="s">
        <v>14</v>
      </c>
      <c r="E4734" t="s">
        <v>297</v>
      </c>
      <c r="F4734">
        <f t="shared" si="146"/>
        <v>1977</v>
      </c>
      <c r="G4734">
        <f t="shared" si="147"/>
        <v>5</v>
      </c>
      <c r="H4734" t="str">
        <f>IF(ISNUMBER(FIND(",", E4734)), TRIM(MID(E4734, FIND(",", E4734) + 1, LEN(E4734))), E4734)</f>
        <v>Philippines</v>
      </c>
    </row>
    <row r="4735" spans="1:8" x14ac:dyDescent="0.25">
      <c r="A4735" s="2">
        <v>28258</v>
      </c>
      <c r="B4735">
        <v>28.425999999999998</v>
      </c>
      <c r="C4735">
        <v>139.56299999999999</v>
      </c>
      <c r="D4735" t="s">
        <v>14</v>
      </c>
      <c r="E4735" t="s">
        <v>233</v>
      </c>
      <c r="F4735">
        <f t="shared" si="146"/>
        <v>1977</v>
      </c>
      <c r="G4735">
        <f t="shared" si="147"/>
        <v>5</v>
      </c>
      <c r="H4735" t="str">
        <f>IF(ISNUMBER(FIND(",", E4735)), TRIM(MID(E4735, FIND(",", E4735) + 1, LEN(E4735))), E4735)</f>
        <v>Japan region</v>
      </c>
    </row>
    <row r="4736" spans="1:8" x14ac:dyDescent="0.25">
      <c r="A4736" s="2">
        <v>28236</v>
      </c>
      <c r="B4736">
        <v>-10.275</v>
      </c>
      <c r="C4736">
        <v>160.755</v>
      </c>
      <c r="D4736" t="s">
        <v>14</v>
      </c>
      <c r="E4736" t="s">
        <v>221</v>
      </c>
      <c r="F4736">
        <f t="shared" si="146"/>
        <v>1977</v>
      </c>
      <c r="G4736">
        <f t="shared" si="147"/>
        <v>4</v>
      </c>
      <c r="H4736" t="str">
        <f>IF(ISNUMBER(FIND(",", E4736)), TRIM(MID(E4736, FIND(",", E4736) + 1, LEN(E4736))), E4736)</f>
        <v>Solomon Islands</v>
      </c>
    </row>
    <row r="4737" spans="1:8" x14ac:dyDescent="0.25">
      <c r="A4737" s="2">
        <v>28236</v>
      </c>
      <c r="B4737">
        <v>-10.007</v>
      </c>
      <c r="C4737">
        <v>160.81100000000001</v>
      </c>
      <c r="D4737" t="s">
        <v>14</v>
      </c>
      <c r="E4737" t="s">
        <v>221</v>
      </c>
      <c r="F4737">
        <f t="shared" si="146"/>
        <v>1977</v>
      </c>
      <c r="G4737">
        <f t="shared" si="147"/>
        <v>4</v>
      </c>
      <c r="H4737" t="str">
        <f>IF(ISNUMBER(FIND(",", E4737)), TRIM(MID(E4737, FIND(",", E4737) + 1, LEN(E4737))), E4737)</f>
        <v>Solomon Islands</v>
      </c>
    </row>
    <row r="4738" spans="1:8" x14ac:dyDescent="0.25">
      <c r="A4738" s="2">
        <v>28236</v>
      </c>
      <c r="B4738">
        <v>26.832000000000001</v>
      </c>
      <c r="C4738">
        <v>142.54900000000001</v>
      </c>
      <c r="D4738" t="s">
        <v>14</v>
      </c>
      <c r="E4738" t="s">
        <v>233</v>
      </c>
      <c r="F4738">
        <f t="shared" ref="F4738:F4801" si="148">YEAR(A4738)</f>
        <v>1977</v>
      </c>
      <c r="G4738">
        <f t="shared" si="147"/>
        <v>4</v>
      </c>
      <c r="H4738" t="str">
        <f>IF(ISNUMBER(FIND(",", E4738)), TRIM(MID(E4738, FIND(",", E4738) + 1, LEN(E4738))), E4738)</f>
        <v>Japan region</v>
      </c>
    </row>
    <row r="4739" spans="1:8" x14ac:dyDescent="0.25">
      <c r="A4739" s="2">
        <v>28236</v>
      </c>
      <c r="B4739">
        <v>-9.7810000000000006</v>
      </c>
      <c r="C4739">
        <v>160.251</v>
      </c>
      <c r="D4739" t="s">
        <v>13</v>
      </c>
      <c r="E4739" t="s">
        <v>221</v>
      </c>
      <c r="F4739">
        <f t="shared" si="148"/>
        <v>1977</v>
      </c>
      <c r="G4739">
        <f t="shared" ref="G4739:G4802" si="149">MONTH(A4739)</f>
        <v>4</v>
      </c>
      <c r="H4739" t="str">
        <f>IF(ISNUMBER(FIND(",", E4739)), TRIM(MID(E4739, FIND(",", E4739) + 1, LEN(E4739))), E4739)</f>
        <v>Solomon Islands</v>
      </c>
    </row>
    <row r="4740" spans="1:8" x14ac:dyDescent="0.25">
      <c r="A4740" s="2">
        <v>28235</v>
      </c>
      <c r="B4740">
        <v>-9.5709999999999997</v>
      </c>
      <c r="C4740">
        <v>160.65199999999999</v>
      </c>
      <c r="D4740" t="s">
        <v>14</v>
      </c>
      <c r="E4740" t="s">
        <v>221</v>
      </c>
      <c r="F4740">
        <f t="shared" si="148"/>
        <v>1977</v>
      </c>
      <c r="G4740">
        <f t="shared" si="149"/>
        <v>4</v>
      </c>
      <c r="H4740" t="str">
        <f>IF(ISNUMBER(FIND(",", E4740)), TRIM(MID(E4740, FIND(",", E4740) + 1, LEN(E4740))), E4740)</f>
        <v>Solomon Islands</v>
      </c>
    </row>
    <row r="4741" spans="1:8" x14ac:dyDescent="0.25">
      <c r="A4741" s="2">
        <v>28235</v>
      </c>
      <c r="B4741">
        <v>-9.9019999999999992</v>
      </c>
      <c r="C4741">
        <v>160.45500000000001</v>
      </c>
      <c r="D4741" t="s">
        <v>14</v>
      </c>
      <c r="E4741" t="s">
        <v>221</v>
      </c>
      <c r="F4741">
        <f t="shared" si="148"/>
        <v>1977</v>
      </c>
      <c r="G4741">
        <f t="shared" si="149"/>
        <v>4</v>
      </c>
      <c r="H4741" t="str">
        <f>IF(ISNUMBER(FIND(",", E4741)), TRIM(MID(E4741, FIND(",", E4741) + 1, LEN(E4741))), E4741)</f>
        <v>Solomon Islands</v>
      </c>
    </row>
    <row r="4742" spans="1:8" x14ac:dyDescent="0.25">
      <c r="A4742" s="2">
        <v>28235</v>
      </c>
      <c r="B4742">
        <v>-9.8460000000000001</v>
      </c>
      <c r="C4742">
        <v>160.46899999999999</v>
      </c>
      <c r="D4742" t="s">
        <v>14</v>
      </c>
      <c r="E4742" t="s">
        <v>221</v>
      </c>
      <c r="F4742">
        <f t="shared" si="148"/>
        <v>1977</v>
      </c>
      <c r="G4742">
        <f t="shared" si="149"/>
        <v>4</v>
      </c>
      <c r="H4742" t="str">
        <f>IF(ISNUMBER(FIND(",", E4742)), TRIM(MID(E4742, FIND(",", E4742) + 1, LEN(E4742))), E4742)</f>
        <v>Solomon Islands</v>
      </c>
    </row>
    <row r="4743" spans="1:8" x14ac:dyDescent="0.25">
      <c r="A4743" s="2">
        <v>28224</v>
      </c>
      <c r="B4743">
        <v>-10.06</v>
      </c>
      <c r="C4743">
        <v>-71.186999999999998</v>
      </c>
      <c r="D4743" t="s">
        <v>14</v>
      </c>
      <c r="E4743" t="s">
        <v>198</v>
      </c>
      <c r="F4743">
        <f t="shared" si="148"/>
        <v>1977</v>
      </c>
      <c r="G4743">
        <f t="shared" si="149"/>
        <v>4</v>
      </c>
      <c r="H4743" t="str">
        <f>IF(ISNUMBER(FIND(",", E4743)), TRIM(MID(E4743, FIND(",", E4743) + 1, LEN(E4743))), E4743)</f>
        <v>central Peru</v>
      </c>
    </row>
    <row r="4744" spans="1:8" x14ac:dyDescent="0.25">
      <c r="A4744" s="2">
        <v>28219</v>
      </c>
      <c r="B4744">
        <v>7.3339999999999996</v>
      </c>
      <c r="C4744">
        <v>-34.878</v>
      </c>
      <c r="D4744" t="s">
        <v>14</v>
      </c>
      <c r="E4744" t="s">
        <v>291</v>
      </c>
      <c r="F4744">
        <f t="shared" si="148"/>
        <v>1977</v>
      </c>
      <c r="G4744">
        <f t="shared" si="149"/>
        <v>4</v>
      </c>
      <c r="H4744" t="str">
        <f>IF(ISNUMBER(FIND(",", E4744)), TRIM(MID(E4744, FIND(",", E4744) + 1, LEN(E4744))), E4744)</f>
        <v>central Mid-Atlantic Ridge</v>
      </c>
    </row>
    <row r="4745" spans="1:8" x14ac:dyDescent="0.25">
      <c r="A4745" s="2">
        <v>28217</v>
      </c>
      <c r="B4745">
        <v>-16.771999999999998</v>
      </c>
      <c r="C4745">
        <v>-171.94200000000001</v>
      </c>
      <c r="D4745" t="s">
        <v>14</v>
      </c>
      <c r="E4745" t="s">
        <v>352</v>
      </c>
      <c r="F4745">
        <f t="shared" si="148"/>
        <v>1977</v>
      </c>
      <c r="G4745">
        <f t="shared" si="149"/>
        <v>4</v>
      </c>
      <c r="H4745" t="str">
        <f>IF(ISNUMBER(FIND(",", E4745)), TRIM(MID(E4745, FIND(",", E4745) + 1, LEN(E4745))), E4745)</f>
        <v>Samoa Islands region</v>
      </c>
    </row>
    <row r="4746" spans="1:8" x14ac:dyDescent="0.25">
      <c r="A4746" s="2">
        <v>28212</v>
      </c>
      <c r="B4746">
        <v>-14.725</v>
      </c>
      <c r="C4746">
        <v>167.19200000000001</v>
      </c>
      <c r="D4746" t="s">
        <v>14</v>
      </c>
      <c r="E4746" t="s">
        <v>181</v>
      </c>
      <c r="F4746">
        <f t="shared" si="148"/>
        <v>1977</v>
      </c>
      <c r="G4746">
        <f t="shared" si="149"/>
        <v>3</v>
      </c>
      <c r="H4746" t="str">
        <f>IF(ISNUMBER(FIND(",", E4746)), TRIM(MID(E4746, FIND(",", E4746) + 1, LEN(E4746))), E4746)</f>
        <v>Vanuatu</v>
      </c>
    </row>
    <row r="4747" spans="1:8" x14ac:dyDescent="0.25">
      <c r="A4747" s="2">
        <v>28210</v>
      </c>
      <c r="B4747">
        <v>52.287999999999997</v>
      </c>
      <c r="C4747">
        <v>-168.22800000000001</v>
      </c>
      <c r="D4747" t="s">
        <v>14</v>
      </c>
      <c r="E4747" t="s">
        <v>219</v>
      </c>
      <c r="F4747">
        <f t="shared" si="148"/>
        <v>1977</v>
      </c>
      <c r="G4747">
        <f t="shared" si="149"/>
        <v>3</v>
      </c>
      <c r="H4747" t="str">
        <f>IF(ISNUMBER(FIND(",", E4747)), TRIM(MID(E4747, FIND(",", E4747) + 1, LEN(E4747))), E4747)</f>
        <v>Aleutian Islands, Alaska</v>
      </c>
    </row>
    <row r="4748" spans="1:8" x14ac:dyDescent="0.25">
      <c r="A4748" s="2">
        <v>28207</v>
      </c>
      <c r="B4748">
        <v>-14.595000000000001</v>
      </c>
      <c r="C4748">
        <v>-177.86099999999999</v>
      </c>
      <c r="D4748" t="s">
        <v>14</v>
      </c>
      <c r="E4748" t="s">
        <v>53</v>
      </c>
      <c r="F4748">
        <f t="shared" si="148"/>
        <v>1977</v>
      </c>
      <c r="G4748">
        <f t="shared" si="149"/>
        <v>3</v>
      </c>
      <c r="H4748" t="str">
        <f>IF(ISNUMBER(FIND(",", E4748)), TRIM(MID(E4748, FIND(",", E4748) + 1, LEN(E4748))), E4748)</f>
        <v>Fiji region</v>
      </c>
    </row>
    <row r="4749" spans="1:8" x14ac:dyDescent="0.25">
      <c r="A4749" s="2">
        <v>28207</v>
      </c>
      <c r="B4749">
        <v>-14.712</v>
      </c>
      <c r="C4749">
        <v>-177.886</v>
      </c>
      <c r="D4749" t="s">
        <v>14</v>
      </c>
      <c r="E4749" t="s">
        <v>53</v>
      </c>
      <c r="F4749">
        <f t="shared" si="148"/>
        <v>1977</v>
      </c>
      <c r="G4749">
        <f t="shared" si="149"/>
        <v>3</v>
      </c>
      <c r="H4749" t="str">
        <f>IF(ISNUMBER(FIND(",", E4749)), TRIM(MID(E4749, FIND(",", E4749) + 1, LEN(E4749))), E4749)</f>
        <v>Fiji region</v>
      </c>
    </row>
    <row r="4750" spans="1:8" x14ac:dyDescent="0.25">
      <c r="A4750" s="2">
        <v>28205</v>
      </c>
      <c r="B4750">
        <v>27.606999999999999</v>
      </c>
      <c r="C4750">
        <v>56.466999999999999</v>
      </c>
      <c r="D4750" t="s">
        <v>14</v>
      </c>
      <c r="E4750" t="s">
        <v>390</v>
      </c>
      <c r="F4750">
        <f t="shared" si="148"/>
        <v>1977</v>
      </c>
      <c r="G4750">
        <f t="shared" si="149"/>
        <v>3</v>
      </c>
      <c r="H4750" t="str">
        <f>IF(ISNUMBER(FIND(",", E4750)), TRIM(MID(E4750, FIND(",", E4750) + 1, LEN(E4750))), E4750)</f>
        <v>southern Iran</v>
      </c>
    </row>
    <row r="4751" spans="1:8" x14ac:dyDescent="0.25">
      <c r="A4751" s="2">
        <v>28205</v>
      </c>
      <c r="B4751">
        <v>27.6</v>
      </c>
      <c r="C4751">
        <v>56.356000000000002</v>
      </c>
      <c r="D4751" t="s">
        <v>14</v>
      </c>
      <c r="E4751" t="s">
        <v>390</v>
      </c>
      <c r="F4751">
        <f t="shared" si="148"/>
        <v>1977</v>
      </c>
      <c r="G4751">
        <f t="shared" si="149"/>
        <v>3</v>
      </c>
      <c r="H4751" t="str">
        <f>IF(ISNUMBER(FIND(",", E4751)), TRIM(MID(E4751, FIND(",", E4751) + 1, LEN(E4751))), E4751)</f>
        <v>southern Iran</v>
      </c>
    </row>
    <row r="4752" spans="1:8" x14ac:dyDescent="0.25">
      <c r="A4752" s="2">
        <v>28203</v>
      </c>
      <c r="B4752">
        <v>16.873999999999999</v>
      </c>
      <c r="C4752">
        <v>122.346</v>
      </c>
      <c r="D4752" t="s">
        <v>14</v>
      </c>
      <c r="E4752" t="s">
        <v>297</v>
      </c>
      <c r="F4752">
        <f t="shared" si="148"/>
        <v>1977</v>
      </c>
      <c r="G4752">
        <f t="shared" si="149"/>
        <v>3</v>
      </c>
      <c r="H4752" t="str">
        <f>IF(ISNUMBER(FIND(",", E4752)), TRIM(MID(E4752, FIND(",", E4752) + 1, LEN(E4752))), E4752)</f>
        <v>Philippines</v>
      </c>
    </row>
    <row r="4753" spans="1:8" x14ac:dyDescent="0.25">
      <c r="A4753" s="2">
        <v>28203</v>
      </c>
      <c r="B4753">
        <v>44.2</v>
      </c>
      <c r="C4753">
        <v>148.196</v>
      </c>
      <c r="D4753" t="s">
        <v>13</v>
      </c>
      <c r="E4753" t="s">
        <v>191</v>
      </c>
      <c r="F4753">
        <f t="shared" si="148"/>
        <v>1977</v>
      </c>
      <c r="G4753">
        <f t="shared" si="149"/>
        <v>3</v>
      </c>
      <c r="H4753" t="str">
        <f>IF(ISNUMBER(FIND(",", E4753)), TRIM(MID(E4753, FIND(",", E4753) + 1, LEN(E4753))), E4753)</f>
        <v>Kuril Islands</v>
      </c>
    </row>
    <row r="4754" spans="1:8" x14ac:dyDescent="0.25">
      <c r="A4754" s="2">
        <v>28202</v>
      </c>
      <c r="B4754">
        <v>16.748999999999999</v>
      </c>
      <c r="C4754">
        <v>122.273</v>
      </c>
      <c r="D4754" t="s">
        <v>14</v>
      </c>
      <c r="E4754" t="s">
        <v>297</v>
      </c>
      <c r="F4754">
        <f t="shared" si="148"/>
        <v>1977</v>
      </c>
      <c r="G4754">
        <f t="shared" si="149"/>
        <v>3</v>
      </c>
      <c r="H4754" t="str">
        <f>IF(ISNUMBER(FIND(",", E4754)), TRIM(MID(E4754, FIND(",", E4754) + 1, LEN(E4754))), E4754)</f>
        <v>Philippines</v>
      </c>
    </row>
    <row r="4755" spans="1:8" x14ac:dyDescent="0.25">
      <c r="A4755" s="2">
        <v>28199</v>
      </c>
      <c r="B4755">
        <v>-4.9740000000000002</v>
      </c>
      <c r="C4755">
        <v>131.03399999999999</v>
      </c>
      <c r="D4755" t="s">
        <v>14</v>
      </c>
      <c r="E4755" t="s">
        <v>187</v>
      </c>
      <c r="F4755">
        <f t="shared" si="148"/>
        <v>1977</v>
      </c>
      <c r="G4755">
        <f t="shared" si="149"/>
        <v>3</v>
      </c>
      <c r="H4755" t="str">
        <f>IF(ISNUMBER(FIND(",", E4755)), TRIM(MID(E4755, FIND(",", E4755) + 1, LEN(E4755))), E4755)</f>
        <v>Banda Sea</v>
      </c>
    </row>
    <row r="4756" spans="1:8" x14ac:dyDescent="0.25">
      <c r="A4756" s="2">
        <v>28193</v>
      </c>
      <c r="B4756">
        <v>41.603999999999999</v>
      </c>
      <c r="C4756">
        <v>131.05799999999999</v>
      </c>
      <c r="D4756" t="s">
        <v>14</v>
      </c>
      <c r="E4756" t="s">
        <v>420</v>
      </c>
      <c r="F4756">
        <f t="shared" si="148"/>
        <v>1977</v>
      </c>
      <c r="G4756">
        <f t="shared" si="149"/>
        <v>3</v>
      </c>
      <c r="H4756" t="str">
        <f>IF(ISNUMBER(FIND(",", E4756)), TRIM(MID(E4756, FIND(",", E4756) + 1, LEN(E4756))), E4756)</f>
        <v>Sea of Japan</v>
      </c>
    </row>
    <row r="4757" spans="1:8" x14ac:dyDescent="0.25">
      <c r="A4757" s="2">
        <v>28192</v>
      </c>
      <c r="B4757">
        <v>0.502</v>
      </c>
      <c r="C4757">
        <v>99.772000000000006</v>
      </c>
      <c r="D4757" t="s">
        <v>14</v>
      </c>
      <c r="E4757" t="s">
        <v>226</v>
      </c>
      <c r="F4757">
        <f t="shared" si="148"/>
        <v>1977</v>
      </c>
      <c r="G4757">
        <f t="shared" si="149"/>
        <v>3</v>
      </c>
      <c r="H4757" t="str">
        <f>IF(ISNUMBER(FIND(",", E4757)), TRIM(MID(E4757, FIND(",", E4757) + 1, LEN(E4757))), E4757)</f>
        <v>Indonesia</v>
      </c>
    </row>
    <row r="4758" spans="1:8" x14ac:dyDescent="0.25">
      <c r="A4758" s="2">
        <v>28188</v>
      </c>
      <c r="B4758">
        <v>45.777000000000001</v>
      </c>
      <c r="C4758">
        <v>26.704000000000001</v>
      </c>
      <c r="D4758" t="s">
        <v>14</v>
      </c>
      <c r="E4758" t="s">
        <v>575</v>
      </c>
      <c r="F4758">
        <f t="shared" si="148"/>
        <v>1977</v>
      </c>
      <c r="G4758">
        <f t="shared" si="149"/>
        <v>3</v>
      </c>
      <c r="H4758" t="str">
        <f>IF(ISNUMBER(FIND(",", E4758)), TRIM(MID(E4758, FIND(",", E4758) + 1, LEN(E4758))), E4758)</f>
        <v>Romania</v>
      </c>
    </row>
    <row r="4759" spans="1:8" x14ac:dyDescent="0.25">
      <c r="A4759" s="2">
        <v>28186</v>
      </c>
      <c r="B4759">
        <v>6.7030000000000003</v>
      </c>
      <c r="C4759">
        <v>123.687</v>
      </c>
      <c r="D4759" t="s">
        <v>14</v>
      </c>
      <c r="E4759" t="s">
        <v>319</v>
      </c>
      <c r="F4759">
        <f t="shared" si="148"/>
        <v>1977</v>
      </c>
      <c r="G4759">
        <f t="shared" si="149"/>
        <v>3</v>
      </c>
      <c r="H4759" t="str">
        <f>IF(ISNUMBER(FIND(",", E4759)), TRIM(MID(E4759, FIND(",", E4759) + 1, LEN(E4759))), E4759)</f>
        <v>Mindanao, Philippines</v>
      </c>
    </row>
    <row r="4760" spans="1:8" x14ac:dyDescent="0.25">
      <c r="A4760" s="2">
        <v>28181</v>
      </c>
      <c r="B4760">
        <v>-6.2610000000000001</v>
      </c>
      <c r="C4760">
        <v>147.56700000000001</v>
      </c>
      <c r="D4760" t="s">
        <v>14</v>
      </c>
      <c r="E4760" t="s">
        <v>243</v>
      </c>
      <c r="F4760">
        <f t="shared" si="148"/>
        <v>1977</v>
      </c>
      <c r="G4760">
        <f t="shared" si="149"/>
        <v>2</v>
      </c>
      <c r="H4760" t="str">
        <f>IF(ISNUMBER(FIND(",", E4760)), TRIM(MID(E4760, FIND(",", E4760) + 1, LEN(E4760))), E4760)</f>
        <v>Papua New Guinea</v>
      </c>
    </row>
    <row r="4761" spans="1:8" x14ac:dyDescent="0.25">
      <c r="A4761" s="2">
        <v>28175</v>
      </c>
      <c r="B4761">
        <v>53.545999999999999</v>
      </c>
      <c r="C4761">
        <v>169.94900000000001</v>
      </c>
      <c r="D4761" t="s">
        <v>14</v>
      </c>
      <c r="E4761" t="s">
        <v>443</v>
      </c>
      <c r="F4761">
        <f t="shared" si="148"/>
        <v>1977</v>
      </c>
      <c r="G4761">
        <f t="shared" si="149"/>
        <v>2</v>
      </c>
      <c r="H4761" t="str">
        <f>IF(ISNUMBER(FIND(",", E4761)), TRIM(MID(E4761, FIND(",", E4761) + 1, LEN(E4761))), E4761)</f>
        <v>Russia region</v>
      </c>
    </row>
    <row r="4762" spans="1:8" x14ac:dyDescent="0.25">
      <c r="A4762" s="2">
        <v>28174</v>
      </c>
      <c r="B4762">
        <v>33.131</v>
      </c>
      <c r="C4762">
        <v>140.92699999999999</v>
      </c>
      <c r="D4762" t="s">
        <v>14</v>
      </c>
      <c r="E4762" t="s">
        <v>88</v>
      </c>
      <c r="F4762">
        <f t="shared" si="148"/>
        <v>1977</v>
      </c>
      <c r="G4762">
        <f t="shared" si="149"/>
        <v>2</v>
      </c>
      <c r="H4762" t="str">
        <f>IF(ISNUMBER(FIND(",", E4762)), TRIM(MID(E4762, FIND(",", E4762) + 1, LEN(E4762))), E4762)</f>
        <v>Japan region</v>
      </c>
    </row>
    <row r="4763" spans="1:8" x14ac:dyDescent="0.25">
      <c r="A4763" s="2">
        <v>28166</v>
      </c>
      <c r="B4763">
        <v>-60.951999999999998</v>
      </c>
      <c r="C4763">
        <v>-23.103999999999999</v>
      </c>
      <c r="D4763" t="s">
        <v>14</v>
      </c>
      <c r="E4763" t="s">
        <v>260</v>
      </c>
      <c r="F4763">
        <f t="shared" si="148"/>
        <v>1977</v>
      </c>
      <c r="G4763">
        <f t="shared" si="149"/>
        <v>2</v>
      </c>
      <c r="H4763" t="str">
        <f>IF(ISNUMBER(FIND(",", E4763)), TRIM(MID(E4763, FIND(",", E4763) + 1, LEN(E4763))), E4763)</f>
        <v>South Sandwich Islands region</v>
      </c>
    </row>
    <row r="4764" spans="1:8" x14ac:dyDescent="0.25">
      <c r="A4764" s="2">
        <v>28161</v>
      </c>
      <c r="B4764">
        <v>-66.486000000000004</v>
      </c>
      <c r="C4764">
        <v>-82.448999999999998</v>
      </c>
      <c r="D4764" t="s">
        <v>14</v>
      </c>
      <c r="E4764" t="s">
        <v>633</v>
      </c>
      <c r="F4764">
        <f t="shared" si="148"/>
        <v>1977</v>
      </c>
      <c r="G4764">
        <f t="shared" si="149"/>
        <v>2</v>
      </c>
      <c r="H4764" t="str">
        <f>IF(ISNUMBER(FIND(",", E4764)), TRIM(MID(E4764, FIND(",", E4764) + 1, LEN(E4764))), E4764)</f>
        <v>southern Pacific Ocean</v>
      </c>
    </row>
    <row r="4765" spans="1:8" x14ac:dyDescent="0.25">
      <c r="A4765" s="2">
        <v>28160</v>
      </c>
      <c r="B4765">
        <v>-24.727</v>
      </c>
      <c r="C4765">
        <v>-63.48</v>
      </c>
      <c r="D4765" t="s">
        <v>14</v>
      </c>
      <c r="E4765" t="s">
        <v>337</v>
      </c>
      <c r="F4765">
        <f t="shared" si="148"/>
        <v>1977</v>
      </c>
      <c r="G4765">
        <f t="shared" si="149"/>
        <v>2</v>
      </c>
      <c r="H4765" t="str">
        <f>IF(ISNUMBER(FIND(",", E4765)), TRIM(MID(E4765, FIND(",", E4765) + 1, LEN(E4765))), E4765)</f>
        <v>Argentina</v>
      </c>
    </row>
    <row r="4766" spans="1:8" x14ac:dyDescent="0.25">
      <c r="A4766" s="2">
        <v>28144</v>
      </c>
      <c r="B4766">
        <v>5.0780000000000003</v>
      </c>
      <c r="C4766">
        <v>126.532</v>
      </c>
      <c r="D4766" t="s">
        <v>14</v>
      </c>
      <c r="E4766" t="s">
        <v>200</v>
      </c>
      <c r="F4766">
        <f t="shared" si="148"/>
        <v>1977</v>
      </c>
      <c r="G4766">
        <f t="shared" si="149"/>
        <v>1</v>
      </c>
      <c r="H4766" t="str">
        <f>IF(ISNUMBER(FIND(",", E4766)), TRIM(MID(E4766, FIND(",", E4766) + 1, LEN(E4766))), E4766)</f>
        <v>Philippines</v>
      </c>
    </row>
    <row r="4767" spans="1:8" x14ac:dyDescent="0.25">
      <c r="A4767" s="2">
        <v>28143</v>
      </c>
      <c r="B4767">
        <v>-41.747999999999998</v>
      </c>
      <c r="C4767">
        <v>174.38300000000001</v>
      </c>
      <c r="D4767" t="s">
        <v>14</v>
      </c>
      <c r="E4767" t="s">
        <v>223</v>
      </c>
      <c r="F4767">
        <f t="shared" si="148"/>
        <v>1977</v>
      </c>
      <c r="G4767">
        <f t="shared" si="149"/>
        <v>1</v>
      </c>
      <c r="H4767" t="str">
        <f>IF(ISNUMBER(FIND(",", E4767)), TRIM(MID(E4767, FIND(",", E4767) + 1, LEN(E4767))), E4767)</f>
        <v>New Zealand</v>
      </c>
    </row>
    <row r="4768" spans="1:8" x14ac:dyDescent="0.25">
      <c r="A4768" s="2">
        <v>28142</v>
      </c>
      <c r="B4768">
        <v>-24.911000000000001</v>
      </c>
      <c r="C4768">
        <v>-68.653000000000006</v>
      </c>
      <c r="D4768" t="s">
        <v>14</v>
      </c>
      <c r="E4768" t="s">
        <v>289</v>
      </c>
      <c r="F4768">
        <f t="shared" si="148"/>
        <v>1977</v>
      </c>
      <c r="G4768">
        <f t="shared" si="149"/>
        <v>1</v>
      </c>
      <c r="H4768" t="str">
        <f>IF(ISNUMBER(FIND(",", E4768)), TRIM(MID(E4768, FIND(",", E4768) + 1, LEN(E4768))), E4768)</f>
        <v>Chile</v>
      </c>
    </row>
    <row r="4769" spans="1:8" x14ac:dyDescent="0.25">
      <c r="A4769" s="2">
        <v>28131</v>
      </c>
      <c r="B4769">
        <v>-3.5880000000000001</v>
      </c>
      <c r="C4769">
        <v>144.499</v>
      </c>
      <c r="D4769" t="s">
        <v>14</v>
      </c>
      <c r="E4769" t="s">
        <v>216</v>
      </c>
      <c r="F4769">
        <f t="shared" si="148"/>
        <v>1977</v>
      </c>
      <c r="G4769">
        <f t="shared" si="149"/>
        <v>1</v>
      </c>
      <c r="H4769" t="str">
        <f>IF(ISNUMBER(FIND(",", E4769)), TRIM(MID(E4769, FIND(",", E4769) + 1, LEN(E4769))), E4769)</f>
        <v>Papua New Guinea</v>
      </c>
    </row>
    <row r="4770" spans="1:8" x14ac:dyDescent="0.25">
      <c r="A4770" s="2">
        <v>28127</v>
      </c>
      <c r="B4770">
        <v>-10.085000000000001</v>
      </c>
      <c r="C4770">
        <v>119.008</v>
      </c>
      <c r="D4770" t="s">
        <v>14</v>
      </c>
      <c r="E4770" t="s">
        <v>592</v>
      </c>
      <c r="F4770">
        <f t="shared" si="148"/>
        <v>1977</v>
      </c>
      <c r="G4770">
        <f t="shared" si="149"/>
        <v>1</v>
      </c>
      <c r="H4770" t="str">
        <f>IF(ISNUMBER(FIND(",", E4770)), TRIM(MID(E4770, FIND(",", E4770) + 1, LEN(E4770))), E4770)</f>
        <v>Indonesia</v>
      </c>
    </row>
    <row r="4771" spans="1:8" x14ac:dyDescent="0.25">
      <c r="A4771" s="2">
        <v>28126</v>
      </c>
      <c r="B4771">
        <v>-2.5070000000000001</v>
      </c>
      <c r="C4771">
        <v>126.593</v>
      </c>
      <c r="D4771" t="s">
        <v>14</v>
      </c>
      <c r="E4771" t="s">
        <v>279</v>
      </c>
      <c r="F4771">
        <f t="shared" si="148"/>
        <v>1977</v>
      </c>
      <c r="G4771">
        <f t="shared" si="149"/>
        <v>1</v>
      </c>
      <c r="H4771" t="str">
        <f>IF(ISNUMBER(FIND(",", E4771)), TRIM(MID(E4771, FIND(",", E4771) + 1, LEN(E4771))), E4771)</f>
        <v>Indonesia</v>
      </c>
    </row>
    <row r="4772" spans="1:8" x14ac:dyDescent="0.25">
      <c r="A4772" s="2">
        <v>28114</v>
      </c>
      <c r="B4772">
        <v>48.79</v>
      </c>
      <c r="C4772">
        <v>-129.24</v>
      </c>
      <c r="D4772" t="s">
        <v>14</v>
      </c>
      <c r="E4772" t="s">
        <v>199</v>
      </c>
      <c r="F4772">
        <f t="shared" si="148"/>
        <v>1976</v>
      </c>
      <c r="G4772">
        <f t="shared" si="149"/>
        <v>12</v>
      </c>
      <c r="H4772" t="str">
        <f>IF(ISNUMBER(FIND(",", E4772)), TRIM(MID(E4772, FIND(",", E4772) + 1, LEN(E4772))), E4772)</f>
        <v>Canada region</v>
      </c>
    </row>
    <row r="4773" spans="1:8" x14ac:dyDescent="0.25">
      <c r="A4773" s="2">
        <v>28108</v>
      </c>
      <c r="B4773">
        <v>28.291</v>
      </c>
      <c r="C4773">
        <v>130.666</v>
      </c>
      <c r="D4773" t="s">
        <v>14</v>
      </c>
      <c r="E4773" t="s">
        <v>340</v>
      </c>
      <c r="F4773">
        <f t="shared" si="148"/>
        <v>1976</v>
      </c>
      <c r="G4773">
        <f t="shared" si="149"/>
        <v>12</v>
      </c>
      <c r="H4773" t="str">
        <f>IF(ISNUMBER(FIND(",", E4773)), TRIM(MID(E4773, FIND(",", E4773) + 1, LEN(E4773))), E4773)</f>
        <v>Japan</v>
      </c>
    </row>
    <row r="4774" spans="1:8" x14ac:dyDescent="0.25">
      <c r="A4774" s="2">
        <v>28106</v>
      </c>
      <c r="B4774">
        <v>28.044</v>
      </c>
      <c r="C4774">
        <v>139.64599999999999</v>
      </c>
      <c r="D4774" t="s">
        <v>14</v>
      </c>
      <c r="E4774" t="s">
        <v>233</v>
      </c>
      <c r="F4774">
        <f t="shared" si="148"/>
        <v>1976</v>
      </c>
      <c r="G4774">
        <f t="shared" si="149"/>
        <v>12</v>
      </c>
      <c r="H4774" t="str">
        <f>IF(ISNUMBER(FIND(",", E4774)), TRIM(MID(E4774, FIND(",", E4774) + 1, LEN(E4774))), E4774)</f>
        <v>Japan region</v>
      </c>
    </row>
    <row r="4775" spans="1:8" x14ac:dyDescent="0.25">
      <c r="A4775" s="2">
        <v>28094</v>
      </c>
      <c r="B4775">
        <v>-20.547999999999998</v>
      </c>
      <c r="C4775">
        <v>-68.873999999999995</v>
      </c>
      <c r="D4775" t="s">
        <v>14</v>
      </c>
      <c r="E4775" t="s">
        <v>237</v>
      </c>
      <c r="F4775">
        <f t="shared" si="148"/>
        <v>1976</v>
      </c>
      <c r="G4775">
        <f t="shared" si="149"/>
        <v>11</v>
      </c>
      <c r="H4775" t="str">
        <f>IF(ISNUMBER(FIND(",", E4775)), TRIM(MID(E4775, FIND(",", E4775) + 1, LEN(E4775))), E4775)</f>
        <v>Chile</v>
      </c>
    </row>
    <row r="4776" spans="1:8" x14ac:dyDescent="0.25">
      <c r="A4776" s="2">
        <v>28090</v>
      </c>
      <c r="B4776">
        <v>41.317</v>
      </c>
      <c r="C4776">
        <v>-125.771</v>
      </c>
      <c r="D4776" t="s">
        <v>14</v>
      </c>
      <c r="E4776" t="s">
        <v>449</v>
      </c>
      <c r="F4776">
        <f t="shared" si="148"/>
        <v>1976</v>
      </c>
      <c r="G4776">
        <f t="shared" si="149"/>
        <v>11</v>
      </c>
      <c r="H4776" t="str">
        <f>IF(ISNUMBER(FIND(",", E4776)), TRIM(MID(E4776, FIND(",", E4776) + 1, LEN(E4776))), E4776)</f>
        <v>off the coast of Northern California</v>
      </c>
    </row>
    <row r="4777" spans="1:8" x14ac:dyDescent="0.25">
      <c r="A4777" s="2">
        <v>28089</v>
      </c>
      <c r="B4777">
        <v>-19.547000000000001</v>
      </c>
      <c r="C4777">
        <v>-177.65</v>
      </c>
      <c r="D4777" t="s">
        <v>14</v>
      </c>
      <c r="E4777" t="s">
        <v>53</v>
      </c>
      <c r="F4777">
        <f t="shared" si="148"/>
        <v>1976</v>
      </c>
      <c r="G4777">
        <f t="shared" si="149"/>
        <v>11</v>
      </c>
      <c r="H4777" t="str">
        <f>IF(ISNUMBER(FIND(",", E4777)), TRIM(MID(E4777, FIND(",", E4777) + 1, LEN(E4777))), E4777)</f>
        <v>Fiji region</v>
      </c>
    </row>
    <row r="4778" spans="1:8" x14ac:dyDescent="0.25">
      <c r="A4778" s="2">
        <v>28088</v>
      </c>
      <c r="B4778">
        <v>39.082999999999998</v>
      </c>
      <c r="C4778">
        <v>44.03</v>
      </c>
      <c r="D4778" t="s">
        <v>14</v>
      </c>
      <c r="E4778" t="s">
        <v>634</v>
      </c>
      <c r="F4778">
        <f t="shared" si="148"/>
        <v>1976</v>
      </c>
      <c r="G4778">
        <f t="shared" si="149"/>
        <v>11</v>
      </c>
      <c r="H4778" t="str">
        <f>IF(ISNUMBER(FIND(",", E4778)), TRIM(MID(E4778, FIND(",", E4778) + 1, LEN(E4778))), E4778)</f>
        <v>Turkey-Iran border region</v>
      </c>
    </row>
    <row r="4779" spans="1:8" x14ac:dyDescent="0.25">
      <c r="A4779" s="2">
        <v>28086</v>
      </c>
      <c r="B4779">
        <v>7.0289999999999999</v>
      </c>
      <c r="C4779">
        <v>123.57899999999999</v>
      </c>
      <c r="D4779" t="s">
        <v>13</v>
      </c>
      <c r="E4779" t="s">
        <v>200</v>
      </c>
      <c r="F4779">
        <f t="shared" si="148"/>
        <v>1976</v>
      </c>
      <c r="G4779">
        <f t="shared" si="149"/>
        <v>11</v>
      </c>
      <c r="H4779" t="str">
        <f>IF(ISNUMBER(FIND(",", E4779)), TRIM(MID(E4779, FIND(",", E4779) + 1, LEN(E4779))), E4779)</f>
        <v>Philippines</v>
      </c>
    </row>
    <row r="4780" spans="1:8" x14ac:dyDescent="0.25">
      <c r="A4780" s="2">
        <v>28082</v>
      </c>
      <c r="B4780">
        <v>-4.194</v>
      </c>
      <c r="C4780">
        <v>135.11699999999999</v>
      </c>
      <c r="D4780" t="s">
        <v>14</v>
      </c>
      <c r="E4780" t="s">
        <v>204</v>
      </c>
      <c r="F4780">
        <f t="shared" si="148"/>
        <v>1976</v>
      </c>
      <c r="G4780">
        <f t="shared" si="149"/>
        <v>11</v>
      </c>
      <c r="H4780" t="str">
        <f>IF(ISNUMBER(FIND(",", E4780)), TRIM(MID(E4780, FIND(",", E4780) + 1, LEN(E4780))), E4780)</f>
        <v>Indonesia</v>
      </c>
    </row>
    <row r="4781" spans="1:8" x14ac:dyDescent="0.25">
      <c r="A4781" s="2">
        <v>28082</v>
      </c>
      <c r="B4781">
        <v>-8.7850000000000001</v>
      </c>
      <c r="C4781">
        <v>157.02699999999999</v>
      </c>
      <c r="D4781" t="s">
        <v>14</v>
      </c>
      <c r="E4781" t="s">
        <v>221</v>
      </c>
      <c r="F4781">
        <f t="shared" si="148"/>
        <v>1976</v>
      </c>
      <c r="G4781">
        <f t="shared" si="149"/>
        <v>11</v>
      </c>
      <c r="H4781" t="str">
        <f>IF(ISNUMBER(FIND(",", E4781)), TRIM(MID(E4781, FIND(",", E4781) + 1, LEN(E4781))), E4781)</f>
        <v>Solomon Islands</v>
      </c>
    </row>
    <row r="4782" spans="1:8" x14ac:dyDescent="0.25">
      <c r="A4782" s="2">
        <v>28080</v>
      </c>
      <c r="B4782">
        <v>-41.564999999999998</v>
      </c>
      <c r="C4782">
        <v>80.100999999999999</v>
      </c>
      <c r="D4782" t="s">
        <v>14</v>
      </c>
      <c r="E4782" t="s">
        <v>377</v>
      </c>
      <c r="F4782">
        <f t="shared" si="148"/>
        <v>1976</v>
      </c>
      <c r="G4782">
        <f t="shared" si="149"/>
        <v>11</v>
      </c>
      <c r="H4782" t="str">
        <f>IF(ISNUMBER(FIND(",", E4782)), TRIM(MID(E4782, FIND(",", E4782) + 1, LEN(E4782))), E4782)</f>
        <v>Mid-Indian Ridge</v>
      </c>
    </row>
    <row r="4783" spans="1:8" x14ac:dyDescent="0.25">
      <c r="A4783" s="2">
        <v>28079</v>
      </c>
      <c r="B4783">
        <v>39.473999999999997</v>
      </c>
      <c r="C4783">
        <v>117.742</v>
      </c>
      <c r="D4783" t="s">
        <v>14</v>
      </c>
      <c r="E4783" t="s">
        <v>635</v>
      </c>
      <c r="F4783">
        <f t="shared" si="148"/>
        <v>1976</v>
      </c>
      <c r="G4783">
        <f t="shared" si="149"/>
        <v>11</v>
      </c>
      <c r="H4783" t="str">
        <f>IF(ISNUMBER(FIND(",", E4783)), TRIM(MID(E4783, FIND(",", E4783) + 1, LEN(E4783))), E4783)</f>
        <v>China</v>
      </c>
    </row>
    <row r="4784" spans="1:8" x14ac:dyDescent="0.25">
      <c r="A4784" s="2">
        <v>28072</v>
      </c>
      <c r="B4784">
        <v>38.134999999999998</v>
      </c>
      <c r="C4784">
        <v>142.25299999999999</v>
      </c>
      <c r="D4784" t="s">
        <v>14</v>
      </c>
      <c r="E4784" t="s">
        <v>227</v>
      </c>
      <c r="F4784">
        <f t="shared" si="148"/>
        <v>1976</v>
      </c>
      <c r="G4784">
        <f t="shared" si="149"/>
        <v>11</v>
      </c>
      <c r="H4784" t="str">
        <f>IF(ISNUMBER(FIND(",", E4784)), TRIM(MID(E4784, FIND(",", E4784) + 1, LEN(E4784))), E4784)</f>
        <v>Japan</v>
      </c>
    </row>
    <row r="4785" spans="1:8" x14ac:dyDescent="0.25">
      <c r="A4785" s="2">
        <v>28071</v>
      </c>
      <c r="B4785">
        <v>8.5039999999999996</v>
      </c>
      <c r="C4785">
        <v>126.369</v>
      </c>
      <c r="D4785" t="s">
        <v>14</v>
      </c>
      <c r="E4785" t="s">
        <v>200</v>
      </c>
      <c r="F4785">
        <f t="shared" si="148"/>
        <v>1976</v>
      </c>
      <c r="G4785">
        <f t="shared" si="149"/>
        <v>11</v>
      </c>
      <c r="H4785" t="str">
        <f>IF(ISNUMBER(FIND(",", E4785)), TRIM(MID(E4785, FIND(",", E4785) + 1, LEN(E4785))), E4785)</f>
        <v>Philippines</v>
      </c>
    </row>
    <row r="4786" spans="1:8" x14ac:dyDescent="0.25">
      <c r="A4786" s="2">
        <v>28070</v>
      </c>
      <c r="B4786">
        <v>27.63</v>
      </c>
      <c r="C4786">
        <v>101.002</v>
      </c>
      <c r="D4786" t="s">
        <v>14</v>
      </c>
      <c r="E4786" t="s">
        <v>578</v>
      </c>
      <c r="F4786">
        <f t="shared" si="148"/>
        <v>1976</v>
      </c>
      <c r="G4786">
        <f t="shared" si="149"/>
        <v>11</v>
      </c>
      <c r="H4786" t="str">
        <f>IF(ISNUMBER(FIND(",", E4786)), TRIM(MID(E4786, FIND(",", E4786) + 1, LEN(E4786))), E4786)</f>
        <v>China</v>
      </c>
    </row>
    <row r="4787" spans="1:8" x14ac:dyDescent="0.25">
      <c r="A4787" s="2">
        <v>28066</v>
      </c>
      <c r="B4787">
        <v>-29.350999999999999</v>
      </c>
      <c r="C4787">
        <v>77.596000000000004</v>
      </c>
      <c r="D4787" t="s">
        <v>14</v>
      </c>
      <c r="E4787" t="s">
        <v>377</v>
      </c>
      <c r="F4787">
        <f t="shared" si="148"/>
        <v>1976</v>
      </c>
      <c r="G4787">
        <f t="shared" si="149"/>
        <v>11</v>
      </c>
      <c r="H4787" t="str">
        <f>IF(ISNUMBER(FIND(",", E4787)), TRIM(MID(E4787, FIND(",", E4787) + 1, LEN(E4787))), E4787)</f>
        <v>Mid-Indian Ridge</v>
      </c>
    </row>
    <row r="4788" spans="1:8" x14ac:dyDescent="0.25">
      <c r="A4788" s="2">
        <v>28062</v>
      </c>
      <c r="B4788">
        <v>-4.476</v>
      </c>
      <c r="C4788">
        <v>139.988</v>
      </c>
      <c r="D4788" t="s">
        <v>14</v>
      </c>
      <c r="E4788" t="s">
        <v>210</v>
      </c>
      <c r="F4788">
        <f t="shared" si="148"/>
        <v>1976</v>
      </c>
      <c r="G4788">
        <f t="shared" si="149"/>
        <v>10</v>
      </c>
      <c r="H4788" t="str">
        <f>IF(ISNUMBER(FIND(",", E4788)), TRIM(MID(E4788, FIND(",", E4788) + 1, LEN(E4788))), E4788)</f>
        <v>Indonesia</v>
      </c>
    </row>
    <row r="4789" spans="1:8" x14ac:dyDescent="0.25">
      <c r="A4789" s="2">
        <v>28038</v>
      </c>
      <c r="B4789">
        <v>-6.41</v>
      </c>
      <c r="C4789">
        <v>153.01300000000001</v>
      </c>
      <c r="D4789" t="s">
        <v>14</v>
      </c>
      <c r="E4789" t="s">
        <v>190</v>
      </c>
      <c r="F4789">
        <f t="shared" si="148"/>
        <v>1976</v>
      </c>
      <c r="G4789">
        <f t="shared" si="149"/>
        <v>10</v>
      </c>
      <c r="H4789" t="str">
        <f>IF(ISNUMBER(FIND(",", E4789)), TRIM(MID(E4789, FIND(",", E4789) + 1, LEN(E4789))), E4789)</f>
        <v>Papua New Guinea</v>
      </c>
    </row>
    <row r="4790" spans="1:8" x14ac:dyDescent="0.25">
      <c r="A4790" s="2">
        <v>28034</v>
      </c>
      <c r="B4790">
        <v>-30.248000000000001</v>
      </c>
      <c r="C4790">
        <v>-177.328</v>
      </c>
      <c r="D4790" t="s">
        <v>13</v>
      </c>
      <c r="E4790" t="s">
        <v>288</v>
      </c>
      <c r="F4790">
        <f t="shared" si="148"/>
        <v>1976</v>
      </c>
      <c r="G4790">
        <f t="shared" si="149"/>
        <v>10</v>
      </c>
      <c r="H4790" t="str">
        <f>IF(ISNUMBER(FIND(",", E4790)), TRIM(MID(E4790, FIND(",", E4790) + 1, LEN(E4790))), E4790)</f>
        <v>New Zealand</v>
      </c>
    </row>
    <row r="4791" spans="1:8" x14ac:dyDescent="0.25">
      <c r="A4791" s="2">
        <v>28033</v>
      </c>
      <c r="B4791">
        <v>-30.266999999999999</v>
      </c>
      <c r="C4791">
        <v>-177.63200000000001</v>
      </c>
      <c r="D4791" t="s">
        <v>14</v>
      </c>
      <c r="E4791" t="s">
        <v>288</v>
      </c>
      <c r="F4791">
        <f t="shared" si="148"/>
        <v>1976</v>
      </c>
      <c r="G4791">
        <f t="shared" si="149"/>
        <v>9</v>
      </c>
      <c r="H4791" t="str">
        <f>IF(ISNUMBER(FIND(",", E4791)), TRIM(MID(E4791, FIND(",", E4791) + 1, LEN(E4791))), E4791)</f>
        <v>New Zealand</v>
      </c>
    </row>
    <row r="4792" spans="1:8" x14ac:dyDescent="0.25">
      <c r="A4792" s="2">
        <v>27995</v>
      </c>
      <c r="B4792">
        <v>32.482999999999997</v>
      </c>
      <c r="C4792">
        <v>104.18300000000001</v>
      </c>
      <c r="D4792" t="s">
        <v>14</v>
      </c>
      <c r="E4792" t="s">
        <v>395</v>
      </c>
      <c r="F4792">
        <f t="shared" si="148"/>
        <v>1976</v>
      </c>
      <c r="G4792">
        <f t="shared" si="149"/>
        <v>8</v>
      </c>
      <c r="H4792" t="str">
        <f>IF(ISNUMBER(FIND(",", E4792)), TRIM(MID(E4792, FIND(",", E4792) + 1, LEN(E4792))), E4792)</f>
        <v>China</v>
      </c>
    </row>
    <row r="4793" spans="1:8" x14ac:dyDescent="0.25">
      <c r="A4793" s="2">
        <v>27993</v>
      </c>
      <c r="B4793">
        <v>32.563000000000002</v>
      </c>
      <c r="C4793">
        <v>104.22499999999999</v>
      </c>
      <c r="D4793" t="s">
        <v>14</v>
      </c>
      <c r="E4793" t="s">
        <v>395</v>
      </c>
      <c r="F4793">
        <f t="shared" si="148"/>
        <v>1976</v>
      </c>
      <c r="G4793">
        <f t="shared" si="149"/>
        <v>8</v>
      </c>
      <c r="H4793" t="str">
        <f>IF(ISNUMBER(FIND(",", E4793)), TRIM(MID(E4793, FIND(",", E4793) + 1, LEN(E4793))), E4793)</f>
        <v>China</v>
      </c>
    </row>
    <row r="4794" spans="1:8" x14ac:dyDescent="0.25">
      <c r="A4794" s="2">
        <v>27993</v>
      </c>
      <c r="B4794">
        <v>-6.7960000000000003</v>
      </c>
      <c r="C4794">
        <v>129.583</v>
      </c>
      <c r="D4794" t="s">
        <v>14</v>
      </c>
      <c r="E4794" t="s">
        <v>187</v>
      </c>
      <c r="F4794">
        <f t="shared" si="148"/>
        <v>1976</v>
      </c>
      <c r="G4794">
        <f t="shared" si="149"/>
        <v>8</v>
      </c>
      <c r="H4794" t="str">
        <f>IF(ISNUMBER(FIND(",", E4794)), TRIM(MID(E4794, FIND(",", E4794) + 1, LEN(E4794))), E4794)</f>
        <v>Banda Sea</v>
      </c>
    </row>
    <row r="4795" spans="1:8" x14ac:dyDescent="0.25">
      <c r="A4795" s="2">
        <v>27991</v>
      </c>
      <c r="B4795">
        <v>37.710999999999999</v>
      </c>
      <c r="C4795">
        <v>29.000900000000001</v>
      </c>
      <c r="E4795" t="s">
        <v>494</v>
      </c>
      <c r="F4795">
        <f t="shared" si="148"/>
        <v>1976</v>
      </c>
      <c r="G4795">
        <f t="shared" si="149"/>
        <v>8</v>
      </c>
      <c r="H4795" t="str">
        <f>IF(ISNUMBER(FIND(",", E4795)), TRIM(MID(E4795, FIND(",", E4795) + 1, LEN(E4795))), E4795)</f>
        <v>western Turkey</v>
      </c>
    </row>
    <row r="4796" spans="1:8" x14ac:dyDescent="0.25">
      <c r="A4796" s="2">
        <v>27989</v>
      </c>
      <c r="B4796">
        <v>7.2590000000000003</v>
      </c>
      <c r="C4796">
        <v>122.959</v>
      </c>
      <c r="D4796" t="s">
        <v>14</v>
      </c>
      <c r="E4796" t="s">
        <v>200</v>
      </c>
      <c r="F4796">
        <f t="shared" si="148"/>
        <v>1976</v>
      </c>
      <c r="G4796">
        <f t="shared" si="149"/>
        <v>8</v>
      </c>
      <c r="H4796" t="str">
        <f>IF(ISNUMBER(FIND(",", E4796)), TRIM(MID(E4796, FIND(",", E4796) + 1, LEN(E4796))), E4796)</f>
        <v>Philippines</v>
      </c>
    </row>
    <row r="4797" spans="1:8" x14ac:dyDescent="0.25">
      <c r="A4797" s="2">
        <v>27988</v>
      </c>
      <c r="B4797">
        <v>6.2919999999999998</v>
      </c>
      <c r="C4797">
        <v>124.09099999999999</v>
      </c>
      <c r="D4797" t="s">
        <v>14</v>
      </c>
      <c r="E4797" t="s">
        <v>200</v>
      </c>
      <c r="F4797">
        <f t="shared" si="148"/>
        <v>1976</v>
      </c>
      <c r="G4797">
        <f t="shared" si="149"/>
        <v>8</v>
      </c>
      <c r="H4797" t="str">
        <f>IF(ISNUMBER(FIND(",", E4797)), TRIM(MID(E4797, FIND(",", E4797) + 1, LEN(E4797))), E4797)</f>
        <v>Philippines</v>
      </c>
    </row>
    <row r="4798" spans="1:8" x14ac:dyDescent="0.25">
      <c r="A4798" s="2">
        <v>27988</v>
      </c>
      <c r="B4798">
        <v>32.75</v>
      </c>
      <c r="C4798">
        <v>104.089</v>
      </c>
      <c r="D4798" t="s">
        <v>14</v>
      </c>
      <c r="E4798" t="s">
        <v>395</v>
      </c>
      <c r="F4798">
        <f t="shared" si="148"/>
        <v>1976</v>
      </c>
      <c r="G4798">
        <f t="shared" si="149"/>
        <v>8</v>
      </c>
      <c r="H4798" t="str">
        <f>IF(ISNUMBER(FIND(",", E4798)), TRIM(MID(E4798, FIND(",", E4798) + 1, LEN(E4798))), E4798)</f>
        <v>China</v>
      </c>
    </row>
    <row r="4799" spans="1:8" x14ac:dyDescent="0.25">
      <c r="A4799" s="2">
        <v>27984</v>
      </c>
      <c r="B4799">
        <v>3.544</v>
      </c>
      <c r="C4799">
        <v>124.238</v>
      </c>
      <c r="D4799" t="s">
        <v>14</v>
      </c>
      <c r="E4799" t="s">
        <v>203</v>
      </c>
      <c r="F4799">
        <f t="shared" si="148"/>
        <v>1976</v>
      </c>
      <c r="G4799">
        <f t="shared" si="149"/>
        <v>8</v>
      </c>
      <c r="H4799" t="str">
        <f>IF(ISNUMBER(FIND(",", E4799)), TRIM(MID(E4799, FIND(",", E4799) + 1, LEN(E4799))), E4799)</f>
        <v>Celebes Sea</v>
      </c>
    </row>
    <row r="4800" spans="1:8" x14ac:dyDescent="0.25">
      <c r="A4800" s="2">
        <v>27974</v>
      </c>
      <c r="B4800">
        <v>-20.626999999999999</v>
      </c>
      <c r="C4800">
        <v>169.42</v>
      </c>
      <c r="D4800" t="s">
        <v>14</v>
      </c>
      <c r="E4800" t="s">
        <v>181</v>
      </c>
      <c r="F4800">
        <f t="shared" si="148"/>
        <v>1976</v>
      </c>
      <c r="G4800">
        <f t="shared" si="149"/>
        <v>8</v>
      </c>
      <c r="H4800" t="str">
        <f>IF(ISNUMBER(FIND(",", E4800)), TRIM(MID(E4800, FIND(",", E4800) + 1, LEN(E4800))), E4800)</f>
        <v>Vanuatu</v>
      </c>
    </row>
    <row r="4801" spans="1:8" x14ac:dyDescent="0.25">
      <c r="A4801" s="2">
        <v>27972</v>
      </c>
      <c r="B4801">
        <v>-30.311</v>
      </c>
      <c r="C4801">
        <v>-177.80699999999999</v>
      </c>
      <c r="D4801" t="s">
        <v>14</v>
      </c>
      <c r="E4801" t="s">
        <v>288</v>
      </c>
      <c r="F4801">
        <f t="shared" si="148"/>
        <v>1976</v>
      </c>
      <c r="G4801">
        <f t="shared" si="149"/>
        <v>7</v>
      </c>
      <c r="H4801" t="str">
        <f>IF(ISNUMBER(FIND(",", E4801)), TRIM(MID(E4801, FIND(",", E4801) + 1, LEN(E4801))), E4801)</f>
        <v>New Zealand</v>
      </c>
    </row>
    <row r="4802" spans="1:8" x14ac:dyDescent="0.25">
      <c r="A4802" s="2">
        <v>27969</v>
      </c>
      <c r="B4802">
        <v>43.271999999999998</v>
      </c>
      <c r="C4802">
        <v>45.654000000000003</v>
      </c>
      <c r="D4802" t="s">
        <v>14</v>
      </c>
      <c r="E4802" t="s">
        <v>636</v>
      </c>
      <c r="F4802">
        <f t="shared" ref="F4802:F4865" si="150">YEAR(A4802)</f>
        <v>1976</v>
      </c>
      <c r="G4802">
        <f t="shared" si="149"/>
        <v>7</v>
      </c>
      <c r="H4802" t="str">
        <f>IF(ISNUMBER(FIND(",", E4802)), TRIM(MID(E4802, FIND(",", E4802) + 1, LEN(E4802))), E4802)</f>
        <v>Russia</v>
      </c>
    </row>
    <row r="4803" spans="1:8" x14ac:dyDescent="0.25">
      <c r="A4803" s="2">
        <v>27969</v>
      </c>
      <c r="B4803">
        <v>-20.192</v>
      </c>
      <c r="C4803">
        <v>170.124</v>
      </c>
      <c r="D4803" t="s">
        <v>14</v>
      </c>
      <c r="E4803" t="s">
        <v>181</v>
      </c>
      <c r="F4803">
        <f t="shared" si="150"/>
        <v>1976</v>
      </c>
      <c r="G4803">
        <f t="shared" ref="G4803:G4866" si="151">MONTH(A4803)</f>
        <v>7</v>
      </c>
      <c r="H4803" t="str">
        <f>IF(ISNUMBER(FIND(",", E4803)), TRIM(MID(E4803, FIND(",", E4803) + 1, LEN(E4803))), E4803)</f>
        <v>Vanuatu</v>
      </c>
    </row>
    <row r="4804" spans="1:8" x14ac:dyDescent="0.25">
      <c r="A4804" s="2">
        <v>27969</v>
      </c>
      <c r="B4804">
        <v>39.722000000000001</v>
      </c>
      <c r="C4804">
        <v>118.36</v>
      </c>
      <c r="D4804" t="s">
        <v>14</v>
      </c>
      <c r="E4804" t="s">
        <v>637</v>
      </c>
      <c r="F4804">
        <f t="shared" si="150"/>
        <v>1976</v>
      </c>
      <c r="G4804">
        <f t="shared" si="151"/>
        <v>7</v>
      </c>
      <c r="H4804" t="str">
        <f>IF(ISNUMBER(FIND(",", E4804)), TRIM(MID(E4804, FIND(",", E4804) + 1, LEN(E4804))), E4804)</f>
        <v>China</v>
      </c>
    </row>
    <row r="4805" spans="1:8" x14ac:dyDescent="0.25">
      <c r="A4805" s="2">
        <v>27968</v>
      </c>
      <c r="B4805">
        <v>39.604999999999997</v>
      </c>
      <c r="C4805">
        <v>117.889</v>
      </c>
      <c r="D4805" t="s">
        <v>14</v>
      </c>
      <c r="E4805" t="s">
        <v>635</v>
      </c>
      <c r="F4805">
        <f t="shared" si="150"/>
        <v>1976</v>
      </c>
      <c r="G4805">
        <f t="shared" si="151"/>
        <v>7</v>
      </c>
      <c r="H4805" t="str">
        <f>IF(ISNUMBER(FIND(",", E4805)), TRIM(MID(E4805, FIND(",", E4805) + 1, LEN(E4805))), E4805)</f>
        <v>China</v>
      </c>
    </row>
    <row r="4806" spans="1:8" x14ac:dyDescent="0.25">
      <c r="A4806" s="2">
        <v>27967</v>
      </c>
      <c r="B4806">
        <v>4.9400000000000004</v>
      </c>
      <c r="C4806">
        <v>118.255</v>
      </c>
      <c r="D4806" t="s">
        <v>14</v>
      </c>
      <c r="E4806" t="s">
        <v>638</v>
      </c>
      <c r="F4806">
        <f t="shared" si="150"/>
        <v>1976</v>
      </c>
      <c r="G4806">
        <f t="shared" si="151"/>
        <v>7</v>
      </c>
      <c r="H4806" t="str">
        <f>IF(ISNUMBER(FIND(",", E4806)), TRIM(MID(E4806, FIND(",", E4806) + 1, LEN(E4806))), E4806)</f>
        <v>Malaysia</v>
      </c>
    </row>
    <row r="4807" spans="1:8" x14ac:dyDescent="0.25">
      <c r="A4807" s="2">
        <v>27967</v>
      </c>
      <c r="B4807">
        <v>-21.907</v>
      </c>
      <c r="C4807">
        <v>-113.33199999999999</v>
      </c>
      <c r="D4807" t="s">
        <v>14</v>
      </c>
      <c r="E4807" t="s">
        <v>268</v>
      </c>
      <c r="F4807">
        <f t="shared" si="150"/>
        <v>1976</v>
      </c>
      <c r="G4807">
        <f t="shared" si="151"/>
        <v>7</v>
      </c>
      <c r="H4807" t="str">
        <f>IF(ISNUMBER(FIND(",", E4807)), TRIM(MID(E4807, FIND(",", E4807) + 1, LEN(E4807))), E4807)</f>
        <v>southern East Pacific Rise</v>
      </c>
    </row>
    <row r="4808" spans="1:8" x14ac:dyDescent="0.25">
      <c r="A4808" s="2">
        <v>27962</v>
      </c>
      <c r="B4808">
        <v>24.753</v>
      </c>
      <c r="C4808">
        <v>98.644000000000005</v>
      </c>
      <c r="D4808" t="s">
        <v>14</v>
      </c>
      <c r="E4808" t="s">
        <v>393</v>
      </c>
      <c r="F4808">
        <f t="shared" si="150"/>
        <v>1976</v>
      </c>
      <c r="G4808">
        <f t="shared" si="151"/>
        <v>7</v>
      </c>
      <c r="H4808" t="str">
        <f>IF(ISNUMBER(FIND(",", E4808)), TRIM(MID(E4808, FIND(",", E4808) + 1, LEN(E4808))), E4808)</f>
        <v>Myanmar-China border region</v>
      </c>
    </row>
    <row r="4809" spans="1:8" x14ac:dyDescent="0.25">
      <c r="A4809" s="2">
        <v>27958</v>
      </c>
      <c r="B4809">
        <v>-4.1820000000000004</v>
      </c>
      <c r="C4809">
        <v>152.79900000000001</v>
      </c>
      <c r="D4809" t="s">
        <v>14</v>
      </c>
      <c r="E4809" t="s">
        <v>190</v>
      </c>
      <c r="F4809">
        <f t="shared" si="150"/>
        <v>1976</v>
      </c>
      <c r="G4809">
        <f t="shared" si="151"/>
        <v>7</v>
      </c>
      <c r="H4809" t="str">
        <f>IF(ISNUMBER(FIND(",", E4809)), TRIM(MID(E4809, FIND(",", E4809) + 1, LEN(E4809))), E4809)</f>
        <v>Papua New Guinea</v>
      </c>
    </row>
    <row r="4810" spans="1:8" x14ac:dyDescent="0.25">
      <c r="A4810" s="2">
        <v>27955</v>
      </c>
      <c r="B4810">
        <v>-8.2279999999999998</v>
      </c>
      <c r="C4810">
        <v>114.773</v>
      </c>
      <c r="D4810" t="s">
        <v>14</v>
      </c>
      <c r="E4810" t="s">
        <v>621</v>
      </c>
      <c r="F4810">
        <f t="shared" si="150"/>
        <v>1976</v>
      </c>
      <c r="G4810">
        <f t="shared" si="151"/>
        <v>7</v>
      </c>
      <c r="H4810" t="str">
        <f>IF(ISNUMBER(FIND(",", E4810)), TRIM(MID(E4810, FIND(",", E4810) + 1, LEN(E4810))), E4810)</f>
        <v>Indonesia</v>
      </c>
    </row>
    <row r="4811" spans="1:8" x14ac:dyDescent="0.25">
      <c r="A4811" s="2">
        <v>27952</v>
      </c>
      <c r="B4811">
        <v>7.3739999999999997</v>
      </c>
      <c r="C4811">
        <v>-78.069999999999993</v>
      </c>
      <c r="D4811" t="s">
        <v>14</v>
      </c>
      <c r="E4811" t="s">
        <v>367</v>
      </c>
      <c r="F4811">
        <f t="shared" si="150"/>
        <v>1976</v>
      </c>
      <c r="G4811">
        <f t="shared" si="151"/>
        <v>7</v>
      </c>
      <c r="H4811" t="str">
        <f>IF(ISNUMBER(FIND(",", E4811)), TRIM(MID(E4811, FIND(",", E4811) + 1, LEN(E4811))), E4811)</f>
        <v>Panama</v>
      </c>
    </row>
    <row r="4812" spans="1:8" x14ac:dyDescent="0.25">
      <c r="A4812" s="2">
        <v>27952</v>
      </c>
      <c r="B4812">
        <v>7.49</v>
      </c>
      <c r="C4812">
        <v>-78.247</v>
      </c>
      <c r="D4812" t="s">
        <v>14</v>
      </c>
      <c r="E4812" t="s">
        <v>367</v>
      </c>
      <c r="F4812">
        <f t="shared" si="150"/>
        <v>1976</v>
      </c>
      <c r="G4812">
        <f t="shared" si="151"/>
        <v>7</v>
      </c>
      <c r="H4812" t="str">
        <f>IF(ISNUMBER(FIND(",", E4812)), TRIM(MID(E4812, FIND(",", E4812) + 1, LEN(E4812))), E4812)</f>
        <v>Panama</v>
      </c>
    </row>
    <row r="4813" spans="1:8" x14ac:dyDescent="0.25">
      <c r="A4813" s="2">
        <v>27951</v>
      </c>
      <c r="B4813">
        <v>47.319000000000003</v>
      </c>
      <c r="C4813">
        <v>145.76400000000001</v>
      </c>
      <c r="D4813" t="s">
        <v>14</v>
      </c>
      <c r="E4813" t="s">
        <v>74</v>
      </c>
      <c r="F4813">
        <f t="shared" si="150"/>
        <v>1976</v>
      </c>
      <c r="G4813">
        <f t="shared" si="151"/>
        <v>7</v>
      </c>
      <c r="H4813" t="str">
        <f>IF(ISNUMBER(FIND(",", E4813)), TRIM(MID(E4813, FIND(",", E4813) + 1, LEN(E4813))), E4813)</f>
        <v>Sea of Okhotsk</v>
      </c>
    </row>
    <row r="4814" spans="1:8" x14ac:dyDescent="0.25">
      <c r="A4814" s="2">
        <v>27940</v>
      </c>
      <c r="B4814">
        <v>-33.771000000000001</v>
      </c>
      <c r="C4814">
        <v>-177.81800000000001</v>
      </c>
      <c r="D4814" t="s">
        <v>14</v>
      </c>
      <c r="E4814" t="s">
        <v>262</v>
      </c>
      <c r="F4814">
        <f t="shared" si="150"/>
        <v>1976</v>
      </c>
      <c r="G4814">
        <f t="shared" si="151"/>
        <v>6</v>
      </c>
      <c r="H4814" t="str">
        <f>IF(ISNUMBER(FIND(",", E4814)), TRIM(MID(E4814, FIND(",", E4814) + 1, LEN(E4814))), E4814)</f>
        <v>south of the Kermadec Islands</v>
      </c>
    </row>
    <row r="4815" spans="1:8" x14ac:dyDescent="0.25">
      <c r="A4815" s="2">
        <v>27937</v>
      </c>
      <c r="B4815">
        <v>3.7519999999999998</v>
      </c>
      <c r="C4815">
        <v>126.69499999999999</v>
      </c>
      <c r="D4815" t="s">
        <v>14</v>
      </c>
      <c r="E4815" t="s">
        <v>372</v>
      </c>
      <c r="F4815">
        <f t="shared" si="150"/>
        <v>1976</v>
      </c>
      <c r="G4815">
        <f t="shared" si="151"/>
        <v>6</v>
      </c>
      <c r="H4815" t="str">
        <f>IF(ISNUMBER(FIND(",", E4815)), TRIM(MID(E4815, FIND(",", E4815) + 1, LEN(E4815))), E4815)</f>
        <v>Indonesia</v>
      </c>
    </row>
    <row r="4816" spans="1:8" x14ac:dyDescent="0.25">
      <c r="A4816" s="2">
        <v>27936</v>
      </c>
      <c r="B4816">
        <v>-4.524</v>
      </c>
      <c r="C4816">
        <v>140.10400000000001</v>
      </c>
      <c r="D4816" t="s">
        <v>14</v>
      </c>
      <c r="E4816" t="s">
        <v>210</v>
      </c>
      <c r="F4816">
        <f t="shared" si="150"/>
        <v>1976</v>
      </c>
      <c r="G4816">
        <f t="shared" si="151"/>
        <v>6</v>
      </c>
      <c r="H4816" t="str">
        <f>IF(ISNUMBER(FIND(",", E4816)), TRIM(MID(E4816, FIND(",", E4816) + 1, LEN(E4816))), E4816)</f>
        <v>Indonesia</v>
      </c>
    </row>
    <row r="4817" spans="1:8" x14ac:dyDescent="0.25">
      <c r="A4817" s="2">
        <v>27931</v>
      </c>
      <c r="B4817">
        <v>3.4369999999999998</v>
      </c>
      <c r="C4817">
        <v>96.254000000000005</v>
      </c>
      <c r="D4817" t="s">
        <v>14</v>
      </c>
      <c r="E4817" t="s">
        <v>226</v>
      </c>
      <c r="F4817">
        <f t="shared" si="150"/>
        <v>1976</v>
      </c>
      <c r="G4817">
        <f t="shared" si="151"/>
        <v>6</v>
      </c>
      <c r="H4817" t="str">
        <f>IF(ISNUMBER(FIND(",", E4817)), TRIM(MID(E4817, FIND(",", E4817) + 1, LEN(E4817))), E4817)</f>
        <v>Indonesia</v>
      </c>
    </row>
    <row r="4818" spans="1:8" x14ac:dyDescent="0.25">
      <c r="A4818" s="2">
        <v>27930</v>
      </c>
      <c r="B4818">
        <v>-17.940999999999999</v>
      </c>
      <c r="C4818">
        <v>65.346999999999994</v>
      </c>
      <c r="D4818" t="s">
        <v>14</v>
      </c>
      <c r="E4818" t="s">
        <v>220</v>
      </c>
      <c r="F4818">
        <f t="shared" si="150"/>
        <v>1976</v>
      </c>
      <c r="G4818">
        <f t="shared" si="151"/>
        <v>6</v>
      </c>
      <c r="H4818" t="str">
        <f>IF(ISNUMBER(FIND(",", E4818)), TRIM(MID(E4818, FIND(",", E4818) + 1, LEN(E4818))), E4818)</f>
        <v>Mauritius - Reunion region</v>
      </c>
    </row>
    <row r="4819" spans="1:8" x14ac:dyDescent="0.25">
      <c r="A4819" s="2">
        <v>27928</v>
      </c>
      <c r="B4819">
        <v>46.161999999999999</v>
      </c>
      <c r="C4819">
        <v>12.864000000000001</v>
      </c>
      <c r="D4819" t="s">
        <v>13</v>
      </c>
      <c r="E4819" t="s">
        <v>236</v>
      </c>
      <c r="F4819">
        <f t="shared" si="150"/>
        <v>1976</v>
      </c>
      <c r="G4819">
        <f t="shared" si="151"/>
        <v>6</v>
      </c>
      <c r="H4819" t="str">
        <f>IF(ISNUMBER(FIND(",", E4819)), TRIM(MID(E4819, FIND(",", E4819) + 1, LEN(E4819))), E4819)</f>
        <v>northern Italy</v>
      </c>
    </row>
    <row r="4820" spans="1:8" x14ac:dyDescent="0.25">
      <c r="A4820" s="2">
        <v>27926</v>
      </c>
      <c r="B4820">
        <v>0.53500000000000003</v>
      </c>
      <c r="C4820">
        <v>134.744</v>
      </c>
      <c r="D4820" t="s">
        <v>14</v>
      </c>
      <c r="E4820" t="s">
        <v>513</v>
      </c>
      <c r="F4820">
        <f t="shared" si="150"/>
        <v>1976</v>
      </c>
      <c r="G4820">
        <f t="shared" si="151"/>
        <v>6</v>
      </c>
      <c r="H4820" t="str">
        <f>IF(ISNUMBER(FIND(",", E4820)), TRIM(MID(E4820, FIND(",", E4820) + 1, LEN(E4820))), E4820)</f>
        <v>Indonesia</v>
      </c>
    </row>
    <row r="4821" spans="1:8" x14ac:dyDescent="0.25">
      <c r="A4821" s="2">
        <v>27918</v>
      </c>
      <c r="B4821">
        <v>17.378</v>
      </c>
      <c r="C4821">
        <v>-100.691</v>
      </c>
      <c r="D4821" t="s">
        <v>14</v>
      </c>
      <c r="E4821" t="s">
        <v>192</v>
      </c>
      <c r="F4821">
        <f t="shared" si="150"/>
        <v>1976</v>
      </c>
      <c r="G4821">
        <f t="shared" si="151"/>
        <v>6</v>
      </c>
      <c r="H4821" t="str">
        <f>IF(ISNUMBER(FIND(",", E4821)), TRIM(MID(E4821, FIND(",", E4821) + 1, LEN(E4821))), E4821)</f>
        <v>Mexico</v>
      </c>
    </row>
    <row r="4822" spans="1:8" x14ac:dyDescent="0.25">
      <c r="A4822" s="2">
        <v>27918</v>
      </c>
      <c r="B4822">
        <v>14.106999999999999</v>
      </c>
      <c r="C4822">
        <v>124.869</v>
      </c>
      <c r="D4822" t="s">
        <v>14</v>
      </c>
      <c r="E4822" t="s">
        <v>558</v>
      </c>
      <c r="F4822">
        <f t="shared" si="150"/>
        <v>1976</v>
      </c>
      <c r="G4822">
        <f t="shared" si="151"/>
        <v>6</v>
      </c>
      <c r="H4822" t="str">
        <f>IF(ISNUMBER(FIND(",", E4822)), TRIM(MID(E4822, FIND(",", E4822) + 1, LEN(E4822))), E4822)</f>
        <v>Philippines</v>
      </c>
    </row>
    <row r="4823" spans="1:8" x14ac:dyDescent="0.25">
      <c r="A4823" s="2">
        <v>27916</v>
      </c>
      <c r="B4823">
        <v>-10.074</v>
      </c>
      <c r="C4823">
        <v>161.04900000000001</v>
      </c>
      <c r="D4823" t="s">
        <v>14</v>
      </c>
      <c r="E4823" t="s">
        <v>221</v>
      </c>
      <c r="F4823">
        <f t="shared" si="150"/>
        <v>1976</v>
      </c>
      <c r="G4823">
        <f t="shared" si="151"/>
        <v>6</v>
      </c>
      <c r="H4823" t="str">
        <f>IF(ISNUMBER(FIND(",", E4823)), TRIM(MID(E4823, FIND(",", E4823) + 1, LEN(E4823))), E4823)</f>
        <v>Solomon Islands</v>
      </c>
    </row>
    <row r="4824" spans="1:8" x14ac:dyDescent="0.25">
      <c r="A4824" s="2">
        <v>27914</v>
      </c>
      <c r="B4824">
        <v>-5.093</v>
      </c>
      <c r="C4824">
        <v>153.58000000000001</v>
      </c>
      <c r="D4824" t="s">
        <v>14</v>
      </c>
      <c r="E4824" t="s">
        <v>183</v>
      </c>
      <c r="F4824">
        <f t="shared" si="150"/>
        <v>1976</v>
      </c>
      <c r="G4824">
        <f t="shared" si="151"/>
        <v>6</v>
      </c>
      <c r="H4824" t="str">
        <f>IF(ISNUMBER(FIND(",", E4824)), TRIM(MID(E4824, FIND(",", E4824) + 1, LEN(E4824))), E4824)</f>
        <v>Papua New Guinea</v>
      </c>
    </row>
    <row r="4825" spans="1:8" x14ac:dyDescent="0.25">
      <c r="A4825" s="2">
        <v>27911</v>
      </c>
      <c r="B4825">
        <v>24.347999999999999</v>
      </c>
      <c r="C4825">
        <v>98.623000000000005</v>
      </c>
      <c r="D4825" t="s">
        <v>14</v>
      </c>
      <c r="E4825" t="s">
        <v>393</v>
      </c>
      <c r="F4825">
        <f t="shared" si="150"/>
        <v>1976</v>
      </c>
      <c r="G4825">
        <f t="shared" si="151"/>
        <v>5</v>
      </c>
      <c r="H4825" t="str">
        <f>IF(ISNUMBER(FIND(",", E4825)), TRIM(MID(E4825, FIND(",", E4825) + 1, LEN(E4825))), E4825)</f>
        <v>Myanmar-China border region</v>
      </c>
    </row>
    <row r="4826" spans="1:8" x14ac:dyDescent="0.25">
      <c r="A4826" s="2">
        <v>27910</v>
      </c>
      <c r="B4826">
        <v>-41.600999999999999</v>
      </c>
      <c r="C4826">
        <v>-75.44</v>
      </c>
      <c r="D4826" t="s">
        <v>14</v>
      </c>
      <c r="E4826" t="s">
        <v>508</v>
      </c>
      <c r="F4826">
        <f t="shared" si="150"/>
        <v>1976</v>
      </c>
      <c r="G4826">
        <f t="shared" si="151"/>
        <v>5</v>
      </c>
      <c r="H4826" t="str">
        <f>IF(ISNUMBER(FIND(",", E4826)), TRIM(MID(E4826, FIND(",", E4826) + 1, LEN(E4826))), E4826)</f>
        <v>Chile</v>
      </c>
    </row>
    <row r="4827" spans="1:8" x14ac:dyDescent="0.25">
      <c r="A4827" s="2">
        <v>27909</v>
      </c>
      <c r="B4827">
        <v>24.52</v>
      </c>
      <c r="C4827">
        <v>98.501999999999995</v>
      </c>
      <c r="D4827" t="s">
        <v>14</v>
      </c>
      <c r="E4827" t="s">
        <v>393</v>
      </c>
      <c r="F4827">
        <f t="shared" si="150"/>
        <v>1976</v>
      </c>
      <c r="G4827">
        <f t="shared" si="151"/>
        <v>5</v>
      </c>
      <c r="H4827" t="str">
        <f>IF(ISNUMBER(FIND(",", E4827)), TRIM(MID(E4827, FIND(",", E4827) + 1, LEN(E4827))), E4827)</f>
        <v>Myanmar-China border region</v>
      </c>
    </row>
    <row r="4828" spans="1:8" x14ac:dyDescent="0.25">
      <c r="A4828" s="2">
        <v>27909</v>
      </c>
      <c r="B4828">
        <v>24.509</v>
      </c>
      <c r="C4828">
        <v>98.912999999999997</v>
      </c>
      <c r="D4828" t="s">
        <v>14</v>
      </c>
      <c r="E4828" t="s">
        <v>393</v>
      </c>
      <c r="F4828">
        <f t="shared" si="150"/>
        <v>1976</v>
      </c>
      <c r="G4828">
        <f t="shared" si="151"/>
        <v>5</v>
      </c>
      <c r="H4828" t="str">
        <f>IF(ISNUMBER(FIND(",", E4828)), TRIM(MID(E4828, FIND(",", E4828) + 1, LEN(E4828))), E4828)</f>
        <v>Myanmar-China border region</v>
      </c>
    </row>
    <row r="4829" spans="1:8" x14ac:dyDescent="0.25">
      <c r="A4829" s="2">
        <v>27902</v>
      </c>
      <c r="B4829">
        <v>-5.5869999999999997</v>
      </c>
      <c r="C4829">
        <v>154.31899999999999</v>
      </c>
      <c r="D4829" t="s">
        <v>13</v>
      </c>
      <c r="E4829" t="s">
        <v>290</v>
      </c>
      <c r="F4829">
        <f t="shared" si="150"/>
        <v>1976</v>
      </c>
      <c r="G4829">
        <f t="shared" si="151"/>
        <v>5</v>
      </c>
      <c r="H4829" t="str">
        <f>IF(ISNUMBER(FIND(",", E4829)), TRIM(MID(E4829, FIND(",", E4829) + 1, LEN(E4829))), E4829)</f>
        <v>Papua New Guinea</v>
      </c>
    </row>
    <row r="4830" spans="1:8" x14ac:dyDescent="0.25">
      <c r="A4830" s="2">
        <v>27899</v>
      </c>
      <c r="B4830">
        <v>-31.117999999999999</v>
      </c>
      <c r="C4830">
        <v>-177.602</v>
      </c>
      <c r="D4830" t="s">
        <v>17</v>
      </c>
      <c r="E4830" t="s">
        <v>240</v>
      </c>
      <c r="F4830">
        <f t="shared" si="150"/>
        <v>1976</v>
      </c>
      <c r="G4830">
        <f t="shared" si="151"/>
        <v>5</v>
      </c>
      <c r="H4830" t="str">
        <f>IF(ISNUMBER(FIND(",", E4830)), TRIM(MID(E4830, FIND(",", E4830) + 1, LEN(E4830))), E4830)</f>
        <v>Kermadec Islands region</v>
      </c>
    </row>
    <row r="4831" spans="1:8" x14ac:dyDescent="0.25">
      <c r="A4831" s="2">
        <v>27898</v>
      </c>
      <c r="B4831">
        <v>-60.453000000000003</v>
      </c>
      <c r="C4831">
        <v>154.36799999999999</v>
      </c>
      <c r="D4831" t="s">
        <v>14</v>
      </c>
      <c r="E4831" t="s">
        <v>205</v>
      </c>
      <c r="F4831">
        <f t="shared" si="150"/>
        <v>1976</v>
      </c>
      <c r="G4831">
        <f t="shared" si="151"/>
        <v>5</v>
      </c>
      <c r="H4831" t="str">
        <f>IF(ISNUMBER(FIND(",", E4831)), TRIM(MID(E4831, FIND(",", E4831) + 1, LEN(E4831))), E4831)</f>
        <v>west of Macquarie Island</v>
      </c>
    </row>
    <row r="4832" spans="1:8" x14ac:dyDescent="0.25">
      <c r="A4832" s="2">
        <v>27897</v>
      </c>
      <c r="B4832">
        <v>40.375</v>
      </c>
      <c r="C4832">
        <v>63.436999999999998</v>
      </c>
      <c r="D4832" t="s">
        <v>14</v>
      </c>
      <c r="E4832" t="s">
        <v>604</v>
      </c>
      <c r="F4832">
        <f t="shared" si="150"/>
        <v>1976</v>
      </c>
      <c r="G4832">
        <f t="shared" si="151"/>
        <v>5</v>
      </c>
      <c r="H4832" t="str">
        <f>IF(ISNUMBER(FIND(",", E4832)), TRIM(MID(E4832, FIND(",", E4832) + 1, LEN(E4832))), E4832)</f>
        <v>western Uzbekistan</v>
      </c>
    </row>
    <row r="4833" spans="1:8" x14ac:dyDescent="0.25">
      <c r="A4833" s="2">
        <v>27895</v>
      </c>
      <c r="B4833">
        <v>-11.659000000000001</v>
      </c>
      <c r="C4833">
        <v>-74.418000000000006</v>
      </c>
      <c r="D4833" t="s">
        <v>14</v>
      </c>
      <c r="E4833" t="s">
        <v>198</v>
      </c>
      <c r="F4833">
        <f t="shared" si="150"/>
        <v>1976</v>
      </c>
      <c r="G4833">
        <f t="shared" si="151"/>
        <v>5</v>
      </c>
      <c r="H4833" t="str">
        <f>IF(ISNUMBER(FIND(",", E4833)), TRIM(MID(E4833, FIND(",", E4833) + 1, LEN(E4833))), E4833)</f>
        <v>central Peru</v>
      </c>
    </row>
    <row r="4834" spans="1:8" x14ac:dyDescent="0.25">
      <c r="A4834" s="2">
        <v>27891</v>
      </c>
      <c r="B4834">
        <v>37.411000000000001</v>
      </c>
      <c r="C4834">
        <v>20.414999999999999</v>
      </c>
      <c r="D4834" t="s">
        <v>14</v>
      </c>
      <c r="E4834" t="s">
        <v>533</v>
      </c>
      <c r="F4834">
        <f t="shared" si="150"/>
        <v>1976</v>
      </c>
      <c r="G4834">
        <f t="shared" si="151"/>
        <v>5</v>
      </c>
      <c r="H4834" t="str">
        <f>IF(ISNUMBER(FIND(",", E4834)), TRIM(MID(E4834, FIND(",", E4834) + 1, LEN(E4834))), E4834)</f>
        <v>Ionian Sea</v>
      </c>
    </row>
    <row r="4835" spans="1:8" x14ac:dyDescent="0.25">
      <c r="A4835" s="2">
        <v>27891</v>
      </c>
      <c r="B4835">
        <v>-51.677</v>
      </c>
      <c r="C4835">
        <v>139.655</v>
      </c>
      <c r="D4835" t="s">
        <v>14</v>
      </c>
      <c r="E4835" t="s">
        <v>235</v>
      </c>
      <c r="F4835">
        <f t="shared" si="150"/>
        <v>1976</v>
      </c>
      <c r="G4835">
        <f t="shared" si="151"/>
        <v>5</v>
      </c>
      <c r="H4835" t="str">
        <f>IF(ISNUMBER(FIND(",", E4835)), TRIM(MID(E4835, FIND(",", E4835) + 1, LEN(E4835))), E4835)</f>
        <v>western Indian-Antarctic Ridge</v>
      </c>
    </row>
    <row r="4836" spans="1:8" x14ac:dyDescent="0.25">
      <c r="A4836" s="2">
        <v>27886</v>
      </c>
      <c r="B4836">
        <v>46.387</v>
      </c>
      <c r="C4836">
        <v>13.271000000000001</v>
      </c>
      <c r="D4836" t="s">
        <v>14</v>
      </c>
      <c r="E4836" t="s">
        <v>639</v>
      </c>
      <c r="F4836">
        <f t="shared" si="150"/>
        <v>1976</v>
      </c>
      <c r="G4836">
        <f t="shared" si="151"/>
        <v>5</v>
      </c>
      <c r="H4836" t="str">
        <f>IF(ISNUMBER(FIND(",", E4836)), TRIM(MID(E4836, FIND(",", E4836) + 1, LEN(E4836))), E4836)</f>
        <v>Austria-Italy-Slovenia border region</v>
      </c>
    </row>
    <row r="4837" spans="1:8" x14ac:dyDescent="0.25">
      <c r="A4837" s="2">
        <v>27885</v>
      </c>
      <c r="B4837">
        <v>-29.844999999999999</v>
      </c>
      <c r="C4837">
        <v>-177.63900000000001</v>
      </c>
      <c r="D4837" t="s">
        <v>14</v>
      </c>
      <c r="E4837" t="s">
        <v>288</v>
      </c>
      <c r="F4837">
        <f t="shared" si="150"/>
        <v>1976</v>
      </c>
      <c r="G4837">
        <f t="shared" si="151"/>
        <v>5</v>
      </c>
      <c r="H4837" t="str">
        <f>IF(ISNUMBER(FIND(",", E4837)), TRIM(MID(E4837, FIND(",", E4837) + 1, LEN(E4837))), E4837)</f>
        <v>New Zealand</v>
      </c>
    </row>
    <row r="4838" spans="1:8" x14ac:dyDescent="0.25">
      <c r="A4838" s="2">
        <v>27884</v>
      </c>
      <c r="B4838">
        <v>-44.732999999999997</v>
      </c>
      <c r="C4838">
        <v>167.66399999999999</v>
      </c>
      <c r="D4838" t="s">
        <v>14</v>
      </c>
      <c r="E4838" t="s">
        <v>300</v>
      </c>
      <c r="F4838">
        <f t="shared" si="150"/>
        <v>1976</v>
      </c>
      <c r="G4838">
        <f t="shared" si="151"/>
        <v>5</v>
      </c>
      <c r="H4838" t="str">
        <f>IF(ISNUMBER(FIND(",", E4838)), TRIM(MID(E4838, FIND(",", E4838) + 1, LEN(E4838))), E4838)</f>
        <v>South Island of New Zealand</v>
      </c>
    </row>
    <row r="4839" spans="1:8" x14ac:dyDescent="0.25">
      <c r="A4839" s="2">
        <v>27879</v>
      </c>
      <c r="B4839">
        <v>-28.187999999999999</v>
      </c>
      <c r="C4839">
        <v>-176.596</v>
      </c>
      <c r="D4839" t="s">
        <v>14</v>
      </c>
      <c r="E4839" t="s">
        <v>240</v>
      </c>
      <c r="F4839">
        <f t="shared" si="150"/>
        <v>1976</v>
      </c>
      <c r="G4839">
        <f t="shared" si="151"/>
        <v>4</v>
      </c>
      <c r="H4839" t="str">
        <f>IF(ISNUMBER(FIND(",", E4839)), TRIM(MID(E4839, FIND(",", E4839) + 1, LEN(E4839))), E4839)</f>
        <v>Kermadec Islands region</v>
      </c>
    </row>
    <row r="4840" spans="1:8" x14ac:dyDescent="0.25">
      <c r="A4840" s="2">
        <v>27872</v>
      </c>
      <c r="B4840">
        <v>28.713999999999999</v>
      </c>
      <c r="C4840">
        <v>52.128</v>
      </c>
      <c r="D4840" t="s">
        <v>13</v>
      </c>
      <c r="E4840" t="s">
        <v>390</v>
      </c>
      <c r="F4840">
        <f t="shared" si="150"/>
        <v>1976</v>
      </c>
      <c r="G4840">
        <f t="shared" si="151"/>
        <v>4</v>
      </c>
      <c r="H4840" t="str">
        <f>IF(ISNUMBER(FIND(",", E4840)), TRIM(MID(E4840, FIND(",", E4840) + 1, LEN(E4840))), E4840)</f>
        <v>southern Iran</v>
      </c>
    </row>
    <row r="4841" spans="1:8" x14ac:dyDescent="0.25">
      <c r="A4841" s="2">
        <v>27860</v>
      </c>
      <c r="B4841">
        <v>-17.751000000000001</v>
      </c>
      <c r="C4841">
        <v>-178.417</v>
      </c>
      <c r="D4841" t="s">
        <v>14</v>
      </c>
      <c r="E4841" t="s">
        <v>53</v>
      </c>
      <c r="F4841">
        <f t="shared" si="150"/>
        <v>1976</v>
      </c>
      <c r="G4841">
        <f t="shared" si="151"/>
        <v>4</v>
      </c>
      <c r="H4841" t="str">
        <f>IF(ISNUMBER(FIND(",", E4841)), TRIM(MID(E4841, FIND(",", E4841) + 1, LEN(E4841))), E4841)</f>
        <v>Fiji region</v>
      </c>
    </row>
    <row r="4842" spans="1:8" x14ac:dyDescent="0.25">
      <c r="A4842" s="2">
        <v>27860</v>
      </c>
      <c r="B4842">
        <v>-6.4279999999999999</v>
      </c>
      <c r="C4842">
        <v>154.827</v>
      </c>
      <c r="D4842" t="s">
        <v>13</v>
      </c>
      <c r="E4842" t="s">
        <v>290</v>
      </c>
      <c r="F4842">
        <f t="shared" si="150"/>
        <v>1976</v>
      </c>
      <c r="G4842">
        <f t="shared" si="151"/>
        <v>4</v>
      </c>
      <c r="H4842" t="str">
        <f>IF(ISNUMBER(FIND(",", E4842)), TRIM(MID(E4842, FIND(",", E4842) + 1, LEN(E4842))), E4842)</f>
        <v>Papua New Guinea</v>
      </c>
    </row>
    <row r="4843" spans="1:8" x14ac:dyDescent="0.25">
      <c r="A4843" s="2">
        <v>27859</v>
      </c>
      <c r="B4843">
        <v>0.84699999999999998</v>
      </c>
      <c r="C4843">
        <v>-79.578000000000003</v>
      </c>
      <c r="D4843" t="s">
        <v>14</v>
      </c>
      <c r="E4843" t="s">
        <v>457</v>
      </c>
      <c r="F4843">
        <f t="shared" si="150"/>
        <v>1976</v>
      </c>
      <c r="G4843">
        <f t="shared" si="151"/>
        <v>4</v>
      </c>
      <c r="H4843" t="str">
        <f>IF(ISNUMBER(FIND(",", E4843)), TRIM(MID(E4843, FIND(",", E4843) + 1, LEN(E4843))), E4843)</f>
        <v>near the coast of Ecuador</v>
      </c>
    </row>
    <row r="4844" spans="1:8" x14ac:dyDescent="0.25">
      <c r="A4844" s="2">
        <v>27858</v>
      </c>
      <c r="B4844">
        <v>40.22</v>
      </c>
      <c r="C4844">
        <v>63.8</v>
      </c>
      <c r="D4844" t="s">
        <v>14</v>
      </c>
      <c r="E4844" t="s">
        <v>604</v>
      </c>
      <c r="F4844">
        <f t="shared" si="150"/>
        <v>1976</v>
      </c>
      <c r="G4844">
        <f t="shared" si="151"/>
        <v>4</v>
      </c>
      <c r="H4844" t="str">
        <f>IF(ISNUMBER(FIND(",", E4844)), TRIM(MID(E4844, FIND(",", E4844) + 1, LEN(E4844))), E4844)</f>
        <v>western Uzbekistan</v>
      </c>
    </row>
    <row r="4845" spans="1:8" x14ac:dyDescent="0.25">
      <c r="A4845" s="2">
        <v>27858</v>
      </c>
      <c r="B4845">
        <v>40.350999999999999</v>
      </c>
      <c r="C4845">
        <v>63.737000000000002</v>
      </c>
      <c r="D4845" t="s">
        <v>14</v>
      </c>
      <c r="E4845" t="s">
        <v>604</v>
      </c>
      <c r="F4845">
        <f t="shared" si="150"/>
        <v>1976</v>
      </c>
      <c r="G4845">
        <f t="shared" si="151"/>
        <v>4</v>
      </c>
      <c r="H4845" t="str">
        <f>IF(ISNUMBER(FIND(",", E4845)), TRIM(MID(E4845, FIND(",", E4845) + 1, LEN(E4845))), E4845)</f>
        <v>western Uzbekistan</v>
      </c>
    </row>
    <row r="4846" spans="1:8" x14ac:dyDescent="0.25">
      <c r="A4846" s="2">
        <v>27856</v>
      </c>
      <c r="B4846">
        <v>-3.8650000000000002</v>
      </c>
      <c r="C4846">
        <v>152.00800000000001</v>
      </c>
      <c r="D4846" t="s">
        <v>14</v>
      </c>
      <c r="E4846" t="s">
        <v>183</v>
      </c>
      <c r="F4846">
        <f t="shared" si="150"/>
        <v>1976</v>
      </c>
      <c r="G4846">
        <f t="shared" si="151"/>
        <v>4</v>
      </c>
      <c r="H4846" t="str">
        <f>IF(ISNUMBER(FIND(",", E4846)), TRIM(MID(E4846, FIND(",", E4846) + 1, LEN(E4846))), E4846)</f>
        <v>Papua New Guinea</v>
      </c>
    </row>
    <row r="4847" spans="1:8" x14ac:dyDescent="0.25">
      <c r="A4847" s="2">
        <v>27848</v>
      </c>
      <c r="B4847">
        <v>3.9079999999999999</v>
      </c>
      <c r="C4847">
        <v>-85.891000000000005</v>
      </c>
      <c r="D4847" t="s">
        <v>14</v>
      </c>
      <c r="E4847" t="s">
        <v>617</v>
      </c>
      <c r="F4847">
        <f t="shared" si="150"/>
        <v>1976</v>
      </c>
      <c r="G4847">
        <f t="shared" si="151"/>
        <v>3</v>
      </c>
      <c r="H4847" t="str">
        <f>IF(ISNUMBER(FIND(",", E4847)), TRIM(MID(E4847, FIND(",", E4847) + 1, LEN(E4847))), E4847)</f>
        <v>off the coast of Central America</v>
      </c>
    </row>
    <row r="4848" spans="1:8" x14ac:dyDescent="0.25">
      <c r="A4848" s="2">
        <v>27843</v>
      </c>
      <c r="B4848">
        <v>-29.875</v>
      </c>
      <c r="C4848">
        <v>-177.69499999999999</v>
      </c>
      <c r="D4848" t="s">
        <v>14</v>
      </c>
      <c r="E4848" t="s">
        <v>288</v>
      </c>
      <c r="F4848">
        <f t="shared" si="150"/>
        <v>1976</v>
      </c>
      <c r="G4848">
        <f t="shared" si="151"/>
        <v>3</v>
      </c>
      <c r="H4848" t="str">
        <f>IF(ISNUMBER(FIND(",", E4848)), TRIM(MID(E4848, FIND(",", E4848) + 1, LEN(E4848))), E4848)</f>
        <v>New Zealand</v>
      </c>
    </row>
    <row r="4849" spans="1:8" x14ac:dyDescent="0.25">
      <c r="A4849" s="2">
        <v>27832</v>
      </c>
      <c r="B4849">
        <v>-6.2530000000000001</v>
      </c>
      <c r="C4849">
        <v>154.79499999999999</v>
      </c>
      <c r="D4849" t="s">
        <v>14</v>
      </c>
      <c r="E4849" t="s">
        <v>290</v>
      </c>
      <c r="F4849">
        <f t="shared" si="150"/>
        <v>1976</v>
      </c>
      <c r="G4849">
        <f t="shared" si="151"/>
        <v>3</v>
      </c>
      <c r="H4849" t="str">
        <f>IF(ISNUMBER(FIND(",", E4849)), TRIM(MID(E4849, FIND(",", E4849) + 1, LEN(E4849))), E4849)</f>
        <v>Papua New Guinea</v>
      </c>
    </row>
    <row r="4850" spans="1:8" x14ac:dyDescent="0.25">
      <c r="A4850" s="2">
        <v>27827</v>
      </c>
      <c r="B4850">
        <v>-10.645</v>
      </c>
      <c r="C4850">
        <v>165.12299999999999</v>
      </c>
      <c r="D4850" t="s">
        <v>14</v>
      </c>
      <c r="E4850" t="s">
        <v>211</v>
      </c>
      <c r="F4850">
        <f t="shared" si="150"/>
        <v>1976</v>
      </c>
      <c r="G4850">
        <f t="shared" si="151"/>
        <v>3</v>
      </c>
      <c r="H4850" t="str">
        <f>IF(ISNUMBER(FIND(",", E4850)), TRIM(MID(E4850, FIND(",", E4850) + 1, LEN(E4850))), E4850)</f>
        <v>Santa Cruz Islands</v>
      </c>
    </row>
    <row r="4851" spans="1:8" x14ac:dyDescent="0.25">
      <c r="A4851" s="2">
        <v>27823</v>
      </c>
      <c r="B4851">
        <v>-14.782999999999999</v>
      </c>
      <c r="C4851">
        <v>167.21700000000001</v>
      </c>
      <c r="D4851" t="s">
        <v>14</v>
      </c>
      <c r="E4851" t="s">
        <v>181</v>
      </c>
      <c r="F4851">
        <f t="shared" si="150"/>
        <v>1976</v>
      </c>
      <c r="G4851">
        <f t="shared" si="151"/>
        <v>3</v>
      </c>
      <c r="H4851" t="str">
        <f>IF(ISNUMBER(FIND(",", E4851)), TRIM(MID(E4851, FIND(",", E4851) + 1, LEN(E4851))), E4851)</f>
        <v>Vanuatu</v>
      </c>
    </row>
    <row r="4852" spans="1:8" x14ac:dyDescent="0.25">
      <c r="A4852" s="2">
        <v>27822</v>
      </c>
      <c r="B4852">
        <v>-8.2319999999999993</v>
      </c>
      <c r="C4852">
        <v>121.438</v>
      </c>
      <c r="D4852" t="s">
        <v>13</v>
      </c>
      <c r="E4852" t="s">
        <v>399</v>
      </c>
      <c r="F4852">
        <f t="shared" si="150"/>
        <v>1976</v>
      </c>
      <c r="G4852">
        <f t="shared" si="151"/>
        <v>3</v>
      </c>
      <c r="H4852" t="str">
        <f>IF(ISNUMBER(FIND(",", E4852)), TRIM(MID(E4852, FIND(",", E4852) + 1, LEN(E4852))), E4852)</f>
        <v>Indonesia</v>
      </c>
    </row>
    <row r="4853" spans="1:8" x14ac:dyDescent="0.25">
      <c r="A4853" s="2">
        <v>27812</v>
      </c>
      <c r="B4853">
        <v>-3.3559999999999999</v>
      </c>
      <c r="C4853">
        <v>145.23500000000001</v>
      </c>
      <c r="D4853" t="s">
        <v>14</v>
      </c>
      <c r="E4853" t="s">
        <v>216</v>
      </c>
      <c r="F4853">
        <f t="shared" si="150"/>
        <v>1976</v>
      </c>
      <c r="G4853">
        <f t="shared" si="151"/>
        <v>2</v>
      </c>
      <c r="H4853" t="str">
        <f>IF(ISNUMBER(FIND(",", E4853)), TRIM(MID(E4853, FIND(",", E4853) + 1, LEN(E4853))), E4853)</f>
        <v>Papua New Guinea</v>
      </c>
    </row>
    <row r="4854" spans="1:8" x14ac:dyDescent="0.25">
      <c r="A4854" s="2">
        <v>27805</v>
      </c>
      <c r="B4854">
        <v>13.026</v>
      </c>
      <c r="C4854">
        <v>125.773</v>
      </c>
      <c r="D4854" t="s">
        <v>14</v>
      </c>
      <c r="E4854" t="s">
        <v>213</v>
      </c>
      <c r="F4854">
        <f t="shared" si="150"/>
        <v>1976</v>
      </c>
      <c r="G4854">
        <f t="shared" si="151"/>
        <v>2</v>
      </c>
      <c r="H4854" t="str">
        <f>IF(ISNUMBER(FIND(",", E4854)), TRIM(MID(E4854, FIND(",", E4854) + 1, LEN(E4854))), E4854)</f>
        <v>Philippine Islands region</v>
      </c>
    </row>
    <row r="4855" spans="1:8" x14ac:dyDescent="0.25">
      <c r="A4855" s="2">
        <v>27794</v>
      </c>
      <c r="B4855">
        <v>15.298</v>
      </c>
      <c r="C4855">
        <v>-89.144999999999996</v>
      </c>
      <c r="D4855" t="s">
        <v>14</v>
      </c>
      <c r="E4855" t="s">
        <v>371</v>
      </c>
      <c r="F4855">
        <f t="shared" si="150"/>
        <v>1976</v>
      </c>
      <c r="G4855">
        <f t="shared" si="151"/>
        <v>2</v>
      </c>
      <c r="H4855" t="str">
        <f>IF(ISNUMBER(FIND(",", E4855)), TRIM(MID(E4855, FIND(",", E4855) + 1, LEN(E4855))), E4855)</f>
        <v>Guatemala</v>
      </c>
    </row>
    <row r="4856" spans="1:8" x14ac:dyDescent="0.25">
      <c r="A4856" s="2">
        <v>27785</v>
      </c>
      <c r="B4856">
        <v>-29.338999999999999</v>
      </c>
      <c r="C4856">
        <v>-176.46100000000001</v>
      </c>
      <c r="D4856" t="s">
        <v>13</v>
      </c>
      <c r="E4856" t="s">
        <v>240</v>
      </c>
      <c r="F4856">
        <f t="shared" si="150"/>
        <v>1976</v>
      </c>
      <c r="G4856">
        <f t="shared" si="151"/>
        <v>1</v>
      </c>
      <c r="H4856" t="str">
        <f>IF(ISNUMBER(FIND(",", E4856)), TRIM(MID(E4856, FIND(",", E4856) + 1, LEN(E4856))), E4856)</f>
        <v>Kermadec Islands region</v>
      </c>
    </row>
    <row r="4857" spans="1:8" x14ac:dyDescent="0.25">
      <c r="A4857" s="2">
        <v>27784</v>
      </c>
      <c r="B4857">
        <v>44.701000000000001</v>
      </c>
      <c r="C4857">
        <v>149.803</v>
      </c>
      <c r="D4857" t="s">
        <v>17</v>
      </c>
      <c r="E4857" t="s">
        <v>191</v>
      </c>
      <c r="F4857">
        <f t="shared" si="150"/>
        <v>1976</v>
      </c>
      <c r="G4857">
        <f t="shared" si="151"/>
        <v>1</v>
      </c>
      <c r="H4857" t="str">
        <f>IF(ISNUMBER(FIND(",", E4857)), TRIM(MID(E4857, FIND(",", E4857) + 1, LEN(E4857))), E4857)</f>
        <v>Kuril Islands</v>
      </c>
    </row>
    <row r="4858" spans="1:8" x14ac:dyDescent="0.25">
      <c r="A4858" s="2">
        <v>27783</v>
      </c>
      <c r="B4858">
        <v>-28.635000000000002</v>
      </c>
      <c r="C4858">
        <v>-177.42500000000001</v>
      </c>
      <c r="D4858" t="s">
        <v>14</v>
      </c>
      <c r="E4858" t="s">
        <v>240</v>
      </c>
      <c r="F4858">
        <f t="shared" si="150"/>
        <v>1976</v>
      </c>
      <c r="G4858">
        <f t="shared" si="151"/>
        <v>1</v>
      </c>
      <c r="H4858" t="str">
        <f>IF(ISNUMBER(FIND(",", E4858)), TRIM(MID(E4858, FIND(",", E4858) + 1, LEN(E4858))), E4858)</f>
        <v>Kermadec Islands region</v>
      </c>
    </row>
    <row r="4859" spans="1:8" x14ac:dyDescent="0.25">
      <c r="A4859" s="2">
        <v>27782</v>
      </c>
      <c r="B4859">
        <v>-7.5039999999999996</v>
      </c>
      <c r="C4859">
        <v>119.886</v>
      </c>
      <c r="D4859" t="s">
        <v>14</v>
      </c>
      <c r="E4859" t="s">
        <v>438</v>
      </c>
      <c r="F4859">
        <f t="shared" si="150"/>
        <v>1976</v>
      </c>
      <c r="G4859">
        <f t="shared" si="151"/>
        <v>1</v>
      </c>
      <c r="H4859" t="str">
        <f>IF(ISNUMBER(FIND(",", E4859)), TRIM(MID(E4859, FIND(",", E4859) + 1, LEN(E4859))), E4859)</f>
        <v>Flores Sea</v>
      </c>
    </row>
    <row r="4860" spans="1:8" x14ac:dyDescent="0.25">
      <c r="A4860" s="2">
        <v>27780</v>
      </c>
      <c r="B4860">
        <v>44.78</v>
      </c>
      <c r="C4860">
        <v>149.14400000000001</v>
      </c>
      <c r="D4860" t="s">
        <v>14</v>
      </c>
      <c r="E4860" t="s">
        <v>191</v>
      </c>
      <c r="F4860">
        <f t="shared" si="150"/>
        <v>1976</v>
      </c>
      <c r="G4860">
        <f t="shared" si="151"/>
        <v>1</v>
      </c>
      <c r="H4860" t="str">
        <f>IF(ISNUMBER(FIND(",", E4860)), TRIM(MID(E4860, FIND(",", E4860) + 1, LEN(E4860))), E4860)</f>
        <v>Kuril Islands</v>
      </c>
    </row>
    <row r="4861" spans="1:8" x14ac:dyDescent="0.25">
      <c r="A4861" s="2">
        <v>27774</v>
      </c>
      <c r="B4861">
        <v>-30.027999999999999</v>
      </c>
      <c r="C4861">
        <v>-176.79900000000001</v>
      </c>
      <c r="D4861" t="s">
        <v>14</v>
      </c>
      <c r="E4861" t="s">
        <v>240</v>
      </c>
      <c r="F4861">
        <f t="shared" si="150"/>
        <v>1976</v>
      </c>
      <c r="G4861">
        <f t="shared" si="151"/>
        <v>1</v>
      </c>
      <c r="H4861" t="str">
        <f>IF(ISNUMBER(FIND(",", E4861)), TRIM(MID(E4861, FIND(",", E4861) + 1, LEN(E4861))), E4861)</f>
        <v>Kermadec Islands region</v>
      </c>
    </row>
    <row r="4862" spans="1:8" x14ac:dyDescent="0.25">
      <c r="A4862" s="2">
        <v>27773</v>
      </c>
      <c r="B4862">
        <v>-28.617000000000001</v>
      </c>
      <c r="C4862">
        <v>-176.589</v>
      </c>
      <c r="D4862" t="s">
        <v>14</v>
      </c>
      <c r="E4862" t="s">
        <v>240</v>
      </c>
      <c r="F4862">
        <f t="shared" si="150"/>
        <v>1976</v>
      </c>
      <c r="G4862">
        <f t="shared" si="151"/>
        <v>1</v>
      </c>
      <c r="H4862" t="str">
        <f>IF(ISNUMBER(FIND(",", E4862)), TRIM(MID(E4862, FIND(",", E4862) + 1, LEN(E4862))), E4862)</f>
        <v>Kermadec Islands region</v>
      </c>
    </row>
    <row r="4863" spans="1:8" x14ac:dyDescent="0.25">
      <c r="A4863" s="2">
        <v>27773</v>
      </c>
      <c r="B4863">
        <v>-29.111999999999998</v>
      </c>
      <c r="C4863">
        <v>-177.39599999999999</v>
      </c>
      <c r="D4863" t="s">
        <v>14</v>
      </c>
      <c r="E4863" t="s">
        <v>288</v>
      </c>
      <c r="F4863">
        <f t="shared" si="150"/>
        <v>1976</v>
      </c>
      <c r="G4863">
        <f t="shared" si="151"/>
        <v>1</v>
      </c>
      <c r="H4863" t="str">
        <f>IF(ISNUMBER(FIND(",", E4863)), TRIM(MID(E4863, FIND(",", E4863) + 1, LEN(E4863))), E4863)</f>
        <v>New Zealand</v>
      </c>
    </row>
    <row r="4864" spans="1:8" x14ac:dyDescent="0.25">
      <c r="A4864" s="2">
        <v>27773</v>
      </c>
      <c r="B4864">
        <v>-29.212</v>
      </c>
      <c r="C4864">
        <v>-177.63499999999999</v>
      </c>
      <c r="D4864" t="s">
        <v>14</v>
      </c>
      <c r="E4864" t="s">
        <v>288</v>
      </c>
      <c r="F4864">
        <f t="shared" si="150"/>
        <v>1976</v>
      </c>
      <c r="G4864">
        <f t="shared" si="151"/>
        <v>1</v>
      </c>
      <c r="H4864" t="str">
        <f>IF(ISNUMBER(FIND(",", E4864)), TRIM(MID(E4864, FIND(",", E4864) + 1, LEN(E4864))), E4864)</f>
        <v>New Zealand</v>
      </c>
    </row>
    <row r="4865" spans="1:8" x14ac:dyDescent="0.25">
      <c r="A4865" s="2">
        <v>27772</v>
      </c>
      <c r="B4865">
        <v>66.236000000000004</v>
      </c>
      <c r="C4865">
        <v>-16.574000000000002</v>
      </c>
      <c r="D4865" t="s">
        <v>14</v>
      </c>
      <c r="E4865" t="s">
        <v>640</v>
      </c>
      <c r="F4865">
        <f t="shared" si="150"/>
        <v>1976</v>
      </c>
      <c r="G4865">
        <f t="shared" si="151"/>
        <v>1</v>
      </c>
      <c r="H4865" t="str">
        <f>IF(ISNUMBER(FIND(",", E4865)), TRIM(MID(E4865, FIND(",", E4865) + 1, LEN(E4865))), E4865)</f>
        <v>Iceland region</v>
      </c>
    </row>
    <row r="4866" spans="1:8" x14ac:dyDescent="0.25">
      <c r="A4866" s="2">
        <v>27768</v>
      </c>
      <c r="B4866">
        <v>-15.81</v>
      </c>
      <c r="C4866">
        <v>167.92699999999999</v>
      </c>
      <c r="D4866" t="s">
        <v>14</v>
      </c>
      <c r="E4866" t="s">
        <v>181</v>
      </c>
      <c r="F4866">
        <f t="shared" ref="F4866:F4929" si="152">YEAR(A4866)</f>
        <v>1976</v>
      </c>
      <c r="G4866">
        <f t="shared" si="151"/>
        <v>1</v>
      </c>
      <c r="H4866" t="str">
        <f>IF(ISNUMBER(FIND(",", E4866)), TRIM(MID(E4866, FIND(",", E4866) + 1, LEN(E4866))), E4866)</f>
        <v>Vanuatu</v>
      </c>
    </row>
    <row r="4867" spans="1:8" x14ac:dyDescent="0.25">
      <c r="A4867" s="2">
        <v>27765</v>
      </c>
      <c r="B4867">
        <v>51.566000000000003</v>
      </c>
      <c r="C4867">
        <v>159.268</v>
      </c>
      <c r="D4867" t="s">
        <v>14</v>
      </c>
      <c r="E4867" t="s">
        <v>318</v>
      </c>
      <c r="F4867">
        <f t="shared" si="152"/>
        <v>1976</v>
      </c>
      <c r="G4867">
        <f t="shared" ref="G4867:G4930" si="153">MONTH(A4867)</f>
        <v>1</v>
      </c>
      <c r="H4867" t="str">
        <f>IF(ISNUMBER(FIND(",", E4867)), TRIM(MID(E4867, FIND(",", E4867) + 1, LEN(E4867))), E4867)</f>
        <v>Russia</v>
      </c>
    </row>
    <row r="4868" spans="1:8" x14ac:dyDescent="0.25">
      <c r="A4868" s="2">
        <v>27764</v>
      </c>
      <c r="B4868">
        <v>-13.288</v>
      </c>
      <c r="C4868">
        <v>-74.899000000000001</v>
      </c>
      <c r="D4868" t="s">
        <v>13</v>
      </c>
      <c r="E4868" t="s">
        <v>198</v>
      </c>
      <c r="F4868">
        <f t="shared" si="152"/>
        <v>1976</v>
      </c>
      <c r="G4868">
        <f t="shared" si="153"/>
        <v>1</v>
      </c>
      <c r="H4868" t="str">
        <f>IF(ISNUMBER(FIND(",", E4868)), TRIM(MID(E4868, FIND(",", E4868) + 1, LEN(E4868))), E4868)</f>
        <v>central Peru</v>
      </c>
    </row>
    <row r="4869" spans="1:8" x14ac:dyDescent="0.25">
      <c r="A4869" s="2">
        <v>27760</v>
      </c>
      <c r="B4869">
        <v>-28.710999999999999</v>
      </c>
      <c r="C4869">
        <v>-177.42599999999999</v>
      </c>
      <c r="D4869" t="s">
        <v>14</v>
      </c>
      <c r="E4869" t="s">
        <v>240</v>
      </c>
      <c r="F4869">
        <f t="shared" si="152"/>
        <v>1976</v>
      </c>
      <c r="G4869">
        <f t="shared" si="153"/>
        <v>1</v>
      </c>
      <c r="H4869" t="str">
        <f>IF(ISNUMBER(FIND(",", E4869)), TRIM(MID(E4869, FIND(",", E4869) + 1, LEN(E4869))), E4869)</f>
        <v>Kermadec Islands region</v>
      </c>
    </row>
    <row r="4870" spans="1:8" x14ac:dyDescent="0.25">
      <c r="A4870" s="2">
        <v>27757</v>
      </c>
      <c r="B4870">
        <v>-56.826000000000001</v>
      </c>
      <c r="C4870">
        <v>-68.605999999999995</v>
      </c>
      <c r="D4870" t="s">
        <v>14</v>
      </c>
      <c r="E4870" t="s">
        <v>246</v>
      </c>
      <c r="F4870">
        <f t="shared" si="152"/>
        <v>1975</v>
      </c>
      <c r="G4870">
        <f t="shared" si="153"/>
        <v>12</v>
      </c>
      <c r="H4870" t="str">
        <f>IF(ISNUMBER(FIND(",", E4870)), TRIM(MID(E4870, FIND(",", E4870) + 1, LEN(E4870))), E4870)</f>
        <v>Drake Passage</v>
      </c>
    </row>
    <row r="4871" spans="1:8" x14ac:dyDescent="0.25">
      <c r="A4871" s="2">
        <v>27754</v>
      </c>
      <c r="B4871">
        <v>-16.241</v>
      </c>
      <c r="C4871">
        <v>-172.364</v>
      </c>
      <c r="D4871" t="s">
        <v>16</v>
      </c>
      <c r="E4871" t="s">
        <v>352</v>
      </c>
      <c r="F4871">
        <f t="shared" si="152"/>
        <v>1975</v>
      </c>
      <c r="G4871">
        <f t="shared" si="153"/>
        <v>12</v>
      </c>
      <c r="H4871" t="str">
        <f>IF(ISNUMBER(FIND(",", E4871)), TRIM(MID(E4871, FIND(",", E4871) + 1, LEN(E4871))), E4871)</f>
        <v>Samoa Islands region</v>
      </c>
    </row>
    <row r="4872" spans="1:8" x14ac:dyDescent="0.25">
      <c r="A4872" s="2">
        <v>27753</v>
      </c>
      <c r="B4872">
        <v>-4.0819999999999999</v>
      </c>
      <c r="C4872">
        <v>142.149</v>
      </c>
      <c r="D4872" t="s">
        <v>13</v>
      </c>
      <c r="E4872" t="s">
        <v>253</v>
      </c>
      <c r="F4872">
        <f t="shared" si="152"/>
        <v>1975</v>
      </c>
      <c r="G4872">
        <f t="shared" si="153"/>
        <v>12</v>
      </c>
      <c r="H4872" t="str">
        <f>IF(ISNUMBER(FIND(",", E4872)), TRIM(MID(E4872, FIND(",", E4872) + 1, LEN(E4872))), E4872)</f>
        <v>Papua New Guinea</v>
      </c>
    </row>
    <row r="4873" spans="1:8" x14ac:dyDescent="0.25">
      <c r="A4873" s="2">
        <v>27749</v>
      </c>
      <c r="B4873">
        <v>51.875</v>
      </c>
      <c r="C4873">
        <v>151.548</v>
      </c>
      <c r="D4873" t="s">
        <v>14</v>
      </c>
      <c r="E4873" t="s">
        <v>74</v>
      </c>
      <c r="F4873">
        <f t="shared" si="152"/>
        <v>1975</v>
      </c>
      <c r="G4873">
        <f t="shared" si="153"/>
        <v>12</v>
      </c>
      <c r="H4873" t="str">
        <f>IF(ISNUMBER(FIND(",", E4873)), TRIM(MID(E4873, FIND(",", E4873) + 1, LEN(E4873))), E4873)</f>
        <v>Sea of Okhotsk</v>
      </c>
    </row>
    <row r="4874" spans="1:8" x14ac:dyDescent="0.25">
      <c r="A4874" s="2">
        <v>27745</v>
      </c>
      <c r="B4874">
        <v>5.2729999999999997</v>
      </c>
      <c r="C4874">
        <v>95.8</v>
      </c>
      <c r="D4874" t="s">
        <v>14</v>
      </c>
      <c r="E4874" t="s">
        <v>226</v>
      </c>
      <c r="F4874">
        <f t="shared" si="152"/>
        <v>1975</v>
      </c>
      <c r="G4874">
        <f t="shared" si="153"/>
        <v>12</v>
      </c>
      <c r="H4874" t="str">
        <f>IF(ISNUMBER(FIND(",", E4874)), TRIM(MID(E4874, FIND(",", E4874) + 1, LEN(E4874))), E4874)</f>
        <v>Indonesia</v>
      </c>
    </row>
    <row r="4875" spans="1:8" x14ac:dyDescent="0.25">
      <c r="A4875" s="2">
        <v>27737</v>
      </c>
      <c r="B4875">
        <v>-14.923</v>
      </c>
      <c r="C4875">
        <v>-172.77500000000001</v>
      </c>
      <c r="D4875" t="s">
        <v>14</v>
      </c>
      <c r="E4875" t="s">
        <v>641</v>
      </c>
      <c r="F4875">
        <f t="shared" si="152"/>
        <v>1975</v>
      </c>
      <c r="G4875">
        <f t="shared" si="153"/>
        <v>12</v>
      </c>
      <c r="H4875" t="str">
        <f>IF(ISNUMBER(FIND(",", E4875)), TRIM(MID(E4875, FIND(",", E4875) + 1, LEN(E4875))), E4875)</f>
        <v>Samoa Islands</v>
      </c>
    </row>
    <row r="4876" spans="1:8" x14ac:dyDescent="0.25">
      <c r="A4876" s="2">
        <v>27728</v>
      </c>
      <c r="B4876">
        <v>52.578000000000003</v>
      </c>
      <c r="C4876">
        <v>-167.21100000000001</v>
      </c>
      <c r="D4876" t="s">
        <v>14</v>
      </c>
      <c r="E4876" t="s">
        <v>219</v>
      </c>
      <c r="F4876">
        <f t="shared" si="152"/>
        <v>1975</v>
      </c>
      <c r="G4876">
        <f t="shared" si="153"/>
        <v>11</v>
      </c>
      <c r="H4876" t="str">
        <f>IF(ISNUMBER(FIND(",", E4876)), TRIM(MID(E4876, FIND(",", E4876) + 1, LEN(E4876))), E4876)</f>
        <v>Aleutian Islands, Alaska</v>
      </c>
    </row>
    <row r="4877" spans="1:8" x14ac:dyDescent="0.25">
      <c r="A4877" s="2">
        <v>27728</v>
      </c>
      <c r="B4877">
        <v>10.532</v>
      </c>
      <c r="C4877">
        <v>145.97</v>
      </c>
      <c r="D4877" t="s">
        <v>17</v>
      </c>
      <c r="E4877" t="s">
        <v>321</v>
      </c>
      <c r="F4877">
        <f t="shared" si="152"/>
        <v>1975</v>
      </c>
      <c r="G4877">
        <f t="shared" si="153"/>
        <v>11</v>
      </c>
      <c r="H4877" t="str">
        <f>IF(ISNUMBER(FIND(",", E4877)), TRIM(MID(E4877, FIND(",", E4877) + 1, LEN(E4877))), E4877)</f>
        <v>south of the Mariana Islands</v>
      </c>
    </row>
    <row r="4878" spans="1:8" x14ac:dyDescent="0.25">
      <c r="A4878" s="2">
        <v>27727</v>
      </c>
      <c r="B4878">
        <v>19.452000000000002</v>
      </c>
      <c r="C4878">
        <v>-155.03399999999999</v>
      </c>
      <c r="D4878" t="s">
        <v>16</v>
      </c>
      <c r="E4878" t="s">
        <v>436</v>
      </c>
      <c r="F4878">
        <f t="shared" si="152"/>
        <v>1975</v>
      </c>
      <c r="G4878">
        <f t="shared" si="153"/>
        <v>11</v>
      </c>
      <c r="H4878" t="str">
        <f>IF(ISNUMBER(FIND(",", E4878)), TRIM(MID(E4878, FIND(",", E4878) + 1, LEN(E4878))), E4878)</f>
        <v>Hawaii</v>
      </c>
    </row>
    <row r="4879" spans="1:8" x14ac:dyDescent="0.25">
      <c r="A4879" s="2">
        <v>27723</v>
      </c>
      <c r="B4879">
        <v>-9.1140000000000008</v>
      </c>
      <c r="C4879">
        <v>156.715</v>
      </c>
      <c r="D4879" t="s">
        <v>14</v>
      </c>
      <c r="E4879" t="s">
        <v>221</v>
      </c>
      <c r="F4879">
        <f t="shared" si="152"/>
        <v>1975</v>
      </c>
      <c r="G4879">
        <f t="shared" si="153"/>
        <v>11</v>
      </c>
      <c r="H4879" t="str">
        <f>IF(ISNUMBER(FIND(",", E4879)), TRIM(MID(E4879, FIND(",", E4879) + 1, LEN(E4879))), E4879)</f>
        <v>Solomon Islands</v>
      </c>
    </row>
    <row r="4880" spans="1:8" x14ac:dyDescent="0.25">
      <c r="A4880" s="2">
        <v>27713</v>
      </c>
      <c r="B4880">
        <v>12.957000000000001</v>
      </c>
      <c r="C4880">
        <v>125.904</v>
      </c>
      <c r="D4880" t="s">
        <v>14</v>
      </c>
      <c r="E4880" t="s">
        <v>394</v>
      </c>
      <c r="F4880">
        <f t="shared" si="152"/>
        <v>1975</v>
      </c>
      <c r="G4880">
        <f t="shared" si="153"/>
        <v>11</v>
      </c>
      <c r="H4880" t="str">
        <f>IF(ISNUMBER(FIND(",", E4880)), TRIM(MID(E4880, FIND(",", E4880) + 1, LEN(E4880))), E4880)</f>
        <v>Philippines</v>
      </c>
    </row>
    <row r="4881" spans="1:8" x14ac:dyDescent="0.25">
      <c r="A4881" s="2">
        <v>27699</v>
      </c>
      <c r="B4881">
        <v>13.85</v>
      </c>
      <c r="C4881">
        <v>144.81100000000001</v>
      </c>
      <c r="D4881" t="s">
        <v>13</v>
      </c>
      <c r="E4881" t="s">
        <v>403</v>
      </c>
      <c r="F4881">
        <f t="shared" si="152"/>
        <v>1975</v>
      </c>
      <c r="G4881">
        <f t="shared" si="153"/>
        <v>11</v>
      </c>
      <c r="H4881" t="str">
        <f>IF(ISNUMBER(FIND(",", E4881)), TRIM(MID(E4881, FIND(",", E4881) + 1, LEN(E4881))), E4881)</f>
        <v>Guam region</v>
      </c>
    </row>
    <row r="4882" spans="1:8" x14ac:dyDescent="0.25">
      <c r="A4882" s="2">
        <v>27698</v>
      </c>
      <c r="B4882">
        <v>12.537000000000001</v>
      </c>
      <c r="C4882">
        <v>125.999</v>
      </c>
      <c r="D4882" t="s">
        <v>16</v>
      </c>
      <c r="E4882" t="s">
        <v>394</v>
      </c>
      <c r="F4882">
        <f t="shared" si="152"/>
        <v>1975</v>
      </c>
      <c r="G4882">
        <f t="shared" si="153"/>
        <v>10</v>
      </c>
      <c r="H4882" t="str">
        <f>IF(ISNUMBER(FIND(",", E4882)), TRIM(MID(E4882, FIND(",", E4882) + 1, LEN(E4882))), E4882)</f>
        <v>Philippines</v>
      </c>
    </row>
    <row r="4883" spans="1:8" x14ac:dyDescent="0.25">
      <c r="A4883" s="2">
        <v>27695</v>
      </c>
      <c r="B4883">
        <v>-22.824000000000002</v>
      </c>
      <c r="C4883">
        <v>-70.367000000000004</v>
      </c>
      <c r="D4883" t="s">
        <v>14</v>
      </c>
      <c r="E4883" t="s">
        <v>413</v>
      </c>
      <c r="F4883">
        <f t="shared" si="152"/>
        <v>1975</v>
      </c>
      <c r="G4883">
        <f t="shared" si="153"/>
        <v>10</v>
      </c>
      <c r="H4883" t="str">
        <f>IF(ISNUMBER(FIND(",", E4883)), TRIM(MID(E4883, FIND(",", E4883) + 1, LEN(E4883))), E4883)</f>
        <v>Chile</v>
      </c>
    </row>
    <row r="4884" spans="1:8" x14ac:dyDescent="0.25">
      <c r="A4884" s="2">
        <v>27688</v>
      </c>
      <c r="B4884">
        <v>11.686</v>
      </c>
      <c r="C4884">
        <v>121.559</v>
      </c>
      <c r="D4884" t="s">
        <v>14</v>
      </c>
      <c r="E4884" t="s">
        <v>574</v>
      </c>
      <c r="F4884">
        <f t="shared" si="152"/>
        <v>1975</v>
      </c>
      <c r="G4884">
        <f t="shared" si="153"/>
        <v>10</v>
      </c>
      <c r="H4884" t="str">
        <f>IF(ISNUMBER(FIND(",", E4884)), TRIM(MID(E4884, FIND(",", E4884) + 1, LEN(E4884))), E4884)</f>
        <v>Philippines</v>
      </c>
    </row>
    <row r="4885" spans="1:8" x14ac:dyDescent="0.25">
      <c r="A4885" s="2">
        <v>27688</v>
      </c>
      <c r="B4885">
        <v>11.675000000000001</v>
      </c>
      <c r="C4885">
        <v>121.66200000000001</v>
      </c>
      <c r="D4885" t="s">
        <v>14</v>
      </c>
      <c r="E4885" t="s">
        <v>574</v>
      </c>
      <c r="F4885">
        <f t="shared" si="152"/>
        <v>1975</v>
      </c>
      <c r="G4885">
        <f t="shared" si="153"/>
        <v>10</v>
      </c>
      <c r="H4885" t="str">
        <f>IF(ISNUMBER(FIND(",", E4885)), TRIM(MID(E4885, FIND(",", E4885) + 1, LEN(E4885))), E4885)</f>
        <v>Philippines</v>
      </c>
    </row>
    <row r="4886" spans="1:8" x14ac:dyDescent="0.25">
      <c r="A4886" s="2">
        <v>27688</v>
      </c>
      <c r="B4886">
        <v>73.350999999999999</v>
      </c>
      <c r="C4886">
        <v>55.078000000000003</v>
      </c>
      <c r="D4886" t="s">
        <v>13</v>
      </c>
      <c r="E4886" t="s">
        <v>642</v>
      </c>
      <c r="F4886">
        <f t="shared" si="152"/>
        <v>1975</v>
      </c>
      <c r="G4886">
        <f t="shared" si="153"/>
        <v>10</v>
      </c>
      <c r="H4886" t="str">
        <f>IF(ISNUMBER(FIND(",", E4886)), TRIM(MID(E4886, FIND(",", E4886) + 1, LEN(E4886))), E4886)</f>
        <v>Russia</v>
      </c>
    </row>
    <row r="4887" spans="1:8" x14ac:dyDescent="0.25">
      <c r="A4887" s="2">
        <v>27687</v>
      </c>
      <c r="B4887">
        <v>-16.370999999999999</v>
      </c>
      <c r="C4887">
        <v>-177.4</v>
      </c>
      <c r="D4887" t="s">
        <v>14</v>
      </c>
      <c r="E4887" t="s">
        <v>53</v>
      </c>
      <c r="F4887">
        <f t="shared" si="152"/>
        <v>1975</v>
      </c>
      <c r="G4887">
        <f t="shared" si="153"/>
        <v>10</v>
      </c>
      <c r="H4887" t="str">
        <f>IF(ISNUMBER(FIND(",", E4887)), TRIM(MID(E4887, FIND(",", E4887) + 1, LEN(E4887))), E4887)</f>
        <v>Fiji region</v>
      </c>
    </row>
    <row r="4888" spans="1:8" x14ac:dyDescent="0.25">
      <c r="A4888" s="2">
        <v>27685</v>
      </c>
      <c r="B4888">
        <v>70.843000000000004</v>
      </c>
      <c r="C4888">
        <v>53.69</v>
      </c>
      <c r="D4888" t="s">
        <v>13</v>
      </c>
      <c r="E4888" t="s">
        <v>642</v>
      </c>
      <c r="F4888">
        <f t="shared" si="152"/>
        <v>1975</v>
      </c>
      <c r="G4888">
        <f t="shared" si="153"/>
        <v>10</v>
      </c>
      <c r="H4888" t="str">
        <f>IF(ISNUMBER(FIND(",", E4888)), TRIM(MID(E4888, FIND(",", E4888) + 1, LEN(E4888))), E4888)</f>
        <v>Russia</v>
      </c>
    </row>
    <row r="4889" spans="1:8" x14ac:dyDescent="0.25">
      <c r="A4889" s="2">
        <v>27684</v>
      </c>
      <c r="B4889">
        <v>-7.5289999999999999</v>
      </c>
      <c r="C4889">
        <v>128.732</v>
      </c>
      <c r="D4889" t="s">
        <v>13</v>
      </c>
      <c r="E4889" t="s">
        <v>49</v>
      </c>
      <c r="F4889">
        <f t="shared" si="152"/>
        <v>1975</v>
      </c>
      <c r="G4889">
        <f t="shared" si="153"/>
        <v>10</v>
      </c>
      <c r="H4889" t="str">
        <f>IF(ISNUMBER(FIND(",", E4889)), TRIM(MID(E4889, FIND(",", E4889) + 1, LEN(E4889))), E4889)</f>
        <v>Indonesia</v>
      </c>
    </row>
    <row r="4890" spans="1:8" x14ac:dyDescent="0.25">
      <c r="A4890" s="2">
        <v>27678</v>
      </c>
      <c r="B4890">
        <v>-24.117000000000001</v>
      </c>
      <c r="C4890">
        <v>-175.256</v>
      </c>
      <c r="D4890" t="s">
        <v>13</v>
      </c>
      <c r="E4890" t="s">
        <v>351</v>
      </c>
      <c r="F4890">
        <f t="shared" si="152"/>
        <v>1975</v>
      </c>
      <c r="G4890">
        <f t="shared" si="153"/>
        <v>10</v>
      </c>
      <c r="H4890" t="str">
        <f>IF(ISNUMBER(FIND(",", E4890)), TRIM(MID(E4890, FIND(",", E4890) + 1, LEN(E4890))), E4890)</f>
        <v>south of Tonga</v>
      </c>
    </row>
    <row r="4891" spans="1:8" x14ac:dyDescent="0.25">
      <c r="A4891" s="2">
        <v>27678</v>
      </c>
      <c r="B4891">
        <v>-24.905999999999999</v>
      </c>
      <c r="C4891">
        <v>-175.11099999999999</v>
      </c>
      <c r="D4891" t="s">
        <v>16</v>
      </c>
      <c r="E4891" t="s">
        <v>351</v>
      </c>
      <c r="F4891">
        <f t="shared" si="152"/>
        <v>1975</v>
      </c>
      <c r="G4891">
        <f t="shared" si="153"/>
        <v>10</v>
      </c>
      <c r="H4891" t="str">
        <f>IF(ISNUMBER(FIND(",", E4891)), TRIM(MID(E4891, FIND(",", E4891) + 1, LEN(E4891))), E4891)</f>
        <v>south of Tonga</v>
      </c>
    </row>
    <row r="4892" spans="1:8" x14ac:dyDescent="0.25">
      <c r="A4892" s="2">
        <v>27677</v>
      </c>
      <c r="B4892">
        <v>-15.444000000000001</v>
      </c>
      <c r="C4892">
        <v>167.548</v>
      </c>
      <c r="D4892" t="s">
        <v>13</v>
      </c>
      <c r="E4892" t="s">
        <v>181</v>
      </c>
      <c r="F4892">
        <f t="shared" si="152"/>
        <v>1975</v>
      </c>
      <c r="G4892">
        <f t="shared" si="153"/>
        <v>10</v>
      </c>
      <c r="H4892" t="str">
        <f>IF(ISNUMBER(FIND(",", E4892)), TRIM(MID(E4892, FIND(",", E4892) + 1, LEN(E4892))), E4892)</f>
        <v>Vanuatu</v>
      </c>
    </row>
    <row r="4893" spans="1:8" x14ac:dyDescent="0.25">
      <c r="A4893" s="2">
        <v>27674</v>
      </c>
      <c r="B4893">
        <v>0.86599999999999999</v>
      </c>
      <c r="C4893">
        <v>-26.74</v>
      </c>
      <c r="D4893" t="s">
        <v>14</v>
      </c>
      <c r="E4893" t="s">
        <v>291</v>
      </c>
      <c r="F4893">
        <f t="shared" si="152"/>
        <v>1975</v>
      </c>
      <c r="G4893">
        <f t="shared" si="153"/>
        <v>10</v>
      </c>
      <c r="H4893" t="str">
        <f>IF(ISNUMBER(FIND(",", E4893)), TRIM(MID(E4893, FIND(",", E4893) + 1, LEN(E4893))), E4893)</f>
        <v>central Mid-Atlantic Ridge</v>
      </c>
    </row>
    <row r="4894" spans="1:8" x14ac:dyDescent="0.25">
      <c r="A4894" s="2">
        <v>27673</v>
      </c>
      <c r="B4894">
        <v>-12.596</v>
      </c>
      <c r="C4894">
        <v>166.56100000000001</v>
      </c>
      <c r="D4894" t="s">
        <v>13</v>
      </c>
      <c r="E4894" t="s">
        <v>211</v>
      </c>
      <c r="F4894">
        <f t="shared" si="152"/>
        <v>1975</v>
      </c>
      <c r="G4894">
        <f t="shared" si="153"/>
        <v>10</v>
      </c>
      <c r="H4894" t="str">
        <f>IF(ISNUMBER(FIND(",", E4894)), TRIM(MID(E4894, FIND(",", E4894) + 1, LEN(E4894))), E4894)</f>
        <v>Santa Cruz Islands</v>
      </c>
    </row>
    <row r="4895" spans="1:8" x14ac:dyDescent="0.25">
      <c r="A4895" s="2">
        <v>27670</v>
      </c>
      <c r="B4895">
        <v>30.385999999999999</v>
      </c>
      <c r="C4895">
        <v>66.346999999999994</v>
      </c>
      <c r="D4895" t="s">
        <v>14</v>
      </c>
      <c r="E4895" t="s">
        <v>643</v>
      </c>
      <c r="F4895">
        <f t="shared" si="152"/>
        <v>1975</v>
      </c>
      <c r="G4895">
        <f t="shared" si="153"/>
        <v>10</v>
      </c>
      <c r="H4895" t="str">
        <f>IF(ISNUMBER(FIND(",", E4895)), TRIM(MID(E4895, FIND(",", E4895) + 1, LEN(E4895))), E4895)</f>
        <v>Afghanistan-Pakistan border region</v>
      </c>
    </row>
    <row r="4896" spans="1:8" x14ac:dyDescent="0.25">
      <c r="A4896" s="2">
        <v>27670</v>
      </c>
      <c r="B4896">
        <v>-22.126000000000001</v>
      </c>
      <c r="C4896">
        <v>126.721</v>
      </c>
      <c r="D4896" t="s">
        <v>13</v>
      </c>
      <c r="E4896" t="s">
        <v>534</v>
      </c>
      <c r="F4896">
        <f t="shared" si="152"/>
        <v>1975</v>
      </c>
      <c r="G4896">
        <f t="shared" si="153"/>
        <v>10</v>
      </c>
      <c r="H4896" t="str">
        <f>IF(ISNUMBER(FIND(",", E4896)), TRIM(MID(E4896, FIND(",", E4896) + 1, LEN(E4896))), E4896)</f>
        <v>Western Australia</v>
      </c>
    </row>
    <row r="4897" spans="1:8" x14ac:dyDescent="0.25">
      <c r="A4897" s="2">
        <v>27670</v>
      </c>
      <c r="B4897">
        <v>30.236999999999998</v>
      </c>
      <c r="C4897">
        <v>66.289000000000001</v>
      </c>
      <c r="D4897" t="s">
        <v>14</v>
      </c>
      <c r="E4897" t="s">
        <v>629</v>
      </c>
      <c r="F4897">
        <f t="shared" si="152"/>
        <v>1975</v>
      </c>
      <c r="G4897">
        <f t="shared" si="153"/>
        <v>10</v>
      </c>
      <c r="H4897" t="str">
        <f>IF(ISNUMBER(FIND(",", E4897)), TRIM(MID(E4897, FIND(",", E4897) + 1, LEN(E4897))), E4897)</f>
        <v>western Afghanistan</v>
      </c>
    </row>
    <row r="4898" spans="1:8" x14ac:dyDescent="0.25">
      <c r="A4898" s="2">
        <v>27668</v>
      </c>
      <c r="B4898">
        <v>-4.8620000000000001</v>
      </c>
      <c r="C4898">
        <v>102.15</v>
      </c>
      <c r="D4898" t="s">
        <v>14</v>
      </c>
      <c r="E4898" t="s">
        <v>308</v>
      </c>
      <c r="F4898">
        <f t="shared" si="152"/>
        <v>1975</v>
      </c>
      <c r="G4898">
        <f t="shared" si="153"/>
        <v>10</v>
      </c>
      <c r="H4898" t="str">
        <f>IF(ISNUMBER(FIND(",", E4898)), TRIM(MID(E4898, FIND(",", E4898) + 1, LEN(E4898))), E4898)</f>
        <v>Indonesia</v>
      </c>
    </row>
    <row r="4899" spans="1:8" x14ac:dyDescent="0.25">
      <c r="A4899" s="2">
        <v>27667</v>
      </c>
      <c r="B4899">
        <v>-5.0030000000000001</v>
      </c>
      <c r="C4899">
        <v>102.065</v>
      </c>
      <c r="D4899" t="s">
        <v>14</v>
      </c>
      <c r="E4899" t="s">
        <v>308</v>
      </c>
      <c r="F4899">
        <f t="shared" si="152"/>
        <v>1975</v>
      </c>
      <c r="G4899">
        <f t="shared" si="153"/>
        <v>9</v>
      </c>
      <c r="H4899" t="str">
        <f>IF(ISNUMBER(FIND(",", E4899)), TRIM(MID(E4899, FIND(",", E4899) + 1, LEN(E4899))), E4899)</f>
        <v>Indonesia</v>
      </c>
    </row>
    <row r="4900" spans="1:8" x14ac:dyDescent="0.25">
      <c r="A4900" s="2">
        <v>27666</v>
      </c>
      <c r="B4900">
        <v>-0.45600000000000002</v>
      </c>
      <c r="C4900">
        <v>124.67400000000001</v>
      </c>
      <c r="D4900" t="s">
        <v>14</v>
      </c>
      <c r="E4900" t="s">
        <v>186</v>
      </c>
      <c r="F4900">
        <f t="shared" si="152"/>
        <v>1975</v>
      </c>
      <c r="G4900">
        <f t="shared" si="153"/>
        <v>9</v>
      </c>
      <c r="H4900" t="str">
        <f>IF(ISNUMBER(FIND(",", E4900)), TRIM(MID(E4900, FIND(",", E4900) + 1, LEN(E4900))), E4900)</f>
        <v>Molucca Sea</v>
      </c>
    </row>
    <row r="4901" spans="1:8" x14ac:dyDescent="0.25">
      <c r="A4901" s="2">
        <v>27661</v>
      </c>
      <c r="B4901">
        <v>-11.913</v>
      </c>
      <c r="C4901">
        <v>-14.512</v>
      </c>
      <c r="D4901" t="s">
        <v>14</v>
      </c>
      <c r="E4901" t="s">
        <v>280</v>
      </c>
      <c r="F4901">
        <f t="shared" si="152"/>
        <v>1975</v>
      </c>
      <c r="G4901">
        <f t="shared" si="153"/>
        <v>9</v>
      </c>
      <c r="H4901" t="str">
        <f>IF(ISNUMBER(FIND(",", E4901)), TRIM(MID(E4901, FIND(",", E4901) + 1, LEN(E4901))), E4901)</f>
        <v>Ascension Island region</v>
      </c>
    </row>
    <row r="4902" spans="1:8" x14ac:dyDescent="0.25">
      <c r="A4902" s="2">
        <v>27661</v>
      </c>
      <c r="B4902">
        <v>-20.494</v>
      </c>
      <c r="C4902">
        <v>-173.958</v>
      </c>
      <c r="D4902" t="s">
        <v>14</v>
      </c>
      <c r="E4902" t="s">
        <v>239</v>
      </c>
      <c r="F4902">
        <f t="shared" si="152"/>
        <v>1975</v>
      </c>
      <c r="G4902">
        <f t="shared" si="153"/>
        <v>9</v>
      </c>
      <c r="H4902" t="str">
        <f>IF(ISNUMBER(FIND(",", E4902)), TRIM(MID(E4902, FIND(",", E4902) + 1, LEN(E4902))), E4902)</f>
        <v>Tonga</v>
      </c>
    </row>
    <row r="4903" spans="1:8" x14ac:dyDescent="0.25">
      <c r="A4903" s="2">
        <v>27656</v>
      </c>
      <c r="B4903">
        <v>-34.744</v>
      </c>
      <c r="C4903">
        <v>81.8</v>
      </c>
      <c r="D4903" t="s">
        <v>14</v>
      </c>
      <c r="E4903" t="s">
        <v>644</v>
      </c>
      <c r="F4903">
        <f t="shared" si="152"/>
        <v>1975</v>
      </c>
      <c r="G4903">
        <f t="shared" si="153"/>
        <v>9</v>
      </c>
      <c r="H4903" t="str">
        <f>IF(ISNUMBER(FIND(",", E4903)), TRIM(MID(E4903, FIND(",", E4903) + 1, LEN(E4903))), E4903)</f>
        <v>Broken Ridge</v>
      </c>
    </row>
    <row r="4904" spans="1:8" x14ac:dyDescent="0.25">
      <c r="A4904" s="2">
        <v>27643</v>
      </c>
      <c r="B4904">
        <v>38.512999999999998</v>
      </c>
      <c r="C4904">
        <v>40.764000000000003</v>
      </c>
      <c r="D4904" t="s">
        <v>14</v>
      </c>
      <c r="E4904" t="s">
        <v>272</v>
      </c>
      <c r="F4904">
        <f t="shared" si="152"/>
        <v>1975</v>
      </c>
      <c r="G4904">
        <f t="shared" si="153"/>
        <v>9</v>
      </c>
      <c r="H4904" t="str">
        <f>IF(ISNUMBER(FIND(",", E4904)), TRIM(MID(E4904, FIND(",", E4904) + 1, LEN(E4904))), E4904)</f>
        <v>eastern Turkey</v>
      </c>
    </row>
    <row r="4905" spans="1:8" x14ac:dyDescent="0.25">
      <c r="A4905" s="2">
        <v>27621</v>
      </c>
      <c r="B4905">
        <v>54.932000000000002</v>
      </c>
      <c r="C4905">
        <v>167.87200000000001</v>
      </c>
      <c r="D4905" t="s">
        <v>14</v>
      </c>
      <c r="E4905" t="s">
        <v>443</v>
      </c>
      <c r="F4905">
        <f t="shared" si="152"/>
        <v>1975</v>
      </c>
      <c r="G4905">
        <f t="shared" si="153"/>
        <v>8</v>
      </c>
      <c r="H4905" t="str">
        <f>IF(ISNUMBER(FIND(",", E4905)), TRIM(MID(E4905, FIND(",", E4905) + 1, LEN(E4905))), E4905)</f>
        <v>Russia region</v>
      </c>
    </row>
    <row r="4906" spans="1:8" x14ac:dyDescent="0.25">
      <c r="A4906" s="2">
        <v>27616</v>
      </c>
      <c r="B4906">
        <v>-22.738</v>
      </c>
      <c r="C4906">
        <v>-66.626000000000005</v>
      </c>
      <c r="D4906" t="s">
        <v>13</v>
      </c>
      <c r="E4906" t="s">
        <v>347</v>
      </c>
      <c r="F4906">
        <f t="shared" si="152"/>
        <v>1975</v>
      </c>
      <c r="G4906">
        <f t="shared" si="153"/>
        <v>8</v>
      </c>
      <c r="H4906" t="str">
        <f>IF(ISNUMBER(FIND(",", E4906)), TRIM(MID(E4906, FIND(",", E4906) + 1, LEN(E4906))), E4906)</f>
        <v>Argentina</v>
      </c>
    </row>
    <row r="4907" spans="1:8" x14ac:dyDescent="0.25">
      <c r="A4907" s="2">
        <v>27612</v>
      </c>
      <c r="B4907">
        <v>-2.4340000000000002</v>
      </c>
      <c r="C4907">
        <v>146.10499999999999</v>
      </c>
      <c r="D4907" t="s">
        <v>14</v>
      </c>
      <c r="E4907" t="s">
        <v>383</v>
      </c>
      <c r="F4907">
        <f t="shared" si="152"/>
        <v>1975</v>
      </c>
      <c r="G4907">
        <f t="shared" si="153"/>
        <v>8</v>
      </c>
      <c r="H4907" t="str">
        <f>IF(ISNUMBER(FIND(",", E4907)), TRIM(MID(E4907, FIND(",", E4907) + 1, LEN(E4907))), E4907)</f>
        <v>Papua New Guinea</v>
      </c>
    </row>
    <row r="4908" spans="1:8" x14ac:dyDescent="0.25">
      <c r="A4908" s="2">
        <v>27608</v>
      </c>
      <c r="B4908">
        <v>53.353000000000002</v>
      </c>
      <c r="C4908">
        <v>-161.46</v>
      </c>
      <c r="D4908" t="s">
        <v>14</v>
      </c>
      <c r="E4908" t="s">
        <v>493</v>
      </c>
      <c r="F4908">
        <f t="shared" si="152"/>
        <v>1975</v>
      </c>
      <c r="G4908">
        <f t="shared" si="153"/>
        <v>8</v>
      </c>
      <c r="H4908" t="str">
        <f>IF(ISNUMBER(FIND(",", E4908)), TRIM(MID(E4908, FIND(",", E4908) + 1, LEN(E4908))), E4908)</f>
        <v>south of Alaska</v>
      </c>
    </row>
    <row r="4909" spans="1:8" x14ac:dyDescent="0.25">
      <c r="A4909" s="2">
        <v>27605</v>
      </c>
      <c r="B4909">
        <v>-9.9770000000000003</v>
      </c>
      <c r="C4909">
        <v>123.822</v>
      </c>
      <c r="D4909" t="s">
        <v>14</v>
      </c>
      <c r="E4909" t="s">
        <v>645</v>
      </c>
      <c r="F4909">
        <f t="shared" si="152"/>
        <v>1975</v>
      </c>
      <c r="G4909">
        <f t="shared" si="153"/>
        <v>7</v>
      </c>
      <c r="H4909" t="str">
        <f>IF(ISNUMBER(FIND(",", E4909)), TRIM(MID(E4909, FIND(",", E4909) + 1, LEN(E4909))), E4909)</f>
        <v>Indonesia</v>
      </c>
    </row>
    <row r="4910" spans="1:8" x14ac:dyDescent="0.25">
      <c r="A4910" s="2">
        <v>27597</v>
      </c>
      <c r="B4910">
        <v>-7.1989999999999998</v>
      </c>
      <c r="C4910">
        <v>155.732</v>
      </c>
      <c r="D4910" t="s">
        <v>14</v>
      </c>
      <c r="E4910" t="s">
        <v>221</v>
      </c>
      <c r="F4910">
        <f t="shared" si="152"/>
        <v>1975</v>
      </c>
      <c r="G4910">
        <f t="shared" si="153"/>
        <v>7</v>
      </c>
      <c r="H4910" t="str">
        <f>IF(ISNUMBER(FIND(",", E4910)), TRIM(MID(E4910, FIND(",", E4910) + 1, LEN(E4910))), E4910)</f>
        <v>Solomon Islands</v>
      </c>
    </row>
    <row r="4911" spans="1:8" x14ac:dyDescent="0.25">
      <c r="A4911" s="2">
        <v>27596</v>
      </c>
      <c r="B4911">
        <v>-6.8310000000000004</v>
      </c>
      <c r="C4911">
        <v>155.452</v>
      </c>
      <c r="D4911" t="s">
        <v>13</v>
      </c>
      <c r="E4911" t="s">
        <v>290</v>
      </c>
      <c r="F4911">
        <f t="shared" si="152"/>
        <v>1975</v>
      </c>
      <c r="G4911">
        <f t="shared" si="153"/>
        <v>7</v>
      </c>
      <c r="H4911" t="str">
        <f>IF(ISNUMBER(FIND(",", E4911)), TRIM(MID(E4911, FIND(",", E4911) + 1, LEN(E4911))), E4911)</f>
        <v>Papua New Guinea</v>
      </c>
    </row>
    <row r="4912" spans="1:8" x14ac:dyDescent="0.25">
      <c r="A4912" s="2">
        <v>27595</v>
      </c>
      <c r="B4912">
        <v>-6.5780000000000003</v>
      </c>
      <c r="C4912">
        <v>154.738</v>
      </c>
      <c r="D4912" t="s">
        <v>14</v>
      </c>
      <c r="E4912" t="s">
        <v>290</v>
      </c>
      <c r="F4912">
        <f t="shared" si="152"/>
        <v>1975</v>
      </c>
      <c r="G4912">
        <f t="shared" si="153"/>
        <v>7</v>
      </c>
      <c r="H4912" t="str">
        <f>IF(ISNUMBER(FIND(",", E4912)), TRIM(MID(E4912, FIND(",", E4912) + 1, LEN(E4912))), E4912)</f>
        <v>Papua New Guinea</v>
      </c>
    </row>
    <row r="4913" spans="1:8" x14ac:dyDescent="0.25">
      <c r="A4913" s="2">
        <v>27595</v>
      </c>
      <c r="B4913">
        <v>-7.0830000000000002</v>
      </c>
      <c r="C4913">
        <v>155.21199999999999</v>
      </c>
      <c r="D4913" t="s">
        <v>16</v>
      </c>
      <c r="E4913" t="s">
        <v>221</v>
      </c>
      <c r="F4913">
        <f t="shared" si="152"/>
        <v>1975</v>
      </c>
      <c r="G4913">
        <f t="shared" si="153"/>
        <v>7</v>
      </c>
      <c r="H4913" t="str">
        <f>IF(ISNUMBER(FIND(",", E4913)), TRIM(MID(E4913, FIND(",", E4913) + 1, LEN(E4913))), E4913)</f>
        <v>Solomon Islands</v>
      </c>
    </row>
    <row r="4914" spans="1:8" x14ac:dyDescent="0.25">
      <c r="A4914" s="2">
        <v>27595</v>
      </c>
      <c r="B4914">
        <v>-6.6120000000000001</v>
      </c>
      <c r="C4914">
        <v>155.095</v>
      </c>
      <c r="D4914" t="s">
        <v>13</v>
      </c>
      <c r="E4914" t="s">
        <v>290</v>
      </c>
      <c r="F4914">
        <f t="shared" si="152"/>
        <v>1975</v>
      </c>
      <c r="G4914">
        <f t="shared" si="153"/>
        <v>7</v>
      </c>
      <c r="H4914" t="str">
        <f>IF(ISNUMBER(FIND(",", E4914)), TRIM(MID(E4914, FIND(",", E4914) + 1, LEN(E4914))), E4914)</f>
        <v>Papua New Guinea</v>
      </c>
    </row>
    <row r="4915" spans="1:8" x14ac:dyDescent="0.25">
      <c r="A4915" s="2">
        <v>27591</v>
      </c>
      <c r="B4915">
        <v>-30.86</v>
      </c>
      <c r="C4915">
        <v>-177.34200000000001</v>
      </c>
      <c r="D4915" t="s">
        <v>14</v>
      </c>
      <c r="E4915" t="s">
        <v>288</v>
      </c>
      <c r="F4915">
        <f t="shared" si="152"/>
        <v>1975</v>
      </c>
      <c r="G4915">
        <f t="shared" si="153"/>
        <v>7</v>
      </c>
      <c r="H4915" t="str">
        <f>IF(ISNUMBER(FIND(",", E4915)), TRIM(MID(E4915, FIND(",", E4915) + 1, LEN(E4915))), E4915)</f>
        <v>New Zealand</v>
      </c>
    </row>
    <row r="4916" spans="1:8" x14ac:dyDescent="0.25">
      <c r="A4916" s="2">
        <v>27591</v>
      </c>
      <c r="B4916">
        <v>-30.75</v>
      </c>
      <c r="C4916">
        <v>-177.34</v>
      </c>
      <c r="D4916" t="s">
        <v>14</v>
      </c>
      <c r="E4916" t="s">
        <v>288</v>
      </c>
      <c r="F4916">
        <f t="shared" si="152"/>
        <v>1975</v>
      </c>
      <c r="G4916">
        <f t="shared" si="153"/>
        <v>7</v>
      </c>
      <c r="H4916" t="str">
        <f>IF(ISNUMBER(FIND(",", E4916)), TRIM(MID(E4916, FIND(",", E4916) + 1, LEN(E4916))), E4916)</f>
        <v>New Zealand</v>
      </c>
    </row>
    <row r="4917" spans="1:8" x14ac:dyDescent="0.25">
      <c r="A4917" s="2">
        <v>27589</v>
      </c>
      <c r="B4917">
        <v>-40.421999999999997</v>
      </c>
      <c r="C4917">
        <v>78.402000000000001</v>
      </c>
      <c r="D4917" t="s">
        <v>14</v>
      </c>
      <c r="E4917" t="s">
        <v>377</v>
      </c>
      <c r="F4917">
        <f t="shared" si="152"/>
        <v>1975</v>
      </c>
      <c r="G4917">
        <f t="shared" si="153"/>
        <v>7</v>
      </c>
      <c r="H4917" t="str">
        <f>IF(ISNUMBER(FIND(",", E4917)), TRIM(MID(E4917, FIND(",", E4917) + 1, LEN(E4917))), E4917)</f>
        <v>Mid-Indian Ridge</v>
      </c>
    </row>
    <row r="4918" spans="1:8" x14ac:dyDescent="0.25">
      <c r="A4918" s="2">
        <v>27583</v>
      </c>
      <c r="B4918">
        <v>29.359000000000002</v>
      </c>
      <c r="C4918">
        <v>-113.452</v>
      </c>
      <c r="D4918" t="s">
        <v>14</v>
      </c>
      <c r="E4918" t="s">
        <v>646</v>
      </c>
      <c r="F4918">
        <f t="shared" si="152"/>
        <v>1975</v>
      </c>
      <c r="G4918">
        <f t="shared" si="153"/>
        <v>7</v>
      </c>
      <c r="H4918" t="str">
        <f>IF(ISNUMBER(FIND(",", E4918)), TRIM(MID(E4918, FIND(",", E4918) + 1, LEN(E4918))), E4918)</f>
        <v>Baja California, Mexico</v>
      </c>
    </row>
    <row r="4919" spans="1:8" x14ac:dyDescent="0.25">
      <c r="A4919" s="2">
        <v>27574</v>
      </c>
      <c r="B4919">
        <v>38.731000000000002</v>
      </c>
      <c r="C4919">
        <v>130.08600000000001</v>
      </c>
      <c r="D4919" t="s">
        <v>14</v>
      </c>
      <c r="E4919" t="s">
        <v>420</v>
      </c>
      <c r="F4919">
        <f t="shared" si="152"/>
        <v>1975</v>
      </c>
      <c r="G4919">
        <f t="shared" si="153"/>
        <v>6</v>
      </c>
      <c r="H4919" t="str">
        <f>IF(ISNUMBER(FIND(",", E4919)), TRIM(MID(E4919, FIND(",", E4919) + 1, LEN(E4919))), E4919)</f>
        <v>Sea of Japan</v>
      </c>
    </row>
    <row r="4920" spans="1:8" x14ac:dyDescent="0.25">
      <c r="A4920" s="2">
        <v>27568</v>
      </c>
      <c r="B4920">
        <v>-2.7</v>
      </c>
      <c r="C4920">
        <v>147.38900000000001</v>
      </c>
      <c r="D4920" t="s">
        <v>13</v>
      </c>
      <c r="E4920" t="s">
        <v>383</v>
      </c>
      <c r="F4920">
        <f t="shared" si="152"/>
        <v>1975</v>
      </c>
      <c r="G4920">
        <f t="shared" si="153"/>
        <v>6</v>
      </c>
      <c r="H4920" t="str">
        <f>IF(ISNUMBER(FIND(",", E4920)), TRIM(MID(E4920, FIND(",", E4920) + 1, LEN(E4920))), E4920)</f>
        <v>Papua New Guinea</v>
      </c>
    </row>
    <row r="4921" spans="1:8" x14ac:dyDescent="0.25">
      <c r="A4921" s="2">
        <v>27567</v>
      </c>
      <c r="B4921">
        <v>43.228999999999999</v>
      </c>
      <c r="C4921">
        <v>147.167</v>
      </c>
      <c r="D4921" t="s">
        <v>14</v>
      </c>
      <c r="E4921" t="s">
        <v>191</v>
      </c>
      <c r="F4921">
        <f t="shared" si="152"/>
        <v>1975</v>
      </c>
      <c r="G4921">
        <f t="shared" si="153"/>
        <v>6</v>
      </c>
      <c r="H4921" t="str">
        <f>IF(ISNUMBER(FIND(",", E4921)), TRIM(MID(E4921, FIND(",", E4921) + 1, LEN(E4921))), E4921)</f>
        <v>Kuril Islands</v>
      </c>
    </row>
    <row r="4922" spans="1:8" x14ac:dyDescent="0.25">
      <c r="A4922" s="2">
        <v>27561</v>
      </c>
      <c r="B4922">
        <v>-3.056</v>
      </c>
      <c r="C4922">
        <v>147.99600000000001</v>
      </c>
      <c r="D4922" t="s">
        <v>14</v>
      </c>
      <c r="E4922" t="s">
        <v>380</v>
      </c>
      <c r="F4922">
        <f t="shared" si="152"/>
        <v>1975</v>
      </c>
      <c r="G4922">
        <f t="shared" si="153"/>
        <v>6</v>
      </c>
      <c r="H4922" t="str">
        <f>IF(ISNUMBER(FIND(",", E4922)), TRIM(MID(E4922, FIND(",", E4922) + 1, LEN(E4922))), E4922)</f>
        <v>Bismarck Sea</v>
      </c>
    </row>
    <row r="4923" spans="1:8" x14ac:dyDescent="0.25">
      <c r="A4923" s="2">
        <v>27560</v>
      </c>
      <c r="B4923">
        <v>43.701000000000001</v>
      </c>
      <c r="C4923">
        <v>147.84700000000001</v>
      </c>
      <c r="D4923" t="s">
        <v>14</v>
      </c>
      <c r="E4923" t="s">
        <v>191</v>
      </c>
      <c r="F4923">
        <f t="shared" si="152"/>
        <v>1975</v>
      </c>
      <c r="G4923">
        <f t="shared" si="153"/>
        <v>6</v>
      </c>
      <c r="H4923" t="str">
        <f>IF(ISNUMBER(FIND(",", E4923)), TRIM(MID(E4923, FIND(",", E4923) + 1, LEN(E4923))), E4923)</f>
        <v>Kuril Islands</v>
      </c>
    </row>
    <row r="4924" spans="1:8" x14ac:dyDescent="0.25">
      <c r="A4924" s="2">
        <v>27559</v>
      </c>
      <c r="B4924">
        <v>43.582999999999998</v>
      </c>
      <c r="C4924">
        <v>147.85599999999999</v>
      </c>
      <c r="D4924" t="s">
        <v>14</v>
      </c>
      <c r="E4924" t="s">
        <v>191</v>
      </c>
      <c r="F4924">
        <f t="shared" si="152"/>
        <v>1975</v>
      </c>
      <c r="G4924">
        <f t="shared" si="153"/>
        <v>6</v>
      </c>
      <c r="H4924" t="str">
        <f>IF(ISNUMBER(FIND(",", E4924)), TRIM(MID(E4924, FIND(",", E4924) + 1, LEN(E4924))), E4924)</f>
        <v>Kuril Islands</v>
      </c>
    </row>
    <row r="4925" spans="1:8" x14ac:dyDescent="0.25">
      <c r="A4925" s="2">
        <v>27558</v>
      </c>
      <c r="B4925">
        <v>43.487000000000002</v>
      </c>
      <c r="C4925">
        <v>147.691</v>
      </c>
      <c r="D4925" t="s">
        <v>14</v>
      </c>
      <c r="E4925" t="s">
        <v>191</v>
      </c>
      <c r="F4925">
        <f t="shared" si="152"/>
        <v>1975</v>
      </c>
      <c r="G4925">
        <f t="shared" si="153"/>
        <v>6</v>
      </c>
      <c r="H4925" t="str">
        <f>IF(ISNUMBER(FIND(",", E4925)), TRIM(MID(E4925, FIND(",", E4925) + 1, LEN(E4925))), E4925)</f>
        <v>Kuril Islands</v>
      </c>
    </row>
    <row r="4926" spans="1:8" x14ac:dyDescent="0.25">
      <c r="A4926" s="2">
        <v>27555</v>
      </c>
      <c r="B4926">
        <v>43.128</v>
      </c>
      <c r="C4926">
        <v>147.65100000000001</v>
      </c>
      <c r="D4926" t="s">
        <v>14</v>
      </c>
      <c r="E4926" t="s">
        <v>191</v>
      </c>
      <c r="F4926">
        <f t="shared" si="152"/>
        <v>1975</v>
      </c>
      <c r="G4926">
        <f t="shared" si="153"/>
        <v>6</v>
      </c>
      <c r="H4926" t="str">
        <f>IF(ISNUMBER(FIND(",", E4926)), TRIM(MID(E4926, FIND(",", E4926) + 1, LEN(E4926))), E4926)</f>
        <v>Kuril Islands</v>
      </c>
    </row>
    <row r="4927" spans="1:8" x14ac:dyDescent="0.25">
      <c r="A4927" s="2">
        <v>27544</v>
      </c>
      <c r="B4927">
        <v>-50.463999999999999</v>
      </c>
      <c r="C4927">
        <v>139.51599999999999</v>
      </c>
      <c r="D4927" t="s">
        <v>14</v>
      </c>
      <c r="E4927" t="s">
        <v>235</v>
      </c>
      <c r="F4927">
        <f t="shared" si="152"/>
        <v>1975</v>
      </c>
      <c r="G4927">
        <f t="shared" si="153"/>
        <v>5</v>
      </c>
      <c r="H4927" t="str">
        <f>IF(ISNUMBER(FIND(",", E4927)), TRIM(MID(E4927, FIND(",", E4927) + 1, LEN(E4927))), E4927)</f>
        <v>western Indian-Antarctic Ridge</v>
      </c>
    </row>
    <row r="4928" spans="1:8" x14ac:dyDescent="0.25">
      <c r="A4928" s="2">
        <v>27541</v>
      </c>
      <c r="B4928">
        <v>0.75800000000000001</v>
      </c>
      <c r="C4928">
        <v>122.592</v>
      </c>
      <c r="D4928" t="s">
        <v>13</v>
      </c>
      <c r="E4928" t="s">
        <v>263</v>
      </c>
      <c r="F4928">
        <f t="shared" si="152"/>
        <v>1975</v>
      </c>
      <c r="G4928">
        <f t="shared" si="153"/>
        <v>5</v>
      </c>
      <c r="H4928" t="str">
        <f>IF(ISNUMBER(FIND(",", E4928)), TRIM(MID(E4928, FIND(",", E4928) + 1, LEN(E4928))), E4928)</f>
        <v>Sulawesi, Indonesia</v>
      </c>
    </row>
    <row r="4929" spans="1:8" x14ac:dyDescent="0.25">
      <c r="A4929" s="2">
        <v>27540</v>
      </c>
      <c r="B4929">
        <v>35.970999999999997</v>
      </c>
      <c r="C4929">
        <v>-17.646000000000001</v>
      </c>
      <c r="D4929" t="s">
        <v>16</v>
      </c>
      <c r="E4929" t="s">
        <v>430</v>
      </c>
      <c r="F4929">
        <f t="shared" si="152"/>
        <v>1975</v>
      </c>
      <c r="G4929">
        <f t="shared" si="153"/>
        <v>5</v>
      </c>
      <c r="H4929" t="str">
        <f>IF(ISNUMBER(FIND(",", E4929)), TRIM(MID(E4929, FIND(",", E4929) + 1, LEN(E4929))), E4929)</f>
        <v>Azores-Cape St. Vincent Ridge</v>
      </c>
    </row>
    <row r="4930" spans="1:8" x14ac:dyDescent="0.25">
      <c r="A4930" s="2">
        <v>27537</v>
      </c>
      <c r="B4930">
        <v>22.747</v>
      </c>
      <c r="C4930">
        <v>122.568</v>
      </c>
      <c r="D4930" t="s">
        <v>17</v>
      </c>
      <c r="E4930" t="s">
        <v>363</v>
      </c>
      <c r="F4930">
        <f t="shared" ref="F4930:F4993" si="154">YEAR(A4930)</f>
        <v>1975</v>
      </c>
      <c r="G4930">
        <f t="shared" si="153"/>
        <v>5</v>
      </c>
      <c r="H4930" t="str">
        <f>IF(ISNUMBER(FIND(",", E4930)), TRIM(MID(E4930, FIND(",", E4930) + 1, LEN(E4930))), E4930)</f>
        <v>Taiwan region</v>
      </c>
    </row>
    <row r="4931" spans="1:8" x14ac:dyDescent="0.25">
      <c r="A4931" s="2">
        <v>27532</v>
      </c>
      <c r="B4931">
        <v>-20.907</v>
      </c>
      <c r="C4931">
        <v>-173.876</v>
      </c>
      <c r="D4931" t="s">
        <v>14</v>
      </c>
      <c r="E4931" t="s">
        <v>239</v>
      </c>
      <c r="F4931">
        <f t="shared" si="154"/>
        <v>1975</v>
      </c>
      <c r="G4931">
        <f t="shared" ref="G4931:G4994" si="155">MONTH(A4931)</f>
        <v>5</v>
      </c>
      <c r="H4931" t="str">
        <f>IF(ISNUMBER(FIND(",", E4931)), TRIM(MID(E4931, FIND(",", E4931) + 1, LEN(E4931))), E4931)</f>
        <v>Tonga</v>
      </c>
    </row>
    <row r="4932" spans="1:8" x14ac:dyDescent="0.25">
      <c r="A4932" s="2">
        <v>27527</v>
      </c>
      <c r="B4932">
        <v>1.0249999999999999</v>
      </c>
      <c r="C4932">
        <v>126.03100000000001</v>
      </c>
      <c r="D4932" t="s">
        <v>14</v>
      </c>
      <c r="E4932" t="s">
        <v>186</v>
      </c>
      <c r="F4932">
        <f t="shared" si="154"/>
        <v>1975</v>
      </c>
      <c r="G4932">
        <f t="shared" si="155"/>
        <v>5</v>
      </c>
      <c r="H4932" t="str">
        <f>IF(ISNUMBER(FIND(",", E4932)), TRIM(MID(E4932, FIND(",", E4932) + 1, LEN(E4932))), E4932)</f>
        <v>Molucca Sea</v>
      </c>
    </row>
    <row r="4933" spans="1:8" x14ac:dyDescent="0.25">
      <c r="A4933" s="2">
        <v>27524</v>
      </c>
      <c r="B4933">
        <v>-38.213999999999999</v>
      </c>
      <c r="C4933">
        <v>-73.001000000000005</v>
      </c>
      <c r="D4933" t="s">
        <v>16</v>
      </c>
      <c r="E4933" t="s">
        <v>309</v>
      </c>
      <c r="F4933">
        <f t="shared" si="154"/>
        <v>1975</v>
      </c>
      <c r="G4933">
        <f t="shared" si="155"/>
        <v>5</v>
      </c>
      <c r="H4933" t="str">
        <f>IF(ISNUMBER(FIND(",", E4933)), TRIM(MID(E4933, FIND(",", E4933) + 1, LEN(E4933))), E4933)</f>
        <v>Chile</v>
      </c>
    </row>
    <row r="4934" spans="1:8" x14ac:dyDescent="0.25">
      <c r="A4934" s="2">
        <v>27519</v>
      </c>
      <c r="B4934">
        <v>33.085999999999999</v>
      </c>
      <c r="C4934">
        <v>92.87</v>
      </c>
      <c r="D4934" t="s">
        <v>14</v>
      </c>
      <c r="E4934" t="s">
        <v>331</v>
      </c>
      <c r="F4934">
        <f t="shared" si="154"/>
        <v>1975</v>
      </c>
      <c r="G4934">
        <f t="shared" si="155"/>
        <v>5</v>
      </c>
      <c r="H4934" t="str">
        <f>IF(ISNUMBER(FIND(",", E4934)), TRIM(MID(E4934, FIND(",", E4934) + 1, LEN(E4934))), E4934)</f>
        <v>China</v>
      </c>
    </row>
    <row r="4935" spans="1:8" x14ac:dyDescent="0.25">
      <c r="A4935" s="2">
        <v>27512</v>
      </c>
      <c r="B4935">
        <v>35.813000000000002</v>
      </c>
      <c r="C4935">
        <v>79.923000000000002</v>
      </c>
      <c r="D4935" t="s">
        <v>14</v>
      </c>
      <c r="E4935" t="s">
        <v>541</v>
      </c>
      <c r="F4935">
        <f t="shared" si="154"/>
        <v>1975</v>
      </c>
      <c r="G4935">
        <f t="shared" si="155"/>
        <v>4</v>
      </c>
      <c r="H4935" t="str">
        <f>IF(ISNUMBER(FIND(",", E4935)), TRIM(MID(E4935, FIND(",", E4935) + 1, LEN(E4935))), E4935)</f>
        <v>Kashmir-Xinjiang border region</v>
      </c>
    </row>
    <row r="4936" spans="1:8" x14ac:dyDescent="0.25">
      <c r="A4936" s="2">
        <v>27507</v>
      </c>
      <c r="B4936">
        <v>16.449000000000002</v>
      </c>
      <c r="C4936">
        <v>-98.84</v>
      </c>
      <c r="D4936" t="s">
        <v>14</v>
      </c>
      <c r="E4936" t="s">
        <v>474</v>
      </c>
      <c r="F4936">
        <f t="shared" si="154"/>
        <v>1975</v>
      </c>
      <c r="G4936">
        <f t="shared" si="155"/>
        <v>4</v>
      </c>
      <c r="H4936" t="str">
        <f>IF(ISNUMBER(FIND(",", E4936)), TRIM(MID(E4936, FIND(",", E4936) + 1, LEN(E4936))), E4936)</f>
        <v>Mexico</v>
      </c>
    </row>
    <row r="4937" spans="1:8" x14ac:dyDescent="0.25">
      <c r="A4937" s="2">
        <v>27504</v>
      </c>
      <c r="B4937">
        <v>33.140999999999998</v>
      </c>
      <c r="C4937">
        <v>131.25899999999999</v>
      </c>
      <c r="D4937" t="s">
        <v>14</v>
      </c>
      <c r="E4937" t="s">
        <v>357</v>
      </c>
      <c r="F4937">
        <f t="shared" si="154"/>
        <v>1975</v>
      </c>
      <c r="G4937">
        <f t="shared" si="155"/>
        <v>4</v>
      </c>
      <c r="H4937" t="str">
        <f>IF(ISNUMBER(FIND(",", E4937)), TRIM(MID(E4937, FIND(",", E4937) + 1, LEN(E4937))), E4937)</f>
        <v>Japan</v>
      </c>
    </row>
    <row r="4938" spans="1:8" x14ac:dyDescent="0.25">
      <c r="A4938" s="2">
        <v>27504</v>
      </c>
      <c r="B4938">
        <v>-36.378</v>
      </c>
      <c r="C4938">
        <v>-98.926000000000002</v>
      </c>
      <c r="D4938" t="s">
        <v>14</v>
      </c>
      <c r="E4938" t="s">
        <v>364</v>
      </c>
      <c r="F4938">
        <f t="shared" si="154"/>
        <v>1975</v>
      </c>
      <c r="G4938">
        <f t="shared" si="155"/>
        <v>4</v>
      </c>
      <c r="H4938" t="str">
        <f>IF(ISNUMBER(FIND(",", E4938)), TRIM(MID(E4938, FIND(",", E4938) + 1, LEN(E4938))), E4938)</f>
        <v>southeast of Easter Island</v>
      </c>
    </row>
    <row r="4939" spans="1:8" x14ac:dyDescent="0.25">
      <c r="A4939" s="2">
        <v>27500</v>
      </c>
      <c r="B4939">
        <v>71.47</v>
      </c>
      <c r="C4939">
        <v>-10.461</v>
      </c>
      <c r="D4939" t="s">
        <v>14</v>
      </c>
      <c r="E4939" t="s">
        <v>214</v>
      </c>
      <c r="F4939">
        <f t="shared" si="154"/>
        <v>1975</v>
      </c>
      <c r="G4939">
        <f t="shared" si="155"/>
        <v>4</v>
      </c>
      <c r="H4939" t="str">
        <f>IF(ISNUMBER(FIND(",", E4939)), TRIM(MID(E4939, FIND(",", E4939) + 1, LEN(E4939))), E4939)</f>
        <v>Jan Mayen Island region</v>
      </c>
    </row>
    <row r="4940" spans="1:8" x14ac:dyDescent="0.25">
      <c r="A4940" s="2">
        <v>27495</v>
      </c>
      <c r="B4940">
        <v>-50.976999999999997</v>
      </c>
      <c r="C4940">
        <v>139.13</v>
      </c>
      <c r="D4940" t="s">
        <v>14</v>
      </c>
      <c r="E4940" t="s">
        <v>235</v>
      </c>
      <c r="F4940">
        <f t="shared" si="154"/>
        <v>1975</v>
      </c>
      <c r="G4940">
        <f t="shared" si="155"/>
        <v>4</v>
      </c>
      <c r="H4940" t="str">
        <f>IF(ISNUMBER(FIND(",", E4940)), TRIM(MID(E4940, FIND(",", E4940) + 1, LEN(E4940))), E4940)</f>
        <v>western Indian-Antarctic Ridge</v>
      </c>
    </row>
    <row r="4941" spans="1:8" x14ac:dyDescent="0.25">
      <c r="A4941" s="2">
        <v>27493</v>
      </c>
      <c r="B4941">
        <v>-4.0640000000000001</v>
      </c>
      <c r="C4941">
        <v>152.75700000000001</v>
      </c>
      <c r="D4941" t="s">
        <v>13</v>
      </c>
      <c r="E4941" t="s">
        <v>190</v>
      </c>
      <c r="F4941">
        <f t="shared" si="154"/>
        <v>1975</v>
      </c>
      <c r="G4941">
        <f t="shared" si="155"/>
        <v>4</v>
      </c>
      <c r="H4941" t="str">
        <f>IF(ISNUMBER(FIND(",", E4941)), TRIM(MID(E4941, FIND(",", E4941) + 1, LEN(E4941))), E4941)</f>
        <v>Papua New Guinea</v>
      </c>
    </row>
    <row r="4942" spans="1:8" x14ac:dyDescent="0.25">
      <c r="A4942" s="2">
        <v>27490</v>
      </c>
      <c r="B4942">
        <v>52.256</v>
      </c>
      <c r="C4942">
        <v>159.90100000000001</v>
      </c>
      <c r="D4942" t="s">
        <v>14</v>
      </c>
      <c r="E4942" t="s">
        <v>318</v>
      </c>
      <c r="F4942">
        <f t="shared" si="154"/>
        <v>1975</v>
      </c>
      <c r="G4942">
        <f t="shared" si="155"/>
        <v>4</v>
      </c>
      <c r="H4942" t="str">
        <f>IF(ISNUMBER(FIND(",", E4942)), TRIM(MID(E4942, FIND(",", E4942) + 1, LEN(E4942))), E4942)</f>
        <v>Russia</v>
      </c>
    </row>
    <row r="4943" spans="1:8" x14ac:dyDescent="0.25">
      <c r="A4943" s="2">
        <v>27490</v>
      </c>
      <c r="B4943">
        <v>52.192999999999998</v>
      </c>
      <c r="C4943">
        <v>160.018</v>
      </c>
      <c r="D4943" t="s">
        <v>14</v>
      </c>
      <c r="E4943" t="s">
        <v>318</v>
      </c>
      <c r="F4943">
        <f t="shared" si="154"/>
        <v>1975</v>
      </c>
      <c r="G4943">
        <f t="shared" si="155"/>
        <v>4</v>
      </c>
      <c r="H4943" t="str">
        <f>IF(ISNUMBER(FIND(",", E4943)), TRIM(MID(E4943, FIND(",", E4943) + 1, LEN(E4943))), E4943)</f>
        <v>Russia</v>
      </c>
    </row>
    <row r="4944" spans="1:8" x14ac:dyDescent="0.25">
      <c r="A4944" s="2">
        <v>27489</v>
      </c>
      <c r="B4944">
        <v>10.132999999999999</v>
      </c>
      <c r="C4944">
        <v>-75.647999999999996</v>
      </c>
      <c r="D4944" t="s">
        <v>17</v>
      </c>
      <c r="E4944" t="s">
        <v>647</v>
      </c>
      <c r="F4944">
        <f t="shared" si="154"/>
        <v>1975</v>
      </c>
      <c r="G4944">
        <f t="shared" si="155"/>
        <v>4</v>
      </c>
      <c r="H4944" t="str">
        <f>IF(ISNUMBER(FIND(",", E4944)), TRIM(MID(E4944, FIND(",", E4944) + 1, LEN(E4944))), E4944)</f>
        <v>near the north coast of Colombia</v>
      </c>
    </row>
    <row r="4945" spans="1:8" x14ac:dyDescent="0.25">
      <c r="A4945" s="2">
        <v>27489</v>
      </c>
      <c r="B4945">
        <v>10.065</v>
      </c>
      <c r="C4945">
        <v>-69.665999999999997</v>
      </c>
      <c r="D4945" t="s">
        <v>14</v>
      </c>
      <c r="E4945" t="s">
        <v>648</v>
      </c>
      <c r="F4945">
        <f t="shared" si="154"/>
        <v>1975</v>
      </c>
      <c r="G4945">
        <f t="shared" si="155"/>
        <v>4</v>
      </c>
      <c r="H4945" t="str">
        <f>IF(ISNUMBER(FIND(",", E4945)), TRIM(MID(E4945, FIND(",", E4945) + 1, LEN(E4945))), E4945)</f>
        <v>Venezuela</v>
      </c>
    </row>
    <row r="4946" spans="1:8" x14ac:dyDescent="0.25">
      <c r="A4946" s="2">
        <v>27481</v>
      </c>
      <c r="B4946">
        <v>42.012</v>
      </c>
      <c r="C4946">
        <v>-112.47499999999999</v>
      </c>
      <c r="D4946" t="s">
        <v>14</v>
      </c>
      <c r="E4946" t="s">
        <v>606</v>
      </c>
      <c r="F4946">
        <f t="shared" si="154"/>
        <v>1975</v>
      </c>
      <c r="G4946">
        <f t="shared" si="155"/>
        <v>3</v>
      </c>
      <c r="H4946" t="str">
        <f>IF(ISNUMBER(FIND(",", E4946)), TRIM(MID(E4946, FIND(",", E4946) + 1, LEN(E4946))), E4946)</f>
        <v>southern Idaho</v>
      </c>
    </row>
    <row r="4947" spans="1:8" x14ac:dyDescent="0.25">
      <c r="A4947" s="2">
        <v>27480</v>
      </c>
      <c r="B4947">
        <v>40.423999999999999</v>
      </c>
      <c r="C4947">
        <v>26.143000000000001</v>
      </c>
      <c r="D4947" t="s">
        <v>14</v>
      </c>
      <c r="E4947" t="s">
        <v>494</v>
      </c>
      <c r="F4947">
        <f t="shared" si="154"/>
        <v>1975</v>
      </c>
      <c r="G4947">
        <f t="shared" si="155"/>
        <v>3</v>
      </c>
      <c r="H4947" t="str">
        <f>IF(ISNUMBER(FIND(",", E4947)), TRIM(MID(E4947, FIND(",", E4947) + 1, LEN(E4947))), E4947)</f>
        <v>western Turkey</v>
      </c>
    </row>
    <row r="4948" spans="1:8" x14ac:dyDescent="0.25">
      <c r="A4948" s="2">
        <v>27476</v>
      </c>
      <c r="B4948">
        <v>22.684999999999999</v>
      </c>
      <c r="C4948">
        <v>122.788</v>
      </c>
      <c r="D4948" t="s">
        <v>14</v>
      </c>
      <c r="E4948" t="s">
        <v>363</v>
      </c>
      <c r="F4948">
        <f t="shared" si="154"/>
        <v>1975</v>
      </c>
      <c r="G4948">
        <f t="shared" si="155"/>
        <v>3</v>
      </c>
      <c r="H4948" t="str">
        <f>IF(ISNUMBER(FIND(",", E4948)), TRIM(MID(E4948, FIND(",", E4948) + 1, LEN(E4948))), E4948)</f>
        <v>Taiwan region</v>
      </c>
    </row>
    <row r="4949" spans="1:8" x14ac:dyDescent="0.25">
      <c r="A4949" s="2">
        <v>27471</v>
      </c>
      <c r="B4949">
        <v>-4.2720000000000002</v>
      </c>
      <c r="C4949">
        <v>-77.001000000000005</v>
      </c>
      <c r="D4949" t="s">
        <v>13</v>
      </c>
      <c r="E4949" t="s">
        <v>277</v>
      </c>
      <c r="F4949">
        <f t="shared" si="154"/>
        <v>1975</v>
      </c>
      <c r="G4949">
        <f t="shared" si="155"/>
        <v>3</v>
      </c>
      <c r="H4949" t="str">
        <f>IF(ISNUMBER(FIND(",", E4949)), TRIM(MID(E4949, FIND(",", E4949) + 1, LEN(E4949))), E4949)</f>
        <v>northern Peru</v>
      </c>
    </row>
    <row r="4950" spans="1:8" x14ac:dyDescent="0.25">
      <c r="A4950" s="2">
        <v>27470</v>
      </c>
      <c r="B4950">
        <v>-2.4750000000000001</v>
      </c>
      <c r="C4950">
        <v>138.37700000000001</v>
      </c>
      <c r="D4950" t="s">
        <v>14</v>
      </c>
      <c r="E4950" t="s">
        <v>210</v>
      </c>
      <c r="F4950">
        <f t="shared" si="154"/>
        <v>1975</v>
      </c>
      <c r="G4950">
        <f t="shared" si="155"/>
        <v>3</v>
      </c>
      <c r="H4950" t="str">
        <f>IF(ISNUMBER(FIND(",", E4950)), TRIM(MID(E4950, FIND(",", E4950) + 1, LEN(E4950))), E4950)</f>
        <v>Indonesia</v>
      </c>
    </row>
    <row r="4951" spans="1:8" x14ac:dyDescent="0.25">
      <c r="A4951" s="2">
        <v>27466</v>
      </c>
      <c r="B4951">
        <v>-21.786000000000001</v>
      </c>
      <c r="C4951">
        <v>170.62799999999999</v>
      </c>
      <c r="D4951" t="s">
        <v>13</v>
      </c>
      <c r="E4951" t="s">
        <v>254</v>
      </c>
      <c r="F4951">
        <f t="shared" si="154"/>
        <v>1975</v>
      </c>
      <c r="G4951">
        <f t="shared" si="155"/>
        <v>3</v>
      </c>
      <c r="H4951" t="str">
        <f>IF(ISNUMBER(FIND(",", E4951)), TRIM(MID(E4951, FIND(",", E4951) + 1, LEN(E4951))), E4951)</f>
        <v>southeast of the Loyalty Islands</v>
      </c>
    </row>
    <row r="4952" spans="1:8" x14ac:dyDescent="0.25">
      <c r="A4952" s="2">
        <v>27466</v>
      </c>
      <c r="B4952">
        <v>-29.911999999999999</v>
      </c>
      <c r="C4952">
        <v>-71.394999999999996</v>
      </c>
      <c r="D4952" t="s">
        <v>14</v>
      </c>
      <c r="E4952" t="s">
        <v>442</v>
      </c>
      <c r="F4952">
        <f t="shared" si="154"/>
        <v>1975</v>
      </c>
      <c r="G4952">
        <f t="shared" si="155"/>
        <v>3</v>
      </c>
      <c r="H4952" t="str">
        <f>IF(ISNUMBER(FIND(",", E4952)), TRIM(MID(E4952, FIND(",", E4952) + 1, LEN(E4952))), E4952)</f>
        <v>Chile</v>
      </c>
    </row>
    <row r="4953" spans="1:8" x14ac:dyDescent="0.25">
      <c r="A4953" s="2">
        <v>27460</v>
      </c>
      <c r="B4953">
        <v>27.484000000000002</v>
      </c>
      <c r="C4953">
        <v>56.225000000000001</v>
      </c>
      <c r="D4953" t="s">
        <v>14</v>
      </c>
      <c r="E4953" t="s">
        <v>390</v>
      </c>
      <c r="F4953">
        <f t="shared" si="154"/>
        <v>1975</v>
      </c>
      <c r="G4953">
        <f t="shared" si="155"/>
        <v>3</v>
      </c>
      <c r="H4953" t="str">
        <f>IF(ISNUMBER(FIND(",", E4953)), TRIM(MID(E4953, FIND(",", E4953) + 1, LEN(E4953))), E4953)</f>
        <v>southern Iran</v>
      </c>
    </row>
    <row r="4954" spans="1:8" x14ac:dyDescent="0.25">
      <c r="A4954" s="2">
        <v>27458</v>
      </c>
      <c r="B4954">
        <v>-2.4060000000000001</v>
      </c>
      <c r="C4954">
        <v>126.093</v>
      </c>
      <c r="D4954" t="s">
        <v>14</v>
      </c>
      <c r="E4954" t="s">
        <v>279</v>
      </c>
      <c r="F4954">
        <f t="shared" si="154"/>
        <v>1975</v>
      </c>
      <c r="G4954">
        <f t="shared" si="155"/>
        <v>3</v>
      </c>
      <c r="H4954" t="str">
        <f>IF(ISNUMBER(FIND(",", E4954)), TRIM(MID(E4954, FIND(",", E4954) + 1, LEN(E4954))), E4954)</f>
        <v>Indonesia</v>
      </c>
    </row>
    <row r="4955" spans="1:8" x14ac:dyDescent="0.25">
      <c r="A4955" s="2">
        <v>27451</v>
      </c>
      <c r="B4955">
        <v>84.963999999999999</v>
      </c>
      <c r="C4955">
        <v>98.483000000000004</v>
      </c>
      <c r="D4955" t="s">
        <v>17</v>
      </c>
      <c r="E4955" t="s">
        <v>452</v>
      </c>
      <c r="F4955">
        <f t="shared" si="154"/>
        <v>1975</v>
      </c>
      <c r="G4955">
        <f t="shared" si="155"/>
        <v>2</v>
      </c>
      <c r="H4955" t="str">
        <f>IF(ISNUMBER(FIND(",", E4955)), TRIM(MID(E4955, FIND(",", E4955) + 1, LEN(E4955))), E4955)</f>
        <v>north of Severnaya Zemlya</v>
      </c>
    </row>
    <row r="4956" spans="1:8" x14ac:dyDescent="0.25">
      <c r="A4956" s="2">
        <v>27447</v>
      </c>
      <c r="B4956">
        <v>-25.074000000000002</v>
      </c>
      <c r="C4956">
        <v>-178.833</v>
      </c>
      <c r="D4956" t="s">
        <v>14</v>
      </c>
      <c r="E4956" t="s">
        <v>256</v>
      </c>
      <c r="F4956">
        <f t="shared" si="154"/>
        <v>1975</v>
      </c>
      <c r="G4956">
        <f t="shared" si="155"/>
        <v>2</v>
      </c>
      <c r="H4956" t="str">
        <f>IF(ISNUMBER(FIND(",", E4956)), TRIM(MID(E4956, FIND(",", E4956) + 1, LEN(E4956))), E4956)</f>
        <v>south of the Fiji Islands</v>
      </c>
    </row>
    <row r="4957" spans="1:8" x14ac:dyDescent="0.25">
      <c r="A4957" s="2">
        <v>27447</v>
      </c>
      <c r="B4957">
        <v>51.323999999999998</v>
      </c>
      <c r="C4957">
        <v>-179.405</v>
      </c>
      <c r="D4957" t="s">
        <v>14</v>
      </c>
      <c r="E4957" t="s">
        <v>207</v>
      </c>
      <c r="F4957">
        <f t="shared" si="154"/>
        <v>1975</v>
      </c>
      <c r="G4957">
        <f t="shared" si="155"/>
        <v>2</v>
      </c>
      <c r="H4957" t="str">
        <f>IF(ISNUMBER(FIND(",", E4957)), TRIM(MID(E4957, FIND(",", E4957) + 1, LEN(E4957))), E4957)</f>
        <v>Aleutian Islands, Alaska</v>
      </c>
    </row>
    <row r="4958" spans="1:8" x14ac:dyDescent="0.25">
      <c r="A4958" s="2">
        <v>27432</v>
      </c>
      <c r="B4958">
        <v>-7.2329999999999997</v>
      </c>
      <c r="C4958">
        <v>149.571</v>
      </c>
      <c r="D4958" t="s">
        <v>14</v>
      </c>
      <c r="E4958" t="s">
        <v>190</v>
      </c>
      <c r="F4958">
        <f t="shared" si="154"/>
        <v>1975</v>
      </c>
      <c r="G4958">
        <f t="shared" si="155"/>
        <v>2</v>
      </c>
      <c r="H4958" t="str">
        <f>IF(ISNUMBER(FIND(",", E4958)), TRIM(MID(E4958, FIND(",", E4958) + 1, LEN(E4958))), E4958)</f>
        <v>Papua New Guinea</v>
      </c>
    </row>
    <row r="4959" spans="1:8" x14ac:dyDescent="0.25">
      <c r="A4959" s="2">
        <v>27429</v>
      </c>
      <c r="B4959">
        <v>40.664999999999999</v>
      </c>
      <c r="C4959">
        <v>122.646</v>
      </c>
      <c r="D4959" t="s">
        <v>16</v>
      </c>
      <c r="E4959" t="s">
        <v>649</v>
      </c>
      <c r="F4959">
        <f t="shared" si="154"/>
        <v>1975</v>
      </c>
      <c r="G4959">
        <f t="shared" si="155"/>
        <v>2</v>
      </c>
      <c r="H4959" t="str">
        <f>IF(ISNUMBER(FIND(",", E4959)), TRIM(MID(E4959, FIND(",", E4959) + 1, LEN(E4959))), E4959)</f>
        <v>China</v>
      </c>
    </row>
    <row r="4960" spans="1:8" x14ac:dyDescent="0.25">
      <c r="A4960" s="2">
        <v>27427</v>
      </c>
      <c r="B4960">
        <v>53.033000000000001</v>
      </c>
      <c r="C4960">
        <v>173.59399999999999</v>
      </c>
      <c r="D4960" t="s">
        <v>16</v>
      </c>
      <c r="E4960" t="s">
        <v>184</v>
      </c>
      <c r="F4960">
        <f t="shared" si="154"/>
        <v>1975</v>
      </c>
      <c r="G4960">
        <f t="shared" si="155"/>
        <v>2</v>
      </c>
      <c r="H4960" t="str">
        <f>IF(ISNUMBER(FIND(",", E4960)), TRIM(MID(E4960, FIND(",", E4960) + 1, LEN(E4960))), E4960)</f>
        <v>Aleutian Islands, Alaska</v>
      </c>
    </row>
    <row r="4961" spans="1:8" x14ac:dyDescent="0.25">
      <c r="A4961" s="2">
        <v>27419</v>
      </c>
      <c r="B4961">
        <v>7.1539999999999999</v>
      </c>
      <c r="C4961">
        <v>-77.763000000000005</v>
      </c>
      <c r="D4961" t="s">
        <v>14</v>
      </c>
      <c r="E4961" t="s">
        <v>512</v>
      </c>
      <c r="F4961">
        <f t="shared" si="154"/>
        <v>1975</v>
      </c>
      <c r="G4961">
        <f t="shared" si="155"/>
        <v>1</v>
      </c>
      <c r="H4961" t="str">
        <f>IF(ISNUMBER(FIND(",", E4961)), TRIM(MID(E4961, FIND(",", E4961) + 1, LEN(E4961))), E4961)</f>
        <v>Panama-Colombia border region</v>
      </c>
    </row>
    <row r="4962" spans="1:8" x14ac:dyDescent="0.25">
      <c r="A4962" s="2">
        <v>27413</v>
      </c>
      <c r="B4962">
        <v>32.375</v>
      </c>
      <c r="C4962">
        <v>78.489999999999995</v>
      </c>
      <c r="D4962" t="s">
        <v>14</v>
      </c>
      <c r="E4962" t="s">
        <v>650</v>
      </c>
      <c r="F4962">
        <f t="shared" si="154"/>
        <v>1975</v>
      </c>
      <c r="G4962">
        <f t="shared" si="155"/>
        <v>1</v>
      </c>
      <c r="H4962" t="str">
        <f>IF(ISNUMBER(FIND(",", E4962)), TRIM(MID(E4962, FIND(",", E4962) + 1, LEN(E4962))), E4962)</f>
        <v>Kashmir-Xizang border region</v>
      </c>
    </row>
    <row r="4963" spans="1:8" x14ac:dyDescent="0.25">
      <c r="A4963" s="2">
        <v>27409</v>
      </c>
      <c r="B4963">
        <v>29.408000000000001</v>
      </c>
      <c r="C4963">
        <v>101.741</v>
      </c>
      <c r="D4963" t="s">
        <v>14</v>
      </c>
      <c r="E4963" t="s">
        <v>578</v>
      </c>
      <c r="F4963">
        <f t="shared" si="154"/>
        <v>1975</v>
      </c>
      <c r="G4963">
        <f t="shared" si="155"/>
        <v>1</v>
      </c>
      <c r="H4963" t="str">
        <f>IF(ISNUMBER(FIND(",", E4963)), TRIM(MID(E4963, FIND(",", E4963) + 1, LEN(E4963))), E4963)</f>
        <v>China</v>
      </c>
    </row>
    <row r="4964" spans="1:8" x14ac:dyDescent="0.25">
      <c r="A4964" s="2">
        <v>27408</v>
      </c>
      <c r="B4964">
        <v>-4.9429999999999996</v>
      </c>
      <c r="C4964">
        <v>130.02099999999999</v>
      </c>
      <c r="D4964" t="s">
        <v>14</v>
      </c>
      <c r="E4964" t="s">
        <v>187</v>
      </c>
      <c r="F4964">
        <f t="shared" si="154"/>
        <v>1975</v>
      </c>
      <c r="G4964">
        <f t="shared" si="155"/>
        <v>1</v>
      </c>
      <c r="H4964" t="str">
        <f>IF(ISNUMBER(FIND(",", E4964)), TRIM(MID(E4964, FIND(",", E4964) + 1, LEN(E4964))), E4964)</f>
        <v>Banda Sea</v>
      </c>
    </row>
    <row r="4965" spans="1:8" x14ac:dyDescent="0.25">
      <c r="A4965" s="2">
        <v>27406</v>
      </c>
      <c r="B4965">
        <v>-33.548000000000002</v>
      </c>
      <c r="C4965">
        <v>-177.84299999999999</v>
      </c>
      <c r="D4965" t="s">
        <v>14</v>
      </c>
      <c r="E4965" t="s">
        <v>262</v>
      </c>
      <c r="F4965">
        <f t="shared" si="154"/>
        <v>1975</v>
      </c>
      <c r="G4965">
        <f t="shared" si="155"/>
        <v>1</v>
      </c>
      <c r="H4965" t="str">
        <f>IF(ISNUMBER(FIND(",", E4965)), TRIM(MID(E4965, FIND(",", E4965) + 1, LEN(E4965))), E4965)</f>
        <v>south of the Kermadec Islands</v>
      </c>
    </row>
    <row r="4966" spans="1:8" x14ac:dyDescent="0.25">
      <c r="A4966" s="2">
        <v>27394</v>
      </c>
      <c r="B4966">
        <v>14.125999999999999</v>
      </c>
      <c r="C4966">
        <v>-91.823999999999998</v>
      </c>
      <c r="D4966" t="s">
        <v>14</v>
      </c>
      <c r="E4966" t="s">
        <v>196</v>
      </c>
      <c r="F4966">
        <f t="shared" si="154"/>
        <v>1974</v>
      </c>
      <c r="G4966">
        <f t="shared" si="155"/>
        <v>12</v>
      </c>
      <c r="H4966" t="str">
        <f>IF(ISNUMBER(FIND(",", E4966)), TRIM(MID(E4966, FIND(",", E4966) + 1, LEN(E4966))), E4966)</f>
        <v>offshore Guatemala</v>
      </c>
    </row>
    <row r="4967" spans="1:8" x14ac:dyDescent="0.25">
      <c r="A4967" s="2">
        <v>27391</v>
      </c>
      <c r="B4967">
        <v>35.024999999999999</v>
      </c>
      <c r="C4967">
        <v>72.900999999999996</v>
      </c>
      <c r="D4967" t="s">
        <v>14</v>
      </c>
      <c r="E4967" t="s">
        <v>382</v>
      </c>
      <c r="F4967">
        <f t="shared" si="154"/>
        <v>1974</v>
      </c>
      <c r="G4967">
        <f t="shared" si="155"/>
        <v>12</v>
      </c>
      <c r="H4967" t="str">
        <f>IF(ISNUMBER(FIND(",", E4967)), TRIM(MID(E4967, FIND(",", E4967) + 1, LEN(E4967))), E4967)</f>
        <v>Pakistan</v>
      </c>
    </row>
    <row r="4968" spans="1:8" x14ac:dyDescent="0.25">
      <c r="A4968" s="2">
        <v>27387</v>
      </c>
      <c r="B4968">
        <v>-2.3119999999999998</v>
      </c>
      <c r="C4968">
        <v>98.917000000000002</v>
      </c>
      <c r="D4968" t="s">
        <v>14</v>
      </c>
      <c r="E4968" t="s">
        <v>450</v>
      </c>
      <c r="F4968">
        <f t="shared" si="154"/>
        <v>1974</v>
      </c>
      <c r="G4968">
        <f t="shared" si="155"/>
        <v>12</v>
      </c>
      <c r="H4968" t="str">
        <f>IF(ISNUMBER(FIND(",", E4968)), TRIM(MID(E4968, FIND(",", E4968) + 1, LEN(E4968))), E4968)</f>
        <v>Indonesia</v>
      </c>
    </row>
    <row r="4969" spans="1:8" x14ac:dyDescent="0.25">
      <c r="A4969" s="2">
        <v>27384</v>
      </c>
      <c r="B4969">
        <v>-14.568</v>
      </c>
      <c r="C4969">
        <v>-174.93100000000001</v>
      </c>
      <c r="D4969" t="s">
        <v>14</v>
      </c>
      <c r="E4969" t="s">
        <v>352</v>
      </c>
      <c r="F4969">
        <f t="shared" si="154"/>
        <v>1974</v>
      </c>
      <c r="G4969">
        <f t="shared" si="155"/>
        <v>12</v>
      </c>
      <c r="H4969" t="str">
        <f>IF(ISNUMBER(FIND(",", E4969)), TRIM(MID(E4969, FIND(",", E4969) + 1, LEN(E4969))), E4969)</f>
        <v>Samoa Islands region</v>
      </c>
    </row>
    <row r="4970" spans="1:8" x14ac:dyDescent="0.25">
      <c r="A4970" s="2">
        <v>27368</v>
      </c>
      <c r="B4970">
        <v>-7.7160000000000002</v>
      </c>
      <c r="C4970">
        <v>-74.405000000000001</v>
      </c>
      <c r="D4970" t="s">
        <v>13</v>
      </c>
      <c r="E4970" t="s">
        <v>277</v>
      </c>
      <c r="F4970">
        <f t="shared" si="154"/>
        <v>1974</v>
      </c>
      <c r="G4970">
        <f t="shared" si="155"/>
        <v>12</v>
      </c>
      <c r="H4970" t="str">
        <f>IF(ISNUMBER(FIND(",", E4970)), TRIM(MID(E4970, FIND(",", E4970) + 1, LEN(E4970))), E4970)</f>
        <v>northern Peru</v>
      </c>
    </row>
    <row r="4971" spans="1:8" x14ac:dyDescent="0.25">
      <c r="A4971" s="2">
        <v>27367</v>
      </c>
      <c r="B4971">
        <v>0.505</v>
      </c>
      <c r="C4971">
        <v>97.852000000000004</v>
      </c>
      <c r="D4971" t="s">
        <v>14</v>
      </c>
      <c r="E4971" t="s">
        <v>295</v>
      </c>
      <c r="F4971">
        <f t="shared" si="154"/>
        <v>1974</v>
      </c>
      <c r="G4971">
        <f t="shared" si="155"/>
        <v>12</v>
      </c>
      <c r="H4971" t="str">
        <f>IF(ISNUMBER(FIND(",", E4971)), TRIM(MID(E4971, FIND(",", E4971) + 1, LEN(E4971))), E4971)</f>
        <v>Indonesia</v>
      </c>
    </row>
    <row r="4972" spans="1:8" x14ac:dyDescent="0.25">
      <c r="A4972" s="2">
        <v>27366</v>
      </c>
      <c r="B4972">
        <v>-4.9889999999999999</v>
      </c>
      <c r="C4972">
        <v>129.91800000000001</v>
      </c>
      <c r="D4972" t="s">
        <v>14</v>
      </c>
      <c r="E4972" t="s">
        <v>187</v>
      </c>
      <c r="F4972">
        <f t="shared" si="154"/>
        <v>1974</v>
      </c>
      <c r="G4972">
        <f t="shared" si="155"/>
        <v>12</v>
      </c>
      <c r="H4972" t="str">
        <f>IF(ISNUMBER(FIND(",", E4972)), TRIM(MID(E4972, FIND(",", E4972) + 1, LEN(E4972))), E4972)</f>
        <v>Banda Sea</v>
      </c>
    </row>
    <row r="4973" spans="1:8" x14ac:dyDescent="0.25">
      <c r="A4973" s="2">
        <v>27362</v>
      </c>
      <c r="B4973">
        <v>30.68</v>
      </c>
      <c r="C4973">
        <v>138.357</v>
      </c>
      <c r="D4973" t="s">
        <v>14</v>
      </c>
      <c r="E4973" t="s">
        <v>88</v>
      </c>
      <c r="F4973">
        <f t="shared" si="154"/>
        <v>1974</v>
      </c>
      <c r="G4973">
        <f t="shared" si="155"/>
        <v>11</v>
      </c>
      <c r="H4973" t="str">
        <f>IF(ISNUMBER(FIND(",", E4973)), TRIM(MID(E4973, FIND(",", E4973) + 1, LEN(E4973))), E4973)</f>
        <v>Japan region</v>
      </c>
    </row>
    <row r="4974" spans="1:8" x14ac:dyDescent="0.25">
      <c r="A4974" s="2">
        <v>27360</v>
      </c>
      <c r="B4974">
        <v>-6.1</v>
      </c>
      <c r="C4974">
        <v>154.15899999999999</v>
      </c>
      <c r="D4974" t="s">
        <v>13</v>
      </c>
      <c r="E4974" t="s">
        <v>290</v>
      </c>
      <c r="F4974">
        <f t="shared" si="154"/>
        <v>1974</v>
      </c>
      <c r="G4974">
        <f t="shared" si="155"/>
        <v>11</v>
      </c>
      <c r="H4974" t="str">
        <f>IF(ISNUMBER(FIND(",", E4974)), TRIM(MID(E4974, FIND(",", E4974) + 1, LEN(E4974))), E4974)</f>
        <v>Papua New Guinea</v>
      </c>
    </row>
    <row r="4975" spans="1:8" x14ac:dyDescent="0.25">
      <c r="A4975" s="2">
        <v>27353</v>
      </c>
      <c r="B4975">
        <v>-15.153</v>
      </c>
      <c r="C4975">
        <v>167.226</v>
      </c>
      <c r="D4975" t="s">
        <v>13</v>
      </c>
      <c r="E4975" t="s">
        <v>181</v>
      </c>
      <c r="F4975">
        <f t="shared" si="154"/>
        <v>1974</v>
      </c>
      <c r="G4975">
        <f t="shared" si="155"/>
        <v>11</v>
      </c>
      <c r="H4975" t="str">
        <f>IF(ISNUMBER(FIND(",", E4975)), TRIM(MID(E4975, FIND(",", E4975) + 1, LEN(E4975))), E4975)</f>
        <v>Vanuatu</v>
      </c>
    </row>
    <row r="4976" spans="1:8" x14ac:dyDescent="0.25">
      <c r="A4976" s="2">
        <v>27352</v>
      </c>
      <c r="B4976">
        <v>-3.161</v>
      </c>
      <c r="C4976">
        <v>150.66800000000001</v>
      </c>
      <c r="D4976" t="s">
        <v>14</v>
      </c>
      <c r="E4976" t="s">
        <v>183</v>
      </c>
      <c r="F4976">
        <f t="shared" si="154"/>
        <v>1974</v>
      </c>
      <c r="G4976">
        <f t="shared" si="155"/>
        <v>11</v>
      </c>
      <c r="H4976" t="str">
        <f>IF(ISNUMBER(FIND(",", E4976)), TRIM(MID(E4976, FIND(",", E4976) + 1, LEN(E4976))), E4976)</f>
        <v>Papua New Guinea</v>
      </c>
    </row>
    <row r="4977" spans="1:8" x14ac:dyDescent="0.25">
      <c r="A4977" s="2">
        <v>27343</v>
      </c>
      <c r="B4977">
        <v>-15.92</v>
      </c>
      <c r="C4977">
        <v>-178.434</v>
      </c>
      <c r="D4977" t="s">
        <v>14</v>
      </c>
      <c r="E4977" t="s">
        <v>53</v>
      </c>
      <c r="F4977">
        <f t="shared" si="154"/>
        <v>1974</v>
      </c>
      <c r="G4977">
        <f t="shared" si="155"/>
        <v>11</v>
      </c>
      <c r="H4977" t="str">
        <f>IF(ISNUMBER(FIND(",", E4977)), TRIM(MID(E4977, FIND(",", E4977) + 1, LEN(E4977))), E4977)</f>
        <v>Fiji region</v>
      </c>
    </row>
    <row r="4978" spans="1:8" x14ac:dyDescent="0.25">
      <c r="A4978" s="2">
        <v>27342</v>
      </c>
      <c r="B4978">
        <v>-6.492</v>
      </c>
      <c r="C4978">
        <v>105.33199999999999</v>
      </c>
      <c r="D4978" t="s">
        <v>13</v>
      </c>
      <c r="E4978" t="s">
        <v>278</v>
      </c>
      <c r="F4978">
        <f t="shared" si="154"/>
        <v>1974</v>
      </c>
      <c r="G4978">
        <f t="shared" si="155"/>
        <v>11</v>
      </c>
      <c r="H4978" t="str">
        <f>IF(ISNUMBER(FIND(",", E4978)), TRIM(MID(E4978, FIND(",", E4978) + 1, LEN(E4978))), E4978)</f>
        <v>Indonesia</v>
      </c>
    </row>
    <row r="4979" spans="1:8" x14ac:dyDescent="0.25">
      <c r="A4979" s="2">
        <v>27342</v>
      </c>
      <c r="B4979">
        <v>-12.526</v>
      </c>
      <c r="C4979">
        <v>-77.632999999999996</v>
      </c>
      <c r="D4979" t="s">
        <v>16</v>
      </c>
      <c r="E4979" t="s">
        <v>258</v>
      </c>
      <c r="F4979">
        <f t="shared" si="154"/>
        <v>1974</v>
      </c>
      <c r="G4979">
        <f t="shared" si="155"/>
        <v>11</v>
      </c>
      <c r="H4979" t="str">
        <f>IF(ISNUMBER(FIND(",", E4979)), TRIM(MID(E4979, FIND(",", E4979) + 1, LEN(E4979))), E4979)</f>
        <v>near the coast of central Peru</v>
      </c>
    </row>
    <row r="4980" spans="1:8" x14ac:dyDescent="0.25">
      <c r="A4980" s="2">
        <v>27331</v>
      </c>
      <c r="B4980">
        <v>-6.9720000000000004</v>
      </c>
      <c r="C4980">
        <v>129.49299999999999</v>
      </c>
      <c r="D4980" t="s">
        <v>13</v>
      </c>
      <c r="E4980" t="s">
        <v>187</v>
      </c>
      <c r="F4980">
        <f t="shared" si="154"/>
        <v>1974</v>
      </c>
      <c r="G4980">
        <f t="shared" si="155"/>
        <v>10</v>
      </c>
      <c r="H4980" t="str">
        <f>IF(ISNUMBER(FIND(",", E4980)), TRIM(MID(E4980, FIND(",", E4980) + 1, LEN(E4980))), E4980)</f>
        <v>Banda Sea</v>
      </c>
    </row>
    <row r="4981" spans="1:8" x14ac:dyDescent="0.25">
      <c r="A4981" s="2">
        <v>27329</v>
      </c>
      <c r="B4981">
        <v>-15.446999999999999</v>
      </c>
      <c r="C4981">
        <v>167.17599999999999</v>
      </c>
      <c r="D4981" t="s">
        <v>13</v>
      </c>
      <c r="E4981" t="s">
        <v>181</v>
      </c>
      <c r="F4981">
        <f t="shared" si="154"/>
        <v>1974</v>
      </c>
      <c r="G4981">
        <f t="shared" si="155"/>
        <v>10</v>
      </c>
      <c r="H4981" t="str">
        <f>IF(ISNUMBER(FIND(",", E4981)), TRIM(MID(E4981, FIND(",", E4981) + 1, LEN(E4981))), E4981)</f>
        <v>Vanuatu</v>
      </c>
    </row>
    <row r="4982" spans="1:8" x14ac:dyDescent="0.25">
      <c r="A4982" s="2">
        <v>27325</v>
      </c>
      <c r="B4982">
        <v>-8.4459999999999997</v>
      </c>
      <c r="C4982">
        <v>154.142</v>
      </c>
      <c r="D4982" t="s">
        <v>16</v>
      </c>
      <c r="E4982" t="s">
        <v>507</v>
      </c>
      <c r="F4982">
        <f t="shared" si="154"/>
        <v>1974</v>
      </c>
      <c r="G4982">
        <f t="shared" si="155"/>
        <v>10</v>
      </c>
      <c r="H4982" t="str">
        <f>IF(ISNUMBER(FIND(",", E4982)), TRIM(MID(E4982, FIND(",", E4982) + 1, LEN(E4982))), E4982)</f>
        <v>D'Entrecasteaux Islands region</v>
      </c>
    </row>
    <row r="4983" spans="1:8" x14ac:dyDescent="0.25">
      <c r="A4983" s="2">
        <v>27323</v>
      </c>
      <c r="B4983">
        <v>-17.984999999999999</v>
      </c>
      <c r="C4983">
        <v>-178.453</v>
      </c>
      <c r="D4983" t="s">
        <v>14</v>
      </c>
      <c r="E4983" t="s">
        <v>53</v>
      </c>
      <c r="F4983">
        <f t="shared" si="154"/>
        <v>1974</v>
      </c>
      <c r="G4983">
        <f t="shared" si="155"/>
        <v>10</v>
      </c>
      <c r="H4983" t="str">
        <f>IF(ISNUMBER(FIND(",", E4983)), TRIM(MID(E4983, FIND(",", E4983) + 1, LEN(E4983))), E4983)</f>
        <v>Fiji region</v>
      </c>
    </row>
    <row r="4984" spans="1:8" x14ac:dyDescent="0.25">
      <c r="A4984" s="2">
        <v>27318</v>
      </c>
      <c r="B4984">
        <v>52.597999999999999</v>
      </c>
      <c r="C4984">
        <v>-32.036000000000001</v>
      </c>
      <c r="D4984" t="s">
        <v>14</v>
      </c>
      <c r="E4984" t="s">
        <v>529</v>
      </c>
      <c r="F4984">
        <f t="shared" si="154"/>
        <v>1974</v>
      </c>
      <c r="G4984">
        <f t="shared" si="155"/>
        <v>10</v>
      </c>
      <c r="H4984" t="str">
        <f>IF(ISNUMBER(FIND(",", E4984)), TRIM(MID(E4984, FIND(",", E4984) + 1, LEN(E4984))), E4984)</f>
        <v>Reykjanes Ridge</v>
      </c>
    </row>
    <row r="4985" spans="1:8" x14ac:dyDescent="0.25">
      <c r="A4985" s="2">
        <v>27314</v>
      </c>
      <c r="B4985">
        <v>40.588000000000001</v>
      </c>
      <c r="C4985">
        <v>143.57900000000001</v>
      </c>
      <c r="D4985" t="s">
        <v>14</v>
      </c>
      <c r="E4985" t="s">
        <v>189</v>
      </c>
      <c r="F4985">
        <f t="shared" si="154"/>
        <v>1974</v>
      </c>
      <c r="G4985">
        <f t="shared" si="155"/>
        <v>10</v>
      </c>
      <c r="H4985" t="str">
        <f>IF(ISNUMBER(FIND(",", E4985)), TRIM(MID(E4985, FIND(",", E4985) + 1, LEN(E4985))), E4985)</f>
        <v>Japan</v>
      </c>
    </row>
    <row r="4986" spans="1:8" x14ac:dyDescent="0.25">
      <c r="A4986" s="2">
        <v>27313</v>
      </c>
      <c r="B4986">
        <v>-60.805999999999997</v>
      </c>
      <c r="C4986">
        <v>154.00399999999999</v>
      </c>
      <c r="D4986" t="s">
        <v>14</v>
      </c>
      <c r="E4986" t="s">
        <v>205</v>
      </c>
      <c r="F4986">
        <f t="shared" si="154"/>
        <v>1974</v>
      </c>
      <c r="G4986">
        <f t="shared" si="155"/>
        <v>10</v>
      </c>
      <c r="H4986" t="str">
        <f>IF(ISNUMBER(FIND(",", E4986)), TRIM(MID(E4986, FIND(",", E4986) + 1, LEN(E4986))), E4986)</f>
        <v>west of Macquarie Island</v>
      </c>
    </row>
    <row r="4987" spans="1:8" x14ac:dyDescent="0.25">
      <c r="A4987" s="2">
        <v>27312</v>
      </c>
      <c r="B4987">
        <v>41.075000000000003</v>
      </c>
      <c r="C4987">
        <v>143.077</v>
      </c>
      <c r="D4987" t="s">
        <v>17</v>
      </c>
      <c r="E4987" t="s">
        <v>265</v>
      </c>
      <c r="F4987">
        <f t="shared" si="154"/>
        <v>1974</v>
      </c>
      <c r="G4987">
        <f t="shared" si="155"/>
        <v>10</v>
      </c>
      <c r="H4987" t="str">
        <f>IF(ISNUMBER(FIND(",", E4987)), TRIM(MID(E4987, FIND(",", E4987) + 1, LEN(E4987))), E4987)</f>
        <v>Japan region</v>
      </c>
    </row>
    <row r="4988" spans="1:8" x14ac:dyDescent="0.25">
      <c r="A4988" s="2">
        <v>27311</v>
      </c>
      <c r="B4988">
        <v>44.720999999999997</v>
      </c>
      <c r="C4988">
        <v>150.011</v>
      </c>
      <c r="D4988" t="s">
        <v>14</v>
      </c>
      <c r="E4988" t="s">
        <v>317</v>
      </c>
      <c r="F4988">
        <f t="shared" si="154"/>
        <v>1974</v>
      </c>
      <c r="G4988">
        <f t="shared" si="155"/>
        <v>10</v>
      </c>
      <c r="H4988" t="str">
        <f>IF(ISNUMBER(FIND(",", E4988)), TRIM(MID(E4988, FIND(",", E4988) + 1, LEN(E4988))), E4988)</f>
        <v>east of the Kuril Islands</v>
      </c>
    </row>
    <row r="4989" spans="1:8" x14ac:dyDescent="0.25">
      <c r="A4989" s="2">
        <v>27310</v>
      </c>
      <c r="B4989">
        <v>17.349</v>
      </c>
      <c r="C4989">
        <v>-61.975999999999999</v>
      </c>
      <c r="D4989" t="s">
        <v>16</v>
      </c>
      <c r="E4989" t="s">
        <v>651</v>
      </c>
      <c r="F4989">
        <f t="shared" si="154"/>
        <v>1974</v>
      </c>
      <c r="G4989">
        <f t="shared" si="155"/>
        <v>10</v>
      </c>
      <c r="H4989" t="str">
        <f>IF(ISNUMBER(FIND(",", E4989)), TRIM(MID(E4989, FIND(",", E4989) + 1, LEN(E4989))), E4989)</f>
        <v>Leeward Islands</v>
      </c>
    </row>
    <row r="4990" spans="1:8" x14ac:dyDescent="0.25">
      <c r="A4990" s="2">
        <v>27309</v>
      </c>
      <c r="B4990">
        <v>-58.298999999999999</v>
      </c>
      <c r="C4990">
        <v>-27.370999999999999</v>
      </c>
      <c r="D4990" t="s">
        <v>13</v>
      </c>
      <c r="E4990" t="s">
        <v>260</v>
      </c>
      <c r="F4990">
        <f t="shared" si="154"/>
        <v>1974</v>
      </c>
      <c r="G4990">
        <f t="shared" si="155"/>
        <v>10</v>
      </c>
      <c r="H4990" t="str">
        <f>IF(ISNUMBER(FIND(",", E4990)), TRIM(MID(E4990, FIND(",", E4990) + 1, LEN(E4990))), E4990)</f>
        <v>South Sandwich Islands region</v>
      </c>
    </row>
    <row r="4991" spans="1:8" x14ac:dyDescent="0.25">
      <c r="A4991" s="2">
        <v>27305</v>
      </c>
      <c r="B4991">
        <v>-12.253</v>
      </c>
      <c r="C4991">
        <v>-77.522999999999996</v>
      </c>
      <c r="D4991" t="s">
        <v>16</v>
      </c>
      <c r="E4991" t="s">
        <v>258</v>
      </c>
      <c r="F4991">
        <f t="shared" si="154"/>
        <v>1974</v>
      </c>
      <c r="G4991">
        <f t="shared" si="155"/>
        <v>10</v>
      </c>
      <c r="H4991" t="str">
        <f>IF(ISNUMBER(FIND(",", E4991)), TRIM(MID(E4991, FIND(",", E4991) + 1, LEN(E4991))), E4991)</f>
        <v>near the coast of central Peru</v>
      </c>
    </row>
    <row r="4992" spans="1:8" x14ac:dyDescent="0.25">
      <c r="A4992" s="2">
        <v>27299</v>
      </c>
      <c r="B4992">
        <v>43.180999999999997</v>
      </c>
      <c r="C4992">
        <v>146.53800000000001</v>
      </c>
      <c r="D4992" t="s">
        <v>16</v>
      </c>
      <c r="E4992" t="s">
        <v>191</v>
      </c>
      <c r="F4992">
        <f t="shared" si="154"/>
        <v>1974</v>
      </c>
      <c r="G4992">
        <f t="shared" si="155"/>
        <v>9</v>
      </c>
      <c r="H4992" t="str">
        <f>IF(ISNUMBER(FIND(",", E4992)), TRIM(MID(E4992, FIND(",", E4992) + 1, LEN(E4992))), E4992)</f>
        <v>Kuril Islands</v>
      </c>
    </row>
    <row r="4993" spans="1:8" x14ac:dyDescent="0.25">
      <c r="A4993" s="2">
        <v>27299</v>
      </c>
      <c r="B4993">
        <v>33.670999999999999</v>
      </c>
      <c r="C4993">
        <v>141.14500000000001</v>
      </c>
      <c r="D4993" t="s">
        <v>14</v>
      </c>
      <c r="E4993" t="s">
        <v>189</v>
      </c>
      <c r="F4993">
        <f t="shared" si="154"/>
        <v>1974</v>
      </c>
      <c r="G4993">
        <f t="shared" si="155"/>
        <v>9</v>
      </c>
      <c r="H4993" t="str">
        <f>IF(ISNUMBER(FIND(",", E4993)), TRIM(MID(E4993, FIND(",", E4993) + 1, LEN(E4993))), E4993)</f>
        <v>Japan</v>
      </c>
    </row>
    <row r="4994" spans="1:8" x14ac:dyDescent="0.25">
      <c r="A4994" s="2">
        <v>27295</v>
      </c>
      <c r="B4994">
        <v>-0.29599999999999999</v>
      </c>
      <c r="C4994">
        <v>12.757999999999999</v>
      </c>
      <c r="D4994" t="s">
        <v>14</v>
      </c>
      <c r="E4994" t="s">
        <v>652</v>
      </c>
      <c r="F4994">
        <f t="shared" ref="F4994:F5057" si="156">YEAR(A4994)</f>
        <v>1974</v>
      </c>
      <c r="G4994">
        <f t="shared" si="155"/>
        <v>9</v>
      </c>
      <c r="H4994" t="str">
        <f>IF(ISNUMBER(FIND(",", E4994)), TRIM(MID(E4994, FIND(",", E4994) + 1, LEN(E4994))), E4994)</f>
        <v>Gabon</v>
      </c>
    </row>
    <row r="4995" spans="1:8" x14ac:dyDescent="0.25">
      <c r="A4995" s="2">
        <v>27293</v>
      </c>
      <c r="B4995">
        <v>-23.672000000000001</v>
      </c>
      <c r="C4995">
        <v>-175.83699999999999</v>
      </c>
      <c r="D4995" t="s">
        <v>14</v>
      </c>
      <c r="E4995" t="s">
        <v>304</v>
      </c>
      <c r="F4995">
        <f t="shared" si="156"/>
        <v>1974</v>
      </c>
      <c r="G4995">
        <f t="shared" ref="G4995:G5058" si="157">MONTH(A4995)</f>
        <v>9</v>
      </c>
      <c r="H4995" t="str">
        <f>IF(ISNUMBER(FIND(",", E4995)), TRIM(MID(E4995, FIND(",", E4995) + 1, LEN(E4995))), E4995)</f>
        <v>Tonga region</v>
      </c>
    </row>
    <row r="4996" spans="1:8" x14ac:dyDescent="0.25">
      <c r="A4996" s="2">
        <v>27279</v>
      </c>
      <c r="B4996">
        <v>-9.8179999999999996</v>
      </c>
      <c r="C4996">
        <v>108.328</v>
      </c>
      <c r="D4996" t="s">
        <v>14</v>
      </c>
      <c r="E4996" t="s">
        <v>212</v>
      </c>
      <c r="F4996">
        <f t="shared" si="156"/>
        <v>1974</v>
      </c>
      <c r="G4996">
        <f t="shared" si="157"/>
        <v>9</v>
      </c>
      <c r="H4996" t="str">
        <f>IF(ISNUMBER(FIND(",", E4996)), TRIM(MID(E4996, FIND(",", E4996) + 1, LEN(E4996))), E4996)</f>
        <v>Indonesia</v>
      </c>
    </row>
    <row r="4997" spans="1:8" x14ac:dyDescent="0.25">
      <c r="A4997" s="2">
        <v>27259</v>
      </c>
      <c r="B4997">
        <v>-38.432000000000002</v>
      </c>
      <c r="C4997">
        <v>-73.462000000000003</v>
      </c>
      <c r="D4997" t="s">
        <v>14</v>
      </c>
      <c r="E4997" t="s">
        <v>309</v>
      </c>
      <c r="F4997">
        <f t="shared" si="156"/>
        <v>1974</v>
      </c>
      <c r="G4997">
        <f t="shared" si="157"/>
        <v>8</v>
      </c>
      <c r="H4997" t="str">
        <f>IF(ISNUMBER(FIND(",", E4997)), TRIM(MID(E4997, FIND(",", E4997) + 1, LEN(E4997))), E4997)</f>
        <v>Chile</v>
      </c>
    </row>
    <row r="4998" spans="1:8" x14ac:dyDescent="0.25">
      <c r="A4998" s="2">
        <v>27254</v>
      </c>
      <c r="B4998">
        <v>-15.912000000000001</v>
      </c>
      <c r="C4998">
        <v>-179.37299999999999</v>
      </c>
      <c r="D4998" t="s">
        <v>17</v>
      </c>
      <c r="E4998" t="s">
        <v>53</v>
      </c>
      <c r="F4998">
        <f t="shared" si="156"/>
        <v>1974</v>
      </c>
      <c r="G4998">
        <f t="shared" si="157"/>
        <v>8</v>
      </c>
      <c r="H4998" t="str">
        <f>IF(ISNUMBER(FIND(",", E4998)), TRIM(MID(E4998, FIND(",", E4998) + 1, LEN(E4998))), E4998)</f>
        <v>Fiji region</v>
      </c>
    </row>
    <row r="4999" spans="1:8" x14ac:dyDescent="0.25">
      <c r="A4999" s="2">
        <v>27253</v>
      </c>
      <c r="B4999">
        <v>-16.038</v>
      </c>
      <c r="C4999">
        <v>-179.12299999999999</v>
      </c>
      <c r="D4999" t="s">
        <v>17</v>
      </c>
      <c r="E4999" t="s">
        <v>53</v>
      </c>
      <c r="F4999">
        <f t="shared" si="156"/>
        <v>1974</v>
      </c>
      <c r="G4999">
        <f t="shared" si="157"/>
        <v>8</v>
      </c>
      <c r="H4999" t="str">
        <f>IF(ISNUMBER(FIND(",", E4999)), TRIM(MID(E4999, FIND(",", E4999) + 1, LEN(E4999))), E4999)</f>
        <v>Fiji region</v>
      </c>
    </row>
    <row r="5000" spans="1:8" x14ac:dyDescent="0.25">
      <c r="A5000" s="2">
        <v>27252</v>
      </c>
      <c r="B5000">
        <v>39.506999999999998</v>
      </c>
      <c r="C5000">
        <v>73.632999999999996</v>
      </c>
      <c r="D5000" t="s">
        <v>14</v>
      </c>
      <c r="E5000" t="s">
        <v>284</v>
      </c>
      <c r="F5000">
        <f t="shared" si="156"/>
        <v>1974</v>
      </c>
      <c r="G5000">
        <f t="shared" si="157"/>
        <v>8</v>
      </c>
      <c r="H5000" t="str">
        <f>IF(ISNUMBER(FIND(",", E5000)), TRIM(MID(E5000, FIND(",", E5000) + 1, LEN(E5000))), E5000)</f>
        <v>Kyrgyzstan</v>
      </c>
    </row>
    <row r="5001" spans="1:8" x14ac:dyDescent="0.25">
      <c r="A5001" s="2">
        <v>27252</v>
      </c>
      <c r="B5001">
        <v>39.377000000000002</v>
      </c>
      <c r="C5001">
        <v>73.8</v>
      </c>
      <c r="D5001" t="s">
        <v>16</v>
      </c>
      <c r="E5001" t="s">
        <v>653</v>
      </c>
      <c r="F5001">
        <f t="shared" si="156"/>
        <v>1974</v>
      </c>
      <c r="G5001">
        <f t="shared" si="157"/>
        <v>8</v>
      </c>
      <c r="H5001" t="str">
        <f>IF(ISNUMBER(FIND(",", E5001)), TRIM(MID(E5001, FIND(",", E5001) + 1, LEN(E5001))), E5001)</f>
        <v>Kyrgyzstan-Tajikistan-Xinjiang border region</v>
      </c>
    </row>
    <row r="5002" spans="1:8" x14ac:dyDescent="0.25">
      <c r="A5002" s="2">
        <v>27249</v>
      </c>
      <c r="B5002">
        <v>24.556999999999999</v>
      </c>
      <c r="C5002">
        <v>122.639</v>
      </c>
      <c r="D5002" t="s">
        <v>14</v>
      </c>
      <c r="E5002" t="s">
        <v>363</v>
      </c>
      <c r="F5002">
        <f t="shared" si="156"/>
        <v>1974</v>
      </c>
      <c r="G5002">
        <f t="shared" si="157"/>
        <v>8</v>
      </c>
      <c r="H5002" t="str">
        <f>IF(ISNUMBER(FIND(",", E5002)), TRIM(MID(E5002, FIND(",", E5002) + 1, LEN(E5002))), E5002)</f>
        <v>Taiwan region</v>
      </c>
    </row>
    <row r="5003" spans="1:8" x14ac:dyDescent="0.25">
      <c r="A5003" s="2">
        <v>27242</v>
      </c>
      <c r="B5003">
        <v>56.631999999999998</v>
      </c>
      <c r="C5003">
        <v>-152.26499999999999</v>
      </c>
      <c r="D5003" t="s">
        <v>14</v>
      </c>
      <c r="E5003" t="s">
        <v>374</v>
      </c>
      <c r="F5003">
        <f t="shared" si="156"/>
        <v>1974</v>
      </c>
      <c r="G5003">
        <f t="shared" si="157"/>
        <v>8</v>
      </c>
      <c r="H5003" t="str">
        <f>IF(ISNUMBER(FIND(",", E5003)), TRIM(MID(E5003, FIND(",", E5003) + 1, LEN(E5003))), E5003)</f>
        <v>Alaska</v>
      </c>
    </row>
    <row r="5004" spans="1:8" x14ac:dyDescent="0.25">
      <c r="A5004" s="2">
        <v>27242</v>
      </c>
      <c r="B5004">
        <v>56.466000000000001</v>
      </c>
      <c r="C5004">
        <v>-152.22999999999999</v>
      </c>
      <c r="D5004" t="s">
        <v>14</v>
      </c>
      <c r="E5004" t="s">
        <v>374</v>
      </c>
      <c r="F5004">
        <f t="shared" si="156"/>
        <v>1974</v>
      </c>
      <c r="G5004">
        <f t="shared" si="157"/>
        <v>8</v>
      </c>
      <c r="H5004" t="str">
        <f>IF(ISNUMBER(FIND(",", E5004)), TRIM(MID(E5004, FIND(",", E5004) + 1, LEN(E5004))), E5004)</f>
        <v>Alaska</v>
      </c>
    </row>
    <row r="5005" spans="1:8" x14ac:dyDescent="0.25">
      <c r="A5005" s="2">
        <v>27242</v>
      </c>
      <c r="B5005">
        <v>56.491999999999997</v>
      </c>
      <c r="C5005">
        <v>-152.38200000000001</v>
      </c>
      <c r="D5005" t="s">
        <v>14</v>
      </c>
      <c r="E5005" t="s">
        <v>374</v>
      </c>
      <c r="F5005">
        <f t="shared" si="156"/>
        <v>1974</v>
      </c>
      <c r="G5005">
        <f t="shared" si="157"/>
        <v>8</v>
      </c>
      <c r="H5005" t="str">
        <f>IF(ISNUMBER(FIND(",", E5005)), TRIM(MID(E5005, FIND(",", E5005) + 1, LEN(E5005))), E5005)</f>
        <v>Alaska</v>
      </c>
    </row>
    <row r="5006" spans="1:8" x14ac:dyDescent="0.25">
      <c r="A5006" s="2">
        <v>27240</v>
      </c>
      <c r="B5006">
        <v>36.369</v>
      </c>
      <c r="C5006">
        <v>70.733999999999995</v>
      </c>
      <c r="D5006" t="s">
        <v>13</v>
      </c>
      <c r="E5006" t="s">
        <v>314</v>
      </c>
      <c r="F5006">
        <f t="shared" si="156"/>
        <v>1974</v>
      </c>
      <c r="G5006">
        <f t="shared" si="157"/>
        <v>7</v>
      </c>
      <c r="H5006" t="str">
        <f>IF(ISNUMBER(FIND(",", E5006)), TRIM(MID(E5006, FIND(",", E5006) + 1, LEN(E5006))), E5006)</f>
        <v>Afghanistan</v>
      </c>
    </row>
    <row r="5007" spans="1:8" x14ac:dyDescent="0.25">
      <c r="A5007" s="2">
        <v>27239</v>
      </c>
      <c r="B5007">
        <v>46.106999999999999</v>
      </c>
      <c r="C5007">
        <v>153.02799999999999</v>
      </c>
      <c r="D5007" t="s">
        <v>17</v>
      </c>
      <c r="E5007" t="s">
        <v>191</v>
      </c>
      <c r="F5007">
        <f t="shared" si="156"/>
        <v>1974</v>
      </c>
      <c r="G5007">
        <f t="shared" si="157"/>
        <v>7</v>
      </c>
      <c r="H5007" t="str">
        <f>IF(ISNUMBER(FIND(",", E5007)), TRIM(MID(E5007, FIND(",", E5007) + 1, LEN(E5007))), E5007)</f>
        <v>Kuril Islands</v>
      </c>
    </row>
    <row r="5008" spans="1:8" x14ac:dyDescent="0.25">
      <c r="A5008" s="2">
        <v>27238</v>
      </c>
      <c r="B5008">
        <v>46.329000000000001</v>
      </c>
      <c r="C5008">
        <v>153.262</v>
      </c>
      <c r="D5008" t="s">
        <v>17</v>
      </c>
      <c r="E5008" t="s">
        <v>191</v>
      </c>
      <c r="F5008">
        <f t="shared" si="156"/>
        <v>1974</v>
      </c>
      <c r="G5008">
        <f t="shared" si="157"/>
        <v>7</v>
      </c>
      <c r="H5008" t="str">
        <f>IF(ISNUMBER(FIND(",", E5008)), TRIM(MID(E5008, FIND(",", E5008) + 1, LEN(E5008))), E5008)</f>
        <v>Kuril Islands</v>
      </c>
    </row>
    <row r="5009" spans="1:8" x14ac:dyDescent="0.25">
      <c r="A5009" s="2">
        <v>27223</v>
      </c>
      <c r="B5009">
        <v>7.7370000000000001</v>
      </c>
      <c r="C5009">
        <v>-77.63</v>
      </c>
      <c r="D5009" t="s">
        <v>16</v>
      </c>
      <c r="E5009" t="s">
        <v>512</v>
      </c>
      <c r="F5009">
        <f t="shared" si="156"/>
        <v>1974</v>
      </c>
      <c r="G5009">
        <f t="shared" si="157"/>
        <v>7</v>
      </c>
      <c r="H5009" t="str">
        <f>IF(ISNUMBER(FIND(",", E5009)), TRIM(MID(E5009, FIND(",", E5009) + 1, LEN(E5009))), E5009)</f>
        <v>Panama-Colombia border region</v>
      </c>
    </row>
    <row r="5010" spans="1:8" x14ac:dyDescent="0.25">
      <c r="A5010" s="2">
        <v>27218</v>
      </c>
      <c r="B5010">
        <v>36.424999999999997</v>
      </c>
      <c r="C5010">
        <v>141.13800000000001</v>
      </c>
      <c r="D5010" t="s">
        <v>14</v>
      </c>
      <c r="E5010" t="s">
        <v>227</v>
      </c>
      <c r="F5010">
        <f t="shared" si="156"/>
        <v>1974</v>
      </c>
      <c r="G5010">
        <f t="shared" si="157"/>
        <v>7</v>
      </c>
      <c r="H5010" t="str">
        <f>IF(ISNUMBER(FIND(",", E5010)), TRIM(MID(E5010, FIND(",", E5010) + 1, LEN(E5010))), E5010)</f>
        <v>Japan</v>
      </c>
    </row>
    <row r="5011" spans="1:8" x14ac:dyDescent="0.25">
      <c r="A5011" s="2">
        <v>27214</v>
      </c>
      <c r="B5011">
        <v>45.185000000000002</v>
      </c>
      <c r="C5011">
        <v>93.938000000000002</v>
      </c>
      <c r="D5011" t="s">
        <v>17</v>
      </c>
      <c r="E5011" t="s">
        <v>654</v>
      </c>
      <c r="F5011">
        <f t="shared" si="156"/>
        <v>1974</v>
      </c>
      <c r="G5011">
        <f t="shared" si="157"/>
        <v>7</v>
      </c>
      <c r="H5011" t="str">
        <f>IF(ISNUMBER(FIND(",", E5011)), TRIM(MID(E5011, FIND(",", E5011) + 1, LEN(E5011))), E5011)</f>
        <v>western Mongolia</v>
      </c>
    </row>
    <row r="5012" spans="1:8" x14ac:dyDescent="0.25">
      <c r="A5012" s="2">
        <v>27213</v>
      </c>
      <c r="B5012">
        <v>-29.224</v>
      </c>
      <c r="C5012">
        <v>-175.96299999999999</v>
      </c>
      <c r="D5012" t="s">
        <v>14</v>
      </c>
      <c r="E5012" t="s">
        <v>240</v>
      </c>
      <c r="F5012">
        <f t="shared" si="156"/>
        <v>1974</v>
      </c>
      <c r="G5012">
        <f t="shared" si="157"/>
        <v>7</v>
      </c>
      <c r="H5012" t="str">
        <f>IF(ISNUMBER(FIND(",", E5012)), TRIM(MID(E5012, FIND(",", E5012) + 1, LEN(E5012))), E5012)</f>
        <v>Kermadec Islands region</v>
      </c>
    </row>
    <row r="5013" spans="1:8" x14ac:dyDescent="0.25">
      <c r="A5013" s="2">
        <v>27212</v>
      </c>
      <c r="B5013">
        <v>-29.152000000000001</v>
      </c>
      <c r="C5013">
        <v>-175.81700000000001</v>
      </c>
      <c r="D5013" t="s">
        <v>16</v>
      </c>
      <c r="E5013" t="s">
        <v>240</v>
      </c>
      <c r="F5013">
        <f t="shared" si="156"/>
        <v>1974</v>
      </c>
      <c r="G5013">
        <f t="shared" si="157"/>
        <v>7</v>
      </c>
      <c r="H5013" t="str">
        <f>IF(ISNUMBER(FIND(",", E5013)), TRIM(MID(E5013, FIND(",", E5013) + 1, LEN(E5013))), E5013)</f>
        <v>Kermadec Islands region</v>
      </c>
    </row>
    <row r="5014" spans="1:8" x14ac:dyDescent="0.25">
      <c r="A5014" s="2">
        <v>27207</v>
      </c>
      <c r="B5014">
        <v>33.807000000000002</v>
      </c>
      <c r="C5014">
        <v>139.23400000000001</v>
      </c>
      <c r="D5014" t="s">
        <v>17</v>
      </c>
      <c r="E5014" t="s">
        <v>88</v>
      </c>
      <c r="F5014">
        <f t="shared" si="156"/>
        <v>1974</v>
      </c>
      <c r="G5014">
        <f t="shared" si="157"/>
        <v>6</v>
      </c>
      <c r="H5014" t="str">
        <f>IF(ISNUMBER(FIND(",", E5014)), TRIM(MID(E5014, FIND(",", E5014) + 1, LEN(E5014))), E5014)</f>
        <v>Japan region</v>
      </c>
    </row>
    <row r="5015" spans="1:8" x14ac:dyDescent="0.25">
      <c r="A5015" s="2">
        <v>27205</v>
      </c>
      <c r="B5015">
        <v>-26.029</v>
      </c>
      <c r="C5015">
        <v>84.194000000000003</v>
      </c>
      <c r="D5015" t="s">
        <v>14</v>
      </c>
      <c r="E5015" t="s">
        <v>473</v>
      </c>
      <c r="F5015">
        <f t="shared" si="156"/>
        <v>1974</v>
      </c>
      <c r="G5015">
        <f t="shared" si="157"/>
        <v>6</v>
      </c>
      <c r="H5015" t="str">
        <f>IF(ISNUMBER(FIND(",", E5015)), TRIM(MID(E5015, FIND(",", E5015) + 1, LEN(E5015))), E5015)</f>
        <v>South Indian Ocean</v>
      </c>
    </row>
    <row r="5016" spans="1:8" x14ac:dyDescent="0.25">
      <c r="A5016" s="2">
        <v>27199</v>
      </c>
      <c r="B5016">
        <v>-33.415999999999997</v>
      </c>
      <c r="C5016">
        <v>56.875</v>
      </c>
      <c r="D5016" t="s">
        <v>14</v>
      </c>
      <c r="E5016" t="s">
        <v>94</v>
      </c>
      <c r="F5016">
        <f t="shared" si="156"/>
        <v>1974</v>
      </c>
      <c r="G5016">
        <f t="shared" si="157"/>
        <v>6</v>
      </c>
      <c r="H5016" t="str">
        <f>IF(ISNUMBER(FIND(",", E5016)), TRIM(MID(E5016, FIND(",", E5016) + 1, LEN(E5016))), E5016)</f>
        <v>Southwest Indian Ridge</v>
      </c>
    </row>
    <row r="5017" spans="1:8" x14ac:dyDescent="0.25">
      <c r="A5017" s="2">
        <v>27192</v>
      </c>
      <c r="B5017">
        <v>10.51</v>
      </c>
      <c r="C5017">
        <v>-63.43</v>
      </c>
      <c r="D5017" t="s">
        <v>14</v>
      </c>
      <c r="E5017" t="s">
        <v>536</v>
      </c>
      <c r="F5017">
        <f t="shared" si="156"/>
        <v>1974</v>
      </c>
      <c r="G5017">
        <f t="shared" si="157"/>
        <v>6</v>
      </c>
      <c r="H5017" t="str">
        <f>IF(ISNUMBER(FIND(",", E5017)), TRIM(MID(E5017, FIND(",", E5017) + 1, LEN(E5017))), E5017)</f>
        <v>Venezuela</v>
      </c>
    </row>
    <row r="5018" spans="1:8" x14ac:dyDescent="0.25">
      <c r="A5018" s="2">
        <v>27187</v>
      </c>
      <c r="B5018">
        <v>-15.446999999999999</v>
      </c>
      <c r="C5018">
        <v>-175.28299999999999</v>
      </c>
      <c r="D5018" t="s">
        <v>14</v>
      </c>
      <c r="E5018" t="s">
        <v>239</v>
      </c>
      <c r="F5018">
        <f t="shared" si="156"/>
        <v>1974</v>
      </c>
      <c r="G5018">
        <f t="shared" si="157"/>
        <v>6</v>
      </c>
      <c r="H5018" t="str">
        <f>IF(ISNUMBER(FIND(",", E5018)), TRIM(MID(E5018, FIND(",", E5018) + 1, LEN(E5018))), E5018)</f>
        <v>Tonga</v>
      </c>
    </row>
    <row r="5019" spans="1:8" x14ac:dyDescent="0.25">
      <c r="A5019" s="2">
        <v>27184</v>
      </c>
      <c r="B5019">
        <v>-15.945</v>
      </c>
      <c r="C5019">
        <v>-174.98599999999999</v>
      </c>
      <c r="D5019" t="s">
        <v>13</v>
      </c>
      <c r="E5019" t="s">
        <v>239</v>
      </c>
      <c r="F5019">
        <f t="shared" si="156"/>
        <v>1974</v>
      </c>
      <c r="G5019">
        <f t="shared" si="157"/>
        <v>6</v>
      </c>
      <c r="H5019" t="str">
        <f>IF(ISNUMBER(FIND(",", E5019)), TRIM(MID(E5019, FIND(",", E5019) + 1, LEN(E5019))), E5019)</f>
        <v>Tonga</v>
      </c>
    </row>
    <row r="5020" spans="1:8" x14ac:dyDescent="0.25">
      <c r="A5020" s="2">
        <v>27180</v>
      </c>
      <c r="B5020">
        <v>27.529</v>
      </c>
      <c r="C5020">
        <v>-111.041</v>
      </c>
      <c r="D5020" t="s">
        <v>14</v>
      </c>
      <c r="E5020" t="s">
        <v>282</v>
      </c>
      <c r="F5020">
        <f t="shared" si="156"/>
        <v>1974</v>
      </c>
      <c r="G5020">
        <f t="shared" si="157"/>
        <v>5</v>
      </c>
      <c r="H5020" t="str">
        <f>IF(ISNUMBER(FIND(",", E5020)), TRIM(MID(E5020, FIND(",", E5020) + 1, LEN(E5020))), E5020)</f>
        <v>Gulf of California</v>
      </c>
    </row>
    <row r="5021" spans="1:8" x14ac:dyDescent="0.25">
      <c r="A5021" s="2">
        <v>27175</v>
      </c>
      <c r="B5021">
        <v>-17.616</v>
      </c>
      <c r="C5021">
        <v>167.49100000000001</v>
      </c>
      <c r="D5021" t="s">
        <v>13</v>
      </c>
      <c r="E5021" t="s">
        <v>181</v>
      </c>
      <c r="F5021">
        <f t="shared" si="156"/>
        <v>1974</v>
      </c>
      <c r="G5021">
        <f t="shared" si="157"/>
        <v>5</v>
      </c>
      <c r="H5021" t="str">
        <f>IF(ISNUMBER(FIND(",", E5021)), TRIM(MID(E5021, FIND(",", E5021) + 1, LEN(E5021))), E5021)</f>
        <v>Vanuatu</v>
      </c>
    </row>
    <row r="5022" spans="1:8" x14ac:dyDescent="0.25">
      <c r="A5022" s="2">
        <v>27175</v>
      </c>
      <c r="B5022">
        <v>-17.68</v>
      </c>
      <c r="C5022">
        <v>167.874</v>
      </c>
      <c r="D5022" t="s">
        <v>14</v>
      </c>
      <c r="E5022" t="s">
        <v>181</v>
      </c>
      <c r="F5022">
        <f t="shared" si="156"/>
        <v>1974</v>
      </c>
      <c r="G5022">
        <f t="shared" si="157"/>
        <v>5</v>
      </c>
      <c r="H5022" t="str">
        <f>IF(ISNUMBER(FIND(",", E5022)), TRIM(MID(E5022, FIND(",", E5022) + 1, LEN(E5022))), E5022)</f>
        <v>Vanuatu</v>
      </c>
    </row>
    <row r="5023" spans="1:8" x14ac:dyDescent="0.25">
      <c r="A5023" s="2">
        <v>27164</v>
      </c>
      <c r="B5023">
        <v>49.997999999999998</v>
      </c>
      <c r="C5023">
        <v>156.15899999999999</v>
      </c>
      <c r="D5023" t="s">
        <v>17</v>
      </c>
      <c r="E5023" t="s">
        <v>191</v>
      </c>
      <c r="F5023">
        <f t="shared" si="156"/>
        <v>1974</v>
      </c>
      <c r="G5023">
        <f t="shared" si="157"/>
        <v>5</v>
      </c>
      <c r="H5023" t="str">
        <f>IF(ISNUMBER(FIND(",", E5023)), TRIM(MID(E5023, FIND(",", E5023) + 1, LEN(E5023))), E5023)</f>
        <v>Kuril Islands</v>
      </c>
    </row>
    <row r="5024" spans="1:8" x14ac:dyDescent="0.25">
      <c r="A5024" s="2">
        <v>27160</v>
      </c>
      <c r="B5024">
        <v>1.865</v>
      </c>
      <c r="C5024">
        <v>126.387</v>
      </c>
      <c r="D5024" t="s">
        <v>14</v>
      </c>
      <c r="E5024" t="s">
        <v>186</v>
      </c>
      <c r="F5024">
        <f t="shared" si="156"/>
        <v>1974</v>
      </c>
      <c r="G5024">
        <f t="shared" si="157"/>
        <v>5</v>
      </c>
      <c r="H5024" t="str">
        <f>IF(ISNUMBER(FIND(",", E5024)), TRIM(MID(E5024, FIND(",", E5024) + 1, LEN(E5024))), E5024)</f>
        <v>Molucca Sea</v>
      </c>
    </row>
    <row r="5025" spans="1:8" x14ac:dyDescent="0.25">
      <c r="A5025" s="2">
        <v>27159</v>
      </c>
      <c r="B5025">
        <v>28.181000000000001</v>
      </c>
      <c r="C5025">
        <v>103.994</v>
      </c>
      <c r="D5025" t="s">
        <v>14</v>
      </c>
      <c r="E5025" t="s">
        <v>402</v>
      </c>
      <c r="F5025">
        <f t="shared" si="156"/>
        <v>1974</v>
      </c>
      <c r="G5025">
        <f t="shared" si="157"/>
        <v>5</v>
      </c>
      <c r="H5025" t="str">
        <f>IF(ISNUMBER(FIND(",", E5025)), TRIM(MID(E5025, FIND(",", E5025) + 1, LEN(E5025))), E5025)</f>
        <v>China</v>
      </c>
    </row>
    <row r="5026" spans="1:8" x14ac:dyDescent="0.25">
      <c r="A5026" s="2">
        <v>27159</v>
      </c>
      <c r="B5026">
        <v>-4.3600000000000003</v>
      </c>
      <c r="C5026">
        <v>-102.09</v>
      </c>
      <c r="D5026" t="s">
        <v>14</v>
      </c>
      <c r="E5026" t="s">
        <v>381</v>
      </c>
      <c r="F5026">
        <f t="shared" si="156"/>
        <v>1974</v>
      </c>
      <c r="G5026">
        <f t="shared" si="157"/>
        <v>5</v>
      </c>
      <c r="H5026" t="str">
        <f>IF(ISNUMBER(FIND(",", E5026)), TRIM(MID(E5026, FIND(",", E5026) + 1, LEN(E5026))), E5026)</f>
        <v>central East Pacific Rise</v>
      </c>
    </row>
    <row r="5027" spans="1:8" x14ac:dyDescent="0.25">
      <c r="A5027" s="2">
        <v>27157</v>
      </c>
      <c r="B5027">
        <v>34.570999999999998</v>
      </c>
      <c r="C5027">
        <v>138.77000000000001</v>
      </c>
      <c r="D5027" t="s">
        <v>17</v>
      </c>
      <c r="E5027" t="s">
        <v>360</v>
      </c>
      <c r="F5027">
        <f t="shared" si="156"/>
        <v>1974</v>
      </c>
      <c r="G5027">
        <f t="shared" si="157"/>
        <v>5</v>
      </c>
      <c r="H5027" t="str">
        <f>IF(ISNUMBER(FIND(",", E5027)), TRIM(MID(E5027, FIND(",", E5027) + 1, LEN(E5027))), E5027)</f>
        <v>Japan</v>
      </c>
    </row>
    <row r="5028" spans="1:8" x14ac:dyDescent="0.25">
      <c r="A5028" s="2">
        <v>27156</v>
      </c>
      <c r="B5028">
        <v>-16.654</v>
      </c>
      <c r="C5028">
        <v>-177.34399999999999</v>
      </c>
      <c r="D5028" t="s">
        <v>14</v>
      </c>
      <c r="E5028" t="s">
        <v>53</v>
      </c>
      <c r="F5028">
        <f t="shared" si="156"/>
        <v>1974</v>
      </c>
      <c r="G5028">
        <f t="shared" si="157"/>
        <v>5</v>
      </c>
      <c r="H5028" t="str">
        <f>IF(ISNUMBER(FIND(",", E5028)), TRIM(MID(E5028, FIND(",", E5028) + 1, LEN(E5028))), E5028)</f>
        <v>Fiji region</v>
      </c>
    </row>
    <row r="5029" spans="1:8" x14ac:dyDescent="0.25">
      <c r="A5029" s="2">
        <v>27125</v>
      </c>
      <c r="B5029">
        <v>55.12</v>
      </c>
      <c r="C5029">
        <v>-160.44300000000001</v>
      </c>
      <c r="D5029" t="s">
        <v>13</v>
      </c>
      <c r="E5029" t="s">
        <v>285</v>
      </c>
      <c r="F5029">
        <f t="shared" si="156"/>
        <v>1974</v>
      </c>
      <c r="G5029">
        <f t="shared" si="157"/>
        <v>4</v>
      </c>
      <c r="H5029" t="str">
        <f>IF(ISNUMBER(FIND(",", E5029)), TRIM(MID(E5029, FIND(",", E5029) + 1, LEN(E5029))), E5029)</f>
        <v>Alaska Peninsula</v>
      </c>
    </row>
    <row r="5030" spans="1:8" x14ac:dyDescent="0.25">
      <c r="A5030" s="2">
        <v>27111</v>
      </c>
      <c r="B5030">
        <v>-21.891999999999999</v>
      </c>
      <c r="C5030">
        <v>173.88200000000001</v>
      </c>
      <c r="D5030" t="s">
        <v>14</v>
      </c>
      <c r="E5030" t="s">
        <v>281</v>
      </c>
      <c r="F5030">
        <f t="shared" si="156"/>
        <v>1974</v>
      </c>
      <c r="G5030">
        <f t="shared" si="157"/>
        <v>3</v>
      </c>
      <c r="H5030" t="str">
        <f>IF(ISNUMBER(FIND(",", E5030)), TRIM(MID(E5030, FIND(",", E5030) + 1, LEN(E5030))), E5030)</f>
        <v>Vanuatu region</v>
      </c>
    </row>
    <row r="5031" spans="1:8" x14ac:dyDescent="0.25">
      <c r="A5031" s="2">
        <v>27111</v>
      </c>
      <c r="B5031">
        <v>-24.02</v>
      </c>
      <c r="C5031">
        <v>179.95500000000001</v>
      </c>
      <c r="D5031" t="s">
        <v>14</v>
      </c>
      <c r="E5031" t="s">
        <v>256</v>
      </c>
      <c r="F5031">
        <f t="shared" si="156"/>
        <v>1974</v>
      </c>
      <c r="G5031">
        <f t="shared" si="157"/>
        <v>3</v>
      </c>
      <c r="H5031" t="str">
        <f>IF(ISNUMBER(FIND(",", E5031)), TRIM(MID(E5031, FIND(",", E5031) + 1, LEN(E5031))), E5031)</f>
        <v>south of the Fiji Islands</v>
      </c>
    </row>
    <row r="5032" spans="1:8" x14ac:dyDescent="0.25">
      <c r="A5032" s="2">
        <v>27106</v>
      </c>
      <c r="B5032">
        <v>-14.941000000000001</v>
      </c>
      <c r="C5032">
        <v>-172.78299999999999</v>
      </c>
      <c r="D5032" t="s">
        <v>14</v>
      </c>
      <c r="E5032" t="s">
        <v>641</v>
      </c>
      <c r="F5032">
        <f t="shared" si="156"/>
        <v>1974</v>
      </c>
      <c r="G5032">
        <f t="shared" si="157"/>
        <v>3</v>
      </c>
      <c r="H5032" t="str">
        <f>IF(ISNUMBER(FIND(",", E5032)), TRIM(MID(E5032, FIND(",", E5032) + 1, LEN(E5032))), E5032)</f>
        <v>Samoa Islands</v>
      </c>
    </row>
    <row r="5033" spans="1:8" x14ac:dyDescent="0.25">
      <c r="A5033" s="2">
        <v>27097</v>
      </c>
      <c r="B5033">
        <v>-7.4740000000000002</v>
      </c>
      <c r="C5033">
        <v>156.20400000000001</v>
      </c>
      <c r="D5033" t="s">
        <v>14</v>
      </c>
      <c r="E5033" t="s">
        <v>221</v>
      </c>
      <c r="F5033">
        <f t="shared" si="156"/>
        <v>1974</v>
      </c>
      <c r="G5033">
        <f t="shared" si="157"/>
        <v>3</v>
      </c>
      <c r="H5033" t="str">
        <f>IF(ISNUMBER(FIND(",", E5033)), TRIM(MID(E5033, FIND(",", E5033) + 1, LEN(E5033))), E5033)</f>
        <v>Solomon Islands</v>
      </c>
    </row>
    <row r="5034" spans="1:8" x14ac:dyDescent="0.25">
      <c r="A5034" s="2">
        <v>27094</v>
      </c>
      <c r="B5034">
        <v>-6.3940000000000001</v>
      </c>
      <c r="C5034">
        <v>129.02699999999999</v>
      </c>
      <c r="D5034" t="s">
        <v>14</v>
      </c>
      <c r="E5034" t="s">
        <v>187</v>
      </c>
      <c r="F5034">
        <f t="shared" si="156"/>
        <v>1974</v>
      </c>
      <c r="G5034">
        <f t="shared" si="157"/>
        <v>3</v>
      </c>
      <c r="H5034" t="str">
        <f>IF(ISNUMBER(FIND(",", E5034)), TRIM(MID(E5034, FIND(",", E5034) + 1, LEN(E5034))), E5034)</f>
        <v>Banda Sea</v>
      </c>
    </row>
    <row r="5035" spans="1:8" x14ac:dyDescent="0.25">
      <c r="A5035" s="2">
        <v>27091</v>
      </c>
      <c r="B5035">
        <v>-20.076000000000001</v>
      </c>
      <c r="C5035">
        <v>169.815</v>
      </c>
      <c r="D5035" t="s">
        <v>14</v>
      </c>
      <c r="E5035" t="s">
        <v>181</v>
      </c>
      <c r="F5035">
        <f t="shared" si="156"/>
        <v>1974</v>
      </c>
      <c r="G5035">
        <f t="shared" si="157"/>
        <v>3</v>
      </c>
      <c r="H5035" t="str">
        <f>IF(ISNUMBER(FIND(",", E5035)), TRIM(MID(E5035, FIND(",", E5035) + 1, LEN(E5035))), E5035)</f>
        <v>Vanuatu</v>
      </c>
    </row>
    <row r="5036" spans="1:8" x14ac:dyDescent="0.25">
      <c r="A5036" s="2">
        <v>27091</v>
      </c>
      <c r="B5036">
        <v>35.591999999999999</v>
      </c>
      <c r="C5036">
        <v>140.624</v>
      </c>
      <c r="D5036" t="s">
        <v>17</v>
      </c>
      <c r="E5036" t="s">
        <v>227</v>
      </c>
      <c r="F5036">
        <f t="shared" si="156"/>
        <v>1974</v>
      </c>
      <c r="G5036">
        <f t="shared" si="157"/>
        <v>3</v>
      </c>
      <c r="H5036" t="str">
        <f>IF(ISNUMBER(FIND(",", E5036)), TRIM(MID(E5036, FIND(",", E5036) + 1, LEN(E5036))), E5036)</f>
        <v>Japan</v>
      </c>
    </row>
    <row r="5037" spans="1:8" x14ac:dyDescent="0.25">
      <c r="A5037" s="2">
        <v>27088</v>
      </c>
      <c r="B5037">
        <v>9.3469999999999995</v>
      </c>
      <c r="C5037">
        <v>-84.108999999999995</v>
      </c>
      <c r="D5037" t="s">
        <v>14</v>
      </c>
      <c r="E5037" t="s">
        <v>202</v>
      </c>
      <c r="F5037">
        <f t="shared" si="156"/>
        <v>1974</v>
      </c>
      <c r="G5037">
        <f t="shared" si="157"/>
        <v>2</v>
      </c>
      <c r="H5037" t="str">
        <f>IF(ISNUMBER(FIND(",", E5037)), TRIM(MID(E5037, FIND(",", E5037) + 1, LEN(E5037))), E5037)</f>
        <v>Costa Rica</v>
      </c>
    </row>
    <row r="5038" spans="1:8" x14ac:dyDescent="0.25">
      <c r="A5038" s="2">
        <v>27088</v>
      </c>
      <c r="B5038">
        <v>-36.749000000000002</v>
      </c>
      <c r="C5038">
        <v>177.09700000000001</v>
      </c>
      <c r="D5038" t="s">
        <v>14</v>
      </c>
      <c r="E5038" t="s">
        <v>410</v>
      </c>
      <c r="F5038">
        <f t="shared" si="156"/>
        <v>1974</v>
      </c>
      <c r="G5038">
        <f t="shared" si="157"/>
        <v>2</v>
      </c>
      <c r="H5038" t="str">
        <f>IF(ISNUMBER(FIND(",", E5038)), TRIM(MID(E5038, FIND(",", E5038) + 1, LEN(E5038))), E5038)</f>
        <v>off the east coast of the North Island of New Zealand</v>
      </c>
    </row>
    <row r="5039" spans="1:8" x14ac:dyDescent="0.25">
      <c r="A5039" s="2">
        <v>27082</v>
      </c>
      <c r="B5039">
        <v>33.167999999999999</v>
      </c>
      <c r="C5039">
        <v>136.953</v>
      </c>
      <c r="D5039" t="s">
        <v>14</v>
      </c>
      <c r="E5039" t="s">
        <v>467</v>
      </c>
      <c r="F5039">
        <f t="shared" si="156"/>
        <v>1974</v>
      </c>
      <c r="G5039">
        <f t="shared" si="157"/>
        <v>2</v>
      </c>
      <c r="H5039" t="str">
        <f>IF(ISNUMBER(FIND(",", E5039)), TRIM(MID(E5039, FIND(",", E5039) + 1, LEN(E5039))), E5039)</f>
        <v>Japan</v>
      </c>
    </row>
    <row r="5040" spans="1:8" x14ac:dyDescent="0.25">
      <c r="A5040" s="2">
        <v>27079</v>
      </c>
      <c r="B5040">
        <v>14.023999999999999</v>
      </c>
      <c r="C5040">
        <v>122.129</v>
      </c>
      <c r="D5040" t="s">
        <v>14</v>
      </c>
      <c r="E5040" t="s">
        <v>297</v>
      </c>
      <c r="F5040">
        <f t="shared" si="156"/>
        <v>1974</v>
      </c>
      <c r="G5040">
        <f t="shared" si="157"/>
        <v>2</v>
      </c>
      <c r="H5040" t="str">
        <f>IF(ISNUMBER(FIND(",", E5040)), TRIM(MID(E5040, FIND(",", E5040) + 1, LEN(E5040))), E5040)</f>
        <v>Philippines</v>
      </c>
    </row>
    <row r="5041" spans="1:8" x14ac:dyDescent="0.25">
      <c r="A5041" s="2">
        <v>27076</v>
      </c>
      <c r="B5041">
        <v>11.446</v>
      </c>
      <c r="C5041">
        <v>92.356999999999999</v>
      </c>
      <c r="D5041" t="s">
        <v>14</v>
      </c>
      <c r="E5041" t="s">
        <v>323</v>
      </c>
      <c r="F5041">
        <f t="shared" si="156"/>
        <v>1974</v>
      </c>
      <c r="G5041">
        <f t="shared" si="157"/>
        <v>2</v>
      </c>
      <c r="H5041" t="str">
        <f>IF(ISNUMBER(FIND(",", E5041)), TRIM(MID(E5041, FIND(",", E5041) + 1, LEN(E5041))), E5041)</f>
        <v>India region</v>
      </c>
    </row>
    <row r="5042" spans="1:8" x14ac:dyDescent="0.25">
      <c r="A5042" s="2">
        <v>27076</v>
      </c>
      <c r="B5042">
        <v>11.491</v>
      </c>
      <c r="C5042">
        <v>92.331999999999994</v>
      </c>
      <c r="D5042" t="s">
        <v>14</v>
      </c>
      <c r="E5042" t="s">
        <v>323</v>
      </c>
      <c r="F5042">
        <f t="shared" si="156"/>
        <v>1974</v>
      </c>
      <c r="G5042">
        <f t="shared" si="157"/>
        <v>2</v>
      </c>
      <c r="H5042" t="str">
        <f>IF(ISNUMBER(FIND(",", E5042)), TRIM(MID(E5042, FIND(",", E5042) + 1, LEN(E5042))), E5042)</f>
        <v>India region</v>
      </c>
    </row>
    <row r="5043" spans="1:8" x14ac:dyDescent="0.25">
      <c r="A5043" s="2">
        <v>27066</v>
      </c>
      <c r="B5043">
        <v>53.664000000000001</v>
      </c>
      <c r="C5043">
        <v>-164.71600000000001</v>
      </c>
      <c r="D5043" t="s">
        <v>14</v>
      </c>
      <c r="E5043" t="s">
        <v>447</v>
      </c>
      <c r="F5043">
        <f t="shared" si="156"/>
        <v>1974</v>
      </c>
      <c r="G5043">
        <f t="shared" si="157"/>
        <v>2</v>
      </c>
      <c r="H5043" t="str">
        <f>IF(ISNUMBER(FIND(",", E5043)), TRIM(MID(E5043, FIND(",", E5043) + 1, LEN(E5043))), E5043)</f>
        <v>Alaska</v>
      </c>
    </row>
    <row r="5044" spans="1:8" x14ac:dyDescent="0.25">
      <c r="A5044" s="2">
        <v>27064</v>
      </c>
      <c r="B5044">
        <v>-7.3630000000000004</v>
      </c>
      <c r="C5044">
        <v>155.81</v>
      </c>
      <c r="D5044" t="s">
        <v>17</v>
      </c>
      <c r="E5044" t="s">
        <v>221</v>
      </c>
      <c r="F5044">
        <f t="shared" si="156"/>
        <v>1974</v>
      </c>
      <c r="G5044">
        <f t="shared" si="157"/>
        <v>2</v>
      </c>
      <c r="H5044" t="str">
        <f>IF(ISNUMBER(FIND(",", E5044)), TRIM(MID(E5044, FIND(",", E5044) + 1, LEN(E5044))), E5044)</f>
        <v>Solomon Islands</v>
      </c>
    </row>
    <row r="5045" spans="1:8" x14ac:dyDescent="0.25">
      <c r="A5045" s="2">
        <v>27061</v>
      </c>
      <c r="B5045">
        <v>-7.2119999999999997</v>
      </c>
      <c r="C5045">
        <v>155.73500000000001</v>
      </c>
      <c r="D5045" t="s">
        <v>16</v>
      </c>
      <c r="E5045" t="s">
        <v>221</v>
      </c>
      <c r="F5045">
        <f t="shared" si="156"/>
        <v>1974</v>
      </c>
      <c r="G5045">
        <f t="shared" si="157"/>
        <v>2</v>
      </c>
      <c r="H5045" t="str">
        <f>IF(ISNUMBER(FIND(",", E5045)), TRIM(MID(E5045, FIND(",", E5045) + 1, LEN(E5045))), E5045)</f>
        <v>Solomon Islands</v>
      </c>
    </row>
    <row r="5046" spans="1:8" x14ac:dyDescent="0.25">
      <c r="A5046" s="2">
        <v>27060</v>
      </c>
      <c r="B5046">
        <v>-7.4039999999999999</v>
      </c>
      <c r="C5046">
        <v>155.946</v>
      </c>
      <c r="D5046" t="s">
        <v>16</v>
      </c>
      <c r="E5046" t="s">
        <v>221</v>
      </c>
      <c r="F5046">
        <f t="shared" si="156"/>
        <v>1974</v>
      </c>
      <c r="G5046">
        <f t="shared" si="157"/>
        <v>1</v>
      </c>
      <c r="H5046" t="str">
        <f>IF(ISNUMBER(FIND(",", E5046)), TRIM(MID(E5046, FIND(",", E5046) + 1, LEN(E5046))), E5046)</f>
        <v>Solomon Islands</v>
      </c>
    </row>
    <row r="5047" spans="1:8" x14ac:dyDescent="0.25">
      <c r="A5047" s="2">
        <v>27059</v>
      </c>
      <c r="B5047">
        <v>-5.1479999999999997</v>
      </c>
      <c r="C5047">
        <v>134.113</v>
      </c>
      <c r="D5047" t="s">
        <v>14</v>
      </c>
      <c r="E5047" t="s">
        <v>506</v>
      </c>
      <c r="F5047">
        <f t="shared" si="156"/>
        <v>1974</v>
      </c>
      <c r="G5047">
        <f t="shared" si="157"/>
        <v>1</v>
      </c>
      <c r="H5047" t="str">
        <f>IF(ISNUMBER(FIND(",", E5047)), TRIM(MID(E5047, FIND(",", E5047) + 1, LEN(E5047))), E5047)</f>
        <v>Indonesia</v>
      </c>
    </row>
    <row r="5048" spans="1:8" x14ac:dyDescent="0.25">
      <c r="A5048" s="2">
        <v>27055</v>
      </c>
      <c r="B5048">
        <v>18.588000000000001</v>
      </c>
      <c r="C5048">
        <v>-103.32599999999999</v>
      </c>
      <c r="D5048" t="s">
        <v>14</v>
      </c>
      <c r="E5048" t="s">
        <v>248</v>
      </c>
      <c r="F5048">
        <f t="shared" si="156"/>
        <v>1974</v>
      </c>
      <c r="G5048">
        <f t="shared" si="157"/>
        <v>1</v>
      </c>
      <c r="H5048" t="str">
        <f>IF(ISNUMBER(FIND(",", E5048)), TRIM(MID(E5048, FIND(",", E5048) + 1, LEN(E5048))), E5048)</f>
        <v>Mexico</v>
      </c>
    </row>
    <row r="5049" spans="1:8" x14ac:dyDescent="0.25">
      <c r="A5049" s="2">
        <v>27040</v>
      </c>
      <c r="B5049">
        <v>-14.178000000000001</v>
      </c>
      <c r="C5049">
        <v>166.619</v>
      </c>
      <c r="D5049" t="s">
        <v>14</v>
      </c>
      <c r="E5049" t="s">
        <v>181</v>
      </c>
      <c r="F5049">
        <f t="shared" si="156"/>
        <v>1974</v>
      </c>
      <c r="G5049">
        <f t="shared" si="157"/>
        <v>1</v>
      </c>
      <c r="H5049" t="str">
        <f>IF(ISNUMBER(FIND(",", E5049)), TRIM(MID(E5049, FIND(",", E5049) + 1, LEN(E5049))), E5049)</f>
        <v>Vanuatu</v>
      </c>
    </row>
    <row r="5050" spans="1:8" x14ac:dyDescent="0.25">
      <c r="A5050" s="2">
        <v>27039</v>
      </c>
      <c r="B5050">
        <v>-14.526</v>
      </c>
      <c r="C5050">
        <v>166.959</v>
      </c>
      <c r="D5050" t="s">
        <v>16</v>
      </c>
      <c r="E5050" t="s">
        <v>181</v>
      </c>
      <c r="F5050">
        <f t="shared" si="156"/>
        <v>1974</v>
      </c>
      <c r="G5050">
        <f t="shared" si="157"/>
        <v>1</v>
      </c>
      <c r="H5050" t="str">
        <f>IF(ISNUMBER(FIND(",", E5050)), TRIM(MID(E5050, FIND(",", E5050) + 1, LEN(E5050))), E5050)</f>
        <v>Vanuatu</v>
      </c>
    </row>
    <row r="5051" spans="1:8" x14ac:dyDescent="0.25">
      <c r="A5051" s="2">
        <v>27037</v>
      </c>
      <c r="B5051">
        <v>-38.929000000000002</v>
      </c>
      <c r="C5051">
        <v>46.27</v>
      </c>
      <c r="D5051" t="s">
        <v>14</v>
      </c>
      <c r="E5051" t="s">
        <v>94</v>
      </c>
      <c r="F5051">
        <f t="shared" si="156"/>
        <v>1974</v>
      </c>
      <c r="G5051">
        <f t="shared" si="157"/>
        <v>1</v>
      </c>
      <c r="H5051" t="str">
        <f>IF(ISNUMBER(FIND(",", E5051)), TRIM(MID(E5051, FIND(",", E5051) + 1, LEN(E5051))), E5051)</f>
        <v>Southwest Indian Ridge</v>
      </c>
    </row>
    <row r="5052" spans="1:8" x14ac:dyDescent="0.25">
      <c r="A5052" s="2">
        <v>27034</v>
      </c>
      <c r="B5052">
        <v>-12.35</v>
      </c>
      <c r="C5052">
        <v>-76.305999999999997</v>
      </c>
      <c r="D5052" t="s">
        <v>13</v>
      </c>
      <c r="E5052" t="s">
        <v>258</v>
      </c>
      <c r="F5052">
        <f t="shared" si="156"/>
        <v>1974</v>
      </c>
      <c r="G5052">
        <f t="shared" si="157"/>
        <v>1</v>
      </c>
      <c r="H5052" t="str">
        <f>IF(ISNUMBER(FIND(",", E5052)), TRIM(MID(E5052, FIND(",", E5052) + 1, LEN(E5052))), E5052)</f>
        <v>near the coast of central Peru</v>
      </c>
    </row>
    <row r="5053" spans="1:8" x14ac:dyDescent="0.25">
      <c r="A5053" s="2">
        <v>27031</v>
      </c>
      <c r="B5053">
        <v>-22.448</v>
      </c>
      <c r="C5053">
        <v>-68.323999999999998</v>
      </c>
      <c r="D5053" t="s">
        <v>13</v>
      </c>
      <c r="E5053" t="s">
        <v>289</v>
      </c>
      <c r="F5053">
        <f t="shared" si="156"/>
        <v>1974</v>
      </c>
      <c r="G5053">
        <f t="shared" si="157"/>
        <v>1</v>
      </c>
      <c r="H5053" t="str">
        <f>IF(ISNUMBER(FIND(",", E5053)), TRIM(MID(E5053, FIND(",", E5053) + 1, LEN(E5053))), E5053)</f>
        <v>Chile</v>
      </c>
    </row>
    <row r="5054" spans="1:8" x14ac:dyDescent="0.25">
      <c r="A5054" s="2">
        <v>27028</v>
      </c>
      <c r="B5054">
        <v>-15.388</v>
      </c>
      <c r="C5054">
        <v>166.60599999999999</v>
      </c>
      <c r="D5054" t="s">
        <v>14</v>
      </c>
      <c r="E5054" t="s">
        <v>181</v>
      </c>
      <c r="F5054">
        <f t="shared" si="156"/>
        <v>1973</v>
      </c>
      <c r="G5054">
        <f t="shared" si="157"/>
        <v>12</v>
      </c>
      <c r="H5054" t="str">
        <f>IF(ISNUMBER(FIND(",", E5054)), TRIM(MID(E5054, FIND(",", E5054) + 1, LEN(E5054))), E5054)</f>
        <v>Vanuatu</v>
      </c>
    </row>
    <row r="5055" spans="1:8" x14ac:dyDescent="0.25">
      <c r="A5055" s="2">
        <v>27028</v>
      </c>
      <c r="B5055">
        <v>-15.348000000000001</v>
      </c>
      <c r="C5055">
        <v>-172.95</v>
      </c>
      <c r="D5055" t="s">
        <v>14</v>
      </c>
      <c r="E5055" t="s">
        <v>352</v>
      </c>
      <c r="F5055">
        <f t="shared" si="156"/>
        <v>1973</v>
      </c>
      <c r="G5055">
        <f t="shared" si="157"/>
        <v>12</v>
      </c>
      <c r="H5055" t="str">
        <f>IF(ISNUMBER(FIND(",", E5055)), TRIM(MID(E5055, FIND(",", E5055) + 1, LEN(E5055))), E5055)</f>
        <v>Samoa Islands region</v>
      </c>
    </row>
    <row r="5056" spans="1:8" x14ac:dyDescent="0.25">
      <c r="A5056" s="2">
        <v>27027</v>
      </c>
      <c r="B5056">
        <v>54.600999999999999</v>
      </c>
      <c r="C5056">
        <v>168.648</v>
      </c>
      <c r="D5056" t="s">
        <v>14</v>
      </c>
      <c r="E5056" t="s">
        <v>443</v>
      </c>
      <c r="F5056">
        <f t="shared" si="156"/>
        <v>1973</v>
      </c>
      <c r="G5056">
        <f t="shared" si="157"/>
        <v>12</v>
      </c>
      <c r="H5056" t="str">
        <f>IF(ISNUMBER(FIND(",", E5056)), TRIM(MID(E5056, FIND(",", E5056) + 1, LEN(E5056))), E5056)</f>
        <v>Russia region</v>
      </c>
    </row>
    <row r="5057" spans="1:8" x14ac:dyDescent="0.25">
      <c r="A5057" s="2">
        <v>27027</v>
      </c>
      <c r="B5057">
        <v>-15.154999999999999</v>
      </c>
      <c r="C5057">
        <v>167.00200000000001</v>
      </c>
      <c r="D5057" t="s">
        <v>16</v>
      </c>
      <c r="E5057" t="s">
        <v>181</v>
      </c>
      <c r="F5057">
        <f t="shared" si="156"/>
        <v>1973</v>
      </c>
      <c r="G5057">
        <f t="shared" si="157"/>
        <v>12</v>
      </c>
      <c r="H5057" t="str">
        <f>IF(ISNUMBER(FIND(",", E5057)), TRIM(MID(E5057, FIND(",", E5057) + 1, LEN(E5057))), E5057)</f>
        <v>Vanuatu</v>
      </c>
    </row>
    <row r="5058" spans="1:8" x14ac:dyDescent="0.25">
      <c r="A5058" s="2">
        <v>27026</v>
      </c>
      <c r="B5058">
        <v>-14.509</v>
      </c>
      <c r="C5058">
        <v>166.77600000000001</v>
      </c>
      <c r="D5058" t="s">
        <v>16</v>
      </c>
      <c r="E5058" t="s">
        <v>181</v>
      </c>
      <c r="F5058">
        <f t="shared" ref="F5058:F5121" si="158">YEAR(A5058)</f>
        <v>1973</v>
      </c>
      <c r="G5058">
        <f t="shared" si="157"/>
        <v>12</v>
      </c>
      <c r="H5058" t="str">
        <f>IF(ISNUMBER(FIND(",", E5058)), TRIM(MID(E5058, FIND(",", E5058) + 1, LEN(E5058))), E5058)</f>
        <v>Vanuatu</v>
      </c>
    </row>
    <row r="5059" spans="1:8" x14ac:dyDescent="0.25">
      <c r="A5059" s="2">
        <v>27026</v>
      </c>
      <c r="B5059">
        <v>-23.870999999999999</v>
      </c>
      <c r="C5059">
        <v>179.96</v>
      </c>
      <c r="D5059" t="s">
        <v>13</v>
      </c>
      <c r="E5059" t="s">
        <v>256</v>
      </c>
      <c r="F5059">
        <f t="shared" si="158"/>
        <v>1973</v>
      </c>
      <c r="G5059">
        <f t="shared" ref="G5059:G5122" si="159">MONTH(A5059)</f>
        <v>12</v>
      </c>
      <c r="H5059" t="str">
        <f>IF(ISNUMBER(FIND(",", E5059)), TRIM(MID(E5059, FIND(",", E5059) + 1, LEN(E5059))), E5059)</f>
        <v>south of the Fiji Islands</v>
      </c>
    </row>
    <row r="5060" spans="1:8" x14ac:dyDescent="0.25">
      <c r="A5060" s="2">
        <v>27026</v>
      </c>
      <c r="B5060">
        <v>-23.956</v>
      </c>
      <c r="C5060">
        <v>-179.93700000000001</v>
      </c>
      <c r="D5060" t="s">
        <v>14</v>
      </c>
      <c r="E5060" t="s">
        <v>256</v>
      </c>
      <c r="F5060">
        <f t="shared" si="158"/>
        <v>1973</v>
      </c>
      <c r="G5060">
        <f t="shared" si="159"/>
        <v>12</v>
      </c>
      <c r="H5060" t="str">
        <f>IF(ISNUMBER(FIND(",", E5060)), TRIM(MID(E5060, FIND(",", E5060) + 1, LEN(E5060))), E5060)</f>
        <v>south of the Fiji Islands</v>
      </c>
    </row>
    <row r="5061" spans="1:8" x14ac:dyDescent="0.25">
      <c r="A5061" s="2">
        <v>27017</v>
      </c>
      <c r="B5061">
        <v>-9.4540000000000006</v>
      </c>
      <c r="C5061">
        <v>119.297</v>
      </c>
      <c r="D5061" t="s">
        <v>13</v>
      </c>
      <c r="E5061" t="s">
        <v>592</v>
      </c>
      <c r="F5061">
        <f t="shared" si="158"/>
        <v>1973</v>
      </c>
      <c r="G5061">
        <f t="shared" si="159"/>
        <v>12</v>
      </c>
      <c r="H5061" t="str">
        <f>IF(ISNUMBER(FIND(",", E5061)), TRIM(MID(E5061, FIND(",", E5061) + 1, LEN(E5061))), E5061)</f>
        <v>Indonesia</v>
      </c>
    </row>
    <row r="5062" spans="1:8" x14ac:dyDescent="0.25">
      <c r="A5062" s="2">
        <v>27007</v>
      </c>
      <c r="B5062">
        <v>-19.771999999999998</v>
      </c>
      <c r="C5062">
        <v>169.88399999999999</v>
      </c>
      <c r="D5062" t="s">
        <v>14</v>
      </c>
      <c r="E5062" t="s">
        <v>181</v>
      </c>
      <c r="F5062">
        <f t="shared" si="158"/>
        <v>1973</v>
      </c>
      <c r="G5062">
        <f t="shared" si="159"/>
        <v>12</v>
      </c>
      <c r="H5062" t="str">
        <f>IF(ISNUMBER(FIND(",", E5062)), TRIM(MID(E5062, FIND(",", E5062) + 1, LEN(E5062))), E5062)</f>
        <v>Vanuatu</v>
      </c>
    </row>
    <row r="5063" spans="1:8" x14ac:dyDescent="0.25">
      <c r="A5063" s="2">
        <v>27007</v>
      </c>
      <c r="B5063">
        <v>-19.925999999999998</v>
      </c>
      <c r="C5063">
        <v>169.821</v>
      </c>
      <c r="D5063" t="s">
        <v>14</v>
      </c>
      <c r="E5063" t="s">
        <v>181</v>
      </c>
      <c r="F5063">
        <f t="shared" si="158"/>
        <v>1973</v>
      </c>
      <c r="G5063">
        <f t="shared" si="159"/>
        <v>12</v>
      </c>
      <c r="H5063" t="str">
        <f>IF(ISNUMBER(FIND(",", E5063)), TRIM(MID(E5063, FIND(",", E5063) + 1, LEN(E5063))), E5063)</f>
        <v>Vanuatu</v>
      </c>
    </row>
    <row r="5064" spans="1:8" x14ac:dyDescent="0.25">
      <c r="A5064" s="2">
        <v>26998</v>
      </c>
      <c r="B5064">
        <v>-15.215999999999999</v>
      </c>
      <c r="C5064">
        <v>167.49700000000001</v>
      </c>
      <c r="D5064" t="s">
        <v>13</v>
      </c>
      <c r="E5064" t="s">
        <v>181</v>
      </c>
      <c r="F5064">
        <f t="shared" si="158"/>
        <v>1973</v>
      </c>
      <c r="G5064">
        <f t="shared" si="159"/>
        <v>11</v>
      </c>
      <c r="H5064" t="str">
        <f>IF(ISNUMBER(FIND(",", E5064)), TRIM(MID(E5064, FIND(",", E5064) + 1, LEN(E5064))), E5064)</f>
        <v>Vanuatu</v>
      </c>
    </row>
    <row r="5065" spans="1:8" x14ac:dyDescent="0.25">
      <c r="A5065" s="2">
        <v>26987</v>
      </c>
      <c r="B5065">
        <v>38.954000000000001</v>
      </c>
      <c r="C5065">
        <v>141.94200000000001</v>
      </c>
      <c r="D5065" t="s">
        <v>17</v>
      </c>
      <c r="E5065" t="s">
        <v>227</v>
      </c>
      <c r="F5065">
        <f t="shared" si="158"/>
        <v>1973</v>
      </c>
      <c r="G5065">
        <f t="shared" si="159"/>
        <v>11</v>
      </c>
      <c r="H5065" t="str">
        <f>IF(ISNUMBER(FIND(",", E5065)), TRIM(MID(E5065, FIND(",", E5065) + 1, LEN(E5065))), E5065)</f>
        <v>Japan</v>
      </c>
    </row>
    <row r="5066" spans="1:8" x14ac:dyDescent="0.25">
      <c r="A5066" s="2">
        <v>26976</v>
      </c>
      <c r="B5066">
        <v>50.021000000000001</v>
      </c>
      <c r="C5066">
        <v>156.31299999999999</v>
      </c>
      <c r="D5066" t="s">
        <v>14</v>
      </c>
      <c r="E5066" t="s">
        <v>191</v>
      </c>
      <c r="F5066">
        <f t="shared" si="158"/>
        <v>1973</v>
      </c>
      <c r="G5066">
        <f t="shared" si="159"/>
        <v>11</v>
      </c>
      <c r="H5066" t="str">
        <f>IF(ISNUMBER(FIND(",", E5066)), TRIM(MID(E5066, FIND(",", E5066) + 1, LEN(E5066))), E5066)</f>
        <v>Kuril Islands</v>
      </c>
    </row>
    <row r="5067" spans="1:8" x14ac:dyDescent="0.25">
      <c r="A5067" s="2">
        <v>26974</v>
      </c>
      <c r="B5067">
        <v>51.53</v>
      </c>
      <c r="C5067">
        <v>-175.27</v>
      </c>
      <c r="D5067" t="s">
        <v>14</v>
      </c>
      <c r="E5067" t="s">
        <v>207</v>
      </c>
      <c r="F5067">
        <f t="shared" si="158"/>
        <v>1973</v>
      </c>
      <c r="G5067">
        <f t="shared" si="159"/>
        <v>11</v>
      </c>
      <c r="H5067" t="str">
        <f>IF(ISNUMBER(FIND(",", E5067)), TRIM(MID(E5067, FIND(",", E5067) + 1, LEN(E5067))), E5067)</f>
        <v>Aleutian Islands, Alaska</v>
      </c>
    </row>
    <row r="5068" spans="1:8" x14ac:dyDescent="0.25">
      <c r="A5068" s="2">
        <v>26974</v>
      </c>
      <c r="B5068">
        <v>51.62</v>
      </c>
      <c r="C5068">
        <v>-175.417</v>
      </c>
      <c r="D5068" t="s">
        <v>17</v>
      </c>
      <c r="E5068" t="s">
        <v>207</v>
      </c>
      <c r="F5068">
        <f t="shared" si="158"/>
        <v>1973</v>
      </c>
      <c r="G5068">
        <f t="shared" si="159"/>
        <v>11</v>
      </c>
      <c r="H5068" t="str">
        <f>IF(ISNUMBER(FIND(",", E5068)), TRIM(MID(E5068, FIND(",", E5068) + 1, LEN(E5068))), E5068)</f>
        <v>Aleutian Islands, Alaska</v>
      </c>
    </row>
    <row r="5069" spans="1:8" x14ac:dyDescent="0.25">
      <c r="A5069" s="2">
        <v>26962</v>
      </c>
      <c r="B5069">
        <v>-21.984000000000002</v>
      </c>
      <c r="C5069">
        <v>-63.646000000000001</v>
      </c>
      <c r="D5069" t="s">
        <v>14</v>
      </c>
      <c r="E5069" t="s">
        <v>655</v>
      </c>
      <c r="F5069">
        <f t="shared" si="158"/>
        <v>1973</v>
      </c>
      <c r="G5069">
        <f t="shared" si="159"/>
        <v>10</v>
      </c>
      <c r="H5069" t="str">
        <f>IF(ISNUMBER(FIND(",", E5069)), TRIM(MID(E5069, FIND(",", E5069) + 1, LEN(E5069))), E5069)</f>
        <v>Bolivia</v>
      </c>
    </row>
    <row r="5070" spans="1:8" x14ac:dyDescent="0.25">
      <c r="A5070" s="2">
        <v>26948</v>
      </c>
      <c r="B5070">
        <v>0.80100000000000005</v>
      </c>
      <c r="C5070">
        <v>-29.67</v>
      </c>
      <c r="D5070" t="s">
        <v>14</v>
      </c>
      <c r="E5070" t="s">
        <v>291</v>
      </c>
      <c r="F5070">
        <f t="shared" si="158"/>
        <v>1973</v>
      </c>
      <c r="G5070">
        <f t="shared" si="159"/>
        <v>10</v>
      </c>
      <c r="H5070" t="str">
        <f>IF(ISNUMBER(FIND(",", E5070)), TRIM(MID(E5070, FIND(",", E5070) + 1, LEN(E5070))), E5070)</f>
        <v>central Mid-Atlantic Ridge</v>
      </c>
    </row>
    <row r="5071" spans="1:8" x14ac:dyDescent="0.25">
      <c r="A5071" s="2">
        <v>26946</v>
      </c>
      <c r="B5071">
        <v>-14.3</v>
      </c>
      <c r="C5071">
        <v>167.14400000000001</v>
      </c>
      <c r="D5071" t="s">
        <v>14</v>
      </c>
      <c r="E5071" t="s">
        <v>181</v>
      </c>
      <c r="F5071">
        <f t="shared" si="158"/>
        <v>1973</v>
      </c>
      <c r="G5071">
        <f t="shared" si="159"/>
        <v>10</v>
      </c>
      <c r="H5071" t="str">
        <f>IF(ISNUMBER(FIND(",", E5071)), TRIM(MID(E5071, FIND(",", E5071) + 1, LEN(E5071))), E5071)</f>
        <v>Vanuatu</v>
      </c>
    </row>
    <row r="5072" spans="1:8" x14ac:dyDescent="0.25">
      <c r="A5072" s="2">
        <v>26943</v>
      </c>
      <c r="B5072">
        <v>-60.95</v>
      </c>
      <c r="C5072">
        <v>-21.628</v>
      </c>
      <c r="D5072" t="s">
        <v>14</v>
      </c>
      <c r="E5072" t="s">
        <v>242</v>
      </c>
      <c r="F5072">
        <f t="shared" si="158"/>
        <v>1973</v>
      </c>
      <c r="G5072">
        <f t="shared" si="159"/>
        <v>10</v>
      </c>
      <c r="H5072" t="str">
        <f>IF(ISNUMBER(FIND(",", E5072)), TRIM(MID(E5072, FIND(",", E5072) + 1, LEN(E5072))), E5072)</f>
        <v>east of the South Sandwich Islands</v>
      </c>
    </row>
    <row r="5073" spans="1:8" x14ac:dyDescent="0.25">
      <c r="A5073" s="2">
        <v>26942</v>
      </c>
      <c r="B5073">
        <v>-33.067999999999998</v>
      </c>
      <c r="C5073">
        <v>-71.941999999999993</v>
      </c>
      <c r="D5073" t="s">
        <v>17</v>
      </c>
      <c r="E5073" t="s">
        <v>286</v>
      </c>
      <c r="F5073">
        <f t="shared" si="158"/>
        <v>1973</v>
      </c>
      <c r="G5073">
        <f t="shared" si="159"/>
        <v>10</v>
      </c>
      <c r="H5073" t="str">
        <f>IF(ISNUMBER(FIND(",", E5073)), TRIM(MID(E5073, FIND(",", E5073) + 1, LEN(E5073))), E5073)</f>
        <v>Chile</v>
      </c>
    </row>
    <row r="5074" spans="1:8" x14ac:dyDescent="0.25">
      <c r="A5074" s="2">
        <v>26942</v>
      </c>
      <c r="B5074">
        <v>-32.966999999999999</v>
      </c>
      <c r="C5074">
        <v>-71.887</v>
      </c>
      <c r="D5074" t="s">
        <v>14</v>
      </c>
      <c r="E5074" t="s">
        <v>286</v>
      </c>
      <c r="F5074">
        <f t="shared" si="158"/>
        <v>1973</v>
      </c>
      <c r="G5074">
        <f t="shared" si="159"/>
        <v>10</v>
      </c>
      <c r="H5074" t="str">
        <f>IF(ISNUMBER(FIND(",", E5074)), TRIM(MID(E5074, FIND(",", E5074) + 1, LEN(E5074))), E5074)</f>
        <v>Chile</v>
      </c>
    </row>
    <row r="5075" spans="1:8" x14ac:dyDescent="0.25">
      <c r="A5075" s="2">
        <v>26936</v>
      </c>
      <c r="B5075">
        <v>41.905999999999999</v>
      </c>
      <c r="C5075">
        <v>130.976</v>
      </c>
      <c r="D5075" t="s">
        <v>14</v>
      </c>
      <c r="E5075" t="s">
        <v>576</v>
      </c>
      <c r="F5075">
        <f t="shared" si="158"/>
        <v>1973</v>
      </c>
      <c r="G5075">
        <f t="shared" si="159"/>
        <v>9</v>
      </c>
      <c r="H5075" t="str">
        <f>IF(ISNUMBER(FIND(",", E5075)), TRIM(MID(E5075, FIND(",", E5075) + 1, LEN(E5075))), E5075)</f>
        <v>North Korea</v>
      </c>
    </row>
    <row r="5076" spans="1:8" x14ac:dyDescent="0.25">
      <c r="A5076" s="2">
        <v>26932</v>
      </c>
      <c r="B5076">
        <v>-54.975999999999999</v>
      </c>
      <c r="C5076">
        <v>146.09800000000001</v>
      </c>
      <c r="D5076" t="s">
        <v>14</v>
      </c>
      <c r="E5076" t="s">
        <v>205</v>
      </c>
      <c r="F5076">
        <f t="shared" si="158"/>
        <v>1973</v>
      </c>
      <c r="G5076">
        <f t="shared" si="159"/>
        <v>9</v>
      </c>
      <c r="H5076" t="str">
        <f>IF(ISNUMBER(FIND(",", E5076)), TRIM(MID(E5076, FIND(",", E5076) + 1, LEN(E5076))), E5076)</f>
        <v>west of Macquarie Island</v>
      </c>
    </row>
    <row r="5077" spans="1:8" x14ac:dyDescent="0.25">
      <c r="A5077" s="2">
        <v>26928</v>
      </c>
      <c r="B5077">
        <v>-4.4139999999999997</v>
      </c>
      <c r="C5077">
        <v>-102.054</v>
      </c>
      <c r="D5077" t="s">
        <v>13</v>
      </c>
      <c r="E5077" t="s">
        <v>381</v>
      </c>
      <c r="F5077">
        <f t="shared" si="158"/>
        <v>1973</v>
      </c>
      <c r="G5077">
        <f t="shared" si="159"/>
        <v>9</v>
      </c>
      <c r="H5077" t="str">
        <f>IF(ISNUMBER(FIND(",", E5077)), TRIM(MID(E5077, FIND(",", E5077) + 1, LEN(E5077))), E5077)</f>
        <v>central East Pacific Rise</v>
      </c>
    </row>
    <row r="5078" spans="1:8" x14ac:dyDescent="0.25">
      <c r="A5078" s="2">
        <v>26928</v>
      </c>
      <c r="B5078">
        <v>-4.4320000000000004</v>
      </c>
      <c r="C5078">
        <v>-102.11</v>
      </c>
      <c r="D5078" t="s">
        <v>14</v>
      </c>
      <c r="E5078" t="s">
        <v>381</v>
      </c>
      <c r="F5078">
        <f t="shared" si="158"/>
        <v>1973</v>
      </c>
      <c r="G5078">
        <f t="shared" si="159"/>
        <v>9</v>
      </c>
      <c r="H5078" t="str">
        <f>IF(ISNUMBER(FIND(",", E5078)), TRIM(MID(E5078, FIND(",", E5078) + 1, LEN(E5078))), E5078)</f>
        <v>central East Pacific Rise</v>
      </c>
    </row>
    <row r="5079" spans="1:8" x14ac:dyDescent="0.25">
      <c r="A5079" s="2">
        <v>26927</v>
      </c>
      <c r="B5079">
        <v>9.2379999999999995</v>
      </c>
      <c r="C5079">
        <v>123.93600000000001</v>
      </c>
      <c r="D5079" t="s">
        <v>14</v>
      </c>
      <c r="E5079" t="s">
        <v>257</v>
      </c>
      <c r="F5079">
        <f t="shared" si="158"/>
        <v>1973</v>
      </c>
      <c r="G5079">
        <f t="shared" si="159"/>
        <v>9</v>
      </c>
      <c r="H5079" t="str">
        <f>IF(ISNUMBER(FIND(",", E5079)), TRIM(MID(E5079, FIND(",", E5079) + 1, LEN(E5079))), E5079)</f>
        <v>Philippines</v>
      </c>
    </row>
    <row r="5080" spans="1:8" x14ac:dyDescent="0.25">
      <c r="A5080" s="2">
        <v>26925</v>
      </c>
      <c r="B5080">
        <v>-54.499000000000002</v>
      </c>
      <c r="C5080">
        <v>-132.416</v>
      </c>
      <c r="D5080" t="s">
        <v>14</v>
      </c>
      <c r="E5080" t="s">
        <v>179</v>
      </c>
      <c r="F5080">
        <f t="shared" si="158"/>
        <v>1973</v>
      </c>
      <c r="G5080">
        <f t="shared" si="159"/>
        <v>9</v>
      </c>
      <c r="H5080" t="str">
        <f>IF(ISNUMBER(FIND(",", E5080)), TRIM(MID(E5080, FIND(",", E5080) + 1, LEN(E5080))), E5080)</f>
        <v>Pacific-Antarctic Ridge</v>
      </c>
    </row>
    <row r="5081" spans="1:8" x14ac:dyDescent="0.25">
      <c r="A5081" s="2">
        <v>26917</v>
      </c>
      <c r="B5081">
        <v>42.441000000000003</v>
      </c>
      <c r="C5081">
        <v>131.05000000000001</v>
      </c>
      <c r="D5081" t="s">
        <v>14</v>
      </c>
      <c r="E5081" t="s">
        <v>520</v>
      </c>
      <c r="F5081">
        <f t="shared" si="158"/>
        <v>1973</v>
      </c>
      <c r="G5081">
        <f t="shared" si="159"/>
        <v>9</v>
      </c>
      <c r="H5081" t="str">
        <f>IF(ISNUMBER(FIND(",", E5081)), TRIM(MID(E5081, FIND(",", E5081) + 1, LEN(E5081))), E5081)</f>
        <v>eastern Russia-northeastern China border region</v>
      </c>
    </row>
    <row r="5082" spans="1:8" x14ac:dyDescent="0.25">
      <c r="A5082" s="2">
        <v>26904</v>
      </c>
      <c r="B5082">
        <v>-0.28799999999999998</v>
      </c>
      <c r="C5082">
        <v>-17.995999999999999</v>
      </c>
      <c r="D5082" t="s">
        <v>14</v>
      </c>
      <c r="E5082" t="s">
        <v>378</v>
      </c>
      <c r="F5082">
        <f t="shared" si="158"/>
        <v>1973</v>
      </c>
      <c r="G5082">
        <f t="shared" si="159"/>
        <v>8</v>
      </c>
      <c r="H5082" t="str">
        <f>IF(ISNUMBER(FIND(",", E5082)), TRIM(MID(E5082, FIND(",", E5082) + 1, LEN(E5082))), E5082)</f>
        <v>north of Ascension Island</v>
      </c>
    </row>
    <row r="5083" spans="1:8" x14ac:dyDescent="0.25">
      <c r="A5083" s="2">
        <v>26904</v>
      </c>
      <c r="B5083">
        <v>18.233000000000001</v>
      </c>
      <c r="C5083">
        <v>-96.606999999999999</v>
      </c>
      <c r="D5083" t="s">
        <v>13</v>
      </c>
      <c r="E5083" t="s">
        <v>251</v>
      </c>
      <c r="F5083">
        <f t="shared" si="158"/>
        <v>1973</v>
      </c>
      <c r="G5083">
        <f t="shared" si="159"/>
        <v>8</v>
      </c>
      <c r="H5083" t="str">
        <f>IF(ISNUMBER(FIND(",", E5083)), TRIM(MID(E5083, FIND(",", E5083) + 1, LEN(E5083))), E5083)</f>
        <v>Mexico</v>
      </c>
    </row>
    <row r="5084" spans="1:8" x14ac:dyDescent="0.25">
      <c r="A5084" s="2">
        <v>26894</v>
      </c>
      <c r="B5084">
        <v>11.5</v>
      </c>
      <c r="C5084">
        <v>121.4</v>
      </c>
      <c r="D5084" t="s">
        <v>14</v>
      </c>
      <c r="E5084" t="s">
        <v>574</v>
      </c>
      <c r="F5084">
        <f t="shared" si="158"/>
        <v>1973</v>
      </c>
      <c r="G5084">
        <f t="shared" si="159"/>
        <v>8</v>
      </c>
      <c r="H5084" t="str">
        <f>IF(ISNUMBER(FIND(",", E5084)), TRIM(MID(E5084, FIND(",", E5084) + 1, LEN(E5084))), E5084)</f>
        <v>Philippines</v>
      </c>
    </row>
    <row r="5085" spans="1:8" x14ac:dyDescent="0.25">
      <c r="A5085" s="2">
        <v>26892</v>
      </c>
      <c r="B5085">
        <v>23.052</v>
      </c>
      <c r="C5085">
        <v>101.11</v>
      </c>
      <c r="D5085" t="s">
        <v>14</v>
      </c>
      <c r="E5085" t="s">
        <v>423</v>
      </c>
      <c r="F5085">
        <f t="shared" si="158"/>
        <v>1973</v>
      </c>
      <c r="G5085">
        <f t="shared" si="159"/>
        <v>8</v>
      </c>
      <c r="H5085" t="str">
        <f>IF(ISNUMBER(FIND(",", E5085)), TRIM(MID(E5085, FIND(",", E5085) + 1, LEN(E5085))), E5085)</f>
        <v>China</v>
      </c>
    </row>
    <row r="5086" spans="1:8" x14ac:dyDescent="0.25">
      <c r="A5086" s="2">
        <v>26887</v>
      </c>
      <c r="B5086">
        <v>32.915999999999997</v>
      </c>
      <c r="C5086">
        <v>104.01900000000001</v>
      </c>
      <c r="D5086" t="s">
        <v>14</v>
      </c>
      <c r="E5086" t="s">
        <v>395</v>
      </c>
      <c r="F5086">
        <f t="shared" si="158"/>
        <v>1973</v>
      </c>
      <c r="G5086">
        <f t="shared" si="159"/>
        <v>8</v>
      </c>
      <c r="H5086" t="str">
        <f>IF(ISNUMBER(FIND(",", E5086)), TRIM(MID(E5086, FIND(",", E5086) + 1, LEN(E5086))), E5086)</f>
        <v>China</v>
      </c>
    </row>
    <row r="5087" spans="1:8" x14ac:dyDescent="0.25">
      <c r="A5087" s="2">
        <v>26885</v>
      </c>
      <c r="B5087">
        <v>43.445999999999998</v>
      </c>
      <c r="C5087">
        <v>146.43299999999999</v>
      </c>
      <c r="D5087" t="s">
        <v>13</v>
      </c>
      <c r="E5087" t="s">
        <v>191</v>
      </c>
      <c r="F5087">
        <f t="shared" si="158"/>
        <v>1973</v>
      </c>
      <c r="G5087">
        <f t="shared" si="159"/>
        <v>8</v>
      </c>
      <c r="H5087" t="str">
        <f>IF(ISNUMBER(FIND(",", E5087)), TRIM(MID(E5087, FIND(",", E5087) + 1, LEN(E5087))), E5087)</f>
        <v>Kuril Islands</v>
      </c>
    </row>
    <row r="5088" spans="1:8" x14ac:dyDescent="0.25">
      <c r="A5088" s="2">
        <v>26883</v>
      </c>
      <c r="B5088">
        <v>-26.832999999999998</v>
      </c>
      <c r="C5088">
        <v>-70.864999999999995</v>
      </c>
      <c r="D5088" t="s">
        <v>14</v>
      </c>
      <c r="E5088" t="s">
        <v>439</v>
      </c>
      <c r="F5088">
        <f t="shared" si="158"/>
        <v>1973</v>
      </c>
      <c r="G5088">
        <f t="shared" si="159"/>
        <v>8</v>
      </c>
      <c r="H5088" t="str">
        <f>IF(ISNUMBER(FIND(",", E5088)), TRIM(MID(E5088, FIND(",", E5088) + 1, LEN(E5088))), E5088)</f>
        <v>Chile</v>
      </c>
    </row>
    <row r="5089" spans="1:8" x14ac:dyDescent="0.25">
      <c r="A5089" s="2">
        <v>26883</v>
      </c>
      <c r="B5089">
        <v>-54.268000000000001</v>
      </c>
      <c r="C5089">
        <v>-136.65899999999999</v>
      </c>
      <c r="D5089" t="s">
        <v>14</v>
      </c>
      <c r="E5089" t="s">
        <v>179</v>
      </c>
      <c r="F5089">
        <f t="shared" si="158"/>
        <v>1973</v>
      </c>
      <c r="G5089">
        <f t="shared" si="159"/>
        <v>8</v>
      </c>
      <c r="H5089" t="str">
        <f>IF(ISNUMBER(FIND(",", E5089)), TRIM(MID(E5089, FIND(",", E5089) + 1, LEN(E5089))), E5089)</f>
        <v>Pacific-Antarctic Ridge</v>
      </c>
    </row>
    <row r="5090" spans="1:8" x14ac:dyDescent="0.25">
      <c r="A5090" s="2">
        <v>26883</v>
      </c>
      <c r="B5090">
        <v>-26.884</v>
      </c>
      <c r="C5090">
        <v>-70.935000000000002</v>
      </c>
      <c r="D5090" t="s">
        <v>14</v>
      </c>
      <c r="E5090" t="s">
        <v>439</v>
      </c>
      <c r="F5090">
        <f t="shared" si="158"/>
        <v>1973</v>
      </c>
      <c r="G5090">
        <f t="shared" si="159"/>
        <v>8</v>
      </c>
      <c r="H5090" t="str">
        <f>IF(ISNUMBER(FIND(",", E5090)), TRIM(MID(E5090, FIND(",", E5090) + 1, LEN(E5090))), E5090)</f>
        <v>Chile</v>
      </c>
    </row>
    <row r="5091" spans="1:8" x14ac:dyDescent="0.25">
      <c r="A5091" s="2">
        <v>26877</v>
      </c>
      <c r="B5091">
        <v>-14.340999999999999</v>
      </c>
      <c r="C5091">
        <v>167.363</v>
      </c>
      <c r="D5091" t="s">
        <v>13</v>
      </c>
      <c r="E5091" t="s">
        <v>181</v>
      </c>
      <c r="F5091">
        <f t="shared" si="158"/>
        <v>1973</v>
      </c>
      <c r="G5091">
        <f t="shared" si="159"/>
        <v>8</v>
      </c>
      <c r="H5091" t="str">
        <f>IF(ISNUMBER(FIND(",", E5091)), TRIM(MID(E5091, FIND(",", E5091) + 1, LEN(E5091))), E5091)</f>
        <v>Vanuatu</v>
      </c>
    </row>
    <row r="5092" spans="1:8" x14ac:dyDescent="0.25">
      <c r="A5092" s="2">
        <v>26876</v>
      </c>
      <c r="B5092">
        <v>-8.7149999999999999</v>
      </c>
      <c r="C5092">
        <v>161.012</v>
      </c>
      <c r="D5092" t="s">
        <v>14</v>
      </c>
      <c r="E5092" t="s">
        <v>221</v>
      </c>
      <c r="F5092">
        <f t="shared" si="158"/>
        <v>1973</v>
      </c>
      <c r="G5092">
        <f t="shared" si="159"/>
        <v>7</v>
      </c>
      <c r="H5092" t="str">
        <f>IF(ISNUMBER(FIND(",", E5092)), TRIM(MID(E5092, FIND(",", E5092) + 1, LEN(E5092))), E5092)</f>
        <v>Solomon Islands</v>
      </c>
    </row>
    <row r="5093" spans="1:8" x14ac:dyDescent="0.25">
      <c r="A5093" s="2">
        <v>26876</v>
      </c>
      <c r="B5093">
        <v>-27.009</v>
      </c>
      <c r="C5093">
        <v>-71.257000000000005</v>
      </c>
      <c r="D5093" t="s">
        <v>14</v>
      </c>
      <c r="E5093" t="s">
        <v>439</v>
      </c>
      <c r="F5093">
        <f t="shared" si="158"/>
        <v>1973</v>
      </c>
      <c r="G5093">
        <f t="shared" si="159"/>
        <v>7</v>
      </c>
      <c r="H5093" t="str">
        <f>IF(ISNUMBER(FIND(",", E5093)), TRIM(MID(E5093, FIND(",", E5093) + 1, LEN(E5093))), E5093)</f>
        <v>Chile</v>
      </c>
    </row>
    <row r="5094" spans="1:8" x14ac:dyDescent="0.25">
      <c r="A5094" s="2">
        <v>26866</v>
      </c>
      <c r="B5094">
        <v>-24.893999999999998</v>
      </c>
      <c r="C5094">
        <v>-179.12299999999999</v>
      </c>
      <c r="D5094" t="s">
        <v>14</v>
      </c>
      <c r="E5094" t="s">
        <v>256</v>
      </c>
      <c r="F5094">
        <f t="shared" si="158"/>
        <v>1973</v>
      </c>
      <c r="G5094">
        <f t="shared" si="159"/>
        <v>7</v>
      </c>
      <c r="H5094" t="str">
        <f>IF(ISNUMBER(FIND(",", E5094)), TRIM(MID(E5094, FIND(",", E5094) + 1, LEN(E5094))), E5094)</f>
        <v>south of the Fiji Islands</v>
      </c>
    </row>
    <row r="5095" spans="1:8" x14ac:dyDescent="0.25">
      <c r="A5095" s="2">
        <v>26859</v>
      </c>
      <c r="B5095">
        <v>35.146000000000001</v>
      </c>
      <c r="C5095">
        <v>86.498000000000005</v>
      </c>
      <c r="D5095" t="s">
        <v>14</v>
      </c>
      <c r="E5095" t="s">
        <v>388</v>
      </c>
      <c r="F5095">
        <f t="shared" si="158"/>
        <v>1973</v>
      </c>
      <c r="G5095">
        <f t="shared" si="159"/>
        <v>7</v>
      </c>
      <c r="H5095" t="str">
        <f>IF(ISNUMBER(FIND(",", E5095)), TRIM(MID(E5095, FIND(",", E5095) + 1, LEN(E5095))), E5095)</f>
        <v>western Xizang</v>
      </c>
    </row>
    <row r="5096" spans="1:8" x14ac:dyDescent="0.25">
      <c r="A5096" s="2">
        <v>26850</v>
      </c>
      <c r="B5096">
        <v>13.218999999999999</v>
      </c>
      <c r="C5096">
        <v>124.645</v>
      </c>
      <c r="D5096" t="s">
        <v>14</v>
      </c>
      <c r="E5096" t="s">
        <v>558</v>
      </c>
      <c r="F5096">
        <f t="shared" si="158"/>
        <v>1973</v>
      </c>
      <c r="G5096">
        <f t="shared" si="159"/>
        <v>7</v>
      </c>
      <c r="H5096" t="str">
        <f>IF(ISNUMBER(FIND(",", E5096)), TRIM(MID(E5096, FIND(",", E5096) + 1, LEN(E5096))), E5096)</f>
        <v>Philippines</v>
      </c>
    </row>
    <row r="5097" spans="1:8" x14ac:dyDescent="0.25">
      <c r="A5097" s="2">
        <v>26848</v>
      </c>
      <c r="B5097">
        <v>57.936</v>
      </c>
      <c r="C5097">
        <v>-138.02500000000001</v>
      </c>
      <c r="D5097" t="s">
        <v>14</v>
      </c>
      <c r="E5097" t="s">
        <v>656</v>
      </c>
      <c r="F5097">
        <f t="shared" si="158"/>
        <v>1973</v>
      </c>
      <c r="G5097">
        <f t="shared" si="159"/>
        <v>7</v>
      </c>
      <c r="H5097" t="str">
        <f>IF(ISNUMBER(FIND(",", E5097)), TRIM(MID(E5097, FIND(",", E5097) + 1, LEN(E5097))), E5097)</f>
        <v>off the coast of Southeastern Alaska</v>
      </c>
    </row>
    <row r="5098" spans="1:8" x14ac:dyDescent="0.25">
      <c r="A5098" s="2">
        <v>26848</v>
      </c>
      <c r="B5098">
        <v>12.268000000000001</v>
      </c>
      <c r="C5098">
        <v>125.33199999999999</v>
      </c>
      <c r="D5098" t="s">
        <v>14</v>
      </c>
      <c r="E5098" t="s">
        <v>394</v>
      </c>
      <c r="F5098">
        <f t="shared" si="158"/>
        <v>1973</v>
      </c>
      <c r="G5098">
        <f t="shared" si="159"/>
        <v>7</v>
      </c>
      <c r="H5098" t="str">
        <f>IF(ISNUMBER(FIND(",", E5098)), TRIM(MID(E5098, FIND(",", E5098) + 1, LEN(E5098))), E5098)</f>
        <v>Philippines</v>
      </c>
    </row>
    <row r="5099" spans="1:8" x14ac:dyDescent="0.25">
      <c r="A5099" s="2">
        <v>26846</v>
      </c>
      <c r="B5099">
        <v>57.798999999999999</v>
      </c>
      <c r="C5099">
        <v>-137.41499999999999</v>
      </c>
      <c r="D5099" t="s">
        <v>14</v>
      </c>
      <c r="E5099" t="s">
        <v>656</v>
      </c>
      <c r="F5099">
        <f t="shared" si="158"/>
        <v>1973</v>
      </c>
      <c r="G5099">
        <f t="shared" si="159"/>
        <v>7</v>
      </c>
      <c r="H5099" t="str">
        <f>IF(ISNUMBER(FIND(",", E5099)), TRIM(MID(E5099, FIND(",", E5099) + 1, LEN(E5099))), E5099)</f>
        <v>off the coast of Southeastern Alaska</v>
      </c>
    </row>
    <row r="5100" spans="1:8" x14ac:dyDescent="0.25">
      <c r="A5100" s="2">
        <v>26841</v>
      </c>
      <c r="B5100">
        <v>43.113</v>
      </c>
      <c r="C5100">
        <v>146.6</v>
      </c>
      <c r="D5100" t="s">
        <v>17</v>
      </c>
      <c r="E5100" t="s">
        <v>191</v>
      </c>
      <c r="F5100">
        <f t="shared" si="158"/>
        <v>1973</v>
      </c>
      <c r="G5100">
        <f t="shared" si="159"/>
        <v>6</v>
      </c>
      <c r="H5100" t="str">
        <f>IF(ISNUMBER(FIND(",", E5100)), TRIM(MID(E5100, FIND(",", E5100) + 1, LEN(E5100))), E5100)</f>
        <v>Kuril Islands</v>
      </c>
    </row>
    <row r="5101" spans="1:8" x14ac:dyDescent="0.25">
      <c r="A5101" s="2">
        <v>26839</v>
      </c>
      <c r="B5101">
        <v>43.357999999999997</v>
      </c>
      <c r="C5101">
        <v>146.42400000000001</v>
      </c>
      <c r="D5101" t="s">
        <v>16</v>
      </c>
      <c r="E5101" t="s">
        <v>191</v>
      </c>
      <c r="F5101">
        <f t="shared" si="158"/>
        <v>1973</v>
      </c>
      <c r="G5101">
        <f t="shared" si="159"/>
        <v>6</v>
      </c>
      <c r="H5101" t="str">
        <f>IF(ISNUMBER(FIND(",", E5101)), TRIM(MID(E5101, FIND(",", E5101) + 1, LEN(E5101))), E5101)</f>
        <v>Kuril Islands</v>
      </c>
    </row>
    <row r="5102" spans="1:8" x14ac:dyDescent="0.25">
      <c r="A5102" s="2">
        <v>26832</v>
      </c>
      <c r="B5102">
        <v>42.716999999999999</v>
      </c>
      <c r="C5102">
        <v>145.983</v>
      </c>
      <c r="D5102" t="s">
        <v>14</v>
      </c>
      <c r="E5102" t="s">
        <v>265</v>
      </c>
      <c r="F5102">
        <f t="shared" si="158"/>
        <v>1973</v>
      </c>
      <c r="G5102">
        <f t="shared" si="159"/>
        <v>6</v>
      </c>
      <c r="H5102" t="str">
        <f>IF(ISNUMBER(FIND(",", E5102)), TRIM(MID(E5102, FIND(",", E5102) + 1, LEN(E5102))), E5102)</f>
        <v>Japan region</v>
      </c>
    </row>
    <row r="5103" spans="1:8" x14ac:dyDescent="0.25">
      <c r="A5103" s="2">
        <v>26832</v>
      </c>
      <c r="B5103">
        <v>43.222999999999999</v>
      </c>
      <c r="C5103">
        <v>145.74100000000001</v>
      </c>
      <c r="D5103" t="s">
        <v>16</v>
      </c>
      <c r="E5103" t="s">
        <v>265</v>
      </c>
      <c r="F5103">
        <f t="shared" si="158"/>
        <v>1973</v>
      </c>
      <c r="G5103">
        <f t="shared" si="159"/>
        <v>6</v>
      </c>
      <c r="H5103" t="str">
        <f>IF(ISNUMBER(FIND(",", E5103)), TRIM(MID(E5103, FIND(",", E5103) + 1, LEN(E5103))), E5103)</f>
        <v>Japan region</v>
      </c>
    </row>
    <row r="5104" spans="1:8" x14ac:dyDescent="0.25">
      <c r="A5104" s="2">
        <v>26826</v>
      </c>
      <c r="B5104">
        <v>53.673999999999999</v>
      </c>
      <c r="C5104">
        <v>161.49799999999999</v>
      </c>
      <c r="D5104" t="s">
        <v>14</v>
      </c>
      <c r="E5104" t="s">
        <v>318</v>
      </c>
      <c r="F5104">
        <f t="shared" si="158"/>
        <v>1973</v>
      </c>
      <c r="G5104">
        <f t="shared" si="159"/>
        <v>6</v>
      </c>
      <c r="H5104" t="str">
        <f>IF(ISNUMBER(FIND(",", E5104)), TRIM(MID(E5104, FIND(",", E5104) + 1, LEN(E5104))), E5104)</f>
        <v>Russia</v>
      </c>
    </row>
    <row r="5105" spans="1:8" x14ac:dyDescent="0.25">
      <c r="A5105" s="2">
        <v>26824</v>
      </c>
      <c r="B5105">
        <v>-10.29</v>
      </c>
      <c r="C5105">
        <v>161.42099999999999</v>
      </c>
      <c r="D5105" t="s">
        <v>13</v>
      </c>
      <c r="E5105" t="s">
        <v>221</v>
      </c>
      <c r="F5105">
        <f t="shared" si="158"/>
        <v>1973</v>
      </c>
      <c r="G5105">
        <f t="shared" si="159"/>
        <v>6</v>
      </c>
      <c r="H5105" t="str">
        <f>IF(ISNUMBER(FIND(",", E5105)), TRIM(MID(E5105, FIND(",", E5105) + 1, LEN(E5105))), E5105)</f>
        <v>Solomon Islands</v>
      </c>
    </row>
    <row r="5106" spans="1:8" x14ac:dyDescent="0.25">
      <c r="A5106" s="2">
        <v>26820</v>
      </c>
      <c r="B5106">
        <v>-17.207000000000001</v>
      </c>
      <c r="C5106">
        <v>167.85400000000001</v>
      </c>
      <c r="D5106" t="s">
        <v>14</v>
      </c>
      <c r="E5106" t="s">
        <v>181</v>
      </c>
      <c r="F5106">
        <f t="shared" si="158"/>
        <v>1973</v>
      </c>
      <c r="G5106">
        <f t="shared" si="159"/>
        <v>6</v>
      </c>
      <c r="H5106" t="str">
        <f>IF(ISNUMBER(FIND(",", E5106)), TRIM(MID(E5106, FIND(",", E5106) + 1, LEN(E5106))), E5106)</f>
        <v>Vanuatu</v>
      </c>
    </row>
    <row r="5107" spans="1:8" x14ac:dyDescent="0.25">
      <c r="A5107" s="2">
        <v>26816</v>
      </c>
      <c r="B5107">
        <v>-47.738999999999997</v>
      </c>
      <c r="C5107">
        <v>99.516000000000005</v>
      </c>
      <c r="D5107" t="s">
        <v>14</v>
      </c>
      <c r="E5107" t="s">
        <v>310</v>
      </c>
      <c r="F5107">
        <f t="shared" si="158"/>
        <v>1973</v>
      </c>
      <c r="G5107">
        <f t="shared" si="159"/>
        <v>6</v>
      </c>
      <c r="H5107" t="str">
        <f>IF(ISNUMBER(FIND(",", E5107)), TRIM(MID(E5107, FIND(",", E5107) + 1, LEN(E5107))), E5107)</f>
        <v>southeast Indian Ridge</v>
      </c>
    </row>
    <row r="5108" spans="1:8" x14ac:dyDescent="0.25">
      <c r="A5108" s="2">
        <v>26780</v>
      </c>
      <c r="B5108">
        <v>19.951000000000001</v>
      </c>
      <c r="C5108">
        <v>-155.10900000000001</v>
      </c>
      <c r="D5108" t="s">
        <v>17</v>
      </c>
      <c r="E5108" t="s">
        <v>436</v>
      </c>
      <c r="F5108">
        <f t="shared" si="158"/>
        <v>1973</v>
      </c>
      <c r="G5108">
        <f t="shared" si="159"/>
        <v>4</v>
      </c>
      <c r="H5108" t="str">
        <f>IF(ISNUMBER(FIND(",", E5108)), TRIM(MID(E5108, FIND(",", E5108) + 1, LEN(E5108))), E5108)</f>
        <v>Hawaii</v>
      </c>
    </row>
    <row r="5109" spans="1:8" x14ac:dyDescent="0.25">
      <c r="A5109" s="2">
        <v>26779</v>
      </c>
      <c r="B5109">
        <v>-59.36</v>
      </c>
      <c r="C5109">
        <v>-26.152999999999999</v>
      </c>
      <c r="D5109" t="s">
        <v>13</v>
      </c>
      <c r="E5109" t="s">
        <v>260</v>
      </c>
      <c r="F5109">
        <f t="shared" si="158"/>
        <v>1973</v>
      </c>
      <c r="G5109">
        <f t="shared" si="159"/>
        <v>4</v>
      </c>
      <c r="H5109" t="str">
        <f>IF(ISNUMBER(FIND(",", E5109)), TRIM(MID(E5109, FIND(",", E5109) + 1, LEN(E5109))), E5109)</f>
        <v>South Sandwich Islands region</v>
      </c>
    </row>
    <row r="5110" spans="1:8" x14ac:dyDescent="0.25">
      <c r="A5110" s="2">
        <v>26778</v>
      </c>
      <c r="B5110">
        <v>4.9080000000000004</v>
      </c>
      <c r="C5110">
        <v>-78.114000000000004</v>
      </c>
      <c r="D5110" t="s">
        <v>14</v>
      </c>
      <c r="E5110" t="s">
        <v>231</v>
      </c>
      <c r="F5110">
        <f t="shared" si="158"/>
        <v>1973</v>
      </c>
      <c r="G5110">
        <f t="shared" si="159"/>
        <v>4</v>
      </c>
      <c r="H5110" t="str">
        <f>IF(ISNUMBER(FIND(",", E5110)), TRIM(MID(E5110, FIND(",", E5110) + 1, LEN(E5110))), E5110)</f>
        <v>south of Panama</v>
      </c>
    </row>
    <row r="5111" spans="1:8" x14ac:dyDescent="0.25">
      <c r="A5111" s="2">
        <v>26771</v>
      </c>
      <c r="B5111">
        <v>-4.3680000000000003</v>
      </c>
      <c r="C5111">
        <v>134.21299999999999</v>
      </c>
      <c r="D5111" t="s">
        <v>14</v>
      </c>
      <c r="E5111" t="s">
        <v>204</v>
      </c>
      <c r="F5111">
        <f t="shared" si="158"/>
        <v>1973</v>
      </c>
      <c r="G5111">
        <f t="shared" si="159"/>
        <v>4</v>
      </c>
      <c r="H5111" t="str">
        <f>IF(ISNUMBER(FIND(",", E5111)), TRIM(MID(E5111, FIND(",", E5111) + 1, LEN(E5111))), E5111)</f>
        <v>Indonesia</v>
      </c>
    </row>
    <row r="5112" spans="1:8" x14ac:dyDescent="0.25">
      <c r="A5112" s="2">
        <v>26768</v>
      </c>
      <c r="B5112">
        <v>10.676</v>
      </c>
      <c r="C5112">
        <v>-84.858000000000004</v>
      </c>
      <c r="D5112" t="s">
        <v>14</v>
      </c>
      <c r="E5112" t="s">
        <v>202</v>
      </c>
      <c r="F5112">
        <f t="shared" si="158"/>
        <v>1973</v>
      </c>
      <c r="G5112">
        <f t="shared" si="159"/>
        <v>4</v>
      </c>
      <c r="H5112" t="str">
        <f>IF(ISNUMBER(FIND(",", E5112)), TRIM(MID(E5112, FIND(",", E5112) + 1, LEN(E5112))), E5112)</f>
        <v>Costa Rica</v>
      </c>
    </row>
    <row r="5113" spans="1:8" x14ac:dyDescent="0.25">
      <c r="A5113" s="2">
        <v>26766</v>
      </c>
      <c r="B5113">
        <v>50.878999999999998</v>
      </c>
      <c r="C5113">
        <v>157.40100000000001</v>
      </c>
      <c r="D5113" t="s">
        <v>17</v>
      </c>
      <c r="E5113" t="s">
        <v>191</v>
      </c>
      <c r="F5113">
        <f t="shared" si="158"/>
        <v>1973</v>
      </c>
      <c r="G5113">
        <f t="shared" si="159"/>
        <v>4</v>
      </c>
      <c r="H5113" t="str">
        <f>IF(ISNUMBER(FIND(",", E5113)), TRIM(MID(E5113, FIND(",", E5113) + 1, LEN(E5113))), E5113)</f>
        <v>Kuril Islands</v>
      </c>
    </row>
    <row r="5114" spans="1:8" x14ac:dyDescent="0.25">
      <c r="A5114" s="2">
        <v>26762</v>
      </c>
      <c r="B5114">
        <v>-15.798</v>
      </c>
      <c r="C5114">
        <v>167.304</v>
      </c>
      <c r="D5114" t="s">
        <v>14</v>
      </c>
      <c r="E5114" t="s">
        <v>181</v>
      </c>
      <c r="F5114">
        <f t="shared" si="158"/>
        <v>1973</v>
      </c>
      <c r="G5114">
        <f t="shared" si="159"/>
        <v>4</v>
      </c>
      <c r="H5114" t="str">
        <f>IF(ISNUMBER(FIND(",", E5114)), TRIM(MID(E5114, FIND(",", E5114) + 1, LEN(E5114))), E5114)</f>
        <v>Vanuatu</v>
      </c>
    </row>
    <row r="5115" spans="1:8" x14ac:dyDescent="0.25">
      <c r="A5115" s="2">
        <v>26761</v>
      </c>
      <c r="B5115">
        <v>-58.430999999999997</v>
      </c>
      <c r="C5115">
        <v>-13.52</v>
      </c>
      <c r="D5115" t="s">
        <v>14</v>
      </c>
      <c r="E5115" t="s">
        <v>242</v>
      </c>
      <c r="F5115">
        <f t="shared" si="158"/>
        <v>1973</v>
      </c>
      <c r="G5115">
        <f t="shared" si="159"/>
        <v>4</v>
      </c>
      <c r="H5115" t="str">
        <f>IF(ISNUMBER(FIND(",", E5115)), TRIM(MID(E5115, FIND(",", E5115) + 1, LEN(E5115))), E5115)</f>
        <v>east of the South Sandwich Islands</v>
      </c>
    </row>
    <row r="5116" spans="1:8" x14ac:dyDescent="0.25">
      <c r="A5116" s="2">
        <v>26761</v>
      </c>
      <c r="B5116">
        <v>6.9870000000000001</v>
      </c>
      <c r="C5116">
        <v>91.281999999999996</v>
      </c>
      <c r="D5116" t="s">
        <v>14</v>
      </c>
      <c r="E5116" t="s">
        <v>322</v>
      </c>
      <c r="F5116">
        <f t="shared" si="158"/>
        <v>1973</v>
      </c>
      <c r="G5116">
        <f t="shared" si="159"/>
        <v>4</v>
      </c>
      <c r="H5116" t="str">
        <f>IF(ISNUMBER(FIND(",", E5116)), TRIM(MID(E5116, FIND(",", E5116) + 1, LEN(E5116))), E5116)</f>
        <v>India region</v>
      </c>
    </row>
    <row r="5117" spans="1:8" x14ac:dyDescent="0.25">
      <c r="A5117" s="2">
        <v>26757</v>
      </c>
      <c r="B5117">
        <v>4.6050000000000004</v>
      </c>
      <c r="C5117">
        <v>-75.667000000000002</v>
      </c>
      <c r="D5117" t="s">
        <v>13</v>
      </c>
      <c r="E5117" t="s">
        <v>206</v>
      </c>
      <c r="F5117">
        <f t="shared" si="158"/>
        <v>1973</v>
      </c>
      <c r="G5117">
        <f t="shared" si="159"/>
        <v>4</v>
      </c>
      <c r="H5117" t="str">
        <f>IF(ISNUMBER(FIND(",", E5117)), TRIM(MID(E5117, FIND(",", E5117) + 1, LEN(E5117))), E5117)</f>
        <v>Colombia</v>
      </c>
    </row>
    <row r="5118" spans="1:8" x14ac:dyDescent="0.25">
      <c r="A5118" s="2">
        <v>26751</v>
      </c>
      <c r="B5118">
        <v>23.391999999999999</v>
      </c>
      <c r="C5118">
        <v>123.73399999999999</v>
      </c>
      <c r="D5118" t="s">
        <v>14</v>
      </c>
      <c r="E5118" t="s">
        <v>312</v>
      </c>
      <c r="F5118">
        <f t="shared" si="158"/>
        <v>1973</v>
      </c>
      <c r="G5118">
        <f t="shared" si="159"/>
        <v>3</v>
      </c>
      <c r="H5118" t="str">
        <f>IF(ISNUMBER(FIND(",", E5118)), TRIM(MID(E5118, FIND(",", E5118) + 1, LEN(E5118))), E5118)</f>
        <v>Japan</v>
      </c>
    </row>
    <row r="5119" spans="1:8" x14ac:dyDescent="0.25">
      <c r="A5119" s="2">
        <v>26749</v>
      </c>
      <c r="B5119">
        <v>23.463999999999999</v>
      </c>
      <c r="C5119">
        <v>123.887</v>
      </c>
      <c r="D5119" t="s">
        <v>14</v>
      </c>
      <c r="E5119" t="s">
        <v>312</v>
      </c>
      <c r="F5119">
        <f t="shared" si="158"/>
        <v>1973</v>
      </c>
      <c r="G5119">
        <f t="shared" si="159"/>
        <v>3</v>
      </c>
      <c r="H5119" t="str">
        <f>IF(ISNUMBER(FIND(",", E5119)), TRIM(MID(E5119, FIND(",", E5119) + 1, LEN(E5119))), E5119)</f>
        <v>Japan</v>
      </c>
    </row>
    <row r="5120" spans="1:8" x14ac:dyDescent="0.25">
      <c r="A5120" s="2">
        <v>26741</v>
      </c>
      <c r="B5120">
        <v>2.044</v>
      </c>
      <c r="C5120">
        <v>126.459</v>
      </c>
      <c r="D5120" t="s">
        <v>14</v>
      </c>
      <c r="E5120" t="s">
        <v>186</v>
      </c>
      <c r="F5120">
        <f t="shared" si="158"/>
        <v>1973</v>
      </c>
      <c r="G5120">
        <f t="shared" si="159"/>
        <v>3</v>
      </c>
      <c r="H5120" t="str">
        <f>IF(ISNUMBER(FIND(",", E5120)), TRIM(MID(E5120, FIND(",", E5120) + 1, LEN(E5120))), E5120)</f>
        <v>Molucca Sea</v>
      </c>
    </row>
    <row r="5121" spans="1:8" x14ac:dyDescent="0.25">
      <c r="A5121" s="2">
        <v>26740</v>
      </c>
      <c r="B5121">
        <v>13.4</v>
      </c>
      <c r="C5121">
        <v>122.794</v>
      </c>
      <c r="D5121" t="s">
        <v>14</v>
      </c>
      <c r="E5121" t="s">
        <v>297</v>
      </c>
      <c r="F5121">
        <f t="shared" si="158"/>
        <v>1973</v>
      </c>
      <c r="G5121">
        <f t="shared" si="159"/>
        <v>3</v>
      </c>
      <c r="H5121" t="str">
        <f>IF(ISNUMBER(FIND(",", E5121)), TRIM(MID(E5121, FIND(",", E5121) + 1, LEN(E5121))), E5121)</f>
        <v>Philippines</v>
      </c>
    </row>
    <row r="5122" spans="1:8" x14ac:dyDescent="0.25">
      <c r="A5122" s="2">
        <v>26739</v>
      </c>
      <c r="B5122">
        <v>2.1230000000000002</v>
      </c>
      <c r="C5122">
        <v>126.599</v>
      </c>
      <c r="D5122" t="s">
        <v>14</v>
      </c>
      <c r="E5122" t="s">
        <v>186</v>
      </c>
      <c r="F5122">
        <f t="shared" ref="F5122:F5185" si="160">YEAR(A5122)</f>
        <v>1973</v>
      </c>
      <c r="G5122">
        <f t="shared" si="159"/>
        <v>3</v>
      </c>
      <c r="H5122" t="str">
        <f>IF(ISNUMBER(FIND(",", E5122)), TRIM(MID(E5122, FIND(",", E5122) + 1, LEN(E5122))), E5122)</f>
        <v>Molucca Sea</v>
      </c>
    </row>
    <row r="5123" spans="1:8" x14ac:dyDescent="0.25">
      <c r="A5123" s="2">
        <v>26735</v>
      </c>
      <c r="B5123">
        <v>50.837000000000003</v>
      </c>
      <c r="C5123">
        <v>157.11799999999999</v>
      </c>
      <c r="D5123" t="s">
        <v>17</v>
      </c>
      <c r="E5123" t="s">
        <v>191</v>
      </c>
      <c r="F5123">
        <f t="shared" si="160"/>
        <v>1973</v>
      </c>
      <c r="G5123">
        <f t="shared" ref="G5123:G5186" si="161">MONTH(A5123)</f>
        <v>3</v>
      </c>
      <c r="H5123" t="str">
        <f>IF(ISNUMBER(FIND(",", E5123)), TRIM(MID(E5123, FIND(",", E5123) + 1, LEN(E5123))), E5123)</f>
        <v>Kuril Islands</v>
      </c>
    </row>
    <row r="5124" spans="1:8" x14ac:dyDescent="0.25">
      <c r="A5124" s="2">
        <v>26723</v>
      </c>
      <c r="B5124">
        <v>50.484000000000002</v>
      </c>
      <c r="C5124">
        <v>156.624</v>
      </c>
      <c r="D5124" t="s">
        <v>16</v>
      </c>
      <c r="E5124" t="s">
        <v>191</v>
      </c>
      <c r="F5124">
        <f t="shared" si="160"/>
        <v>1973</v>
      </c>
      <c r="G5124">
        <f t="shared" si="161"/>
        <v>2</v>
      </c>
      <c r="H5124" t="str">
        <f>IF(ISNUMBER(FIND(",", E5124)), TRIM(MID(E5124, FIND(",", E5124) + 1, LEN(E5124))), E5124)</f>
        <v>Kuril Islands</v>
      </c>
    </row>
    <row r="5125" spans="1:8" x14ac:dyDescent="0.25">
      <c r="A5125" s="2">
        <v>26720</v>
      </c>
      <c r="B5125">
        <v>-61.100999999999999</v>
      </c>
      <c r="C5125">
        <v>-37.930999999999997</v>
      </c>
      <c r="D5125" t="s">
        <v>14</v>
      </c>
      <c r="E5125" t="s">
        <v>56</v>
      </c>
      <c r="F5125">
        <f t="shared" si="160"/>
        <v>1973</v>
      </c>
      <c r="G5125">
        <f t="shared" si="161"/>
        <v>2</v>
      </c>
      <c r="H5125" t="str">
        <f>IF(ISNUMBER(FIND(",", E5125)), TRIM(MID(E5125, FIND(",", E5125) + 1, LEN(E5125))), E5125)</f>
        <v>Scotia Sea</v>
      </c>
    </row>
    <row r="5126" spans="1:8" x14ac:dyDescent="0.25">
      <c r="A5126" s="2">
        <v>26709</v>
      </c>
      <c r="B5126">
        <v>-30.465</v>
      </c>
      <c r="C5126">
        <v>-177.291</v>
      </c>
      <c r="D5126" t="s">
        <v>14</v>
      </c>
      <c r="E5126" t="s">
        <v>288</v>
      </c>
      <c r="F5126">
        <f t="shared" si="160"/>
        <v>1973</v>
      </c>
      <c r="G5126">
        <f t="shared" si="161"/>
        <v>2</v>
      </c>
      <c r="H5126" t="str">
        <f>IF(ISNUMBER(FIND(",", E5126)), TRIM(MID(E5126, FIND(",", E5126) + 1, LEN(E5126))), E5126)</f>
        <v>New Zealand</v>
      </c>
    </row>
    <row r="5127" spans="1:8" x14ac:dyDescent="0.25">
      <c r="A5127" s="2">
        <v>26703</v>
      </c>
      <c r="B5127">
        <v>-45.497</v>
      </c>
      <c r="C5127">
        <v>96.268000000000001</v>
      </c>
      <c r="D5127" t="s">
        <v>14</v>
      </c>
      <c r="E5127" t="s">
        <v>310</v>
      </c>
      <c r="F5127">
        <f t="shared" si="160"/>
        <v>1973</v>
      </c>
      <c r="G5127">
        <f t="shared" si="161"/>
        <v>2</v>
      </c>
      <c r="H5127" t="str">
        <f>IF(ISNUMBER(FIND(",", E5127)), TRIM(MID(E5127, FIND(",", E5127) + 1, LEN(E5127))), E5127)</f>
        <v>southeast Indian Ridge</v>
      </c>
    </row>
    <row r="5128" spans="1:8" x14ac:dyDescent="0.25">
      <c r="A5128" s="2">
        <v>26701</v>
      </c>
      <c r="B5128">
        <v>31.361000000000001</v>
      </c>
      <c r="C5128">
        <v>100.503</v>
      </c>
      <c r="D5128" t="s">
        <v>16</v>
      </c>
      <c r="E5128" t="s">
        <v>578</v>
      </c>
      <c r="F5128">
        <f t="shared" si="160"/>
        <v>1973</v>
      </c>
      <c r="G5128">
        <f t="shared" si="161"/>
        <v>2</v>
      </c>
      <c r="H5128" t="str">
        <f>IF(ISNUMBER(FIND(",", E5128)), TRIM(MID(E5128, FIND(",", E5128) + 1, LEN(E5128))), E5128)</f>
        <v>China</v>
      </c>
    </row>
    <row r="5129" spans="1:8" x14ac:dyDescent="0.25">
      <c r="A5129" s="2">
        <v>26696</v>
      </c>
      <c r="B5129">
        <v>-22.568000000000001</v>
      </c>
      <c r="C5129">
        <v>-66.186000000000007</v>
      </c>
      <c r="D5129" t="s">
        <v>13</v>
      </c>
      <c r="E5129" t="s">
        <v>347</v>
      </c>
      <c r="F5129">
        <f t="shared" si="160"/>
        <v>1973</v>
      </c>
      <c r="G5129">
        <f t="shared" si="161"/>
        <v>2</v>
      </c>
      <c r="H5129" t="str">
        <f>IF(ISNUMBER(FIND(",", E5129)), TRIM(MID(E5129, FIND(",", E5129) + 1, LEN(E5129))), E5129)</f>
        <v>Argentina</v>
      </c>
    </row>
    <row r="5130" spans="1:8" x14ac:dyDescent="0.25">
      <c r="A5130" s="2">
        <v>26695</v>
      </c>
      <c r="B5130">
        <v>28.254999999999999</v>
      </c>
      <c r="C5130">
        <v>139.267</v>
      </c>
      <c r="D5130" t="s">
        <v>14</v>
      </c>
      <c r="E5130" t="s">
        <v>233</v>
      </c>
      <c r="F5130">
        <f t="shared" si="160"/>
        <v>1973</v>
      </c>
      <c r="G5130">
        <f t="shared" si="161"/>
        <v>1</v>
      </c>
      <c r="H5130" t="str">
        <f>IF(ISNUMBER(FIND(",", E5130)), TRIM(MID(E5130, FIND(",", E5130) + 1, LEN(E5130))), E5130)</f>
        <v>Japan region</v>
      </c>
    </row>
    <row r="5131" spans="1:8" x14ac:dyDescent="0.25">
      <c r="A5131" s="2">
        <v>26694</v>
      </c>
      <c r="B5131">
        <v>18.454999999999998</v>
      </c>
      <c r="C5131">
        <v>-102.961</v>
      </c>
      <c r="D5131" t="s">
        <v>16</v>
      </c>
      <c r="E5131" t="s">
        <v>248</v>
      </c>
      <c r="F5131">
        <f t="shared" si="160"/>
        <v>1973</v>
      </c>
      <c r="G5131">
        <f t="shared" si="161"/>
        <v>1</v>
      </c>
      <c r="H5131" t="str">
        <f>IF(ISNUMBER(FIND(",", E5131)), TRIM(MID(E5131, FIND(",", E5131) + 1, LEN(E5131))), E5131)</f>
        <v>Mexico</v>
      </c>
    </row>
    <row r="5132" spans="1:8" x14ac:dyDescent="0.25">
      <c r="A5132" s="2">
        <v>26687</v>
      </c>
      <c r="B5132">
        <v>-12.141999999999999</v>
      </c>
      <c r="C5132">
        <v>166.565</v>
      </c>
      <c r="D5132" t="s">
        <v>13</v>
      </c>
      <c r="E5132" t="s">
        <v>211</v>
      </c>
      <c r="F5132">
        <f t="shared" si="160"/>
        <v>1973</v>
      </c>
      <c r="G5132">
        <f t="shared" si="161"/>
        <v>1</v>
      </c>
      <c r="H5132" t="str">
        <f>IF(ISNUMBER(FIND(",", E5132)), TRIM(MID(E5132, FIND(",", E5132) + 1, LEN(E5132))), E5132)</f>
        <v>Santa Cruz Islands</v>
      </c>
    </row>
    <row r="5133" spans="1:8" x14ac:dyDescent="0.25">
      <c r="A5133" s="2">
        <v>26686</v>
      </c>
      <c r="B5133">
        <v>18.513999999999999</v>
      </c>
      <c r="C5133">
        <v>-105.11</v>
      </c>
      <c r="D5133" t="s">
        <v>14</v>
      </c>
      <c r="E5133" t="s">
        <v>548</v>
      </c>
      <c r="F5133">
        <f t="shared" si="160"/>
        <v>1973</v>
      </c>
      <c r="G5133">
        <f t="shared" si="161"/>
        <v>1</v>
      </c>
      <c r="H5133" t="str">
        <f>IF(ISNUMBER(FIND(",", E5133)), TRIM(MID(E5133, FIND(",", E5133) + 1, LEN(E5133))), E5133)</f>
        <v>Mexico</v>
      </c>
    </row>
    <row r="5134" spans="1:8" x14ac:dyDescent="0.25">
      <c r="A5134" s="2">
        <v>26682</v>
      </c>
      <c r="B5134">
        <v>-6.87</v>
      </c>
      <c r="C5134">
        <v>150.02699999999999</v>
      </c>
      <c r="D5134" t="s">
        <v>14</v>
      </c>
      <c r="E5134" t="s">
        <v>190</v>
      </c>
      <c r="F5134">
        <f t="shared" si="160"/>
        <v>1973</v>
      </c>
      <c r="G5134">
        <f t="shared" si="161"/>
        <v>1</v>
      </c>
      <c r="H5134" t="str">
        <f>IF(ISNUMBER(FIND(",", E5134)), TRIM(MID(E5134, FIND(",", E5134) + 1, LEN(E5134))), E5134)</f>
        <v>Papua New Guinea</v>
      </c>
    </row>
    <row r="5135" spans="1:8" x14ac:dyDescent="0.25">
      <c r="A5135" s="2">
        <v>26670</v>
      </c>
      <c r="B5135">
        <v>-14.653</v>
      </c>
      <c r="C5135">
        <v>166.48400000000001</v>
      </c>
      <c r="D5135" t="s">
        <v>14</v>
      </c>
      <c r="E5135" t="s">
        <v>181</v>
      </c>
      <c r="F5135">
        <f t="shared" si="160"/>
        <v>1973</v>
      </c>
      <c r="G5135">
        <f t="shared" si="161"/>
        <v>1</v>
      </c>
      <c r="H5135" t="str">
        <f>IF(ISNUMBER(FIND(",", E5135)), TRIM(MID(E5135, FIND(",", E5135) + 1, LEN(E5135))), E5135)</f>
        <v>Vanuatu</v>
      </c>
    </row>
    <row r="5136" spans="1:8" x14ac:dyDescent="0.25">
      <c r="A5136" s="2">
        <v>26669</v>
      </c>
      <c r="B5136">
        <v>-38.981999999999999</v>
      </c>
      <c r="C5136">
        <v>175.36500000000001</v>
      </c>
      <c r="D5136" t="s">
        <v>13</v>
      </c>
      <c r="E5136" t="s">
        <v>188</v>
      </c>
      <c r="F5136">
        <f t="shared" si="160"/>
        <v>1973</v>
      </c>
      <c r="G5136">
        <f t="shared" si="161"/>
        <v>1</v>
      </c>
      <c r="H5136" t="str">
        <f>IF(ISNUMBER(FIND(",", E5136)), TRIM(MID(E5136, FIND(",", E5136) + 1, LEN(E5136))), E5136)</f>
        <v>North Island of New Zealand</v>
      </c>
    </row>
    <row r="5137" spans="1:8" x14ac:dyDescent="0.25">
      <c r="A5137" s="2">
        <v>26665</v>
      </c>
      <c r="B5137">
        <v>-35.57</v>
      </c>
      <c r="C5137">
        <v>-15.427</v>
      </c>
      <c r="D5137" t="s">
        <v>14</v>
      </c>
      <c r="E5137" t="s">
        <v>530</v>
      </c>
      <c r="F5137">
        <f t="shared" si="160"/>
        <v>1973</v>
      </c>
      <c r="G5137">
        <f t="shared" si="161"/>
        <v>1</v>
      </c>
      <c r="H5137" t="str">
        <f>IF(ISNUMBER(FIND(",", E5137)), TRIM(MID(E5137, FIND(",", E5137) + 1, LEN(E5137))), E5137)</f>
        <v>Tristan da Cunha region</v>
      </c>
    </row>
    <row r="5138" spans="1:8" x14ac:dyDescent="0.25">
      <c r="A5138" s="2">
        <v>26660</v>
      </c>
      <c r="B5138">
        <v>76.759</v>
      </c>
      <c r="C5138">
        <v>-107.093</v>
      </c>
      <c r="D5138" t="s">
        <v>14</v>
      </c>
      <c r="E5138" t="s">
        <v>657</v>
      </c>
      <c r="F5138">
        <f t="shared" si="160"/>
        <v>1972</v>
      </c>
      <c r="G5138">
        <f t="shared" si="161"/>
        <v>12</v>
      </c>
      <c r="H5138" t="str">
        <f>IF(ISNUMBER(FIND(",", E5138)), TRIM(MID(E5138, FIND(",", E5138) + 1, LEN(E5138))), E5138)</f>
        <v>Nunavut, Canada</v>
      </c>
    </row>
    <row r="5139" spans="1:8" x14ac:dyDescent="0.25">
      <c r="A5139" s="2">
        <v>26656</v>
      </c>
      <c r="B5139">
        <v>12.351000000000001</v>
      </c>
      <c r="C5139">
        <v>-86.126999999999995</v>
      </c>
      <c r="D5139" t="s">
        <v>14</v>
      </c>
      <c r="E5139" t="s">
        <v>270</v>
      </c>
      <c r="F5139">
        <f t="shared" si="160"/>
        <v>1972</v>
      </c>
      <c r="G5139">
        <f t="shared" si="161"/>
        <v>12</v>
      </c>
      <c r="H5139" t="str">
        <f>IF(ISNUMBER(FIND(",", E5139)), TRIM(MID(E5139, FIND(",", E5139) + 1, LEN(E5139))), E5139)</f>
        <v>Nicaragua</v>
      </c>
    </row>
    <row r="5140" spans="1:8" x14ac:dyDescent="0.25">
      <c r="A5140" s="2">
        <v>26655</v>
      </c>
      <c r="B5140">
        <v>-16.140999999999998</v>
      </c>
      <c r="C5140">
        <v>-172.46</v>
      </c>
      <c r="D5140" t="s">
        <v>14</v>
      </c>
      <c r="E5140" t="s">
        <v>352</v>
      </c>
      <c r="F5140">
        <f t="shared" si="160"/>
        <v>1972</v>
      </c>
      <c r="G5140">
        <f t="shared" si="161"/>
        <v>12</v>
      </c>
      <c r="H5140" t="str">
        <f>IF(ISNUMBER(FIND(",", E5140)), TRIM(MID(E5140, FIND(",", E5140) + 1, LEN(E5140))), E5140)</f>
        <v>Samoa Islands region</v>
      </c>
    </row>
    <row r="5141" spans="1:8" x14ac:dyDescent="0.25">
      <c r="A5141" s="2">
        <v>26655</v>
      </c>
      <c r="B5141">
        <v>-55.569000000000003</v>
      </c>
      <c r="C5141">
        <v>-28.268999999999998</v>
      </c>
      <c r="D5141" t="s">
        <v>14</v>
      </c>
      <c r="E5141" t="s">
        <v>260</v>
      </c>
      <c r="F5141">
        <f t="shared" si="160"/>
        <v>1972</v>
      </c>
      <c r="G5141">
        <f t="shared" si="161"/>
        <v>12</v>
      </c>
      <c r="H5141" t="str">
        <f>IF(ISNUMBER(FIND(",", E5141)), TRIM(MID(E5141, FIND(",", E5141) + 1, LEN(E5141))), E5141)</f>
        <v>South Sandwich Islands region</v>
      </c>
    </row>
    <row r="5142" spans="1:8" x14ac:dyDescent="0.25">
      <c r="A5142" s="2">
        <v>26639</v>
      </c>
      <c r="B5142">
        <v>-3.028</v>
      </c>
      <c r="C5142">
        <v>139.19399999999999</v>
      </c>
      <c r="D5142" t="s">
        <v>14</v>
      </c>
      <c r="E5142" t="s">
        <v>210</v>
      </c>
      <c r="F5142">
        <f t="shared" si="160"/>
        <v>1972</v>
      </c>
      <c r="G5142">
        <f t="shared" si="161"/>
        <v>12</v>
      </c>
      <c r="H5142" t="str">
        <f>IF(ISNUMBER(FIND(",", E5142)), TRIM(MID(E5142, FIND(",", E5142) + 1, LEN(E5142))), E5142)</f>
        <v>Indonesia</v>
      </c>
    </row>
    <row r="5143" spans="1:8" x14ac:dyDescent="0.25">
      <c r="A5143" s="2">
        <v>26637</v>
      </c>
      <c r="B5143">
        <v>33.332000000000001</v>
      </c>
      <c r="C5143">
        <v>140.71299999999999</v>
      </c>
      <c r="D5143" t="s">
        <v>13</v>
      </c>
      <c r="E5143" t="s">
        <v>88</v>
      </c>
      <c r="F5143">
        <f t="shared" si="160"/>
        <v>1972</v>
      </c>
      <c r="G5143">
        <f t="shared" si="161"/>
        <v>12</v>
      </c>
      <c r="H5143" t="str">
        <f>IF(ISNUMBER(FIND(",", E5143)), TRIM(MID(E5143, FIND(",", E5143) + 1, LEN(E5143))), E5143)</f>
        <v>Japan region</v>
      </c>
    </row>
    <row r="5144" spans="1:8" x14ac:dyDescent="0.25">
      <c r="A5144" s="2">
        <v>26635</v>
      </c>
      <c r="B5144">
        <v>6.4610000000000003</v>
      </c>
      <c r="C5144">
        <v>126.654</v>
      </c>
      <c r="D5144" t="s">
        <v>13</v>
      </c>
      <c r="E5144" t="s">
        <v>200</v>
      </c>
      <c r="F5144">
        <f t="shared" si="160"/>
        <v>1972</v>
      </c>
      <c r="G5144">
        <f t="shared" si="161"/>
        <v>12</v>
      </c>
      <c r="H5144" t="str">
        <f>IF(ISNUMBER(FIND(",", E5144)), TRIM(MID(E5144, FIND(",", E5144) + 1, LEN(E5144))), E5144)</f>
        <v>Philippines</v>
      </c>
    </row>
    <row r="5145" spans="1:8" x14ac:dyDescent="0.25">
      <c r="A5145" s="2">
        <v>26630</v>
      </c>
      <c r="B5145">
        <v>-5.35</v>
      </c>
      <c r="C5145">
        <v>126.619</v>
      </c>
      <c r="D5145" t="s">
        <v>14</v>
      </c>
      <c r="E5145" t="s">
        <v>187</v>
      </c>
      <c r="F5145">
        <f t="shared" si="160"/>
        <v>1972</v>
      </c>
      <c r="G5145">
        <f t="shared" si="161"/>
        <v>11</v>
      </c>
      <c r="H5145" t="str">
        <f>IF(ISNUMBER(FIND(",", E5145)), TRIM(MID(E5145, FIND(",", E5145) + 1, LEN(E5145))), E5145)</f>
        <v>Banda Sea</v>
      </c>
    </row>
    <row r="5146" spans="1:8" x14ac:dyDescent="0.25">
      <c r="A5146" s="2">
        <v>26624</v>
      </c>
      <c r="B5146">
        <v>-6.4669999999999996</v>
      </c>
      <c r="C5146">
        <v>154.178</v>
      </c>
      <c r="D5146" t="s">
        <v>14</v>
      </c>
      <c r="E5146" t="s">
        <v>290</v>
      </c>
      <c r="F5146">
        <f t="shared" si="160"/>
        <v>1972</v>
      </c>
      <c r="G5146">
        <f t="shared" si="161"/>
        <v>11</v>
      </c>
      <c r="H5146" t="str">
        <f>IF(ISNUMBER(FIND(",", E5146)), TRIM(MID(E5146, FIND(",", E5146) + 1, LEN(E5146))), E5146)</f>
        <v>Papua New Guinea</v>
      </c>
    </row>
    <row r="5147" spans="1:8" x14ac:dyDescent="0.25">
      <c r="A5147" s="2">
        <v>26616</v>
      </c>
      <c r="B5147">
        <v>15.510999999999999</v>
      </c>
      <c r="C5147">
        <v>-95.097999999999999</v>
      </c>
      <c r="D5147" t="s">
        <v>14</v>
      </c>
      <c r="E5147" t="s">
        <v>535</v>
      </c>
      <c r="F5147">
        <f t="shared" si="160"/>
        <v>1972</v>
      </c>
      <c r="G5147">
        <f t="shared" si="161"/>
        <v>11</v>
      </c>
      <c r="H5147" t="str">
        <f>IF(ISNUMBER(FIND(",", E5147)), TRIM(MID(E5147, FIND(",", E5147) + 1, LEN(E5147))), E5147)</f>
        <v>Mexico</v>
      </c>
    </row>
    <row r="5148" spans="1:8" x14ac:dyDescent="0.25">
      <c r="A5148" s="2">
        <v>26612</v>
      </c>
      <c r="B5148">
        <v>23.888000000000002</v>
      </c>
      <c r="C5148">
        <v>121.55500000000001</v>
      </c>
      <c r="D5148" t="s">
        <v>14</v>
      </c>
      <c r="E5148" t="s">
        <v>336</v>
      </c>
      <c r="F5148">
        <f t="shared" si="160"/>
        <v>1972</v>
      </c>
      <c r="G5148">
        <f t="shared" si="161"/>
        <v>11</v>
      </c>
      <c r="H5148" t="str">
        <f>IF(ISNUMBER(FIND(",", E5148)), TRIM(MID(E5148, FIND(",", E5148) + 1, LEN(E5148))), E5148)</f>
        <v>Taiwan</v>
      </c>
    </row>
    <row r="5149" spans="1:8" x14ac:dyDescent="0.25">
      <c r="A5149" s="2">
        <v>26607</v>
      </c>
      <c r="B5149">
        <v>-20.052</v>
      </c>
      <c r="C5149">
        <v>169.22499999999999</v>
      </c>
      <c r="D5149" t="s">
        <v>17</v>
      </c>
      <c r="E5149" t="s">
        <v>181</v>
      </c>
      <c r="F5149">
        <f t="shared" si="160"/>
        <v>1972</v>
      </c>
      <c r="G5149">
        <f t="shared" si="161"/>
        <v>11</v>
      </c>
      <c r="H5149" t="str">
        <f>IF(ISNUMBER(FIND(",", E5149)), TRIM(MID(E5149, FIND(",", E5149) + 1, LEN(E5149))), E5149)</f>
        <v>Vanuatu</v>
      </c>
    </row>
    <row r="5150" spans="1:8" x14ac:dyDescent="0.25">
      <c r="A5150" s="2">
        <v>26605</v>
      </c>
      <c r="B5150">
        <v>-20.035</v>
      </c>
      <c r="C5150">
        <v>169.00700000000001</v>
      </c>
      <c r="D5150" t="s">
        <v>14</v>
      </c>
      <c r="E5150" t="s">
        <v>181</v>
      </c>
      <c r="F5150">
        <f t="shared" si="160"/>
        <v>1972</v>
      </c>
      <c r="G5150">
        <f t="shared" si="161"/>
        <v>11</v>
      </c>
      <c r="H5150" t="str">
        <f>IF(ISNUMBER(FIND(",", E5150)), TRIM(MID(E5150, FIND(",", E5150) + 1, LEN(E5150))), E5150)</f>
        <v>Vanuatu</v>
      </c>
    </row>
    <row r="5151" spans="1:8" x14ac:dyDescent="0.25">
      <c r="A5151" s="2">
        <v>26605</v>
      </c>
      <c r="B5151">
        <v>49.912999999999997</v>
      </c>
      <c r="C5151">
        <v>78.837000000000003</v>
      </c>
      <c r="E5151" t="s">
        <v>571</v>
      </c>
      <c r="F5151">
        <f t="shared" si="160"/>
        <v>1972</v>
      </c>
      <c r="G5151">
        <f t="shared" si="161"/>
        <v>11</v>
      </c>
      <c r="H5151" t="str">
        <f>IF(ISNUMBER(FIND(",", E5151)), TRIM(MID(E5151, FIND(",", E5151) + 1, LEN(E5151))), E5151)</f>
        <v>eastern Kazakhstan</v>
      </c>
    </row>
    <row r="5152" spans="1:8" x14ac:dyDescent="0.25">
      <c r="A5152" s="2">
        <v>26602</v>
      </c>
      <c r="B5152">
        <v>-6.2939999999999996</v>
      </c>
      <c r="C5152">
        <v>154.81899999999999</v>
      </c>
      <c r="D5152" t="s">
        <v>14</v>
      </c>
      <c r="E5152" t="s">
        <v>290</v>
      </c>
      <c r="F5152">
        <f t="shared" si="160"/>
        <v>1972</v>
      </c>
      <c r="G5152">
        <f t="shared" si="161"/>
        <v>10</v>
      </c>
      <c r="H5152" t="str">
        <f>IF(ISNUMBER(FIND(",", E5152)), TRIM(MID(E5152, FIND(",", E5152) + 1, LEN(E5152))), E5152)</f>
        <v>Papua New Guinea</v>
      </c>
    </row>
    <row r="5153" spans="1:8" x14ac:dyDescent="0.25">
      <c r="A5153" s="2">
        <v>26600</v>
      </c>
      <c r="B5153">
        <v>-7.3250000000000002</v>
      </c>
      <c r="C5153">
        <v>146.83099999999999</v>
      </c>
      <c r="D5153" t="s">
        <v>14</v>
      </c>
      <c r="E5153" t="s">
        <v>243</v>
      </c>
      <c r="F5153">
        <f t="shared" si="160"/>
        <v>1972</v>
      </c>
      <c r="G5153">
        <f t="shared" si="161"/>
        <v>10</v>
      </c>
      <c r="H5153" t="str">
        <f>IF(ISNUMBER(FIND(",", E5153)), TRIM(MID(E5153, FIND(",", E5153) + 1, LEN(E5153))), E5153)</f>
        <v>Papua New Guinea</v>
      </c>
    </row>
    <row r="5154" spans="1:8" x14ac:dyDescent="0.25">
      <c r="A5154" s="2">
        <v>26599</v>
      </c>
      <c r="B5154">
        <v>-19.966000000000001</v>
      </c>
      <c r="C5154">
        <v>168.976</v>
      </c>
      <c r="D5154" t="s">
        <v>14</v>
      </c>
      <c r="E5154" t="s">
        <v>181</v>
      </c>
      <c r="F5154">
        <f t="shared" si="160"/>
        <v>1972</v>
      </c>
      <c r="G5154">
        <f t="shared" si="161"/>
        <v>10</v>
      </c>
      <c r="H5154" t="str">
        <f>IF(ISNUMBER(FIND(",", E5154)), TRIM(MID(E5154, FIND(",", E5154) + 1, LEN(E5154))), E5154)</f>
        <v>Vanuatu</v>
      </c>
    </row>
    <row r="5155" spans="1:8" x14ac:dyDescent="0.25">
      <c r="A5155" s="2">
        <v>26592</v>
      </c>
      <c r="B5155">
        <v>18.710999999999999</v>
      </c>
      <c r="C5155">
        <v>-106.771</v>
      </c>
      <c r="D5155" t="s">
        <v>14</v>
      </c>
      <c r="E5155" t="s">
        <v>315</v>
      </c>
      <c r="F5155">
        <f t="shared" si="160"/>
        <v>1972</v>
      </c>
      <c r="G5155">
        <f t="shared" si="161"/>
        <v>10</v>
      </c>
      <c r="H5155" t="str">
        <f>IF(ISNUMBER(FIND(",", E5155)), TRIM(MID(E5155, FIND(",", E5155) + 1, LEN(E5155))), E5155)</f>
        <v>Mexico</v>
      </c>
    </row>
    <row r="5156" spans="1:8" x14ac:dyDescent="0.25">
      <c r="A5156" s="2">
        <v>26590</v>
      </c>
      <c r="B5156">
        <v>-8.5869999999999997</v>
      </c>
      <c r="C5156">
        <v>124.9169</v>
      </c>
      <c r="E5156" t="s">
        <v>462</v>
      </c>
      <c r="F5156">
        <f t="shared" si="160"/>
        <v>1972</v>
      </c>
      <c r="G5156">
        <f t="shared" si="161"/>
        <v>10</v>
      </c>
      <c r="H5156" t="str">
        <f>IF(ISNUMBER(FIND(",", E5156)), TRIM(MID(E5156, FIND(",", E5156) + 1, LEN(E5156))), E5156)</f>
        <v>Indonesia</v>
      </c>
    </row>
    <row r="5157" spans="1:8" x14ac:dyDescent="0.25">
      <c r="A5157" s="2">
        <v>26578</v>
      </c>
      <c r="B5157">
        <v>-6.0720000000000001</v>
      </c>
      <c r="C5157">
        <v>149.858</v>
      </c>
      <c r="D5157" t="s">
        <v>17</v>
      </c>
      <c r="E5157" t="s">
        <v>190</v>
      </c>
      <c r="F5157">
        <f t="shared" si="160"/>
        <v>1972</v>
      </c>
      <c r="G5157">
        <f t="shared" si="161"/>
        <v>10</v>
      </c>
      <c r="H5157" t="str">
        <f>IF(ISNUMBER(FIND(",", E5157)), TRIM(MID(E5157, FIND(",", E5157) + 1, LEN(E5157))), E5157)</f>
        <v>Papua New Guinea</v>
      </c>
    </row>
    <row r="5158" spans="1:8" x14ac:dyDescent="0.25">
      <c r="A5158" s="2">
        <v>26573</v>
      </c>
      <c r="B5158">
        <v>7.476</v>
      </c>
      <c r="C5158">
        <v>123.762</v>
      </c>
      <c r="D5158" t="s">
        <v>13</v>
      </c>
      <c r="E5158" t="s">
        <v>200</v>
      </c>
      <c r="F5158">
        <f t="shared" si="160"/>
        <v>1972</v>
      </c>
      <c r="G5158">
        <f t="shared" si="161"/>
        <v>10</v>
      </c>
      <c r="H5158" t="str">
        <f>IF(ISNUMBER(FIND(",", E5158)), TRIM(MID(E5158, FIND(",", E5158) + 1, LEN(E5158))), E5158)</f>
        <v>Philippines</v>
      </c>
    </row>
    <row r="5159" spans="1:8" x14ac:dyDescent="0.25">
      <c r="A5159" s="2">
        <v>26569</v>
      </c>
      <c r="B5159">
        <v>-16.523</v>
      </c>
      <c r="C5159">
        <v>-172.06399999999999</v>
      </c>
      <c r="D5159" t="s">
        <v>14</v>
      </c>
      <c r="E5159" t="s">
        <v>352</v>
      </c>
      <c r="F5159">
        <f t="shared" si="160"/>
        <v>1972</v>
      </c>
      <c r="G5159">
        <f t="shared" si="161"/>
        <v>9</v>
      </c>
      <c r="H5159" t="str">
        <f>IF(ISNUMBER(FIND(",", E5159)), TRIM(MID(E5159, FIND(",", E5159) + 1, LEN(E5159))), E5159)</f>
        <v>Samoa Islands region</v>
      </c>
    </row>
    <row r="5160" spans="1:8" x14ac:dyDescent="0.25">
      <c r="A5160" s="2">
        <v>26566</v>
      </c>
      <c r="B5160">
        <v>-6.165</v>
      </c>
      <c r="C5160">
        <v>131.08000000000001</v>
      </c>
      <c r="D5160" t="s">
        <v>14</v>
      </c>
      <c r="E5160" t="s">
        <v>411</v>
      </c>
      <c r="F5160">
        <f t="shared" si="160"/>
        <v>1972</v>
      </c>
      <c r="G5160">
        <f t="shared" si="161"/>
        <v>9</v>
      </c>
      <c r="H5160" t="str">
        <f>IF(ISNUMBER(FIND(",", E5160)), TRIM(MID(E5160, FIND(",", E5160) + 1, LEN(E5160))), E5160)</f>
        <v>Indonesia</v>
      </c>
    </row>
    <row r="5161" spans="1:8" x14ac:dyDescent="0.25">
      <c r="A5161" s="2">
        <v>26565</v>
      </c>
      <c r="B5161">
        <v>22.276</v>
      </c>
      <c r="C5161">
        <v>121.24</v>
      </c>
      <c r="D5161" t="s">
        <v>14</v>
      </c>
      <c r="E5161" t="s">
        <v>363</v>
      </c>
      <c r="F5161">
        <f t="shared" si="160"/>
        <v>1972</v>
      </c>
      <c r="G5161">
        <f t="shared" si="161"/>
        <v>9</v>
      </c>
      <c r="H5161" t="str">
        <f>IF(ISNUMBER(FIND(",", E5161)), TRIM(MID(E5161, FIND(",", E5161) + 1, LEN(E5161))), E5161)</f>
        <v>Taiwan region</v>
      </c>
    </row>
    <row r="5162" spans="1:8" x14ac:dyDescent="0.25">
      <c r="A5162" s="2">
        <v>26564</v>
      </c>
      <c r="B5162">
        <v>22.405000000000001</v>
      </c>
      <c r="C5162">
        <v>121.136</v>
      </c>
      <c r="D5162" t="s">
        <v>14</v>
      </c>
      <c r="E5162" t="s">
        <v>363</v>
      </c>
      <c r="F5162">
        <f t="shared" si="160"/>
        <v>1972</v>
      </c>
      <c r="G5162">
        <f t="shared" si="161"/>
        <v>9</v>
      </c>
      <c r="H5162" t="str">
        <f>IF(ISNUMBER(FIND(",", E5162)), TRIM(MID(E5162, FIND(",", E5162) + 1, LEN(E5162))), E5162)</f>
        <v>Taiwan region</v>
      </c>
    </row>
    <row r="5163" spans="1:8" x14ac:dyDescent="0.25">
      <c r="A5163" s="2">
        <v>26561</v>
      </c>
      <c r="B5163">
        <v>19.472000000000001</v>
      </c>
      <c r="C5163">
        <v>-70.247</v>
      </c>
      <c r="D5163" t="s">
        <v>14</v>
      </c>
      <c r="E5163" t="s">
        <v>477</v>
      </c>
      <c r="F5163">
        <f t="shared" si="160"/>
        <v>1972</v>
      </c>
      <c r="G5163">
        <f t="shared" si="161"/>
        <v>9</v>
      </c>
      <c r="H5163" t="str">
        <f>IF(ISNUMBER(FIND(",", E5163)), TRIM(MID(E5163, FIND(",", E5163) + 1, LEN(E5163))), E5163)</f>
        <v>Dominican Republic</v>
      </c>
    </row>
    <row r="5164" spans="1:8" x14ac:dyDescent="0.25">
      <c r="A5164" s="2">
        <v>26559</v>
      </c>
      <c r="B5164">
        <v>38.241999999999997</v>
      </c>
      <c r="C5164">
        <v>20.265999999999998</v>
      </c>
      <c r="D5164" t="s">
        <v>14</v>
      </c>
      <c r="E5164" t="s">
        <v>478</v>
      </c>
      <c r="F5164">
        <f t="shared" si="160"/>
        <v>1972</v>
      </c>
      <c r="G5164">
        <f t="shared" si="161"/>
        <v>9</v>
      </c>
      <c r="H5164" t="str">
        <f>IF(ISNUMBER(FIND(",", E5164)), TRIM(MID(E5164, FIND(",", E5164) + 1, LEN(E5164))), E5164)</f>
        <v>Greece</v>
      </c>
    </row>
    <row r="5165" spans="1:8" x14ac:dyDescent="0.25">
      <c r="A5165" s="2">
        <v>26555</v>
      </c>
      <c r="B5165">
        <v>-20.384</v>
      </c>
      <c r="C5165">
        <v>169.012</v>
      </c>
      <c r="D5165" t="s">
        <v>14</v>
      </c>
      <c r="E5165" t="s">
        <v>181</v>
      </c>
      <c r="F5165">
        <f t="shared" si="160"/>
        <v>1972</v>
      </c>
      <c r="G5165">
        <f t="shared" si="161"/>
        <v>9</v>
      </c>
      <c r="H5165" t="str">
        <f>IF(ISNUMBER(FIND(",", E5165)), TRIM(MID(E5165, FIND(",", E5165) + 1, LEN(E5165))), E5165)</f>
        <v>Vanuatu</v>
      </c>
    </row>
    <row r="5166" spans="1:8" x14ac:dyDescent="0.25">
      <c r="A5166" s="2">
        <v>26553</v>
      </c>
      <c r="B5166">
        <v>-3.2789999999999999</v>
      </c>
      <c r="C5166">
        <v>130.739</v>
      </c>
      <c r="D5166" t="s">
        <v>14</v>
      </c>
      <c r="E5166" t="s">
        <v>433</v>
      </c>
      <c r="F5166">
        <f t="shared" si="160"/>
        <v>1972</v>
      </c>
      <c r="G5166">
        <f t="shared" si="161"/>
        <v>9</v>
      </c>
      <c r="H5166" t="str">
        <f>IF(ISNUMBER(FIND(",", E5166)), TRIM(MID(E5166, FIND(",", E5166) + 1, LEN(E5166))), E5166)</f>
        <v>Indonesia</v>
      </c>
    </row>
    <row r="5167" spans="1:8" x14ac:dyDescent="0.25">
      <c r="A5167" s="2">
        <v>26552</v>
      </c>
      <c r="B5167">
        <v>-20.157</v>
      </c>
      <c r="C5167">
        <v>168.88300000000001</v>
      </c>
      <c r="D5167" t="s">
        <v>14</v>
      </c>
      <c r="E5167" t="s">
        <v>292</v>
      </c>
      <c r="F5167">
        <f t="shared" si="160"/>
        <v>1972</v>
      </c>
      <c r="G5167">
        <f t="shared" si="161"/>
        <v>9</v>
      </c>
      <c r="H5167" t="str">
        <f>IF(ISNUMBER(FIND(",", E5167)), TRIM(MID(E5167, FIND(",", E5167) + 1, LEN(E5167))), E5167)</f>
        <v>New Caledonia</v>
      </c>
    </row>
    <row r="5168" spans="1:8" x14ac:dyDescent="0.25">
      <c r="A5168" s="2">
        <v>26551</v>
      </c>
      <c r="B5168">
        <v>-15.358000000000001</v>
      </c>
      <c r="C5168">
        <v>-175.56899999999999</v>
      </c>
      <c r="D5168" t="s">
        <v>14</v>
      </c>
      <c r="E5168" t="s">
        <v>239</v>
      </c>
      <c r="F5168">
        <f t="shared" si="160"/>
        <v>1972</v>
      </c>
      <c r="G5168">
        <f t="shared" si="161"/>
        <v>9</v>
      </c>
      <c r="H5168" t="str">
        <f>IF(ISNUMBER(FIND(",", E5168)), TRIM(MID(E5168, FIND(",", E5168) + 1, LEN(E5168))), E5168)</f>
        <v>Tonga</v>
      </c>
    </row>
    <row r="5169" spans="1:8" x14ac:dyDescent="0.25">
      <c r="A5169" s="2">
        <v>26547</v>
      </c>
      <c r="B5169">
        <v>-19.893000000000001</v>
      </c>
      <c r="C5169">
        <v>169.15100000000001</v>
      </c>
      <c r="D5169" t="s">
        <v>13</v>
      </c>
      <c r="E5169" t="s">
        <v>181</v>
      </c>
      <c r="F5169">
        <f t="shared" si="160"/>
        <v>1972</v>
      </c>
      <c r="G5169">
        <f t="shared" si="161"/>
        <v>9</v>
      </c>
      <c r="H5169" t="str">
        <f>IF(ISNUMBER(FIND(",", E5169)), TRIM(MID(E5169, FIND(",", E5169) + 1, LEN(E5169))), E5169)</f>
        <v>Vanuatu</v>
      </c>
    </row>
    <row r="5170" spans="1:8" x14ac:dyDescent="0.25">
      <c r="A5170" s="2">
        <v>26546</v>
      </c>
      <c r="B5170">
        <v>-11.776999999999999</v>
      </c>
      <c r="C5170">
        <v>166.41200000000001</v>
      </c>
      <c r="D5170" t="s">
        <v>13</v>
      </c>
      <c r="E5170" t="s">
        <v>211</v>
      </c>
      <c r="F5170">
        <f t="shared" si="160"/>
        <v>1972</v>
      </c>
      <c r="G5170">
        <f t="shared" si="161"/>
        <v>9</v>
      </c>
      <c r="H5170" t="str">
        <f>IF(ISNUMBER(FIND(",", E5170)), TRIM(MID(E5170, FIND(",", E5170) + 1, LEN(E5170))), E5170)</f>
        <v>Santa Cruz Islands</v>
      </c>
    </row>
    <row r="5171" spans="1:8" x14ac:dyDescent="0.25">
      <c r="A5171" s="2">
        <v>26545</v>
      </c>
      <c r="B5171">
        <v>35.948</v>
      </c>
      <c r="C5171">
        <v>73.320999999999998</v>
      </c>
      <c r="D5171" t="s">
        <v>14</v>
      </c>
      <c r="E5171" t="s">
        <v>484</v>
      </c>
      <c r="F5171">
        <f t="shared" si="160"/>
        <v>1972</v>
      </c>
      <c r="G5171">
        <f t="shared" si="161"/>
        <v>9</v>
      </c>
      <c r="H5171" t="str">
        <f>IF(ISNUMBER(FIND(",", E5171)), TRIM(MID(E5171, FIND(",", E5171) + 1, LEN(E5171))), E5171)</f>
        <v>northwestern Kashmir</v>
      </c>
    </row>
    <row r="5172" spans="1:8" x14ac:dyDescent="0.25">
      <c r="A5172" s="2">
        <v>26545</v>
      </c>
      <c r="B5172">
        <v>-5.4870000000000001</v>
      </c>
      <c r="C5172">
        <v>151.30099999999999</v>
      </c>
      <c r="D5172" t="s">
        <v>14</v>
      </c>
      <c r="E5172" t="s">
        <v>190</v>
      </c>
      <c r="F5172">
        <f t="shared" si="160"/>
        <v>1972</v>
      </c>
      <c r="G5172">
        <f t="shared" si="161"/>
        <v>9</v>
      </c>
      <c r="H5172" t="str">
        <f>IF(ISNUMBER(FIND(",", E5172)), TRIM(MID(E5172, FIND(",", E5172) + 1, LEN(E5172))), E5172)</f>
        <v>Papua New Guinea</v>
      </c>
    </row>
    <row r="5173" spans="1:8" x14ac:dyDescent="0.25">
      <c r="A5173" s="2">
        <v>26541</v>
      </c>
      <c r="B5173">
        <v>-3.4980000000000002</v>
      </c>
      <c r="C5173">
        <v>144.90899999999999</v>
      </c>
      <c r="D5173" t="s">
        <v>14</v>
      </c>
      <c r="E5173" t="s">
        <v>216</v>
      </c>
      <c r="F5173">
        <f t="shared" si="160"/>
        <v>1972</v>
      </c>
      <c r="G5173">
        <f t="shared" si="161"/>
        <v>8</v>
      </c>
      <c r="H5173" t="str">
        <f>IF(ISNUMBER(FIND(",", E5173)), TRIM(MID(E5173, FIND(",", E5173) + 1, LEN(E5173))), E5173)</f>
        <v>Papua New Guinea</v>
      </c>
    </row>
    <row r="5174" spans="1:8" x14ac:dyDescent="0.25">
      <c r="A5174" s="2">
        <v>26539</v>
      </c>
      <c r="B5174">
        <v>-21.338000000000001</v>
      </c>
      <c r="C5174">
        <v>-174.23699999999999</v>
      </c>
      <c r="D5174" t="s">
        <v>14</v>
      </c>
      <c r="E5174" t="s">
        <v>239</v>
      </c>
      <c r="F5174">
        <f t="shared" si="160"/>
        <v>1972</v>
      </c>
      <c r="G5174">
        <f t="shared" si="161"/>
        <v>8</v>
      </c>
      <c r="H5174" t="str">
        <f>IF(ISNUMBER(FIND(",", E5174)), TRIM(MID(E5174, FIND(",", E5174) + 1, LEN(E5174))), E5174)</f>
        <v>Tonga</v>
      </c>
    </row>
    <row r="5175" spans="1:8" x14ac:dyDescent="0.25">
      <c r="A5175" s="2">
        <v>26532</v>
      </c>
      <c r="B5175">
        <v>49.44</v>
      </c>
      <c r="C5175">
        <v>147.08199999999999</v>
      </c>
      <c r="D5175" t="s">
        <v>14</v>
      </c>
      <c r="E5175" t="s">
        <v>74</v>
      </c>
      <c r="F5175">
        <f t="shared" si="160"/>
        <v>1972</v>
      </c>
      <c r="G5175">
        <f t="shared" si="161"/>
        <v>8</v>
      </c>
      <c r="H5175" t="str">
        <f>IF(ISNUMBER(FIND(",", E5175)), TRIM(MID(E5175, FIND(",", E5175) + 1, LEN(E5175))), E5175)</f>
        <v>Sea of Okhotsk</v>
      </c>
    </row>
    <row r="5176" spans="1:8" x14ac:dyDescent="0.25">
      <c r="A5176" s="2">
        <v>26530</v>
      </c>
      <c r="B5176">
        <v>-5.1420000000000003</v>
      </c>
      <c r="C5176">
        <v>134.089</v>
      </c>
      <c r="D5176" t="s">
        <v>13</v>
      </c>
      <c r="E5176" t="s">
        <v>506</v>
      </c>
      <c r="F5176">
        <f t="shared" si="160"/>
        <v>1972</v>
      </c>
      <c r="G5176">
        <f t="shared" si="161"/>
        <v>8</v>
      </c>
      <c r="H5176" t="str">
        <f>IF(ISNUMBER(FIND(",", E5176)), TRIM(MID(E5176, FIND(",", E5176) + 1, LEN(E5176))), E5176)</f>
        <v>Indonesia</v>
      </c>
    </row>
    <row r="5177" spans="1:8" x14ac:dyDescent="0.25">
      <c r="A5177" s="2">
        <v>26528</v>
      </c>
      <c r="B5177">
        <v>-6.0030000000000001</v>
      </c>
      <c r="C5177">
        <v>152.929</v>
      </c>
      <c r="D5177" t="s">
        <v>14</v>
      </c>
      <c r="E5177" t="s">
        <v>190</v>
      </c>
      <c r="F5177">
        <f t="shared" si="160"/>
        <v>1972</v>
      </c>
      <c r="G5177">
        <f t="shared" si="161"/>
        <v>8</v>
      </c>
      <c r="H5177" t="str">
        <f>IF(ISNUMBER(FIND(",", E5177)), TRIM(MID(E5177, FIND(",", E5177) + 1, LEN(E5177))), E5177)</f>
        <v>Papua New Guinea</v>
      </c>
    </row>
    <row r="5178" spans="1:8" x14ac:dyDescent="0.25">
      <c r="A5178" s="2">
        <v>26518</v>
      </c>
      <c r="B5178">
        <v>-16.661000000000001</v>
      </c>
      <c r="C5178">
        <v>-171.96199999999999</v>
      </c>
      <c r="D5178" t="s">
        <v>14</v>
      </c>
      <c r="E5178" t="s">
        <v>352</v>
      </c>
      <c r="F5178">
        <f t="shared" si="160"/>
        <v>1972</v>
      </c>
      <c r="G5178">
        <f t="shared" si="161"/>
        <v>8</v>
      </c>
      <c r="H5178" t="str">
        <f>IF(ISNUMBER(FIND(",", E5178)), TRIM(MID(E5178, FIND(",", E5178) + 1, LEN(E5178))), E5178)</f>
        <v>Samoa Islands region</v>
      </c>
    </row>
    <row r="5179" spans="1:8" x14ac:dyDescent="0.25">
      <c r="A5179" s="2">
        <v>26517</v>
      </c>
      <c r="B5179">
        <v>-11.086</v>
      </c>
      <c r="C5179">
        <v>162.18</v>
      </c>
      <c r="D5179" t="s">
        <v>17</v>
      </c>
      <c r="E5179" t="s">
        <v>221</v>
      </c>
      <c r="F5179">
        <f t="shared" si="160"/>
        <v>1972</v>
      </c>
      <c r="G5179">
        <f t="shared" si="161"/>
        <v>8</v>
      </c>
      <c r="H5179" t="str">
        <f>IF(ISNUMBER(FIND(",", E5179)), TRIM(MID(E5179, FIND(",", E5179) + 1, LEN(E5179))), E5179)</f>
        <v>Solomon Islands</v>
      </c>
    </row>
    <row r="5180" spans="1:8" x14ac:dyDescent="0.25">
      <c r="A5180" s="2">
        <v>26516</v>
      </c>
      <c r="B5180">
        <v>-11.154999999999999</v>
      </c>
      <c r="C5180">
        <v>162.226</v>
      </c>
      <c r="D5180" t="s">
        <v>14</v>
      </c>
      <c r="E5180" t="s">
        <v>221</v>
      </c>
      <c r="F5180">
        <f t="shared" si="160"/>
        <v>1972</v>
      </c>
      <c r="G5180">
        <f t="shared" si="161"/>
        <v>8</v>
      </c>
      <c r="H5180" t="str">
        <f>IF(ISNUMBER(FIND(",", E5180)), TRIM(MID(E5180, FIND(",", E5180) + 1, LEN(E5180))), E5180)</f>
        <v>Solomon Islands</v>
      </c>
    </row>
    <row r="5181" spans="1:8" x14ac:dyDescent="0.25">
      <c r="A5181" s="2">
        <v>26515</v>
      </c>
      <c r="B5181">
        <v>-11.038</v>
      </c>
      <c r="C5181">
        <v>162.066</v>
      </c>
      <c r="D5181" t="s">
        <v>14</v>
      </c>
      <c r="E5181" t="s">
        <v>221</v>
      </c>
      <c r="F5181">
        <f t="shared" si="160"/>
        <v>1972</v>
      </c>
      <c r="G5181">
        <f t="shared" si="161"/>
        <v>8</v>
      </c>
      <c r="H5181" t="str">
        <f>IF(ISNUMBER(FIND(",", E5181)), TRIM(MID(E5181, FIND(",", E5181) + 1, LEN(E5181))), E5181)</f>
        <v>Solomon Islands</v>
      </c>
    </row>
    <row r="5182" spans="1:8" x14ac:dyDescent="0.25">
      <c r="A5182" s="2">
        <v>26515</v>
      </c>
      <c r="B5182">
        <v>-11.134</v>
      </c>
      <c r="C5182">
        <v>162.078</v>
      </c>
      <c r="D5182" t="s">
        <v>14</v>
      </c>
      <c r="E5182" t="s">
        <v>221</v>
      </c>
      <c r="F5182">
        <f t="shared" si="160"/>
        <v>1972</v>
      </c>
      <c r="G5182">
        <f t="shared" si="161"/>
        <v>8</v>
      </c>
      <c r="H5182" t="str">
        <f>IF(ISNUMBER(FIND(",", E5182)), TRIM(MID(E5182, FIND(",", E5182) + 1, LEN(E5182))), E5182)</f>
        <v>Solomon Islands</v>
      </c>
    </row>
    <row r="5183" spans="1:8" x14ac:dyDescent="0.25">
      <c r="A5183" s="2">
        <v>26514</v>
      </c>
      <c r="B5183">
        <v>51.118000000000002</v>
      </c>
      <c r="C5183">
        <v>-178.13900000000001</v>
      </c>
      <c r="D5183" t="s">
        <v>14</v>
      </c>
      <c r="E5183" t="s">
        <v>207</v>
      </c>
      <c r="F5183">
        <f t="shared" si="160"/>
        <v>1972</v>
      </c>
      <c r="G5183">
        <f t="shared" si="161"/>
        <v>8</v>
      </c>
      <c r="H5183" t="str">
        <f>IF(ISNUMBER(FIND(",", E5183)), TRIM(MID(E5183, FIND(",", E5183) + 1, LEN(E5183))), E5183)</f>
        <v>Aleutian Islands, Alaska</v>
      </c>
    </row>
    <row r="5184" spans="1:8" x14ac:dyDescent="0.25">
      <c r="A5184" s="2">
        <v>26510</v>
      </c>
      <c r="B5184">
        <v>56.695</v>
      </c>
      <c r="C5184">
        <v>-136.096</v>
      </c>
      <c r="D5184" t="s">
        <v>16</v>
      </c>
      <c r="E5184" t="s">
        <v>656</v>
      </c>
      <c r="F5184">
        <f t="shared" si="160"/>
        <v>1972</v>
      </c>
      <c r="G5184">
        <f t="shared" si="161"/>
        <v>7</v>
      </c>
      <c r="H5184" t="str">
        <f>IF(ISNUMBER(FIND(",", E5184)), TRIM(MID(E5184, FIND(",", E5184) + 1, LEN(E5184))), E5184)</f>
        <v>off the coast of Southeastern Alaska</v>
      </c>
    </row>
    <row r="5185" spans="1:8" x14ac:dyDescent="0.25">
      <c r="A5185" s="2">
        <v>26510</v>
      </c>
      <c r="B5185">
        <v>-4.6710000000000003</v>
      </c>
      <c r="C5185">
        <v>152.261</v>
      </c>
      <c r="D5185" t="s">
        <v>14</v>
      </c>
      <c r="E5185" t="s">
        <v>190</v>
      </c>
      <c r="F5185">
        <f t="shared" si="160"/>
        <v>1972</v>
      </c>
      <c r="G5185">
        <f t="shared" si="161"/>
        <v>7</v>
      </c>
      <c r="H5185" t="str">
        <f>IF(ISNUMBER(FIND(",", E5185)), TRIM(MID(E5185, FIND(",", E5185) + 1, LEN(E5185))), E5185)</f>
        <v>Papua New Guinea</v>
      </c>
    </row>
    <row r="5186" spans="1:8" x14ac:dyDescent="0.25">
      <c r="A5186" s="2">
        <v>26503</v>
      </c>
      <c r="B5186">
        <v>50.106999999999999</v>
      </c>
      <c r="C5186">
        <v>-129.43899999999999</v>
      </c>
      <c r="D5186" t="s">
        <v>14</v>
      </c>
      <c r="E5186" t="s">
        <v>199</v>
      </c>
      <c r="F5186">
        <f t="shared" ref="F5186:F5249" si="162">YEAR(A5186)</f>
        <v>1972</v>
      </c>
      <c r="G5186">
        <f t="shared" si="161"/>
        <v>7</v>
      </c>
      <c r="H5186" t="str">
        <f>IF(ISNUMBER(FIND(",", E5186)), TRIM(MID(E5186, FIND(",", E5186) + 1, LEN(E5186))), E5186)</f>
        <v>Canada region</v>
      </c>
    </row>
    <row r="5187" spans="1:8" x14ac:dyDescent="0.25">
      <c r="A5187" s="2">
        <v>26474</v>
      </c>
      <c r="B5187">
        <v>36.255000000000003</v>
      </c>
      <c r="C5187">
        <v>69.682000000000002</v>
      </c>
      <c r="D5187" t="s">
        <v>14</v>
      </c>
      <c r="E5187" t="s">
        <v>314</v>
      </c>
      <c r="F5187">
        <f t="shared" si="162"/>
        <v>1972</v>
      </c>
      <c r="G5187">
        <f t="shared" ref="G5187:G5250" si="163">MONTH(A5187)</f>
        <v>6</v>
      </c>
      <c r="H5187" t="str">
        <f>IF(ISNUMBER(FIND(",", E5187)), TRIM(MID(E5187, FIND(",", E5187) + 1, LEN(E5187))), E5187)</f>
        <v>Afghanistan</v>
      </c>
    </row>
    <row r="5188" spans="1:8" x14ac:dyDescent="0.25">
      <c r="A5188" s="2">
        <v>26461</v>
      </c>
      <c r="B5188">
        <v>3.8610000000000002</v>
      </c>
      <c r="C5188">
        <v>124.23</v>
      </c>
      <c r="D5188" t="s">
        <v>14</v>
      </c>
      <c r="E5188" t="s">
        <v>203</v>
      </c>
      <c r="F5188">
        <f t="shared" si="162"/>
        <v>1972</v>
      </c>
      <c r="G5188">
        <f t="shared" si="163"/>
        <v>6</v>
      </c>
      <c r="H5188" t="str">
        <f>IF(ISNUMBER(FIND(",", E5188)), TRIM(MID(E5188, FIND(",", E5188) + 1, LEN(E5188))), E5188)</f>
        <v>Celebes Sea</v>
      </c>
    </row>
    <row r="5189" spans="1:8" x14ac:dyDescent="0.25">
      <c r="A5189" s="2">
        <v>26458</v>
      </c>
      <c r="B5189">
        <v>-30.372</v>
      </c>
      <c r="C5189">
        <v>-71.522999999999996</v>
      </c>
      <c r="D5189" t="s">
        <v>14</v>
      </c>
      <c r="E5189" t="s">
        <v>193</v>
      </c>
      <c r="F5189">
        <f t="shared" si="162"/>
        <v>1972</v>
      </c>
      <c r="G5189">
        <f t="shared" si="163"/>
        <v>6</v>
      </c>
      <c r="H5189" t="str">
        <f>IF(ISNUMBER(FIND(",", E5189)), TRIM(MID(E5189, FIND(",", E5189) + 1, LEN(E5189))), E5189)</f>
        <v>Chile</v>
      </c>
    </row>
    <row r="5190" spans="1:8" x14ac:dyDescent="0.25">
      <c r="A5190" s="2">
        <v>26447</v>
      </c>
      <c r="B5190">
        <v>-11.08</v>
      </c>
      <c r="C5190">
        <v>116.932</v>
      </c>
      <c r="D5190" t="s">
        <v>14</v>
      </c>
      <c r="E5190" t="s">
        <v>628</v>
      </c>
      <c r="F5190">
        <f t="shared" si="162"/>
        <v>1972</v>
      </c>
      <c r="G5190">
        <f t="shared" si="163"/>
        <v>5</v>
      </c>
      <c r="H5190" t="str">
        <f>IF(ISNUMBER(FIND(",", E5190)), TRIM(MID(E5190, FIND(",", E5190) + 1, LEN(E5190))), E5190)</f>
        <v>Indonesia</v>
      </c>
    </row>
    <row r="5191" spans="1:8" x14ac:dyDescent="0.25">
      <c r="A5191" s="2">
        <v>26441</v>
      </c>
      <c r="B5191">
        <v>-17.829999999999998</v>
      </c>
      <c r="C5191">
        <v>-175.01400000000001</v>
      </c>
      <c r="D5191" t="s">
        <v>13</v>
      </c>
      <c r="E5191" t="s">
        <v>239</v>
      </c>
      <c r="F5191">
        <f t="shared" si="162"/>
        <v>1972</v>
      </c>
      <c r="G5191">
        <f t="shared" si="163"/>
        <v>5</v>
      </c>
      <c r="H5191" t="str">
        <f>IF(ISNUMBER(FIND(",", E5191)), TRIM(MID(E5191, FIND(",", E5191) + 1, LEN(E5191))), E5191)</f>
        <v>Tonga</v>
      </c>
    </row>
    <row r="5192" spans="1:8" x14ac:dyDescent="0.25">
      <c r="A5192" s="2">
        <v>26441</v>
      </c>
      <c r="B5192">
        <v>16.62</v>
      </c>
      <c r="C5192">
        <v>122.22</v>
      </c>
      <c r="D5192" t="s">
        <v>14</v>
      </c>
      <c r="E5192" t="s">
        <v>297</v>
      </c>
      <c r="F5192">
        <f t="shared" si="162"/>
        <v>1972</v>
      </c>
      <c r="G5192">
        <f t="shared" si="163"/>
        <v>5</v>
      </c>
      <c r="H5192" t="str">
        <f>IF(ISNUMBER(FIND(",", E5192)), TRIM(MID(E5192, FIND(",", E5192) + 1, LEN(E5192))), E5192)</f>
        <v>Philippines</v>
      </c>
    </row>
    <row r="5193" spans="1:8" x14ac:dyDescent="0.25">
      <c r="A5193" s="2">
        <v>26426</v>
      </c>
      <c r="B5193">
        <v>-53.606999999999999</v>
      </c>
      <c r="C5193">
        <v>-134.226</v>
      </c>
      <c r="D5193" t="s">
        <v>14</v>
      </c>
      <c r="E5193" t="s">
        <v>179</v>
      </c>
      <c r="F5193">
        <f t="shared" si="162"/>
        <v>1972</v>
      </c>
      <c r="G5193">
        <f t="shared" si="163"/>
        <v>5</v>
      </c>
      <c r="H5193" t="str">
        <f>IF(ISNUMBER(FIND(",", E5193)), TRIM(MID(E5193, FIND(",", E5193) + 1, LEN(E5193))), E5193)</f>
        <v>Pacific-Antarctic Ridge</v>
      </c>
    </row>
    <row r="5194" spans="1:8" x14ac:dyDescent="0.25">
      <c r="A5194" s="2">
        <v>26424</v>
      </c>
      <c r="B5194">
        <v>-4.2069999999999999</v>
      </c>
      <c r="C5194">
        <v>152.721</v>
      </c>
      <c r="D5194" t="s">
        <v>14</v>
      </c>
      <c r="E5194" t="s">
        <v>190</v>
      </c>
      <c r="F5194">
        <f t="shared" si="162"/>
        <v>1972</v>
      </c>
      <c r="G5194">
        <f t="shared" si="163"/>
        <v>5</v>
      </c>
      <c r="H5194" t="str">
        <f>IF(ISNUMBER(FIND(",", E5194)), TRIM(MID(E5194, FIND(",", E5194) + 1, LEN(E5194))), E5194)</f>
        <v>Papua New Guinea</v>
      </c>
    </row>
    <row r="5195" spans="1:8" x14ac:dyDescent="0.25">
      <c r="A5195" s="2">
        <v>26423</v>
      </c>
      <c r="B5195">
        <v>35.164999999999999</v>
      </c>
      <c r="C5195">
        <v>23.556999999999999</v>
      </c>
      <c r="D5195" t="s">
        <v>14</v>
      </c>
      <c r="E5195" t="s">
        <v>296</v>
      </c>
      <c r="F5195">
        <f t="shared" si="162"/>
        <v>1972</v>
      </c>
      <c r="G5195">
        <f t="shared" si="163"/>
        <v>5</v>
      </c>
      <c r="H5195" t="str">
        <f>IF(ISNUMBER(FIND(",", E5195)), TRIM(MID(E5195, FIND(",", E5195) + 1, LEN(E5195))), E5195)</f>
        <v>Greece</v>
      </c>
    </row>
    <row r="5196" spans="1:8" x14ac:dyDescent="0.25">
      <c r="A5196" s="2">
        <v>26423</v>
      </c>
      <c r="B5196">
        <v>-15.981</v>
      </c>
      <c r="C5196">
        <v>167.63399999999999</v>
      </c>
      <c r="D5196" t="s">
        <v>14</v>
      </c>
      <c r="E5196" t="s">
        <v>181</v>
      </c>
      <c r="F5196">
        <f t="shared" si="162"/>
        <v>1972</v>
      </c>
      <c r="G5196">
        <f t="shared" si="163"/>
        <v>5</v>
      </c>
      <c r="H5196" t="str">
        <f>IF(ISNUMBER(FIND(",", E5196)), TRIM(MID(E5196, FIND(",", E5196) + 1, LEN(E5196))), E5196)</f>
        <v>Vanuatu</v>
      </c>
    </row>
    <row r="5197" spans="1:8" x14ac:dyDescent="0.25">
      <c r="A5197" s="2">
        <v>26417</v>
      </c>
      <c r="B5197">
        <v>-5.1390000000000002</v>
      </c>
      <c r="C5197">
        <v>154.227</v>
      </c>
      <c r="D5197" t="s">
        <v>14</v>
      </c>
      <c r="E5197" t="s">
        <v>290</v>
      </c>
      <c r="F5197">
        <f t="shared" si="162"/>
        <v>1972</v>
      </c>
      <c r="G5197">
        <f t="shared" si="163"/>
        <v>4</v>
      </c>
      <c r="H5197" t="str">
        <f>IF(ISNUMBER(FIND(",", E5197)), TRIM(MID(E5197, FIND(",", E5197) + 1, LEN(E5197))), E5197)</f>
        <v>Papua New Guinea</v>
      </c>
    </row>
    <row r="5198" spans="1:8" x14ac:dyDescent="0.25">
      <c r="A5198" s="2">
        <v>26414</v>
      </c>
      <c r="B5198">
        <v>13.388</v>
      </c>
      <c r="C5198">
        <v>120.312</v>
      </c>
      <c r="D5198" t="s">
        <v>16</v>
      </c>
      <c r="E5198" t="s">
        <v>333</v>
      </c>
      <c r="F5198">
        <f t="shared" si="162"/>
        <v>1972</v>
      </c>
      <c r="G5198">
        <f t="shared" si="163"/>
        <v>4</v>
      </c>
      <c r="H5198" t="str">
        <f>IF(ISNUMBER(FIND(",", E5198)), TRIM(MID(E5198, FIND(",", E5198) + 1, LEN(E5198))), E5198)</f>
        <v>Philippines</v>
      </c>
    </row>
    <row r="5199" spans="1:8" x14ac:dyDescent="0.25">
      <c r="A5199" s="2">
        <v>26413</v>
      </c>
      <c r="B5199">
        <v>23.605</v>
      </c>
      <c r="C5199">
        <v>121.53100000000001</v>
      </c>
      <c r="D5199" t="s">
        <v>14</v>
      </c>
      <c r="E5199" t="s">
        <v>336</v>
      </c>
      <c r="F5199">
        <f t="shared" si="162"/>
        <v>1972</v>
      </c>
      <c r="G5199">
        <f t="shared" si="163"/>
        <v>4</v>
      </c>
      <c r="H5199" t="str">
        <f>IF(ISNUMBER(FIND(",", E5199)), TRIM(MID(E5199, FIND(",", E5199) + 1, LEN(E5199))), E5199)</f>
        <v>Taiwan</v>
      </c>
    </row>
    <row r="5200" spans="1:8" x14ac:dyDescent="0.25">
      <c r="A5200" s="2">
        <v>26413</v>
      </c>
      <c r="B5200">
        <v>-31.315999999999999</v>
      </c>
      <c r="C5200">
        <v>-111.087</v>
      </c>
      <c r="D5200" t="s">
        <v>14</v>
      </c>
      <c r="E5200" t="s">
        <v>59</v>
      </c>
      <c r="F5200">
        <f t="shared" si="162"/>
        <v>1972</v>
      </c>
      <c r="G5200">
        <f t="shared" si="163"/>
        <v>4</v>
      </c>
      <c r="H5200" t="str">
        <f>IF(ISNUMBER(FIND(",", E5200)), TRIM(MID(E5200, FIND(",", E5200) + 1, LEN(E5200))), E5200)</f>
        <v>Easter Island region</v>
      </c>
    </row>
    <row r="5201" spans="1:8" x14ac:dyDescent="0.25">
      <c r="A5201" s="2">
        <v>26406</v>
      </c>
      <c r="B5201">
        <v>24.17</v>
      </c>
      <c r="C5201">
        <v>122.46299999999999</v>
      </c>
      <c r="D5201" t="s">
        <v>14</v>
      </c>
      <c r="E5201" t="s">
        <v>363</v>
      </c>
      <c r="F5201">
        <f t="shared" si="162"/>
        <v>1972</v>
      </c>
      <c r="G5201">
        <f t="shared" si="163"/>
        <v>4</v>
      </c>
      <c r="H5201" t="str">
        <f>IF(ISNUMBER(FIND(",", E5201)), TRIM(MID(E5201, FIND(",", E5201) + 1, LEN(E5201))), E5201)</f>
        <v>Taiwan region</v>
      </c>
    </row>
    <row r="5202" spans="1:8" x14ac:dyDescent="0.25">
      <c r="A5202" s="2">
        <v>26400</v>
      </c>
      <c r="B5202">
        <v>0.89500000000000002</v>
      </c>
      <c r="C5202">
        <v>-28.321000000000002</v>
      </c>
      <c r="D5202" t="s">
        <v>14</v>
      </c>
      <c r="E5202" t="s">
        <v>291</v>
      </c>
      <c r="F5202">
        <f t="shared" si="162"/>
        <v>1972</v>
      </c>
      <c r="G5202">
        <f t="shared" si="163"/>
        <v>4</v>
      </c>
      <c r="H5202" t="str">
        <f>IF(ISNUMBER(FIND(",", E5202)), TRIM(MID(E5202, FIND(",", E5202) + 1, LEN(E5202))), E5202)</f>
        <v>central Mid-Atlantic Ridge</v>
      </c>
    </row>
    <row r="5203" spans="1:8" x14ac:dyDescent="0.25">
      <c r="A5203" s="2">
        <v>26399</v>
      </c>
      <c r="B5203">
        <v>28.411000000000001</v>
      </c>
      <c r="C5203">
        <v>52.789000000000001</v>
      </c>
      <c r="D5203" t="s">
        <v>14</v>
      </c>
      <c r="E5203" t="s">
        <v>390</v>
      </c>
      <c r="F5203">
        <f t="shared" si="162"/>
        <v>1972</v>
      </c>
      <c r="G5203">
        <f t="shared" si="163"/>
        <v>4</v>
      </c>
      <c r="H5203" t="str">
        <f>IF(ISNUMBER(FIND(",", E5203)), TRIM(MID(E5203, FIND(",", E5203) + 1, LEN(E5203))), E5203)</f>
        <v>southern Iran</v>
      </c>
    </row>
    <row r="5204" spans="1:8" x14ac:dyDescent="0.25">
      <c r="A5204" s="2">
        <v>26393</v>
      </c>
      <c r="B5204">
        <v>-7.5119999999999996</v>
      </c>
      <c r="C5204">
        <v>125.566</v>
      </c>
      <c r="D5204" t="s">
        <v>14</v>
      </c>
      <c r="E5204" t="s">
        <v>49</v>
      </c>
      <c r="F5204">
        <f t="shared" si="162"/>
        <v>1972</v>
      </c>
      <c r="G5204">
        <f t="shared" si="163"/>
        <v>4</v>
      </c>
      <c r="H5204" t="str">
        <f>IF(ISNUMBER(FIND(",", E5204)), TRIM(MID(E5204, FIND(",", E5204) + 1, LEN(E5204))), E5204)</f>
        <v>Indonesia</v>
      </c>
    </row>
    <row r="5205" spans="1:8" x14ac:dyDescent="0.25">
      <c r="A5205" s="2">
        <v>26391</v>
      </c>
      <c r="B5205">
        <v>-13.135999999999999</v>
      </c>
      <c r="C5205">
        <v>166.17500000000001</v>
      </c>
      <c r="D5205" t="s">
        <v>14</v>
      </c>
      <c r="E5205" t="s">
        <v>181</v>
      </c>
      <c r="F5205">
        <f t="shared" si="162"/>
        <v>1972</v>
      </c>
      <c r="G5205">
        <f t="shared" si="163"/>
        <v>4</v>
      </c>
      <c r="H5205" t="str">
        <f>IF(ISNUMBER(FIND(",", E5205)), TRIM(MID(E5205, FIND(",", E5205) + 1, LEN(E5205))), E5205)</f>
        <v>Vanuatu</v>
      </c>
    </row>
    <row r="5206" spans="1:8" x14ac:dyDescent="0.25">
      <c r="A5206" s="2">
        <v>26390</v>
      </c>
      <c r="B5206">
        <v>-49.454000000000001</v>
      </c>
      <c r="C5206">
        <v>164.06200000000001</v>
      </c>
      <c r="D5206" t="s">
        <v>14</v>
      </c>
      <c r="E5206" t="s">
        <v>404</v>
      </c>
      <c r="F5206">
        <f t="shared" si="162"/>
        <v>1972</v>
      </c>
      <c r="G5206">
        <f t="shared" si="163"/>
        <v>4</v>
      </c>
      <c r="H5206" t="str">
        <f>IF(ISNUMBER(FIND(",", E5206)), TRIM(MID(E5206, FIND(",", E5206) + 1, LEN(E5206))), E5206)</f>
        <v>New Zealand region</v>
      </c>
    </row>
    <row r="5207" spans="1:8" x14ac:dyDescent="0.25">
      <c r="A5207" s="2">
        <v>26388</v>
      </c>
      <c r="B5207">
        <v>-25.744</v>
      </c>
      <c r="C5207">
        <v>179.63200000000001</v>
      </c>
      <c r="D5207" t="s">
        <v>14</v>
      </c>
      <c r="E5207" t="s">
        <v>256</v>
      </c>
      <c r="F5207">
        <f t="shared" si="162"/>
        <v>1972</v>
      </c>
      <c r="G5207">
        <f t="shared" si="163"/>
        <v>3</v>
      </c>
      <c r="H5207" t="str">
        <f>IF(ISNUMBER(FIND(",", E5207)), TRIM(MID(E5207, FIND(",", E5207) + 1, LEN(E5207))), E5207)</f>
        <v>south of the Fiji Islands</v>
      </c>
    </row>
    <row r="5208" spans="1:8" x14ac:dyDescent="0.25">
      <c r="A5208" s="2">
        <v>26383</v>
      </c>
      <c r="B5208">
        <v>43.359000000000002</v>
      </c>
      <c r="C5208">
        <v>146.03899999999999</v>
      </c>
      <c r="D5208" t="s">
        <v>14</v>
      </c>
      <c r="E5208" t="s">
        <v>191</v>
      </c>
      <c r="F5208">
        <f t="shared" si="162"/>
        <v>1972</v>
      </c>
      <c r="G5208">
        <f t="shared" si="163"/>
        <v>3</v>
      </c>
      <c r="H5208" t="str">
        <f>IF(ISNUMBER(FIND(",", E5208)), TRIM(MID(E5208, FIND(",", E5208) + 1, LEN(E5208))), E5208)</f>
        <v>Kuril Islands</v>
      </c>
    </row>
    <row r="5209" spans="1:8" x14ac:dyDescent="0.25">
      <c r="A5209" s="2">
        <v>26383</v>
      </c>
      <c r="B5209">
        <v>-3.544</v>
      </c>
      <c r="C5209">
        <v>150.202</v>
      </c>
      <c r="D5209" t="s">
        <v>14</v>
      </c>
      <c r="E5209" t="s">
        <v>183</v>
      </c>
      <c r="F5209">
        <f t="shared" si="162"/>
        <v>1972</v>
      </c>
      <c r="G5209">
        <f t="shared" si="163"/>
        <v>3</v>
      </c>
      <c r="H5209" t="str">
        <f>IF(ISNUMBER(FIND(",", E5209)), TRIM(MID(E5209, FIND(",", E5209) + 1, LEN(E5209))), E5209)</f>
        <v>Papua New Guinea</v>
      </c>
    </row>
    <row r="5210" spans="1:8" x14ac:dyDescent="0.25">
      <c r="A5210" s="2">
        <v>26382</v>
      </c>
      <c r="B5210">
        <v>56.097000000000001</v>
      </c>
      <c r="C5210">
        <v>-157.13200000000001</v>
      </c>
      <c r="D5210" t="s">
        <v>13</v>
      </c>
      <c r="E5210" t="s">
        <v>285</v>
      </c>
      <c r="F5210">
        <f t="shared" si="162"/>
        <v>1972</v>
      </c>
      <c r="G5210">
        <f t="shared" si="163"/>
        <v>3</v>
      </c>
      <c r="H5210" t="str">
        <f>IF(ISNUMBER(FIND(",", E5210)), TRIM(MID(E5210, FIND(",", E5210) + 1, LEN(E5210))), E5210)</f>
        <v>Alaska Peninsula</v>
      </c>
    </row>
    <row r="5211" spans="1:8" x14ac:dyDescent="0.25">
      <c r="A5211" s="2">
        <v>26380</v>
      </c>
      <c r="B5211">
        <v>49.066000000000003</v>
      </c>
      <c r="C5211">
        <v>153.54900000000001</v>
      </c>
      <c r="D5211" t="s">
        <v>13</v>
      </c>
      <c r="E5211" t="s">
        <v>191</v>
      </c>
      <c r="F5211">
        <f t="shared" si="162"/>
        <v>1972</v>
      </c>
      <c r="G5211">
        <f t="shared" si="163"/>
        <v>3</v>
      </c>
      <c r="H5211" t="str">
        <f>IF(ISNUMBER(FIND(",", E5211)), TRIM(MID(E5211, FIND(",", E5211) + 1, LEN(E5211))), E5211)</f>
        <v>Kuril Islands</v>
      </c>
    </row>
    <row r="5212" spans="1:8" x14ac:dyDescent="0.25">
      <c r="A5212" s="2">
        <v>26378</v>
      </c>
      <c r="B5212">
        <v>-6.8109999999999999</v>
      </c>
      <c r="C5212">
        <v>-76.781000000000006</v>
      </c>
      <c r="D5212" t="s">
        <v>17</v>
      </c>
      <c r="E5212" t="s">
        <v>277</v>
      </c>
      <c r="F5212">
        <f t="shared" si="162"/>
        <v>1972</v>
      </c>
      <c r="G5212">
        <f t="shared" si="163"/>
        <v>3</v>
      </c>
      <c r="H5212" t="str">
        <f>IF(ISNUMBER(FIND(",", E5212)), TRIM(MID(E5212, FIND(",", E5212) + 1, LEN(E5212))), E5212)</f>
        <v>northern Peru</v>
      </c>
    </row>
    <row r="5213" spans="1:8" x14ac:dyDescent="0.25">
      <c r="A5213" s="2">
        <v>26376</v>
      </c>
      <c r="B5213">
        <v>33.597000000000001</v>
      </c>
      <c r="C5213">
        <v>141.31800000000001</v>
      </c>
      <c r="D5213" t="s">
        <v>17</v>
      </c>
      <c r="E5213" t="s">
        <v>189</v>
      </c>
      <c r="F5213">
        <f t="shared" si="162"/>
        <v>1972</v>
      </c>
      <c r="G5213">
        <f t="shared" si="163"/>
        <v>3</v>
      </c>
      <c r="H5213" t="str">
        <f>IF(ISNUMBER(FIND(",", E5213)), TRIM(MID(E5213, FIND(",", E5213) + 1, LEN(E5213))), E5213)</f>
        <v>Japan</v>
      </c>
    </row>
    <row r="5214" spans="1:8" x14ac:dyDescent="0.25">
      <c r="A5214" s="2">
        <v>26365</v>
      </c>
      <c r="B5214">
        <v>-28.268999999999998</v>
      </c>
      <c r="C5214">
        <v>-178.202</v>
      </c>
      <c r="D5214" t="s">
        <v>13</v>
      </c>
      <c r="E5214" t="s">
        <v>240</v>
      </c>
      <c r="F5214">
        <f t="shared" si="162"/>
        <v>1972</v>
      </c>
      <c r="G5214">
        <f t="shared" si="163"/>
        <v>3</v>
      </c>
      <c r="H5214" t="str">
        <f>IF(ISNUMBER(FIND(",", E5214)), TRIM(MID(E5214, FIND(",", E5214) + 1, LEN(E5214))), E5214)</f>
        <v>Kermadec Islands region</v>
      </c>
    </row>
    <row r="5215" spans="1:8" x14ac:dyDescent="0.25">
      <c r="A5215" s="2">
        <v>26358</v>
      </c>
      <c r="B5215">
        <v>33.468000000000004</v>
      </c>
      <c r="C5215">
        <v>140.9</v>
      </c>
      <c r="D5215" t="s">
        <v>17</v>
      </c>
      <c r="E5215" t="s">
        <v>88</v>
      </c>
      <c r="F5215">
        <f t="shared" si="162"/>
        <v>1972</v>
      </c>
      <c r="G5215">
        <f t="shared" si="163"/>
        <v>2</v>
      </c>
      <c r="H5215" t="str">
        <f>IF(ISNUMBER(FIND(",", E5215)), TRIM(MID(E5215, FIND(",", E5215) + 1, LEN(E5215))), E5215)</f>
        <v>Japan region</v>
      </c>
    </row>
    <row r="5216" spans="1:8" x14ac:dyDescent="0.25">
      <c r="A5216" s="2">
        <v>26358</v>
      </c>
      <c r="B5216">
        <v>33.375</v>
      </c>
      <c r="C5216">
        <v>140.881</v>
      </c>
      <c r="D5216" t="s">
        <v>16</v>
      </c>
      <c r="E5216" t="s">
        <v>88</v>
      </c>
      <c r="F5216">
        <f t="shared" si="162"/>
        <v>1972</v>
      </c>
      <c r="G5216">
        <f t="shared" si="163"/>
        <v>2</v>
      </c>
      <c r="H5216" t="str">
        <f>IF(ISNUMBER(FIND(",", E5216)), TRIM(MID(E5216, FIND(",", E5216) + 1, LEN(E5216))), E5216)</f>
        <v>Japan region</v>
      </c>
    </row>
    <row r="5217" spans="1:8" x14ac:dyDescent="0.25">
      <c r="A5217" s="2">
        <v>26354</v>
      </c>
      <c r="B5217">
        <v>-60.642000000000003</v>
      </c>
      <c r="C5217">
        <v>-25.532</v>
      </c>
      <c r="D5217" t="s">
        <v>14</v>
      </c>
      <c r="E5217" t="s">
        <v>260</v>
      </c>
      <c r="F5217">
        <f t="shared" si="162"/>
        <v>1972</v>
      </c>
      <c r="G5217">
        <f t="shared" si="163"/>
        <v>2</v>
      </c>
      <c r="H5217" t="str">
        <f>IF(ISNUMBER(FIND(",", E5217)), TRIM(MID(E5217, FIND(",", E5217) + 1, LEN(E5217))), E5217)</f>
        <v>South Sandwich Islands region</v>
      </c>
    </row>
    <row r="5218" spans="1:8" x14ac:dyDescent="0.25">
      <c r="A5218" s="2">
        <v>26343</v>
      </c>
      <c r="B5218">
        <v>-11.432</v>
      </c>
      <c r="C5218">
        <v>166.40799999999999</v>
      </c>
      <c r="D5218" t="s">
        <v>13</v>
      </c>
      <c r="E5218" t="s">
        <v>211</v>
      </c>
      <c r="F5218">
        <f t="shared" si="162"/>
        <v>1972</v>
      </c>
      <c r="G5218">
        <f t="shared" si="163"/>
        <v>2</v>
      </c>
      <c r="H5218" t="str">
        <f>IF(ISNUMBER(FIND(",", E5218)), TRIM(MID(E5218, FIND(",", E5218) + 1, LEN(E5218))), E5218)</f>
        <v>Santa Cruz Islands</v>
      </c>
    </row>
    <row r="5219" spans="1:8" x14ac:dyDescent="0.25">
      <c r="A5219" s="2">
        <v>26326</v>
      </c>
      <c r="B5219">
        <v>-19.373000000000001</v>
      </c>
      <c r="C5219">
        <v>169.21</v>
      </c>
      <c r="D5219" t="s">
        <v>13</v>
      </c>
      <c r="E5219" t="s">
        <v>181</v>
      </c>
      <c r="F5219">
        <f t="shared" si="162"/>
        <v>1972</v>
      </c>
      <c r="G5219">
        <f t="shared" si="163"/>
        <v>1</v>
      </c>
      <c r="H5219" t="str">
        <f>IF(ISNUMBER(FIND(",", E5219)), TRIM(MID(E5219, FIND(",", E5219) + 1, LEN(E5219))), E5219)</f>
        <v>Vanuatu</v>
      </c>
    </row>
    <row r="5220" spans="1:8" x14ac:dyDescent="0.25">
      <c r="A5220" s="2">
        <v>26324</v>
      </c>
      <c r="B5220">
        <v>-20.204000000000001</v>
      </c>
      <c r="C5220">
        <v>-178.85900000000001</v>
      </c>
      <c r="D5220" t="s">
        <v>14</v>
      </c>
      <c r="E5220" t="s">
        <v>53</v>
      </c>
      <c r="F5220">
        <f t="shared" si="162"/>
        <v>1972</v>
      </c>
      <c r="G5220">
        <f t="shared" si="163"/>
        <v>1</v>
      </c>
      <c r="H5220" t="str">
        <f>IF(ISNUMBER(FIND(",", E5220)), TRIM(MID(E5220, FIND(",", E5220) + 1, LEN(E5220))), E5220)</f>
        <v>Fiji region</v>
      </c>
    </row>
    <row r="5221" spans="1:8" x14ac:dyDescent="0.25">
      <c r="A5221" s="2">
        <v>26323</v>
      </c>
      <c r="B5221">
        <v>23.036999999999999</v>
      </c>
      <c r="C5221">
        <v>122.117</v>
      </c>
      <c r="D5221" t="s">
        <v>14</v>
      </c>
      <c r="E5221" t="s">
        <v>363</v>
      </c>
      <c r="F5221">
        <f t="shared" si="162"/>
        <v>1972</v>
      </c>
      <c r="G5221">
        <f t="shared" si="163"/>
        <v>1</v>
      </c>
      <c r="H5221" t="str">
        <f>IF(ISNUMBER(FIND(",", E5221)), TRIM(MID(E5221, FIND(",", E5221) + 1, LEN(E5221))), E5221)</f>
        <v>Taiwan region</v>
      </c>
    </row>
    <row r="5222" spans="1:8" x14ac:dyDescent="0.25">
      <c r="A5222" s="2">
        <v>26323</v>
      </c>
      <c r="B5222">
        <v>22.55</v>
      </c>
      <c r="C5222">
        <v>122.325</v>
      </c>
      <c r="D5222" t="s">
        <v>16</v>
      </c>
      <c r="E5222" t="s">
        <v>363</v>
      </c>
      <c r="F5222">
        <f t="shared" si="162"/>
        <v>1972</v>
      </c>
      <c r="G5222">
        <f t="shared" si="163"/>
        <v>1</v>
      </c>
      <c r="H5222" t="str">
        <f>IF(ISNUMBER(FIND(",", E5222)), TRIM(MID(E5222, FIND(",", E5222) + 1, LEN(E5222))), E5222)</f>
        <v>Taiwan region</v>
      </c>
    </row>
    <row r="5223" spans="1:8" x14ac:dyDescent="0.25">
      <c r="A5223" s="2">
        <v>26322</v>
      </c>
      <c r="B5223">
        <v>-13.103999999999999</v>
      </c>
      <c r="C5223">
        <v>166.458</v>
      </c>
      <c r="D5223" t="s">
        <v>14</v>
      </c>
      <c r="E5223" t="s">
        <v>181</v>
      </c>
      <c r="F5223">
        <f t="shared" si="162"/>
        <v>1972</v>
      </c>
      <c r="G5223">
        <f t="shared" si="163"/>
        <v>1</v>
      </c>
      <c r="H5223" t="str">
        <f>IF(ISNUMBER(FIND(",", E5223)), TRIM(MID(E5223, FIND(",", E5223) + 1, LEN(E5223))), E5223)</f>
        <v>Vanuatu</v>
      </c>
    </row>
    <row r="5224" spans="1:8" x14ac:dyDescent="0.25">
      <c r="A5224" s="2">
        <v>26321</v>
      </c>
      <c r="B5224">
        <v>-13.231</v>
      </c>
      <c r="C5224">
        <v>166.37100000000001</v>
      </c>
      <c r="D5224" t="s">
        <v>14</v>
      </c>
      <c r="E5224" t="s">
        <v>181</v>
      </c>
      <c r="F5224">
        <f t="shared" si="162"/>
        <v>1972</v>
      </c>
      <c r="G5224">
        <f t="shared" si="163"/>
        <v>1</v>
      </c>
      <c r="H5224" t="str">
        <f>IF(ISNUMBER(FIND(",", E5224)), TRIM(MID(E5224, FIND(",", E5224) + 1, LEN(E5224))), E5224)</f>
        <v>Vanuatu</v>
      </c>
    </row>
    <row r="5225" spans="1:8" x14ac:dyDescent="0.25">
      <c r="A5225" s="2">
        <v>26320</v>
      </c>
      <c r="B5225">
        <v>-20.405000000000001</v>
      </c>
      <c r="C5225">
        <v>172.93899999999999</v>
      </c>
      <c r="D5225" t="s">
        <v>14</v>
      </c>
      <c r="E5225" t="s">
        <v>281</v>
      </c>
      <c r="F5225">
        <f t="shared" si="162"/>
        <v>1972</v>
      </c>
      <c r="G5225">
        <f t="shared" si="163"/>
        <v>1</v>
      </c>
      <c r="H5225" t="str">
        <f>IF(ISNUMBER(FIND(",", E5225)), TRIM(MID(E5225, FIND(",", E5225) + 1, LEN(E5225))), E5225)</f>
        <v>Vanuatu region</v>
      </c>
    </row>
    <row r="5226" spans="1:8" x14ac:dyDescent="0.25">
      <c r="A5226" s="2">
        <v>26319</v>
      </c>
      <c r="B5226">
        <v>-6.6950000000000003</v>
      </c>
      <c r="C5226">
        <v>-71.799000000000007</v>
      </c>
      <c r="D5226" t="s">
        <v>14</v>
      </c>
      <c r="E5226" t="s">
        <v>479</v>
      </c>
      <c r="F5226">
        <f t="shared" si="162"/>
        <v>1972</v>
      </c>
      <c r="G5226">
        <f t="shared" si="163"/>
        <v>1</v>
      </c>
      <c r="H5226" t="str">
        <f>IF(ISNUMBER(FIND(",", E5226)), TRIM(MID(E5226, FIND(",", E5226) + 1, LEN(E5226))), E5226)</f>
        <v>Brazil</v>
      </c>
    </row>
    <row r="5227" spans="1:8" x14ac:dyDescent="0.25">
      <c r="A5227" s="2">
        <v>26317</v>
      </c>
      <c r="B5227">
        <v>-4.6749999999999998</v>
      </c>
      <c r="C5227">
        <v>144.965</v>
      </c>
      <c r="D5227" t="s">
        <v>14</v>
      </c>
      <c r="E5227" t="s">
        <v>216</v>
      </c>
      <c r="F5227">
        <f t="shared" si="162"/>
        <v>1972</v>
      </c>
      <c r="G5227">
        <f t="shared" si="163"/>
        <v>1</v>
      </c>
      <c r="H5227" t="str">
        <f>IF(ISNUMBER(FIND(",", E5227)), TRIM(MID(E5227, FIND(",", E5227) + 1, LEN(E5227))), E5227)</f>
        <v>Papua New Guinea</v>
      </c>
    </row>
    <row r="5228" spans="1:8" x14ac:dyDescent="0.25">
      <c r="A5228" s="2">
        <v>26316</v>
      </c>
      <c r="B5228">
        <v>-4.7249999999999996</v>
      </c>
      <c r="C5228">
        <v>145.03700000000001</v>
      </c>
      <c r="D5228" t="s">
        <v>17</v>
      </c>
      <c r="E5228" t="s">
        <v>216</v>
      </c>
      <c r="F5228">
        <f t="shared" si="162"/>
        <v>1972</v>
      </c>
      <c r="G5228">
        <f t="shared" si="163"/>
        <v>1</v>
      </c>
      <c r="H5228" t="str">
        <f>IF(ISNUMBER(FIND(",", E5228)), TRIM(MID(E5228, FIND(",", E5228) + 1, LEN(E5228))), E5228)</f>
        <v>Papua New Guinea</v>
      </c>
    </row>
    <row r="5229" spans="1:8" x14ac:dyDescent="0.25">
      <c r="A5229" s="2">
        <v>26316</v>
      </c>
      <c r="B5229">
        <v>-4.8179999999999996</v>
      </c>
      <c r="C5229">
        <v>145.08099999999999</v>
      </c>
      <c r="D5229" t="s">
        <v>14</v>
      </c>
      <c r="E5229" t="s">
        <v>216</v>
      </c>
      <c r="F5229">
        <f t="shared" si="162"/>
        <v>1972</v>
      </c>
      <c r="G5229">
        <f t="shared" si="163"/>
        <v>1</v>
      </c>
      <c r="H5229" t="str">
        <f>IF(ISNUMBER(FIND(",", E5229)), TRIM(MID(E5229, FIND(",", E5229) + 1, LEN(E5229))), E5229)</f>
        <v>Papua New Guinea</v>
      </c>
    </row>
    <row r="5230" spans="1:8" x14ac:dyDescent="0.25">
      <c r="A5230" s="2">
        <v>26310</v>
      </c>
      <c r="B5230">
        <v>-6.8550000000000004</v>
      </c>
      <c r="C5230">
        <v>-71.760000000000005</v>
      </c>
      <c r="D5230" t="s">
        <v>14</v>
      </c>
      <c r="E5230" t="s">
        <v>479</v>
      </c>
      <c r="F5230">
        <f t="shared" si="162"/>
        <v>1972</v>
      </c>
      <c r="G5230">
        <f t="shared" si="163"/>
        <v>1</v>
      </c>
      <c r="H5230" t="str">
        <f>IF(ISNUMBER(FIND(",", E5230)), TRIM(MID(E5230, FIND(",", E5230) + 1, LEN(E5230))), E5230)</f>
        <v>Brazil</v>
      </c>
    </row>
    <row r="5231" spans="1:8" x14ac:dyDescent="0.25">
      <c r="A5231" s="2">
        <v>26306</v>
      </c>
      <c r="B5231">
        <v>-55.784999999999997</v>
      </c>
      <c r="C5231">
        <v>-28.809000000000001</v>
      </c>
      <c r="D5231" t="s">
        <v>13</v>
      </c>
      <c r="E5231" t="s">
        <v>260</v>
      </c>
      <c r="F5231">
        <f t="shared" si="162"/>
        <v>1972</v>
      </c>
      <c r="G5231">
        <f t="shared" si="163"/>
        <v>1</v>
      </c>
      <c r="H5231" t="str">
        <f>IF(ISNUMBER(FIND(",", E5231)), TRIM(MID(E5231, FIND(",", E5231) + 1, LEN(E5231))), E5231)</f>
        <v>South Sandwich Islands region</v>
      </c>
    </row>
    <row r="5232" spans="1:8" x14ac:dyDescent="0.25">
      <c r="A5232" s="2">
        <v>26306</v>
      </c>
      <c r="B5232">
        <v>20.97</v>
      </c>
      <c r="C5232">
        <v>120.28</v>
      </c>
      <c r="D5232" t="s">
        <v>14</v>
      </c>
      <c r="E5232" t="s">
        <v>213</v>
      </c>
      <c r="F5232">
        <f t="shared" si="162"/>
        <v>1972</v>
      </c>
      <c r="G5232">
        <f t="shared" si="163"/>
        <v>1</v>
      </c>
      <c r="H5232" t="str">
        <f>IF(ISNUMBER(FIND(",", E5232)), TRIM(MID(E5232, FIND(",", E5232) + 1, LEN(E5232))), E5232)</f>
        <v>Philippine Islands region</v>
      </c>
    </row>
    <row r="5233" spans="1:8" x14ac:dyDescent="0.25">
      <c r="A5233" s="2">
        <v>26302</v>
      </c>
      <c r="B5233">
        <v>22.533000000000001</v>
      </c>
      <c r="C5233">
        <v>122.01900000000001</v>
      </c>
      <c r="D5233" t="s">
        <v>14</v>
      </c>
      <c r="E5233" t="s">
        <v>363</v>
      </c>
      <c r="F5233">
        <f t="shared" si="162"/>
        <v>1972</v>
      </c>
      <c r="G5233">
        <f t="shared" si="163"/>
        <v>1</v>
      </c>
      <c r="H5233" t="str">
        <f>IF(ISNUMBER(FIND(",", E5233)), TRIM(MID(E5233, FIND(",", E5233) + 1, LEN(E5233))), E5233)</f>
        <v>Taiwan region</v>
      </c>
    </row>
    <row r="5234" spans="1:8" x14ac:dyDescent="0.25">
      <c r="A5234" s="2">
        <v>26299</v>
      </c>
      <c r="B5234">
        <v>-16.853000000000002</v>
      </c>
      <c r="C5234">
        <v>174.94300000000001</v>
      </c>
      <c r="D5234" t="s">
        <v>17</v>
      </c>
      <c r="E5234" t="s">
        <v>53</v>
      </c>
      <c r="F5234">
        <f t="shared" si="162"/>
        <v>1972</v>
      </c>
      <c r="G5234">
        <f t="shared" si="163"/>
        <v>1</v>
      </c>
      <c r="H5234" t="str">
        <f>IF(ISNUMBER(FIND(",", E5234)), TRIM(MID(E5234, FIND(",", E5234) + 1, LEN(E5234))), E5234)</f>
        <v>Fiji region</v>
      </c>
    </row>
    <row r="5235" spans="1:8" x14ac:dyDescent="0.25">
      <c r="A5235" s="2">
        <v>26293</v>
      </c>
      <c r="B5235">
        <v>-6.3620000000000001</v>
      </c>
      <c r="C5235">
        <v>154.95099999999999</v>
      </c>
      <c r="D5235" t="s">
        <v>17</v>
      </c>
      <c r="E5235" t="s">
        <v>290</v>
      </c>
      <c r="F5235">
        <f t="shared" si="162"/>
        <v>1971</v>
      </c>
      <c r="G5235">
        <f t="shared" si="163"/>
        <v>12</v>
      </c>
      <c r="H5235" t="str">
        <f>IF(ISNUMBER(FIND(",", E5235)), TRIM(MID(E5235, FIND(",", E5235) + 1, LEN(E5235))), E5235)</f>
        <v>Papua New Guinea</v>
      </c>
    </row>
    <row r="5236" spans="1:8" x14ac:dyDescent="0.25">
      <c r="A5236" s="2">
        <v>26289</v>
      </c>
      <c r="B5236">
        <v>47.872</v>
      </c>
      <c r="C5236">
        <v>48.222000000000001</v>
      </c>
      <c r="E5236" t="s">
        <v>627</v>
      </c>
      <c r="F5236">
        <f t="shared" si="162"/>
        <v>1971</v>
      </c>
      <c r="G5236">
        <f t="shared" si="163"/>
        <v>12</v>
      </c>
      <c r="H5236" t="str">
        <f>IF(ISNUMBER(FIND(",", E5236)), TRIM(MID(E5236, FIND(",", E5236) + 1, LEN(E5236))), E5236)</f>
        <v>Russia-Kazakhstan border region</v>
      </c>
    </row>
    <row r="5237" spans="1:8" x14ac:dyDescent="0.25">
      <c r="A5237" s="2">
        <v>26282</v>
      </c>
      <c r="B5237">
        <v>56.023000000000003</v>
      </c>
      <c r="C5237">
        <v>163.173</v>
      </c>
      <c r="D5237" t="s">
        <v>16</v>
      </c>
      <c r="E5237" t="s">
        <v>225</v>
      </c>
      <c r="F5237">
        <f t="shared" si="162"/>
        <v>1971</v>
      </c>
      <c r="G5237">
        <f t="shared" si="163"/>
        <v>12</v>
      </c>
      <c r="H5237" t="str">
        <f>IF(ISNUMBER(FIND(",", E5237)), TRIM(MID(E5237, FIND(",", E5237) + 1, LEN(E5237))), E5237)</f>
        <v>Russia</v>
      </c>
    </row>
    <row r="5238" spans="1:8" x14ac:dyDescent="0.25">
      <c r="A5238" s="2">
        <v>26275</v>
      </c>
      <c r="B5238">
        <v>-22.876999999999999</v>
      </c>
      <c r="C5238">
        <v>-70.563000000000002</v>
      </c>
      <c r="D5238" t="s">
        <v>14</v>
      </c>
      <c r="E5238" t="s">
        <v>413</v>
      </c>
      <c r="F5238">
        <f t="shared" si="162"/>
        <v>1971</v>
      </c>
      <c r="G5238">
        <f t="shared" si="163"/>
        <v>12</v>
      </c>
      <c r="H5238" t="str">
        <f>IF(ISNUMBER(FIND(",", E5238)), TRIM(MID(E5238, FIND(",", E5238) + 1, LEN(E5238))), E5238)</f>
        <v>Chile</v>
      </c>
    </row>
    <row r="5239" spans="1:8" x14ac:dyDescent="0.25">
      <c r="A5239" s="2">
        <v>26274</v>
      </c>
      <c r="B5239">
        <v>-54.408999999999999</v>
      </c>
      <c r="C5239">
        <v>5.8440000000000003</v>
      </c>
      <c r="D5239" t="s">
        <v>14</v>
      </c>
      <c r="E5239" t="s">
        <v>368</v>
      </c>
      <c r="F5239">
        <f t="shared" si="162"/>
        <v>1971</v>
      </c>
      <c r="G5239">
        <f t="shared" si="163"/>
        <v>12</v>
      </c>
      <c r="H5239" t="str">
        <f>IF(ISNUMBER(FIND(",", E5239)), TRIM(MID(E5239, FIND(",", E5239) + 1, LEN(E5239))), E5239)</f>
        <v>Bouvet Island region</v>
      </c>
    </row>
    <row r="5240" spans="1:8" x14ac:dyDescent="0.25">
      <c r="A5240" s="2">
        <v>26272</v>
      </c>
      <c r="B5240">
        <v>49.442</v>
      </c>
      <c r="C5240">
        <v>-129.678</v>
      </c>
      <c r="D5240" t="s">
        <v>14</v>
      </c>
      <c r="E5240" t="s">
        <v>199</v>
      </c>
      <c r="F5240">
        <f t="shared" si="162"/>
        <v>1971</v>
      </c>
      <c r="G5240">
        <f t="shared" si="163"/>
        <v>12</v>
      </c>
      <c r="H5240" t="str">
        <f>IF(ISNUMBER(FIND(",", E5240)), TRIM(MID(E5240, FIND(",", E5240) + 1, LEN(E5240))), E5240)</f>
        <v>Canada region</v>
      </c>
    </row>
    <row r="5241" spans="1:8" x14ac:dyDescent="0.25">
      <c r="A5241" s="2">
        <v>26269</v>
      </c>
      <c r="B5241">
        <v>44.805</v>
      </c>
      <c r="C5241">
        <v>153.43899999999999</v>
      </c>
      <c r="D5241" t="s">
        <v>14</v>
      </c>
      <c r="E5241" t="s">
        <v>317</v>
      </c>
      <c r="F5241">
        <f t="shared" si="162"/>
        <v>1971</v>
      </c>
      <c r="G5241">
        <f t="shared" si="163"/>
        <v>12</v>
      </c>
      <c r="H5241" t="str">
        <f>IF(ISNUMBER(FIND(",", E5241)), TRIM(MID(E5241, FIND(",", E5241) + 1, LEN(E5241))), E5241)</f>
        <v>east of the Kuril Islands</v>
      </c>
    </row>
    <row r="5242" spans="1:8" x14ac:dyDescent="0.25">
      <c r="A5242" s="2">
        <v>26261</v>
      </c>
      <c r="B5242">
        <v>52.811</v>
      </c>
      <c r="C5242">
        <v>159.17400000000001</v>
      </c>
      <c r="D5242" t="s">
        <v>13</v>
      </c>
      <c r="E5242" t="s">
        <v>318</v>
      </c>
      <c r="F5242">
        <f t="shared" si="162"/>
        <v>1971</v>
      </c>
      <c r="G5242">
        <f t="shared" si="163"/>
        <v>11</v>
      </c>
      <c r="H5242" t="str">
        <f>IF(ISNUMBER(FIND(",", E5242)), TRIM(MID(E5242, FIND(",", E5242) + 1, LEN(E5242))), E5242)</f>
        <v>Russia</v>
      </c>
    </row>
    <row r="5243" spans="1:8" x14ac:dyDescent="0.25">
      <c r="A5243" s="2">
        <v>26258</v>
      </c>
      <c r="B5243">
        <v>-11.881</v>
      </c>
      <c r="C5243">
        <v>166.624</v>
      </c>
      <c r="D5243" t="s">
        <v>13</v>
      </c>
      <c r="E5243" t="s">
        <v>211</v>
      </c>
      <c r="F5243">
        <f t="shared" si="162"/>
        <v>1971</v>
      </c>
      <c r="G5243">
        <f t="shared" si="163"/>
        <v>11</v>
      </c>
      <c r="H5243" t="str">
        <f>IF(ISNUMBER(FIND(",", E5243)), TRIM(MID(E5243, FIND(",", E5243) + 1, LEN(E5243))), E5243)</f>
        <v>Santa Cruz Islands</v>
      </c>
    </row>
    <row r="5244" spans="1:8" x14ac:dyDescent="0.25">
      <c r="A5244" s="2">
        <v>26257</v>
      </c>
      <c r="B5244">
        <v>-23.498000000000001</v>
      </c>
      <c r="C5244">
        <v>-179.815</v>
      </c>
      <c r="D5244" t="s">
        <v>14</v>
      </c>
      <c r="E5244" t="s">
        <v>256</v>
      </c>
      <c r="F5244">
        <f t="shared" si="162"/>
        <v>1971</v>
      </c>
      <c r="G5244">
        <f t="shared" si="163"/>
        <v>11</v>
      </c>
      <c r="H5244" t="str">
        <f>IF(ISNUMBER(FIND(",", E5244)), TRIM(MID(E5244, FIND(",", E5244) + 1, LEN(E5244))), E5244)</f>
        <v>south of the Fiji Islands</v>
      </c>
    </row>
    <row r="5245" spans="1:8" x14ac:dyDescent="0.25">
      <c r="A5245" s="2">
        <v>26238</v>
      </c>
      <c r="B5245">
        <v>-10.313000000000001</v>
      </c>
      <c r="C5245">
        <v>169.821</v>
      </c>
      <c r="D5245" t="s">
        <v>17</v>
      </c>
      <c r="E5245" t="s">
        <v>396</v>
      </c>
      <c r="F5245">
        <f t="shared" si="162"/>
        <v>1971</v>
      </c>
      <c r="G5245">
        <f t="shared" si="163"/>
        <v>11</v>
      </c>
      <c r="H5245" t="str">
        <f>IF(ISNUMBER(FIND(",", E5245)), TRIM(MID(E5245, FIND(",", E5245) + 1, LEN(E5245))), E5245)</f>
        <v>Santa Cruz Islands region</v>
      </c>
    </row>
    <row r="5246" spans="1:8" x14ac:dyDescent="0.25">
      <c r="A5246" s="2">
        <v>26234</v>
      </c>
      <c r="B5246">
        <v>-13.430999999999999</v>
      </c>
      <c r="C5246">
        <v>166.483</v>
      </c>
      <c r="D5246" t="s">
        <v>14</v>
      </c>
      <c r="E5246" t="s">
        <v>181</v>
      </c>
      <c r="F5246">
        <f t="shared" si="162"/>
        <v>1971</v>
      </c>
      <c r="G5246">
        <f t="shared" si="163"/>
        <v>10</v>
      </c>
      <c r="H5246" t="str">
        <f>IF(ISNUMBER(FIND(",", E5246)), TRIM(MID(E5246, FIND(",", E5246) + 1, LEN(E5246))), E5246)</f>
        <v>Vanuatu</v>
      </c>
    </row>
    <row r="5247" spans="1:8" x14ac:dyDescent="0.25">
      <c r="A5247" s="2">
        <v>26233</v>
      </c>
      <c r="B5247">
        <v>-15.582000000000001</v>
      </c>
      <c r="C5247">
        <v>167.31899999999999</v>
      </c>
      <c r="D5247" t="s">
        <v>13</v>
      </c>
      <c r="E5247" t="s">
        <v>181</v>
      </c>
      <c r="F5247">
        <f t="shared" si="162"/>
        <v>1971</v>
      </c>
      <c r="G5247">
        <f t="shared" si="163"/>
        <v>10</v>
      </c>
      <c r="H5247" t="str">
        <f>IF(ISNUMBER(FIND(",", E5247)), TRIM(MID(E5247, FIND(",", E5247) + 1, LEN(E5247))), E5247)</f>
        <v>Vanuatu</v>
      </c>
    </row>
    <row r="5248" spans="1:8" x14ac:dyDescent="0.25">
      <c r="A5248" s="2">
        <v>26231</v>
      </c>
      <c r="B5248">
        <v>-13.12</v>
      </c>
      <c r="C5248">
        <v>166.50899999999999</v>
      </c>
      <c r="D5248" t="s">
        <v>14</v>
      </c>
      <c r="E5248" t="s">
        <v>181</v>
      </c>
      <c r="F5248">
        <f t="shared" si="162"/>
        <v>1971</v>
      </c>
      <c r="G5248">
        <f t="shared" si="163"/>
        <v>10</v>
      </c>
      <c r="H5248" t="str">
        <f>IF(ISNUMBER(FIND(",", E5248)), TRIM(MID(E5248, FIND(",", E5248) + 1, LEN(E5248))), E5248)</f>
        <v>Vanuatu</v>
      </c>
    </row>
    <row r="5249" spans="1:8" x14ac:dyDescent="0.25">
      <c r="A5249" s="2">
        <v>26230</v>
      </c>
      <c r="B5249">
        <v>11.879</v>
      </c>
      <c r="C5249">
        <v>142.369</v>
      </c>
      <c r="D5249" t="s">
        <v>14</v>
      </c>
      <c r="E5249" t="s">
        <v>321</v>
      </c>
      <c r="F5249">
        <f t="shared" si="162"/>
        <v>1971</v>
      </c>
      <c r="G5249">
        <f t="shared" si="163"/>
        <v>10</v>
      </c>
      <c r="H5249" t="str">
        <f>IF(ISNUMBER(FIND(",", E5249)), TRIM(MID(E5249, FIND(",", E5249) + 1, LEN(E5249))), E5249)</f>
        <v>south of the Mariana Islands</v>
      </c>
    </row>
    <row r="5250" spans="1:8" x14ac:dyDescent="0.25">
      <c r="A5250" s="2">
        <v>26230</v>
      </c>
      <c r="B5250">
        <v>11.901</v>
      </c>
      <c r="C5250">
        <v>142.43799999999999</v>
      </c>
      <c r="D5250" t="s">
        <v>14</v>
      </c>
      <c r="E5250" t="s">
        <v>321</v>
      </c>
      <c r="F5250">
        <f t="shared" ref="F5250:F5313" si="164">YEAR(A5250)</f>
        <v>1971</v>
      </c>
      <c r="G5250">
        <f t="shared" si="163"/>
        <v>10</v>
      </c>
      <c r="H5250" t="str">
        <f>IF(ISNUMBER(FIND(",", E5250)), TRIM(MID(E5250, FIND(",", E5250) + 1, LEN(E5250))), E5250)</f>
        <v>south of the Mariana Islands</v>
      </c>
    </row>
    <row r="5251" spans="1:8" x14ac:dyDescent="0.25">
      <c r="A5251" s="2">
        <v>26229</v>
      </c>
      <c r="B5251">
        <v>11.859</v>
      </c>
      <c r="C5251">
        <v>142.53899999999999</v>
      </c>
      <c r="D5251" t="s">
        <v>14</v>
      </c>
      <c r="E5251" t="s">
        <v>321</v>
      </c>
      <c r="F5251">
        <f t="shared" si="164"/>
        <v>1971</v>
      </c>
      <c r="G5251">
        <f t="shared" ref="G5251:G5314" si="165">MONTH(A5251)</f>
        <v>10</v>
      </c>
      <c r="H5251" t="str">
        <f>IF(ISNUMBER(FIND(",", E5251)), TRIM(MID(E5251, FIND(",", E5251) + 1, LEN(E5251))), E5251)</f>
        <v>south of the Mariana Islands</v>
      </c>
    </row>
    <row r="5252" spans="1:8" x14ac:dyDescent="0.25">
      <c r="A5252" s="2">
        <v>26229</v>
      </c>
      <c r="B5252">
        <v>-54.765000000000001</v>
      </c>
      <c r="C5252">
        <v>146.51400000000001</v>
      </c>
      <c r="D5252" t="s">
        <v>14</v>
      </c>
      <c r="E5252" t="s">
        <v>205</v>
      </c>
      <c r="F5252">
        <f t="shared" si="164"/>
        <v>1971</v>
      </c>
      <c r="G5252">
        <f t="shared" si="165"/>
        <v>10</v>
      </c>
      <c r="H5252" t="str">
        <f>IF(ISNUMBER(FIND(",", E5252)), TRIM(MID(E5252, FIND(",", E5252) + 1, LEN(E5252))), E5252)</f>
        <v>west of Macquarie Island</v>
      </c>
    </row>
    <row r="5253" spans="1:8" x14ac:dyDescent="0.25">
      <c r="A5253" s="2">
        <v>26220</v>
      </c>
      <c r="B5253">
        <v>-54.183999999999997</v>
      </c>
      <c r="C5253">
        <v>2.2050000000000001</v>
      </c>
      <c r="D5253" t="s">
        <v>14</v>
      </c>
      <c r="E5253" t="s">
        <v>368</v>
      </c>
      <c r="F5253">
        <f t="shared" si="164"/>
        <v>1971</v>
      </c>
      <c r="G5253">
        <f t="shared" si="165"/>
        <v>10</v>
      </c>
      <c r="H5253" t="str">
        <f>IF(ISNUMBER(FIND(",", E5253)), TRIM(MID(E5253, FIND(",", E5253) + 1, LEN(E5253))), E5253)</f>
        <v>Bouvet Island region</v>
      </c>
    </row>
    <row r="5254" spans="1:8" x14ac:dyDescent="0.25">
      <c r="A5254" s="2">
        <v>26210</v>
      </c>
      <c r="B5254">
        <v>-5.835</v>
      </c>
      <c r="C5254">
        <v>154.19399999999999</v>
      </c>
      <c r="D5254" t="s">
        <v>17</v>
      </c>
      <c r="E5254" t="s">
        <v>290</v>
      </c>
      <c r="F5254">
        <f t="shared" si="164"/>
        <v>1971</v>
      </c>
      <c r="G5254">
        <f t="shared" si="165"/>
        <v>10</v>
      </c>
      <c r="H5254" t="str">
        <f>IF(ISNUMBER(FIND(",", E5254)), TRIM(MID(E5254, FIND(",", E5254) + 1, LEN(E5254))), E5254)</f>
        <v>Papua New Guinea</v>
      </c>
    </row>
    <row r="5255" spans="1:8" x14ac:dyDescent="0.25">
      <c r="A5255" s="2">
        <v>26209</v>
      </c>
      <c r="B5255">
        <v>-14.555</v>
      </c>
      <c r="C5255">
        <v>171.75</v>
      </c>
      <c r="D5255" t="s">
        <v>14</v>
      </c>
      <c r="E5255" t="s">
        <v>281</v>
      </c>
      <c r="F5255">
        <f t="shared" si="164"/>
        <v>1971</v>
      </c>
      <c r="G5255">
        <f t="shared" si="165"/>
        <v>10</v>
      </c>
      <c r="H5255" t="str">
        <f>IF(ISNUMBER(FIND(",", E5255)), TRIM(MID(E5255, FIND(",", E5255) + 1, LEN(E5255))), E5255)</f>
        <v>Vanuatu region</v>
      </c>
    </row>
    <row r="5256" spans="1:8" x14ac:dyDescent="0.25">
      <c r="A5256" s="2">
        <v>26206</v>
      </c>
      <c r="B5256">
        <v>26.97</v>
      </c>
      <c r="C5256">
        <v>-110.837</v>
      </c>
      <c r="D5256" t="s">
        <v>14</v>
      </c>
      <c r="E5256" t="s">
        <v>282</v>
      </c>
      <c r="F5256">
        <f t="shared" si="164"/>
        <v>1971</v>
      </c>
      <c r="G5256">
        <f t="shared" si="165"/>
        <v>9</v>
      </c>
      <c r="H5256" t="str">
        <f>IF(ISNUMBER(FIND(",", E5256)), TRIM(MID(E5256, FIND(",", E5256) + 1, LEN(E5256))), E5256)</f>
        <v>Gulf of California</v>
      </c>
    </row>
    <row r="5257" spans="1:8" x14ac:dyDescent="0.25">
      <c r="A5257" s="2">
        <v>26203</v>
      </c>
      <c r="B5257">
        <v>-3.1970000000000001</v>
      </c>
      <c r="C5257">
        <v>148.285</v>
      </c>
      <c r="D5257" t="s">
        <v>14</v>
      </c>
      <c r="E5257" t="s">
        <v>380</v>
      </c>
      <c r="F5257">
        <f t="shared" si="164"/>
        <v>1971</v>
      </c>
      <c r="G5257">
        <f t="shared" si="165"/>
        <v>9</v>
      </c>
      <c r="H5257" t="str">
        <f>IF(ISNUMBER(FIND(",", E5257)), TRIM(MID(E5257, FIND(",", E5257) + 1, LEN(E5257))), E5257)</f>
        <v>Bismarck Sea</v>
      </c>
    </row>
    <row r="5258" spans="1:8" x14ac:dyDescent="0.25">
      <c r="A5258" s="2">
        <v>26203</v>
      </c>
      <c r="B5258">
        <v>46.42</v>
      </c>
      <c r="C5258">
        <v>141.15899999999999</v>
      </c>
      <c r="D5258" t="s">
        <v>14</v>
      </c>
      <c r="E5258" t="s">
        <v>514</v>
      </c>
      <c r="F5258">
        <f t="shared" si="164"/>
        <v>1971</v>
      </c>
      <c r="G5258">
        <f t="shared" si="165"/>
        <v>9</v>
      </c>
      <c r="H5258" t="str">
        <f>IF(ISNUMBER(FIND(",", E5258)), TRIM(MID(E5258, FIND(",", E5258) + 1, LEN(E5258))), E5258)</f>
        <v>Russia</v>
      </c>
    </row>
    <row r="5259" spans="1:8" x14ac:dyDescent="0.25">
      <c r="A5259" s="2">
        <v>26201</v>
      </c>
      <c r="B5259">
        <v>-6.556</v>
      </c>
      <c r="C5259">
        <v>146.67400000000001</v>
      </c>
      <c r="D5259" t="s">
        <v>13</v>
      </c>
      <c r="E5259" t="s">
        <v>243</v>
      </c>
      <c r="F5259">
        <f t="shared" si="164"/>
        <v>1971</v>
      </c>
      <c r="G5259">
        <f t="shared" si="165"/>
        <v>9</v>
      </c>
      <c r="H5259" t="str">
        <f>IF(ISNUMBER(FIND(",", E5259)), TRIM(MID(E5259, FIND(",", E5259) + 1, LEN(E5259))), E5259)</f>
        <v>Papua New Guinea</v>
      </c>
    </row>
    <row r="5260" spans="1:8" x14ac:dyDescent="0.25">
      <c r="A5260" s="2">
        <v>26192</v>
      </c>
      <c r="B5260">
        <v>-5.9710000000000001</v>
      </c>
      <c r="C5260">
        <v>130.696</v>
      </c>
      <c r="D5260" t="s">
        <v>13</v>
      </c>
      <c r="E5260" t="s">
        <v>187</v>
      </c>
      <c r="F5260">
        <f t="shared" si="164"/>
        <v>1971</v>
      </c>
      <c r="G5260">
        <f t="shared" si="165"/>
        <v>9</v>
      </c>
      <c r="H5260" t="str">
        <f>IF(ISNUMBER(FIND(",", E5260)), TRIM(MID(E5260, FIND(",", E5260) + 1, LEN(E5260))), E5260)</f>
        <v>Banda Sea</v>
      </c>
    </row>
    <row r="5261" spans="1:8" x14ac:dyDescent="0.25">
      <c r="A5261" s="2">
        <v>26191</v>
      </c>
      <c r="B5261">
        <v>39.164000000000001</v>
      </c>
      <c r="C5261">
        <v>143.43899999999999</v>
      </c>
      <c r="D5261" t="s">
        <v>14</v>
      </c>
      <c r="E5261" t="s">
        <v>189</v>
      </c>
      <c r="F5261">
        <f t="shared" si="164"/>
        <v>1971</v>
      </c>
      <c r="G5261">
        <f t="shared" si="165"/>
        <v>9</v>
      </c>
      <c r="H5261" t="str">
        <f>IF(ISNUMBER(FIND(",", E5261)), TRIM(MID(E5261, FIND(",", E5261) + 1, LEN(E5261))), E5261)</f>
        <v>Japan</v>
      </c>
    </row>
    <row r="5262" spans="1:8" x14ac:dyDescent="0.25">
      <c r="A5262" s="2">
        <v>26190</v>
      </c>
      <c r="B5262">
        <v>-6.4409999999999998</v>
      </c>
      <c r="C5262">
        <v>151.547</v>
      </c>
      <c r="D5262" t="s">
        <v>14</v>
      </c>
      <c r="E5262" t="s">
        <v>190</v>
      </c>
      <c r="F5262">
        <f t="shared" si="164"/>
        <v>1971</v>
      </c>
      <c r="G5262">
        <f t="shared" si="165"/>
        <v>9</v>
      </c>
      <c r="H5262" t="str">
        <f>IF(ISNUMBER(FIND(",", E5262)), TRIM(MID(E5262, FIND(",", E5262) + 1, LEN(E5262))), E5262)</f>
        <v>Papua New Guinea</v>
      </c>
    </row>
    <row r="5263" spans="1:8" x14ac:dyDescent="0.25">
      <c r="A5263" s="2">
        <v>26184</v>
      </c>
      <c r="B5263">
        <v>46.302999999999997</v>
      </c>
      <c r="C5263">
        <v>141.054</v>
      </c>
      <c r="D5263" t="s">
        <v>14</v>
      </c>
      <c r="E5263" t="s">
        <v>514</v>
      </c>
      <c r="F5263">
        <f t="shared" si="164"/>
        <v>1971</v>
      </c>
      <c r="G5263">
        <f t="shared" si="165"/>
        <v>9</v>
      </c>
      <c r="H5263" t="str">
        <f>IF(ISNUMBER(FIND(",", E5263)), TRIM(MID(E5263, FIND(",", E5263) + 1, LEN(E5263))), E5263)</f>
        <v>Russia</v>
      </c>
    </row>
    <row r="5264" spans="1:8" x14ac:dyDescent="0.25">
      <c r="A5264" s="2">
        <v>26184</v>
      </c>
      <c r="B5264">
        <v>46.445999999999998</v>
      </c>
      <c r="C5264">
        <v>141.12</v>
      </c>
      <c r="D5264" t="s">
        <v>14</v>
      </c>
      <c r="E5264" t="s">
        <v>514</v>
      </c>
      <c r="F5264">
        <f t="shared" si="164"/>
        <v>1971</v>
      </c>
      <c r="G5264">
        <f t="shared" si="165"/>
        <v>9</v>
      </c>
      <c r="H5264" t="str">
        <f>IF(ISNUMBER(FIND(",", E5264)), TRIM(MID(E5264, FIND(",", E5264) + 1, LEN(E5264))), E5264)</f>
        <v>Russia</v>
      </c>
    </row>
    <row r="5265" spans="1:8" x14ac:dyDescent="0.25">
      <c r="A5265" s="2">
        <v>26181</v>
      </c>
      <c r="B5265">
        <v>46.557000000000002</v>
      </c>
      <c r="C5265">
        <v>141.18899999999999</v>
      </c>
      <c r="D5265" t="s">
        <v>16</v>
      </c>
      <c r="E5265" t="s">
        <v>514</v>
      </c>
      <c r="F5265">
        <f t="shared" si="164"/>
        <v>1971</v>
      </c>
      <c r="G5265">
        <f t="shared" si="165"/>
        <v>9</v>
      </c>
      <c r="H5265" t="str">
        <f>IF(ISNUMBER(FIND(",", E5265)), TRIM(MID(E5265, FIND(",", E5265) + 1, LEN(E5265))), E5265)</f>
        <v>Russia</v>
      </c>
    </row>
    <row r="5266" spans="1:8" x14ac:dyDescent="0.25">
      <c r="A5266" s="2">
        <v>26168</v>
      </c>
      <c r="B5266">
        <v>-3.9980000000000002</v>
      </c>
      <c r="C5266">
        <v>145.90799999999999</v>
      </c>
      <c r="D5266" t="s">
        <v>14</v>
      </c>
      <c r="E5266" t="s">
        <v>216</v>
      </c>
      <c r="F5266">
        <f t="shared" si="164"/>
        <v>1971</v>
      </c>
      <c r="G5266">
        <f t="shared" si="165"/>
        <v>8</v>
      </c>
      <c r="H5266" t="str">
        <f>IF(ISNUMBER(FIND(",", E5266)), TRIM(MID(E5266, FIND(",", E5266) + 1, LEN(E5266))), E5266)</f>
        <v>Papua New Guinea</v>
      </c>
    </row>
    <row r="5267" spans="1:8" x14ac:dyDescent="0.25">
      <c r="A5267" s="2">
        <v>26164</v>
      </c>
      <c r="B5267">
        <v>49.284999999999997</v>
      </c>
      <c r="C5267">
        <v>155.48099999999999</v>
      </c>
      <c r="D5267" t="s">
        <v>14</v>
      </c>
      <c r="E5267" t="s">
        <v>191</v>
      </c>
      <c r="F5267">
        <f t="shared" si="164"/>
        <v>1971</v>
      </c>
      <c r="G5267">
        <f t="shared" si="165"/>
        <v>8</v>
      </c>
      <c r="H5267" t="str">
        <f>IF(ISNUMBER(FIND(",", E5267)), TRIM(MID(E5267, FIND(",", E5267) + 1, LEN(E5267))), E5267)</f>
        <v>Kuril Islands</v>
      </c>
    </row>
    <row r="5268" spans="1:8" x14ac:dyDescent="0.25">
      <c r="A5268" s="2">
        <v>26159</v>
      </c>
      <c r="B5268">
        <v>-15.519</v>
      </c>
      <c r="C5268">
        <v>-178.274</v>
      </c>
      <c r="D5268" t="s">
        <v>14</v>
      </c>
      <c r="E5268" t="s">
        <v>53</v>
      </c>
      <c r="F5268">
        <f t="shared" si="164"/>
        <v>1971</v>
      </c>
      <c r="G5268">
        <f t="shared" si="165"/>
        <v>8</v>
      </c>
      <c r="H5268" t="str">
        <f>IF(ISNUMBER(FIND(",", E5268)), TRIM(MID(E5268, FIND(",", E5268) + 1, LEN(E5268))), E5268)</f>
        <v>Fiji region</v>
      </c>
    </row>
    <row r="5269" spans="1:8" x14ac:dyDescent="0.25">
      <c r="A5269" s="2">
        <v>26158</v>
      </c>
      <c r="B5269">
        <v>-6.1139999999999999</v>
      </c>
      <c r="C5269">
        <v>154.13499999999999</v>
      </c>
      <c r="D5269" t="s">
        <v>14</v>
      </c>
      <c r="E5269" t="s">
        <v>290</v>
      </c>
      <c r="F5269">
        <f t="shared" si="164"/>
        <v>1971</v>
      </c>
      <c r="G5269">
        <f t="shared" si="165"/>
        <v>8</v>
      </c>
      <c r="H5269" t="str">
        <f>IF(ISNUMBER(FIND(",", E5269)), TRIM(MID(E5269, FIND(",", E5269) + 1, LEN(E5269))), E5269)</f>
        <v>Papua New Guinea</v>
      </c>
    </row>
    <row r="5270" spans="1:8" x14ac:dyDescent="0.25">
      <c r="A5270" s="2">
        <v>26156</v>
      </c>
      <c r="B5270">
        <v>-62.787999999999997</v>
      </c>
      <c r="C5270">
        <v>155.833</v>
      </c>
      <c r="D5270" t="s">
        <v>14</v>
      </c>
      <c r="E5270" t="s">
        <v>283</v>
      </c>
      <c r="F5270">
        <f t="shared" si="164"/>
        <v>1971</v>
      </c>
      <c r="G5270">
        <f t="shared" si="165"/>
        <v>8</v>
      </c>
      <c r="H5270" t="str">
        <f>IF(ISNUMBER(FIND(",", E5270)), TRIM(MID(E5270, FIND(",", E5270) + 1, LEN(E5270))), E5270)</f>
        <v>Balleny Islands region</v>
      </c>
    </row>
    <row r="5271" spans="1:8" x14ac:dyDescent="0.25">
      <c r="A5271" s="2">
        <v>26154</v>
      </c>
      <c r="B5271">
        <v>-5.6719999999999997</v>
      </c>
      <c r="C5271">
        <v>152.11199999999999</v>
      </c>
      <c r="D5271" t="s">
        <v>14</v>
      </c>
      <c r="E5271" t="s">
        <v>190</v>
      </c>
      <c r="F5271">
        <f t="shared" si="164"/>
        <v>1971</v>
      </c>
      <c r="G5271">
        <f t="shared" si="165"/>
        <v>8</v>
      </c>
      <c r="H5271" t="str">
        <f>IF(ISNUMBER(FIND(",", E5271)), TRIM(MID(E5271, FIND(",", E5271) + 1, LEN(E5271))), E5271)</f>
        <v>Papua New Guinea</v>
      </c>
    </row>
    <row r="5272" spans="1:8" x14ac:dyDescent="0.25">
      <c r="A5272" s="2">
        <v>26150</v>
      </c>
      <c r="B5272">
        <v>-0.92900000000000005</v>
      </c>
      <c r="C5272">
        <v>-22.085000000000001</v>
      </c>
      <c r="D5272" t="s">
        <v>14</v>
      </c>
      <c r="E5272" t="s">
        <v>291</v>
      </c>
      <c r="F5272">
        <f t="shared" si="164"/>
        <v>1971</v>
      </c>
      <c r="G5272">
        <f t="shared" si="165"/>
        <v>8</v>
      </c>
      <c r="H5272" t="str">
        <f>IF(ISNUMBER(FIND(",", E5272)), TRIM(MID(E5272, FIND(",", E5272) + 1, LEN(E5272))), E5272)</f>
        <v>central Mid-Atlantic Ridge</v>
      </c>
    </row>
    <row r="5273" spans="1:8" x14ac:dyDescent="0.25">
      <c r="A5273" s="2">
        <v>26147</v>
      </c>
      <c r="B5273">
        <v>41.378</v>
      </c>
      <c r="C5273">
        <v>143.45599999999999</v>
      </c>
      <c r="D5273" t="s">
        <v>16</v>
      </c>
      <c r="E5273" t="s">
        <v>265</v>
      </c>
      <c r="F5273">
        <f t="shared" si="164"/>
        <v>1971</v>
      </c>
      <c r="G5273">
        <f t="shared" si="165"/>
        <v>8</v>
      </c>
      <c r="H5273" t="str">
        <f>IF(ISNUMBER(FIND(",", E5273)), TRIM(MID(E5273, FIND(",", E5273) + 1, LEN(E5273))), E5273)</f>
        <v>Japan region</v>
      </c>
    </row>
    <row r="5274" spans="1:8" x14ac:dyDescent="0.25">
      <c r="A5274" s="2">
        <v>26142</v>
      </c>
      <c r="B5274">
        <v>-5.1310000000000002</v>
      </c>
      <c r="C5274">
        <v>152.911</v>
      </c>
      <c r="D5274" t="s">
        <v>14</v>
      </c>
      <c r="E5274" t="s">
        <v>190</v>
      </c>
      <c r="F5274">
        <f t="shared" si="164"/>
        <v>1971</v>
      </c>
      <c r="G5274">
        <f t="shared" si="165"/>
        <v>7</v>
      </c>
      <c r="H5274" t="str">
        <f>IF(ISNUMBER(FIND(",", E5274)), TRIM(MID(E5274, FIND(",", E5274) + 1, LEN(E5274))), E5274)</f>
        <v>Papua New Guinea</v>
      </c>
    </row>
    <row r="5275" spans="1:8" x14ac:dyDescent="0.25">
      <c r="A5275" s="2">
        <v>26141</v>
      </c>
      <c r="B5275">
        <v>-5.1369999999999996</v>
      </c>
      <c r="C5275">
        <v>152.958</v>
      </c>
      <c r="D5275" t="s">
        <v>14</v>
      </c>
      <c r="E5275" t="s">
        <v>190</v>
      </c>
      <c r="F5275">
        <f t="shared" si="164"/>
        <v>1971</v>
      </c>
      <c r="G5275">
        <f t="shared" si="165"/>
        <v>7</v>
      </c>
      <c r="H5275" t="str">
        <f>IF(ISNUMBER(FIND(",", E5275)), TRIM(MID(E5275, FIND(",", E5275) + 1, LEN(E5275))), E5275)</f>
        <v>Papua New Guinea</v>
      </c>
    </row>
    <row r="5276" spans="1:8" x14ac:dyDescent="0.25">
      <c r="A5276" s="2">
        <v>26141</v>
      </c>
      <c r="B5276">
        <v>-2.827</v>
      </c>
      <c r="C5276">
        <v>-77.36</v>
      </c>
      <c r="D5276" t="s">
        <v>13</v>
      </c>
      <c r="E5276" t="s">
        <v>414</v>
      </c>
      <c r="F5276">
        <f t="shared" si="164"/>
        <v>1971</v>
      </c>
      <c r="G5276">
        <f t="shared" si="165"/>
        <v>7</v>
      </c>
      <c r="H5276" t="str">
        <f>IF(ISNUMBER(FIND(",", E5276)), TRIM(MID(E5276, FIND(",", E5276) + 1, LEN(E5276))), E5276)</f>
        <v>Peru-Ecuador border region</v>
      </c>
    </row>
    <row r="5277" spans="1:8" x14ac:dyDescent="0.25">
      <c r="A5277" s="2">
        <v>26140</v>
      </c>
      <c r="B5277">
        <v>-5.819</v>
      </c>
      <c r="C5277">
        <v>151.27099999999999</v>
      </c>
      <c r="D5277" t="s">
        <v>14</v>
      </c>
      <c r="E5277" t="s">
        <v>190</v>
      </c>
      <c r="F5277">
        <f t="shared" si="164"/>
        <v>1971</v>
      </c>
      <c r="G5277">
        <f t="shared" si="165"/>
        <v>7</v>
      </c>
      <c r="H5277" t="str">
        <f>IF(ISNUMBER(FIND(",", E5277)), TRIM(MID(E5277, FIND(",", E5277) + 1, LEN(E5277))), E5277)</f>
        <v>Papua New Guinea</v>
      </c>
    </row>
    <row r="5278" spans="1:8" x14ac:dyDescent="0.25">
      <c r="A5278" s="2">
        <v>26140</v>
      </c>
      <c r="B5278">
        <v>-5.7030000000000003</v>
      </c>
      <c r="C5278">
        <v>151.541</v>
      </c>
      <c r="D5278" t="s">
        <v>14</v>
      </c>
      <c r="E5278" t="s">
        <v>190</v>
      </c>
      <c r="F5278">
        <f t="shared" si="164"/>
        <v>1971</v>
      </c>
      <c r="G5278">
        <f t="shared" si="165"/>
        <v>7</v>
      </c>
      <c r="H5278" t="str">
        <f>IF(ISNUMBER(FIND(",", E5278)), TRIM(MID(E5278, FIND(",", E5278) + 1, LEN(E5278))), E5278)</f>
        <v>Papua New Guinea</v>
      </c>
    </row>
    <row r="5279" spans="1:8" x14ac:dyDescent="0.25">
      <c r="A5279" s="2">
        <v>26140</v>
      </c>
      <c r="B5279">
        <v>-5.843</v>
      </c>
      <c r="C5279">
        <v>151.55000000000001</v>
      </c>
      <c r="D5279" t="s">
        <v>13</v>
      </c>
      <c r="E5279" t="s">
        <v>190</v>
      </c>
      <c r="F5279">
        <f t="shared" si="164"/>
        <v>1971</v>
      </c>
      <c r="G5279">
        <f t="shared" si="165"/>
        <v>7</v>
      </c>
      <c r="H5279" t="str">
        <f>IF(ISNUMBER(FIND(",", E5279)), TRIM(MID(E5279, FIND(",", E5279) + 1, LEN(E5279))), E5279)</f>
        <v>Papua New Guinea</v>
      </c>
    </row>
    <row r="5280" spans="1:8" x14ac:dyDescent="0.25">
      <c r="A5280" s="2">
        <v>26140</v>
      </c>
      <c r="B5280">
        <v>-5.7279999999999998</v>
      </c>
      <c r="C5280">
        <v>151.93889999999999</v>
      </c>
      <c r="E5280" t="s">
        <v>190</v>
      </c>
      <c r="F5280">
        <f t="shared" si="164"/>
        <v>1971</v>
      </c>
      <c r="G5280">
        <f t="shared" si="165"/>
        <v>7</v>
      </c>
      <c r="H5280" t="str">
        <f>IF(ISNUMBER(FIND(",", E5280)), TRIM(MID(E5280, FIND(",", E5280) + 1, LEN(E5280))), E5280)</f>
        <v>Papua New Guinea</v>
      </c>
    </row>
    <row r="5281" spans="1:8" x14ac:dyDescent="0.25">
      <c r="A5281" s="2">
        <v>26140</v>
      </c>
      <c r="B5281">
        <v>-5.1849999999999996</v>
      </c>
      <c r="C5281">
        <v>152.36000000000001</v>
      </c>
      <c r="D5281" t="s">
        <v>13</v>
      </c>
      <c r="E5281" t="s">
        <v>190</v>
      </c>
      <c r="F5281">
        <f t="shared" si="164"/>
        <v>1971</v>
      </c>
      <c r="G5281">
        <f t="shared" si="165"/>
        <v>7</v>
      </c>
      <c r="H5281" t="str">
        <f>IF(ISNUMBER(FIND(",", E5281)), TRIM(MID(E5281, FIND(",", E5281) + 1, LEN(E5281))), E5281)</f>
        <v>Papua New Guinea</v>
      </c>
    </row>
    <row r="5282" spans="1:8" x14ac:dyDescent="0.25">
      <c r="A5282" s="2">
        <v>26140</v>
      </c>
      <c r="B5282">
        <v>-4.8890000000000002</v>
      </c>
      <c r="C5282">
        <v>153.18199999999999</v>
      </c>
      <c r="D5282" t="s">
        <v>16</v>
      </c>
      <c r="E5282" t="s">
        <v>183</v>
      </c>
      <c r="F5282">
        <f t="shared" si="164"/>
        <v>1971</v>
      </c>
      <c r="G5282">
        <f t="shared" si="165"/>
        <v>7</v>
      </c>
      <c r="H5282" t="str">
        <f>IF(ISNUMBER(FIND(",", E5282)), TRIM(MID(E5282, FIND(",", E5282) + 1, LEN(E5282))), E5282)</f>
        <v>Papua New Guinea</v>
      </c>
    </row>
    <row r="5283" spans="1:8" x14ac:dyDescent="0.25">
      <c r="A5283" s="2">
        <v>26139</v>
      </c>
      <c r="B5283">
        <v>52.133000000000003</v>
      </c>
      <c r="C5283">
        <v>173.07300000000001</v>
      </c>
      <c r="D5283" t="s">
        <v>14</v>
      </c>
      <c r="E5283" t="s">
        <v>184</v>
      </c>
      <c r="F5283">
        <f t="shared" si="164"/>
        <v>1971</v>
      </c>
      <c r="G5283">
        <f t="shared" si="165"/>
        <v>7</v>
      </c>
      <c r="H5283" t="str">
        <f>IF(ISNUMBER(FIND(",", E5283)), TRIM(MID(E5283, FIND(",", E5283) + 1, LEN(E5283))), E5283)</f>
        <v>Aleutian Islands, Alaska</v>
      </c>
    </row>
    <row r="5284" spans="1:8" x14ac:dyDescent="0.25">
      <c r="A5284" s="2">
        <v>26139</v>
      </c>
      <c r="B5284">
        <v>12.452999999999999</v>
      </c>
      <c r="C5284">
        <v>123.705</v>
      </c>
      <c r="D5284" t="s">
        <v>14</v>
      </c>
      <c r="E5284" t="s">
        <v>658</v>
      </c>
      <c r="F5284">
        <f t="shared" si="164"/>
        <v>1971</v>
      </c>
      <c r="G5284">
        <f t="shared" si="165"/>
        <v>7</v>
      </c>
      <c r="H5284" t="str">
        <f>IF(ISNUMBER(FIND(",", E5284)), TRIM(MID(E5284, FIND(",", E5284) + 1, LEN(E5284))), E5284)</f>
        <v>Philippines</v>
      </c>
    </row>
    <row r="5285" spans="1:8" x14ac:dyDescent="0.25">
      <c r="A5285" s="2">
        <v>26133</v>
      </c>
      <c r="B5285">
        <v>-5.6130000000000004</v>
      </c>
      <c r="C5285">
        <v>150.63200000000001</v>
      </c>
      <c r="D5285" t="s">
        <v>14</v>
      </c>
      <c r="E5285" t="s">
        <v>190</v>
      </c>
      <c r="F5285">
        <f t="shared" si="164"/>
        <v>1971</v>
      </c>
      <c r="G5285">
        <f t="shared" si="165"/>
        <v>7</v>
      </c>
      <c r="H5285" t="str">
        <f>IF(ISNUMBER(FIND(",", E5285)), TRIM(MID(E5285, FIND(",", E5285) + 1, LEN(E5285))), E5285)</f>
        <v>Papua New Guinea</v>
      </c>
    </row>
    <row r="5286" spans="1:8" x14ac:dyDescent="0.25">
      <c r="A5286" s="2">
        <v>26133</v>
      </c>
      <c r="B5286">
        <v>-5.7510000000000003</v>
      </c>
      <c r="C5286">
        <v>153.86099999999999</v>
      </c>
      <c r="D5286" t="s">
        <v>14</v>
      </c>
      <c r="E5286" t="s">
        <v>183</v>
      </c>
      <c r="F5286">
        <f t="shared" si="164"/>
        <v>1971</v>
      </c>
      <c r="G5286">
        <f t="shared" si="165"/>
        <v>7</v>
      </c>
      <c r="H5286" t="str">
        <f>IF(ISNUMBER(FIND(",", E5286)), TRIM(MID(E5286, FIND(",", E5286) + 1, LEN(E5286))), E5286)</f>
        <v>Papua New Guinea</v>
      </c>
    </row>
    <row r="5287" spans="1:8" x14ac:dyDescent="0.25">
      <c r="A5287" s="2">
        <v>26132</v>
      </c>
      <c r="B5287">
        <v>-4.8570000000000002</v>
      </c>
      <c r="C5287">
        <v>153.35300000000001</v>
      </c>
      <c r="D5287" t="s">
        <v>14</v>
      </c>
      <c r="E5287" t="s">
        <v>183</v>
      </c>
      <c r="F5287">
        <f t="shared" si="164"/>
        <v>1971</v>
      </c>
      <c r="G5287">
        <f t="shared" si="165"/>
        <v>7</v>
      </c>
      <c r="H5287" t="str">
        <f>IF(ISNUMBER(FIND(",", E5287)), TRIM(MID(E5287, FIND(",", E5287) + 1, LEN(E5287))), E5287)</f>
        <v>Papua New Guinea</v>
      </c>
    </row>
    <row r="5288" spans="1:8" x14ac:dyDescent="0.25">
      <c r="A5288" s="2">
        <v>26128</v>
      </c>
      <c r="B5288">
        <v>-5.22</v>
      </c>
      <c r="C5288">
        <v>153.29300000000001</v>
      </c>
      <c r="D5288" t="s">
        <v>14</v>
      </c>
      <c r="E5288" t="s">
        <v>183</v>
      </c>
      <c r="F5288">
        <f t="shared" si="164"/>
        <v>1971</v>
      </c>
      <c r="G5288">
        <f t="shared" si="165"/>
        <v>7</v>
      </c>
      <c r="H5288" t="str">
        <f>IF(ISNUMBER(FIND(",", E5288)), TRIM(MID(E5288, FIND(",", E5288) + 1, LEN(E5288))), E5288)</f>
        <v>Papua New Guinea</v>
      </c>
    </row>
    <row r="5289" spans="1:8" x14ac:dyDescent="0.25">
      <c r="A5289" s="2">
        <v>26128</v>
      </c>
      <c r="B5289">
        <v>-5.173</v>
      </c>
      <c r="C5289">
        <v>153.232</v>
      </c>
      <c r="D5289" t="s">
        <v>14</v>
      </c>
      <c r="E5289" t="s">
        <v>183</v>
      </c>
      <c r="F5289">
        <f t="shared" si="164"/>
        <v>1971</v>
      </c>
      <c r="G5289">
        <f t="shared" si="165"/>
        <v>7</v>
      </c>
      <c r="H5289" t="str">
        <f>IF(ISNUMBER(FIND(",", E5289)), TRIM(MID(E5289, FIND(",", E5289) + 1, LEN(E5289))), E5289)</f>
        <v>Papua New Guinea</v>
      </c>
    </row>
    <row r="5290" spans="1:8" x14ac:dyDescent="0.25">
      <c r="A5290" s="2">
        <v>26128</v>
      </c>
      <c r="B5290">
        <v>-5.6040000000000001</v>
      </c>
      <c r="C5290">
        <v>153.768</v>
      </c>
      <c r="D5290" t="s">
        <v>16</v>
      </c>
      <c r="E5290" t="s">
        <v>183</v>
      </c>
      <c r="F5290">
        <f t="shared" si="164"/>
        <v>1971</v>
      </c>
      <c r="G5290">
        <f t="shared" si="165"/>
        <v>7</v>
      </c>
      <c r="H5290" t="str">
        <f>IF(ISNUMBER(FIND(",", E5290)), TRIM(MID(E5290, FIND(",", E5290) + 1, LEN(E5290))), E5290)</f>
        <v>Papua New Guinea</v>
      </c>
    </row>
    <row r="5291" spans="1:8" x14ac:dyDescent="0.25">
      <c r="A5291" s="2">
        <v>26128</v>
      </c>
      <c r="B5291">
        <v>-5.5190000000000001</v>
      </c>
      <c r="C5291">
        <v>153.904</v>
      </c>
      <c r="D5291" t="s">
        <v>16</v>
      </c>
      <c r="E5291" t="s">
        <v>183</v>
      </c>
      <c r="F5291">
        <f t="shared" si="164"/>
        <v>1971</v>
      </c>
      <c r="G5291">
        <f t="shared" si="165"/>
        <v>7</v>
      </c>
      <c r="H5291" t="str">
        <f>IF(ISNUMBER(FIND(",", E5291)), TRIM(MID(E5291, FIND(",", E5291) + 1, LEN(E5291))), E5291)</f>
        <v>Papua New Guinea</v>
      </c>
    </row>
    <row r="5292" spans="1:8" x14ac:dyDescent="0.25">
      <c r="A5292" s="2">
        <v>26125</v>
      </c>
      <c r="B5292">
        <v>-32.247999999999998</v>
      </c>
      <c r="C5292">
        <v>-71.703999999999994</v>
      </c>
      <c r="D5292" t="s">
        <v>14</v>
      </c>
      <c r="E5292" t="s">
        <v>286</v>
      </c>
      <c r="F5292">
        <f t="shared" si="164"/>
        <v>1971</v>
      </c>
      <c r="G5292">
        <f t="shared" si="165"/>
        <v>7</v>
      </c>
      <c r="H5292" t="str">
        <f>IF(ISNUMBER(FIND(",", E5292)), TRIM(MID(E5292, FIND(",", E5292) + 1, LEN(E5292))), E5292)</f>
        <v>Chile</v>
      </c>
    </row>
    <row r="5293" spans="1:8" x14ac:dyDescent="0.25">
      <c r="A5293" s="2">
        <v>26123</v>
      </c>
      <c r="B5293">
        <v>-32.558</v>
      </c>
      <c r="C5293">
        <v>-71.084999999999994</v>
      </c>
      <c r="D5293" t="s">
        <v>16</v>
      </c>
      <c r="E5293" t="s">
        <v>244</v>
      </c>
      <c r="F5293">
        <f t="shared" si="164"/>
        <v>1971</v>
      </c>
      <c r="G5293">
        <f t="shared" si="165"/>
        <v>7</v>
      </c>
      <c r="H5293" t="str">
        <f>IF(ISNUMBER(FIND(",", E5293)), TRIM(MID(E5293, FIND(",", E5293) + 1, LEN(E5293))), E5293)</f>
        <v>Chile</v>
      </c>
    </row>
    <row r="5294" spans="1:8" x14ac:dyDescent="0.25">
      <c r="A5294" s="2">
        <v>26122</v>
      </c>
      <c r="B5294">
        <v>-7.0629999999999997</v>
      </c>
      <c r="C5294">
        <v>129.64500000000001</v>
      </c>
      <c r="D5294" t="s">
        <v>13</v>
      </c>
      <c r="E5294" t="s">
        <v>615</v>
      </c>
      <c r="F5294">
        <f t="shared" si="164"/>
        <v>1971</v>
      </c>
      <c r="G5294">
        <f t="shared" si="165"/>
        <v>7</v>
      </c>
      <c r="H5294" t="str">
        <f>IF(ISNUMBER(FIND(",", E5294)), TRIM(MID(E5294, FIND(",", E5294) + 1, LEN(E5294))), E5294)</f>
        <v>Indonesia</v>
      </c>
    </row>
    <row r="5295" spans="1:8" x14ac:dyDescent="0.25">
      <c r="A5295" s="2">
        <v>26111</v>
      </c>
      <c r="B5295">
        <v>-5.88</v>
      </c>
      <c r="C5295">
        <v>144.36490000000001</v>
      </c>
      <c r="E5295" t="s">
        <v>253</v>
      </c>
      <c r="F5295">
        <f t="shared" si="164"/>
        <v>1971</v>
      </c>
      <c r="G5295">
        <f t="shared" si="165"/>
        <v>6</v>
      </c>
      <c r="H5295" t="str">
        <f>IF(ISNUMBER(FIND(",", E5295)), TRIM(MID(E5295, FIND(",", E5295) + 1, LEN(E5295))), E5295)</f>
        <v>Papua New Guinea</v>
      </c>
    </row>
    <row r="5296" spans="1:8" x14ac:dyDescent="0.25">
      <c r="A5296" s="2">
        <v>26110</v>
      </c>
      <c r="B5296">
        <v>-5.2160000000000002</v>
      </c>
      <c r="C5296">
        <v>96.843999999999994</v>
      </c>
      <c r="D5296" t="s">
        <v>14</v>
      </c>
      <c r="E5296" t="s">
        <v>450</v>
      </c>
      <c r="F5296">
        <f t="shared" si="164"/>
        <v>1971</v>
      </c>
      <c r="G5296">
        <f t="shared" si="165"/>
        <v>6</v>
      </c>
      <c r="H5296" t="str">
        <f>IF(ISNUMBER(FIND(",", E5296)), TRIM(MID(E5296, FIND(",", E5296) + 1, LEN(E5296))), E5296)</f>
        <v>Indonesia</v>
      </c>
    </row>
    <row r="5297" spans="1:8" x14ac:dyDescent="0.25">
      <c r="A5297" s="2">
        <v>26101</v>
      </c>
      <c r="B5297">
        <v>-25.422999999999998</v>
      </c>
      <c r="C5297">
        <v>-69.051000000000002</v>
      </c>
      <c r="D5297" t="s">
        <v>13</v>
      </c>
      <c r="E5297" t="s">
        <v>289</v>
      </c>
      <c r="F5297">
        <f t="shared" si="164"/>
        <v>1971</v>
      </c>
      <c r="G5297">
        <f t="shared" si="165"/>
        <v>6</v>
      </c>
      <c r="H5297" t="str">
        <f>IF(ISNUMBER(FIND(",", E5297)), TRIM(MID(E5297, FIND(",", E5297) + 1, LEN(E5297))), E5297)</f>
        <v>Chile</v>
      </c>
    </row>
    <row r="5298" spans="1:8" x14ac:dyDescent="0.25">
      <c r="A5298" s="2">
        <v>26095</v>
      </c>
      <c r="B5298">
        <v>51.581000000000003</v>
      </c>
      <c r="C5298">
        <v>176.09200000000001</v>
      </c>
      <c r="D5298" t="s">
        <v>14</v>
      </c>
      <c r="E5298" t="s">
        <v>366</v>
      </c>
      <c r="F5298">
        <f t="shared" si="164"/>
        <v>1971</v>
      </c>
      <c r="G5298">
        <f t="shared" si="165"/>
        <v>6</v>
      </c>
      <c r="H5298" t="str">
        <f>IF(ISNUMBER(FIND(",", E5298)), TRIM(MID(E5298, FIND(",", E5298) + 1, LEN(E5298))), E5298)</f>
        <v>Aleutian Islands, Alaska</v>
      </c>
    </row>
    <row r="5299" spans="1:8" x14ac:dyDescent="0.25">
      <c r="A5299" s="2">
        <v>26095</v>
      </c>
      <c r="B5299">
        <v>17.984999999999999</v>
      </c>
      <c r="C5299">
        <v>-69.804000000000002</v>
      </c>
      <c r="D5299" t="s">
        <v>17</v>
      </c>
      <c r="E5299" t="s">
        <v>601</v>
      </c>
      <c r="F5299">
        <f t="shared" si="164"/>
        <v>1971</v>
      </c>
      <c r="G5299">
        <f t="shared" si="165"/>
        <v>6</v>
      </c>
      <c r="H5299" t="str">
        <f>IF(ISNUMBER(FIND(",", E5299)), TRIM(MID(E5299, FIND(",", E5299) + 1, LEN(E5299))), E5299)</f>
        <v>Dominican Republic region</v>
      </c>
    </row>
    <row r="5300" spans="1:8" x14ac:dyDescent="0.25">
      <c r="A5300" s="2">
        <v>26084</v>
      </c>
      <c r="B5300">
        <v>25.234000000000002</v>
      </c>
      <c r="C5300">
        <v>96.494</v>
      </c>
      <c r="D5300" t="s">
        <v>14</v>
      </c>
      <c r="E5300" t="s">
        <v>197</v>
      </c>
      <c r="F5300">
        <f t="shared" si="164"/>
        <v>1971</v>
      </c>
      <c r="G5300">
        <f t="shared" si="165"/>
        <v>5</v>
      </c>
      <c r="H5300" t="str">
        <f>IF(ISNUMBER(FIND(",", E5300)), TRIM(MID(E5300, FIND(",", E5300) + 1, LEN(E5300))), E5300)</f>
        <v>Myanmar</v>
      </c>
    </row>
    <row r="5301" spans="1:8" x14ac:dyDescent="0.25">
      <c r="A5301" s="2">
        <v>26084</v>
      </c>
      <c r="B5301">
        <v>72.204999999999998</v>
      </c>
      <c r="C5301">
        <v>1.0049999999999999</v>
      </c>
      <c r="D5301" t="s">
        <v>17</v>
      </c>
      <c r="E5301" t="s">
        <v>234</v>
      </c>
      <c r="F5301">
        <f t="shared" si="164"/>
        <v>1971</v>
      </c>
      <c r="G5301">
        <f t="shared" si="165"/>
        <v>5</v>
      </c>
      <c r="H5301" t="str">
        <f>IF(ISNUMBER(FIND(",", E5301)), TRIM(MID(E5301, FIND(",", E5301) + 1, LEN(E5301))), E5301)</f>
        <v>Norwegian Sea</v>
      </c>
    </row>
    <row r="5302" spans="1:8" x14ac:dyDescent="0.25">
      <c r="A5302" s="2">
        <v>26083</v>
      </c>
      <c r="B5302">
        <v>25.199000000000002</v>
      </c>
      <c r="C5302">
        <v>96.350999999999999</v>
      </c>
      <c r="D5302" t="s">
        <v>14</v>
      </c>
      <c r="E5302" t="s">
        <v>197</v>
      </c>
      <c r="F5302">
        <f t="shared" si="164"/>
        <v>1971</v>
      </c>
      <c r="G5302">
        <f t="shared" si="165"/>
        <v>5</v>
      </c>
      <c r="H5302" t="str">
        <f>IF(ISNUMBER(FIND(",", E5302)), TRIM(MID(E5302, FIND(",", E5302) + 1, LEN(E5302))), E5302)</f>
        <v>Myanmar</v>
      </c>
    </row>
    <row r="5303" spans="1:8" x14ac:dyDescent="0.25">
      <c r="A5303" s="2">
        <v>26075</v>
      </c>
      <c r="B5303">
        <v>32.326999999999998</v>
      </c>
      <c r="C5303">
        <v>92.097999999999999</v>
      </c>
      <c r="D5303" t="s">
        <v>14</v>
      </c>
      <c r="E5303" t="s">
        <v>659</v>
      </c>
      <c r="F5303">
        <f t="shared" si="164"/>
        <v>1971</v>
      </c>
      <c r="G5303">
        <f t="shared" si="165"/>
        <v>5</v>
      </c>
      <c r="H5303" t="str">
        <f>IF(ISNUMBER(FIND(",", E5303)), TRIM(MID(E5303, FIND(",", E5303) + 1, LEN(E5303))), E5303)</f>
        <v>Xizang-Qinghai border region</v>
      </c>
    </row>
    <row r="5304" spans="1:8" x14ac:dyDescent="0.25">
      <c r="A5304" s="2">
        <v>26075</v>
      </c>
      <c r="B5304">
        <v>38.866999999999997</v>
      </c>
      <c r="C5304">
        <v>40.539000000000001</v>
      </c>
      <c r="D5304" t="s">
        <v>14</v>
      </c>
      <c r="E5304" t="s">
        <v>272</v>
      </c>
      <c r="F5304">
        <f t="shared" si="164"/>
        <v>1971</v>
      </c>
      <c r="G5304">
        <f t="shared" si="165"/>
        <v>5</v>
      </c>
      <c r="H5304" t="str">
        <f>IF(ISNUMBER(FIND(",", E5304)), TRIM(MID(E5304, FIND(",", E5304) + 1, LEN(E5304))), E5304)</f>
        <v>eastern Turkey</v>
      </c>
    </row>
    <row r="5305" spans="1:8" x14ac:dyDescent="0.25">
      <c r="A5305" s="2">
        <v>26071</v>
      </c>
      <c r="B5305">
        <v>63.923000000000002</v>
      </c>
      <c r="C5305">
        <v>146.108</v>
      </c>
      <c r="D5305" t="s">
        <v>17</v>
      </c>
      <c r="E5305" t="s">
        <v>660</v>
      </c>
      <c r="F5305">
        <f t="shared" si="164"/>
        <v>1971</v>
      </c>
      <c r="G5305">
        <f t="shared" si="165"/>
        <v>5</v>
      </c>
      <c r="H5305" t="str">
        <f>IF(ISNUMBER(FIND(",", E5305)), TRIM(MID(E5305, FIND(",", E5305) + 1, LEN(E5305))), E5305)</f>
        <v>Russia</v>
      </c>
    </row>
    <row r="5306" spans="1:8" x14ac:dyDescent="0.25">
      <c r="A5306" s="2">
        <v>26062</v>
      </c>
      <c r="B5306">
        <v>-39.746000000000002</v>
      </c>
      <c r="C5306">
        <v>-104.947</v>
      </c>
      <c r="D5306" t="s">
        <v>14</v>
      </c>
      <c r="E5306" t="s">
        <v>633</v>
      </c>
      <c r="F5306">
        <f t="shared" si="164"/>
        <v>1971</v>
      </c>
      <c r="G5306">
        <f t="shared" si="165"/>
        <v>5</v>
      </c>
      <c r="H5306" t="str">
        <f>IF(ISNUMBER(FIND(",", E5306)), TRIM(MID(E5306, FIND(",", E5306) + 1, LEN(E5306))), E5306)</f>
        <v>southern Pacific Ocean</v>
      </c>
    </row>
    <row r="5307" spans="1:8" x14ac:dyDescent="0.25">
      <c r="A5307" s="2">
        <v>26057</v>
      </c>
      <c r="B5307">
        <v>-6.5469999999999997</v>
      </c>
      <c r="C5307">
        <v>105.312</v>
      </c>
      <c r="D5307" t="s">
        <v>17</v>
      </c>
      <c r="E5307" t="s">
        <v>278</v>
      </c>
      <c r="F5307">
        <f t="shared" si="164"/>
        <v>1971</v>
      </c>
      <c r="G5307">
        <f t="shared" si="165"/>
        <v>5</v>
      </c>
      <c r="H5307" t="str">
        <f>IF(ISNUMBER(FIND(",", E5307)), TRIM(MID(E5307, FIND(",", E5307) + 1, LEN(E5307))), E5307)</f>
        <v>Indonesia</v>
      </c>
    </row>
    <row r="5308" spans="1:8" x14ac:dyDescent="0.25">
      <c r="A5308" s="2">
        <v>26055</v>
      </c>
      <c r="B5308">
        <v>51.433</v>
      </c>
      <c r="C5308">
        <v>-177.24600000000001</v>
      </c>
      <c r="D5308" t="s">
        <v>14</v>
      </c>
      <c r="E5308" t="s">
        <v>207</v>
      </c>
      <c r="F5308">
        <f t="shared" si="164"/>
        <v>1971</v>
      </c>
      <c r="G5308">
        <f t="shared" si="165"/>
        <v>5</v>
      </c>
      <c r="H5308" t="str">
        <f>IF(ISNUMBER(FIND(",", E5308)), TRIM(MID(E5308, FIND(",", E5308) + 1, LEN(E5308))), E5308)</f>
        <v>Aleutian Islands, Alaska</v>
      </c>
    </row>
    <row r="5309" spans="1:8" x14ac:dyDescent="0.25">
      <c r="A5309" s="2">
        <v>26051</v>
      </c>
      <c r="B5309">
        <v>22.952000000000002</v>
      </c>
      <c r="C5309">
        <v>100.99299999999999</v>
      </c>
      <c r="D5309" t="s">
        <v>14</v>
      </c>
      <c r="E5309" t="s">
        <v>423</v>
      </c>
      <c r="F5309">
        <f t="shared" si="164"/>
        <v>1971</v>
      </c>
      <c r="G5309">
        <f t="shared" si="165"/>
        <v>4</v>
      </c>
      <c r="H5309" t="str">
        <f>IF(ISNUMBER(FIND(",", E5309)), TRIM(MID(E5309, FIND(",", E5309) + 1, LEN(E5309))), E5309)</f>
        <v>China</v>
      </c>
    </row>
    <row r="5310" spans="1:8" x14ac:dyDescent="0.25">
      <c r="A5310" s="2">
        <v>26031</v>
      </c>
      <c r="B5310">
        <v>-4.47</v>
      </c>
      <c r="C5310">
        <v>102.264</v>
      </c>
      <c r="D5310" t="s">
        <v>13</v>
      </c>
      <c r="E5310" t="s">
        <v>308</v>
      </c>
      <c r="F5310">
        <f t="shared" si="164"/>
        <v>1971</v>
      </c>
      <c r="G5310">
        <f t="shared" si="165"/>
        <v>4</v>
      </c>
      <c r="H5310" t="str">
        <f>IF(ISNUMBER(FIND(",", E5310)), TRIM(MID(E5310, FIND(",", E5310) + 1, LEN(E5310))), E5310)</f>
        <v>Indonesia</v>
      </c>
    </row>
    <row r="5311" spans="1:8" x14ac:dyDescent="0.25">
      <c r="A5311" s="2">
        <v>26030</v>
      </c>
      <c r="B5311">
        <v>2.427</v>
      </c>
      <c r="C5311">
        <v>129.11500000000001</v>
      </c>
      <c r="D5311" t="s">
        <v>14</v>
      </c>
      <c r="E5311" t="s">
        <v>311</v>
      </c>
      <c r="F5311">
        <f t="shared" si="164"/>
        <v>1971</v>
      </c>
      <c r="G5311">
        <f t="shared" si="165"/>
        <v>4</v>
      </c>
      <c r="H5311" t="str">
        <f>IF(ISNUMBER(FIND(",", E5311)), TRIM(MID(E5311, FIND(",", E5311) + 1, LEN(E5311))), E5311)</f>
        <v>Indonesia</v>
      </c>
    </row>
    <row r="5312" spans="1:8" x14ac:dyDescent="0.25">
      <c r="A5312" s="2">
        <v>26029</v>
      </c>
      <c r="B5312">
        <v>-22.218</v>
      </c>
      <c r="C5312">
        <v>-179.47</v>
      </c>
      <c r="D5312" t="s">
        <v>14</v>
      </c>
      <c r="E5312" t="s">
        <v>256</v>
      </c>
      <c r="F5312">
        <f t="shared" si="164"/>
        <v>1971</v>
      </c>
      <c r="G5312">
        <f t="shared" si="165"/>
        <v>4</v>
      </c>
      <c r="H5312" t="str">
        <f>IF(ISNUMBER(FIND(",", E5312)), TRIM(MID(E5312, FIND(",", E5312) + 1, LEN(E5312))), E5312)</f>
        <v>south of the Fiji Islands</v>
      </c>
    </row>
    <row r="5313" spans="1:8" x14ac:dyDescent="0.25">
      <c r="A5313" s="2">
        <v>26028</v>
      </c>
      <c r="B5313">
        <v>-0.36199999999999999</v>
      </c>
      <c r="C5313">
        <v>124.66800000000001</v>
      </c>
      <c r="D5313" t="s">
        <v>13</v>
      </c>
      <c r="E5313" t="s">
        <v>186</v>
      </c>
      <c r="F5313">
        <f t="shared" si="164"/>
        <v>1971</v>
      </c>
      <c r="G5313">
        <f t="shared" si="165"/>
        <v>4</v>
      </c>
      <c r="H5313" t="str">
        <f>IF(ISNUMBER(FIND(",", E5313)), TRIM(MID(E5313, FIND(",", E5313) + 1, LEN(E5313))), E5313)</f>
        <v>Molucca Sea</v>
      </c>
    </row>
    <row r="5314" spans="1:8" x14ac:dyDescent="0.25">
      <c r="A5314" s="2">
        <v>26027</v>
      </c>
      <c r="B5314">
        <v>-56.115000000000002</v>
      </c>
      <c r="C5314">
        <v>-122.548</v>
      </c>
      <c r="D5314" t="s">
        <v>14</v>
      </c>
      <c r="E5314" t="s">
        <v>268</v>
      </c>
      <c r="F5314">
        <f t="shared" ref="F5314:F5377" si="166">YEAR(A5314)</f>
        <v>1971</v>
      </c>
      <c r="G5314">
        <f t="shared" si="165"/>
        <v>4</v>
      </c>
      <c r="H5314" t="str">
        <f>IF(ISNUMBER(FIND(",", E5314)), TRIM(MID(E5314, FIND(",", E5314) + 1, LEN(E5314))), E5314)</f>
        <v>southern East Pacific Rise</v>
      </c>
    </row>
    <row r="5315" spans="1:8" x14ac:dyDescent="0.25">
      <c r="A5315" s="2">
        <v>26020</v>
      </c>
      <c r="B5315">
        <v>11.829000000000001</v>
      </c>
      <c r="C5315">
        <v>94.965000000000003</v>
      </c>
      <c r="D5315" t="s">
        <v>14</v>
      </c>
      <c r="E5315" t="s">
        <v>323</v>
      </c>
      <c r="F5315">
        <f t="shared" si="166"/>
        <v>1971</v>
      </c>
      <c r="G5315">
        <f t="shared" ref="G5315:G5378" si="167">MONTH(A5315)</f>
        <v>3</v>
      </c>
      <c r="H5315" t="str">
        <f>IF(ISNUMBER(FIND(",", E5315)), TRIM(MID(E5315, FIND(",", E5315) + 1, LEN(E5315))), E5315)</f>
        <v>India region</v>
      </c>
    </row>
    <row r="5316" spans="1:8" x14ac:dyDescent="0.25">
      <c r="A5316" s="2">
        <v>26016</v>
      </c>
      <c r="B5316">
        <v>35.423000000000002</v>
      </c>
      <c r="C5316">
        <v>98.046000000000006</v>
      </c>
      <c r="D5316" t="s">
        <v>14</v>
      </c>
      <c r="E5316" t="s">
        <v>331</v>
      </c>
      <c r="F5316">
        <f t="shared" si="166"/>
        <v>1971</v>
      </c>
      <c r="G5316">
        <f t="shared" si="167"/>
        <v>3</v>
      </c>
      <c r="H5316" t="str">
        <f>IF(ISNUMBER(FIND(",", E5316)), TRIM(MID(E5316, FIND(",", E5316) + 1, LEN(E5316))), E5316)</f>
        <v>China</v>
      </c>
    </row>
    <row r="5317" spans="1:8" x14ac:dyDescent="0.25">
      <c r="A5317" s="2">
        <v>26015</v>
      </c>
      <c r="B5317">
        <v>70.962999999999994</v>
      </c>
      <c r="C5317">
        <v>-7.0570000000000004</v>
      </c>
      <c r="D5317" t="s">
        <v>14</v>
      </c>
      <c r="E5317" t="s">
        <v>214</v>
      </c>
      <c r="F5317">
        <f t="shared" si="166"/>
        <v>1971</v>
      </c>
      <c r="G5317">
        <f t="shared" si="167"/>
        <v>3</v>
      </c>
      <c r="H5317" t="str">
        <f>IF(ISNUMBER(FIND(",", E5317)), TRIM(MID(E5317, FIND(",", E5317) + 1, LEN(E5317))), E5317)</f>
        <v>Jan Mayen Island region</v>
      </c>
    </row>
    <row r="5318" spans="1:8" x14ac:dyDescent="0.25">
      <c r="A5318" s="2">
        <v>26015</v>
      </c>
      <c r="B5318">
        <v>-23.001000000000001</v>
      </c>
      <c r="C5318">
        <v>-176.13200000000001</v>
      </c>
      <c r="D5318" t="s">
        <v>13</v>
      </c>
      <c r="E5318" t="s">
        <v>256</v>
      </c>
      <c r="F5318">
        <f t="shared" si="166"/>
        <v>1971</v>
      </c>
      <c r="G5318">
        <f t="shared" si="167"/>
        <v>3</v>
      </c>
      <c r="H5318" t="str">
        <f>IF(ISNUMBER(FIND(",", E5318)), TRIM(MID(E5318, FIND(",", E5318) + 1, LEN(E5318))), E5318)</f>
        <v>south of the Fiji Islands</v>
      </c>
    </row>
    <row r="5319" spans="1:8" x14ac:dyDescent="0.25">
      <c r="A5319" s="2">
        <v>26008</v>
      </c>
      <c r="B5319">
        <v>-10.9</v>
      </c>
      <c r="C5319">
        <v>163.83099999999999</v>
      </c>
      <c r="D5319" t="s">
        <v>14</v>
      </c>
      <c r="E5319" t="s">
        <v>221</v>
      </c>
      <c r="F5319">
        <f t="shared" si="166"/>
        <v>1971</v>
      </c>
      <c r="G5319">
        <f t="shared" si="167"/>
        <v>3</v>
      </c>
      <c r="H5319" t="str">
        <f>IF(ISNUMBER(FIND(",", E5319)), TRIM(MID(E5319, FIND(",", E5319) + 1, LEN(E5319))), E5319)</f>
        <v>Solomon Islands</v>
      </c>
    </row>
    <row r="5320" spans="1:8" x14ac:dyDescent="0.25">
      <c r="A5320" s="2">
        <v>26005</v>
      </c>
      <c r="B5320">
        <v>50.594000000000001</v>
      </c>
      <c r="C5320">
        <v>-130.119</v>
      </c>
      <c r="D5320" t="s">
        <v>14</v>
      </c>
      <c r="E5320" t="s">
        <v>199</v>
      </c>
      <c r="F5320">
        <f t="shared" si="166"/>
        <v>1971</v>
      </c>
      <c r="G5320">
        <f t="shared" si="167"/>
        <v>3</v>
      </c>
      <c r="H5320" t="str">
        <f>IF(ISNUMBER(FIND(",", E5320)), TRIM(MID(E5320, FIND(",", E5320) + 1, LEN(E5320))), E5320)</f>
        <v>Canada region</v>
      </c>
    </row>
    <row r="5321" spans="1:8" x14ac:dyDescent="0.25">
      <c r="A5321" s="2">
        <v>26005</v>
      </c>
      <c r="B5321">
        <v>-5.7350000000000003</v>
      </c>
      <c r="C5321">
        <v>145.42699999999999</v>
      </c>
      <c r="D5321" t="s">
        <v>13</v>
      </c>
      <c r="E5321" t="s">
        <v>243</v>
      </c>
      <c r="F5321">
        <f t="shared" si="166"/>
        <v>1971</v>
      </c>
      <c r="G5321">
        <f t="shared" si="167"/>
        <v>3</v>
      </c>
      <c r="H5321" t="str">
        <f>IF(ISNUMBER(FIND(",", E5321)), TRIM(MID(E5321, FIND(",", E5321) + 1, LEN(E5321))), E5321)</f>
        <v>Papua New Guinea</v>
      </c>
    </row>
    <row r="5322" spans="1:8" x14ac:dyDescent="0.25">
      <c r="A5322" s="2">
        <v>26005</v>
      </c>
      <c r="B5322">
        <v>-18.353999999999999</v>
      </c>
      <c r="C5322">
        <v>173.648</v>
      </c>
      <c r="D5322" t="s">
        <v>14</v>
      </c>
      <c r="E5322" t="s">
        <v>53</v>
      </c>
      <c r="F5322">
        <f t="shared" si="166"/>
        <v>1971</v>
      </c>
      <c r="G5322">
        <f t="shared" si="167"/>
        <v>3</v>
      </c>
      <c r="H5322" t="str">
        <f>IF(ISNUMBER(FIND(",", E5322)), TRIM(MID(E5322, FIND(",", E5322) + 1, LEN(E5322))), E5322)</f>
        <v>Fiji region</v>
      </c>
    </row>
    <row r="5323" spans="1:8" x14ac:dyDescent="0.25">
      <c r="A5323" s="2">
        <v>25985</v>
      </c>
      <c r="B5323">
        <v>-23.797999999999998</v>
      </c>
      <c r="C5323">
        <v>-67.155000000000001</v>
      </c>
      <c r="D5323" t="s">
        <v>13</v>
      </c>
      <c r="E5323" t="s">
        <v>347</v>
      </c>
      <c r="F5323">
        <f t="shared" si="166"/>
        <v>1971</v>
      </c>
      <c r="G5323">
        <f t="shared" si="167"/>
        <v>2</v>
      </c>
      <c r="H5323" t="str">
        <f>IF(ISNUMBER(FIND(",", E5323)), TRIM(MID(E5323, FIND(",", E5323) + 1, LEN(E5323))), E5323)</f>
        <v>Argentina</v>
      </c>
    </row>
    <row r="5324" spans="1:8" x14ac:dyDescent="0.25">
      <c r="A5324" s="2">
        <v>25981</v>
      </c>
      <c r="B5324">
        <v>40.17</v>
      </c>
      <c r="C5324">
        <v>142.34889999999999</v>
      </c>
      <c r="E5324" t="s">
        <v>227</v>
      </c>
      <c r="F5324">
        <f t="shared" si="166"/>
        <v>1971</v>
      </c>
      <c r="G5324">
        <f t="shared" si="167"/>
        <v>2</v>
      </c>
      <c r="H5324" t="str">
        <f>IF(ISNUMBER(FIND(",", E5324)), TRIM(MID(E5324, FIND(",", E5324) + 1, LEN(E5324))), E5324)</f>
        <v>Japan</v>
      </c>
    </row>
    <row r="5325" spans="1:8" x14ac:dyDescent="0.25">
      <c r="A5325" s="2">
        <v>25979</v>
      </c>
      <c r="B5325">
        <v>-25.27</v>
      </c>
      <c r="C5325">
        <v>178.45500000000001</v>
      </c>
      <c r="D5325" t="s">
        <v>14</v>
      </c>
      <c r="E5325" t="s">
        <v>256</v>
      </c>
      <c r="F5325">
        <f t="shared" si="166"/>
        <v>1971</v>
      </c>
      <c r="G5325">
        <f t="shared" si="167"/>
        <v>2</v>
      </c>
      <c r="H5325" t="str">
        <f>IF(ISNUMBER(FIND(",", E5325)), TRIM(MID(E5325, FIND(",", E5325) + 1, LEN(E5325))), E5325)</f>
        <v>south of the Fiji Islands</v>
      </c>
    </row>
    <row r="5326" spans="1:8" x14ac:dyDescent="0.25">
      <c r="A5326" s="2">
        <v>25973</v>
      </c>
      <c r="B5326">
        <v>34.4</v>
      </c>
      <c r="C5326">
        <v>-118.39100000000001</v>
      </c>
      <c r="D5326" t="s">
        <v>14</v>
      </c>
      <c r="E5326" t="s">
        <v>561</v>
      </c>
      <c r="F5326">
        <f t="shared" si="166"/>
        <v>1971</v>
      </c>
      <c r="G5326">
        <f t="shared" si="167"/>
        <v>2</v>
      </c>
      <c r="H5326" t="str">
        <f>IF(ISNUMBER(FIND(",", E5326)), TRIM(MID(E5326, FIND(",", E5326) + 1, LEN(E5326))), E5326)</f>
        <v>California</v>
      </c>
    </row>
    <row r="5327" spans="1:8" x14ac:dyDescent="0.25">
      <c r="A5327" s="2">
        <v>25972</v>
      </c>
      <c r="B5327">
        <v>-63.418999999999997</v>
      </c>
      <c r="C5327">
        <v>-61.411999999999999</v>
      </c>
      <c r="D5327" t="s">
        <v>14</v>
      </c>
      <c r="E5327" t="s">
        <v>261</v>
      </c>
      <c r="F5327">
        <f t="shared" si="166"/>
        <v>1971</v>
      </c>
      <c r="G5327">
        <f t="shared" si="167"/>
        <v>2</v>
      </c>
      <c r="H5327" t="str">
        <f>IF(ISNUMBER(FIND(",", E5327)), TRIM(MID(E5327, FIND(",", E5327) + 1, LEN(E5327))), E5327)</f>
        <v>South Shetland Islands</v>
      </c>
    </row>
    <row r="5328" spans="1:8" x14ac:dyDescent="0.25">
      <c r="A5328" s="2">
        <v>25971</v>
      </c>
      <c r="B5328">
        <v>51.317999999999998</v>
      </c>
      <c r="C5328">
        <v>-176.79499999999999</v>
      </c>
      <c r="D5328" t="s">
        <v>17</v>
      </c>
      <c r="E5328" t="s">
        <v>207</v>
      </c>
      <c r="F5328">
        <f t="shared" si="166"/>
        <v>1971</v>
      </c>
      <c r="G5328">
        <f t="shared" si="167"/>
        <v>2</v>
      </c>
      <c r="H5328" t="str">
        <f>IF(ISNUMBER(FIND(",", E5328)), TRIM(MID(E5328, FIND(",", E5328) + 1, LEN(E5328))), E5328)</f>
        <v>Aleutian Islands, Alaska</v>
      </c>
    </row>
    <row r="5329" spans="1:8" x14ac:dyDescent="0.25">
      <c r="A5329" s="2">
        <v>25968</v>
      </c>
      <c r="B5329">
        <v>0.55100000000000005</v>
      </c>
      <c r="C5329">
        <v>98.665000000000006</v>
      </c>
      <c r="D5329" t="s">
        <v>14</v>
      </c>
      <c r="E5329" t="s">
        <v>295</v>
      </c>
      <c r="F5329">
        <f t="shared" si="166"/>
        <v>1971</v>
      </c>
      <c r="G5329">
        <f t="shared" si="167"/>
        <v>2</v>
      </c>
      <c r="H5329" t="str">
        <f>IF(ISNUMBER(FIND(",", E5329)), TRIM(MID(E5329, FIND(",", E5329) + 1, LEN(E5329))), E5329)</f>
        <v>Indonesia</v>
      </c>
    </row>
    <row r="5330" spans="1:8" x14ac:dyDescent="0.25">
      <c r="A5330" s="2">
        <v>25962</v>
      </c>
      <c r="B5330">
        <v>51.634999999999998</v>
      </c>
      <c r="C5330">
        <v>150.965</v>
      </c>
      <c r="D5330" t="s">
        <v>14</v>
      </c>
      <c r="E5330" t="s">
        <v>74</v>
      </c>
      <c r="F5330">
        <f t="shared" si="166"/>
        <v>1971</v>
      </c>
      <c r="G5330">
        <f t="shared" si="167"/>
        <v>1</v>
      </c>
      <c r="H5330" t="str">
        <f>IF(ISNUMBER(FIND(",", E5330)), TRIM(MID(E5330, FIND(",", E5330) + 1, LEN(E5330))), E5330)</f>
        <v>Sea of Okhotsk</v>
      </c>
    </row>
    <row r="5331" spans="1:8" x14ac:dyDescent="0.25">
      <c r="A5331" s="2">
        <v>25958</v>
      </c>
      <c r="B5331">
        <v>51.459000000000003</v>
      </c>
      <c r="C5331">
        <v>-177.71700000000001</v>
      </c>
      <c r="D5331" t="s">
        <v>14</v>
      </c>
      <c r="E5331" t="s">
        <v>207</v>
      </c>
      <c r="F5331">
        <f t="shared" si="166"/>
        <v>1971</v>
      </c>
      <c r="G5331">
        <f t="shared" si="167"/>
        <v>1</v>
      </c>
      <c r="H5331" t="str">
        <f>IF(ISNUMBER(FIND(",", E5331)), TRIM(MID(E5331, FIND(",", E5331) + 1, LEN(E5331))), E5331)</f>
        <v>Aleutian Islands, Alaska</v>
      </c>
    </row>
    <row r="5332" spans="1:8" x14ac:dyDescent="0.25">
      <c r="A5332" s="2">
        <v>25958</v>
      </c>
      <c r="B5332">
        <v>-9.6359999999999992</v>
      </c>
      <c r="C5332">
        <v>151.422</v>
      </c>
      <c r="D5332" t="s">
        <v>14</v>
      </c>
      <c r="E5332" t="s">
        <v>507</v>
      </c>
      <c r="F5332">
        <f t="shared" si="166"/>
        <v>1971</v>
      </c>
      <c r="G5332">
        <f t="shared" si="167"/>
        <v>1</v>
      </c>
      <c r="H5332" t="str">
        <f>IF(ISNUMBER(FIND(",", E5332)), TRIM(MID(E5332, FIND(",", E5332) + 1, LEN(E5332))), E5332)</f>
        <v>D'Entrecasteaux Islands region</v>
      </c>
    </row>
    <row r="5333" spans="1:8" x14ac:dyDescent="0.25">
      <c r="A5333" s="2">
        <v>25948</v>
      </c>
      <c r="B5333">
        <v>-3.03</v>
      </c>
      <c r="C5333">
        <v>139.4699</v>
      </c>
      <c r="E5333" t="s">
        <v>210</v>
      </c>
      <c r="F5333">
        <f t="shared" si="166"/>
        <v>1971</v>
      </c>
      <c r="G5333">
        <f t="shared" si="167"/>
        <v>1</v>
      </c>
      <c r="H5333" t="str">
        <f>IF(ISNUMBER(FIND(",", E5333)), TRIM(MID(E5333, FIND(",", E5333) + 1, LEN(E5333))), E5333)</f>
        <v>Indonesia</v>
      </c>
    </row>
    <row r="5334" spans="1:8" x14ac:dyDescent="0.25">
      <c r="A5334" s="2">
        <v>25943</v>
      </c>
      <c r="B5334">
        <v>-3.5</v>
      </c>
      <c r="C5334">
        <v>140.11799999999999</v>
      </c>
      <c r="D5334" t="s">
        <v>14</v>
      </c>
      <c r="E5334" t="s">
        <v>210</v>
      </c>
      <c r="F5334">
        <f t="shared" si="166"/>
        <v>1971</v>
      </c>
      <c r="G5334">
        <f t="shared" si="167"/>
        <v>1</v>
      </c>
      <c r="H5334" t="str">
        <f>IF(ISNUMBER(FIND(",", E5334)), TRIM(MID(E5334, FIND(",", E5334) + 1, LEN(E5334))), E5334)</f>
        <v>Indonesia</v>
      </c>
    </row>
    <row r="5335" spans="1:8" x14ac:dyDescent="0.25">
      <c r="A5335" s="2">
        <v>25943</v>
      </c>
      <c r="B5335">
        <v>-3.0750000000000002</v>
      </c>
      <c r="C5335">
        <v>139.64599999999999</v>
      </c>
      <c r="D5335" t="s">
        <v>13</v>
      </c>
      <c r="E5335" t="s">
        <v>210</v>
      </c>
      <c r="F5335">
        <f t="shared" si="166"/>
        <v>1971</v>
      </c>
      <c r="G5335">
        <f t="shared" si="167"/>
        <v>1</v>
      </c>
      <c r="H5335" t="str">
        <f>IF(ISNUMBER(FIND(",", E5335)), TRIM(MID(E5335, FIND(",", E5335) + 1, LEN(E5335))), E5335)</f>
        <v>Indonesia</v>
      </c>
    </row>
    <row r="5336" spans="1:8" x14ac:dyDescent="0.25">
      <c r="A5336" s="2">
        <v>25943</v>
      </c>
      <c r="B5336">
        <v>-3.2330000000000001</v>
      </c>
      <c r="C5336">
        <v>139.74299999999999</v>
      </c>
      <c r="D5336" t="s">
        <v>16</v>
      </c>
      <c r="E5336" t="s">
        <v>210</v>
      </c>
      <c r="F5336">
        <f t="shared" si="166"/>
        <v>1971</v>
      </c>
      <c r="G5336">
        <f t="shared" si="167"/>
        <v>1</v>
      </c>
      <c r="H5336" t="str">
        <f>IF(ISNUMBER(FIND(",", E5336)), TRIM(MID(E5336, FIND(",", E5336) + 1, LEN(E5336))), E5336)</f>
        <v>Indonesia</v>
      </c>
    </row>
    <row r="5337" spans="1:8" x14ac:dyDescent="0.25">
      <c r="A5337" s="2">
        <v>25936</v>
      </c>
      <c r="B5337">
        <v>-55.639000000000003</v>
      </c>
      <c r="C5337">
        <v>-2.4660000000000002</v>
      </c>
      <c r="D5337" t="s">
        <v>14</v>
      </c>
      <c r="E5337" t="s">
        <v>422</v>
      </c>
      <c r="F5337">
        <f t="shared" si="166"/>
        <v>1971</v>
      </c>
      <c r="G5337">
        <f t="shared" si="167"/>
        <v>1</v>
      </c>
      <c r="H5337" t="str">
        <f>IF(ISNUMBER(FIND(",", E5337)), TRIM(MID(E5337, FIND(",", E5337) + 1, LEN(E5337))), E5337)</f>
        <v>southern Mid-Atlantic Ridge</v>
      </c>
    </row>
    <row r="5338" spans="1:8" x14ac:dyDescent="0.25">
      <c r="A5338" s="2">
        <v>25931</v>
      </c>
      <c r="B5338">
        <v>-10.555</v>
      </c>
      <c r="C5338">
        <v>161.45500000000001</v>
      </c>
      <c r="D5338" t="s">
        <v>17</v>
      </c>
      <c r="E5338" t="s">
        <v>221</v>
      </c>
      <c r="F5338">
        <f t="shared" si="166"/>
        <v>1970</v>
      </c>
      <c r="G5338">
        <f t="shared" si="167"/>
        <v>12</v>
      </c>
      <c r="H5338" t="str">
        <f>IF(ISNUMBER(FIND(",", E5338)), TRIM(MID(E5338, FIND(",", E5338) + 1, LEN(E5338))), E5338)</f>
        <v>Solomon Islands</v>
      </c>
    </row>
    <row r="5339" spans="1:8" x14ac:dyDescent="0.25">
      <c r="A5339" s="2">
        <v>25930</v>
      </c>
      <c r="B5339">
        <v>-5.2009999999999996</v>
      </c>
      <c r="C5339">
        <v>153.62</v>
      </c>
      <c r="D5339" t="s">
        <v>17</v>
      </c>
      <c r="E5339" t="s">
        <v>183</v>
      </c>
      <c r="F5339">
        <f t="shared" si="166"/>
        <v>1970</v>
      </c>
      <c r="G5339">
        <f t="shared" si="167"/>
        <v>12</v>
      </c>
      <c r="H5339" t="str">
        <f>IF(ISNUMBER(FIND(",", E5339)), TRIM(MID(E5339, FIND(",", E5339) + 1, LEN(E5339))), E5339)</f>
        <v>Papua New Guinea</v>
      </c>
    </row>
    <row r="5340" spans="1:8" x14ac:dyDescent="0.25">
      <c r="A5340" s="2">
        <v>25925</v>
      </c>
      <c r="B5340">
        <v>43.8</v>
      </c>
      <c r="C5340">
        <v>54.8</v>
      </c>
      <c r="E5340" t="s">
        <v>661</v>
      </c>
      <c r="F5340">
        <f t="shared" si="166"/>
        <v>1970</v>
      </c>
      <c r="G5340">
        <f t="shared" si="167"/>
        <v>12</v>
      </c>
      <c r="H5340" t="str">
        <f>IF(ISNUMBER(FIND(",", E5340)), TRIM(MID(E5340, FIND(",", E5340) + 1, LEN(E5340))), E5340)</f>
        <v>western Kazakhstan</v>
      </c>
    </row>
    <row r="5341" spans="1:8" x14ac:dyDescent="0.25">
      <c r="A5341" s="2">
        <v>25921</v>
      </c>
      <c r="B5341">
        <v>-1.6240000000000001</v>
      </c>
      <c r="C5341">
        <v>99.882999999999996</v>
      </c>
      <c r="D5341" t="s">
        <v>14</v>
      </c>
      <c r="E5341" t="s">
        <v>209</v>
      </c>
      <c r="F5341">
        <f t="shared" si="166"/>
        <v>1970</v>
      </c>
      <c r="G5341">
        <f t="shared" si="167"/>
        <v>12</v>
      </c>
      <c r="H5341" t="str">
        <f>IF(ISNUMBER(FIND(",", E5341)), TRIM(MID(E5341, FIND(",", E5341) + 1, LEN(E5341))), E5341)</f>
        <v>Indonesia</v>
      </c>
    </row>
    <row r="5342" spans="1:8" x14ac:dyDescent="0.25">
      <c r="A5342" s="2">
        <v>25914</v>
      </c>
      <c r="B5342">
        <v>43.9</v>
      </c>
      <c r="C5342">
        <v>54.8</v>
      </c>
      <c r="E5342" t="s">
        <v>661</v>
      </c>
      <c r="F5342">
        <f t="shared" si="166"/>
        <v>1970</v>
      </c>
      <c r="G5342">
        <f t="shared" si="167"/>
        <v>12</v>
      </c>
      <c r="H5342" t="str">
        <f>IF(ISNUMBER(FIND(",", E5342)), TRIM(MID(E5342, FIND(",", E5342) + 1, LEN(E5342))), E5342)</f>
        <v>western Kazakhstan</v>
      </c>
    </row>
    <row r="5343" spans="1:8" x14ac:dyDescent="0.25">
      <c r="A5343" s="2">
        <v>25912</v>
      </c>
      <c r="B5343">
        <v>-4.0789999999999997</v>
      </c>
      <c r="C5343">
        <v>-80.66</v>
      </c>
      <c r="D5343" t="s">
        <v>16</v>
      </c>
      <c r="E5343" t="s">
        <v>414</v>
      </c>
      <c r="F5343">
        <f t="shared" si="166"/>
        <v>1970</v>
      </c>
      <c r="G5343">
        <f t="shared" si="167"/>
        <v>12</v>
      </c>
      <c r="H5343" t="str">
        <f>IF(ISNUMBER(FIND(",", E5343)), TRIM(MID(E5343, FIND(",", E5343) + 1, LEN(E5343))), E5343)</f>
        <v>Peru-Ecuador border region</v>
      </c>
    </row>
    <row r="5344" spans="1:8" x14ac:dyDescent="0.25">
      <c r="A5344" s="2">
        <v>25910</v>
      </c>
      <c r="B5344">
        <v>-30.882000000000001</v>
      </c>
      <c r="C5344">
        <v>-71.2</v>
      </c>
      <c r="D5344" t="s">
        <v>14</v>
      </c>
      <c r="E5344" t="s">
        <v>193</v>
      </c>
      <c r="F5344">
        <f t="shared" si="166"/>
        <v>1970</v>
      </c>
      <c r="G5344">
        <f t="shared" si="167"/>
        <v>12</v>
      </c>
      <c r="H5344" t="str">
        <f>IF(ISNUMBER(FIND(",", E5344)), TRIM(MID(E5344, FIND(",", E5344) + 1, LEN(E5344))), E5344)</f>
        <v>Chile</v>
      </c>
    </row>
    <row r="5345" spans="1:8" x14ac:dyDescent="0.25">
      <c r="A5345" s="2">
        <v>25909</v>
      </c>
      <c r="B5345">
        <v>29.759</v>
      </c>
      <c r="C5345">
        <v>139.97900000000001</v>
      </c>
      <c r="D5345" t="s">
        <v>13</v>
      </c>
      <c r="E5345" t="s">
        <v>88</v>
      </c>
      <c r="F5345">
        <f t="shared" si="166"/>
        <v>1970</v>
      </c>
      <c r="G5345">
        <f t="shared" si="167"/>
        <v>12</v>
      </c>
      <c r="H5345" t="str">
        <f>IF(ISNUMBER(FIND(",", E5345)), TRIM(MID(E5345, FIND(",", E5345) + 1, LEN(E5345))), E5345)</f>
        <v>Japan region</v>
      </c>
    </row>
    <row r="5346" spans="1:8" x14ac:dyDescent="0.25">
      <c r="A5346" s="2">
        <v>25908</v>
      </c>
      <c r="B5346">
        <v>41.834000000000003</v>
      </c>
      <c r="C5346">
        <v>143.51599999999999</v>
      </c>
      <c r="D5346" t="s">
        <v>14</v>
      </c>
      <c r="E5346" t="s">
        <v>265</v>
      </c>
      <c r="F5346">
        <f t="shared" si="166"/>
        <v>1970</v>
      </c>
      <c r="G5346">
        <f t="shared" si="167"/>
        <v>12</v>
      </c>
      <c r="H5346" t="str">
        <f>IF(ISNUMBER(FIND(",", E5346)), TRIM(MID(E5346, FIND(",", E5346) + 1, LEN(E5346))), E5346)</f>
        <v>Japan region</v>
      </c>
    </row>
    <row r="5347" spans="1:8" x14ac:dyDescent="0.25">
      <c r="A5347" s="2">
        <v>25906</v>
      </c>
      <c r="B5347">
        <v>-23.206</v>
      </c>
      <c r="C5347">
        <v>-70.043999999999997</v>
      </c>
      <c r="D5347" t="s">
        <v>14</v>
      </c>
      <c r="E5347" t="s">
        <v>289</v>
      </c>
      <c r="F5347">
        <f t="shared" si="166"/>
        <v>1970</v>
      </c>
      <c r="G5347">
        <f t="shared" si="167"/>
        <v>12</v>
      </c>
      <c r="H5347" t="str">
        <f>IF(ISNUMBER(FIND(",", E5347)), TRIM(MID(E5347, FIND(",", E5347) + 1, LEN(E5347))), E5347)</f>
        <v>Chile</v>
      </c>
    </row>
    <row r="5348" spans="1:8" x14ac:dyDescent="0.25">
      <c r="A5348" s="2">
        <v>25904</v>
      </c>
      <c r="B5348">
        <v>-11.005000000000001</v>
      </c>
      <c r="C5348">
        <v>163.49299999999999</v>
      </c>
      <c r="D5348" t="s">
        <v>14</v>
      </c>
      <c r="E5348" t="s">
        <v>221</v>
      </c>
      <c r="F5348">
        <f t="shared" si="166"/>
        <v>1970</v>
      </c>
      <c r="G5348">
        <f t="shared" si="167"/>
        <v>12</v>
      </c>
      <c r="H5348" t="str">
        <f>IF(ISNUMBER(FIND(",", E5348)), TRIM(MID(E5348, FIND(",", E5348) + 1, LEN(E5348))), E5348)</f>
        <v>Solomon Islands</v>
      </c>
    </row>
    <row r="5349" spans="1:8" x14ac:dyDescent="0.25">
      <c r="A5349" s="2">
        <v>25904</v>
      </c>
      <c r="B5349">
        <v>-11.035</v>
      </c>
      <c r="C5349">
        <v>163.76499999999999</v>
      </c>
      <c r="D5349" t="s">
        <v>14</v>
      </c>
      <c r="E5349" t="s">
        <v>221</v>
      </c>
      <c r="F5349">
        <f t="shared" si="166"/>
        <v>1970</v>
      </c>
      <c r="G5349">
        <f t="shared" si="167"/>
        <v>12</v>
      </c>
      <c r="H5349" t="str">
        <f>IF(ISNUMBER(FIND(",", E5349)), TRIM(MID(E5349, FIND(",", E5349) + 1, LEN(E5349))), E5349)</f>
        <v>Solomon Islands</v>
      </c>
    </row>
    <row r="5350" spans="1:8" x14ac:dyDescent="0.25">
      <c r="A5350" s="2">
        <v>25903</v>
      </c>
      <c r="B5350">
        <v>-10.965999999999999</v>
      </c>
      <c r="C5350">
        <v>163.50399999999999</v>
      </c>
      <c r="D5350" t="s">
        <v>14</v>
      </c>
      <c r="E5350" t="s">
        <v>221</v>
      </c>
      <c r="F5350">
        <f t="shared" si="166"/>
        <v>1970</v>
      </c>
      <c r="G5350">
        <f t="shared" si="167"/>
        <v>12</v>
      </c>
      <c r="H5350" t="str">
        <f>IF(ISNUMBER(FIND(",", E5350)), TRIM(MID(E5350, FIND(",", E5350) + 1, LEN(E5350))), E5350)</f>
        <v>Solomon Islands</v>
      </c>
    </row>
    <row r="5351" spans="1:8" x14ac:dyDescent="0.25">
      <c r="A5351" s="2">
        <v>25901</v>
      </c>
      <c r="B5351">
        <v>-11.814</v>
      </c>
      <c r="C5351">
        <v>-14.066000000000001</v>
      </c>
      <c r="D5351" t="s">
        <v>14</v>
      </c>
      <c r="E5351" t="s">
        <v>280</v>
      </c>
      <c r="F5351">
        <f t="shared" si="166"/>
        <v>1970</v>
      </c>
      <c r="G5351">
        <f t="shared" si="167"/>
        <v>11</v>
      </c>
      <c r="H5351" t="str">
        <f>IF(ISNUMBER(FIND(",", E5351)), TRIM(MID(E5351, FIND(",", E5351) + 1, LEN(E5351))), E5351)</f>
        <v>Ascension Island region</v>
      </c>
    </row>
    <row r="5352" spans="1:8" x14ac:dyDescent="0.25">
      <c r="A5352" s="2">
        <v>25886</v>
      </c>
      <c r="B5352">
        <v>22.838999999999999</v>
      </c>
      <c r="C5352">
        <v>121.364</v>
      </c>
      <c r="D5352" t="s">
        <v>14</v>
      </c>
      <c r="E5352" t="s">
        <v>363</v>
      </c>
      <c r="F5352">
        <f t="shared" si="166"/>
        <v>1970</v>
      </c>
      <c r="G5352">
        <f t="shared" si="167"/>
        <v>11</v>
      </c>
      <c r="H5352" t="str">
        <f>IF(ISNUMBER(FIND(",", E5352)), TRIM(MID(E5352, FIND(",", E5352) + 1, LEN(E5352))), E5352)</f>
        <v>Taiwan region</v>
      </c>
    </row>
    <row r="5353" spans="1:8" x14ac:dyDescent="0.25">
      <c r="A5353" s="2">
        <v>25885</v>
      </c>
      <c r="B5353">
        <v>12.086</v>
      </c>
      <c r="C5353">
        <v>124.164</v>
      </c>
      <c r="D5353" t="s">
        <v>14</v>
      </c>
      <c r="E5353" t="s">
        <v>394</v>
      </c>
      <c r="F5353">
        <f t="shared" si="166"/>
        <v>1970</v>
      </c>
      <c r="G5353">
        <f t="shared" si="167"/>
        <v>11</v>
      </c>
      <c r="H5353" t="str">
        <f>IF(ISNUMBER(FIND(",", E5353)), TRIM(MID(E5353, FIND(",", E5353) + 1, LEN(E5353))), E5353)</f>
        <v>Philippines</v>
      </c>
    </row>
    <row r="5354" spans="1:8" x14ac:dyDescent="0.25">
      <c r="A5354" s="2">
        <v>25884</v>
      </c>
      <c r="B5354">
        <v>-5.0640000000000001</v>
      </c>
      <c r="C5354">
        <v>145.232</v>
      </c>
      <c r="D5354" t="s">
        <v>14</v>
      </c>
      <c r="E5354" t="s">
        <v>243</v>
      </c>
      <c r="F5354">
        <f t="shared" si="166"/>
        <v>1970</v>
      </c>
      <c r="G5354">
        <f t="shared" si="167"/>
        <v>11</v>
      </c>
      <c r="H5354" t="str">
        <f>IF(ISNUMBER(FIND(",", E5354)), TRIM(MID(E5354, FIND(",", E5354) + 1, LEN(E5354))), E5354)</f>
        <v>Papua New Guinea</v>
      </c>
    </row>
    <row r="5355" spans="1:8" x14ac:dyDescent="0.25">
      <c r="A5355" s="2">
        <v>25880</v>
      </c>
      <c r="B5355">
        <v>-3.42</v>
      </c>
      <c r="C5355">
        <v>135.62799999999999</v>
      </c>
      <c r="D5355" t="s">
        <v>14</v>
      </c>
      <c r="E5355" t="s">
        <v>210</v>
      </c>
      <c r="F5355">
        <f t="shared" si="166"/>
        <v>1970</v>
      </c>
      <c r="G5355">
        <f t="shared" si="167"/>
        <v>11</v>
      </c>
      <c r="H5355" t="str">
        <f>IF(ISNUMBER(FIND(",", E5355)), TRIM(MID(E5355, FIND(",", E5355) + 1, LEN(E5355))), E5355)</f>
        <v>Indonesia</v>
      </c>
    </row>
    <row r="5356" spans="1:8" x14ac:dyDescent="0.25">
      <c r="A5356" s="2">
        <v>25872</v>
      </c>
      <c r="B5356">
        <v>-4.907</v>
      </c>
      <c r="C5356">
        <v>145.46899999999999</v>
      </c>
      <c r="D5356" t="s">
        <v>17</v>
      </c>
      <c r="E5356" t="s">
        <v>216</v>
      </c>
      <c r="F5356">
        <f t="shared" si="166"/>
        <v>1970</v>
      </c>
      <c r="G5356">
        <f t="shared" si="167"/>
        <v>10</v>
      </c>
      <c r="H5356" t="str">
        <f>IF(ISNUMBER(FIND(",", E5356)), TRIM(MID(E5356, FIND(",", E5356) + 1, LEN(E5356))), E5356)</f>
        <v>Papua New Guinea</v>
      </c>
    </row>
    <row r="5357" spans="1:8" x14ac:dyDescent="0.25">
      <c r="A5357" s="2">
        <v>25866</v>
      </c>
      <c r="B5357">
        <v>9.0660000000000007</v>
      </c>
      <c r="C5357">
        <v>93.852999999999994</v>
      </c>
      <c r="D5357" t="s">
        <v>14</v>
      </c>
      <c r="E5357" t="s">
        <v>322</v>
      </c>
      <c r="F5357">
        <f t="shared" si="166"/>
        <v>1970</v>
      </c>
      <c r="G5357">
        <f t="shared" si="167"/>
        <v>10</v>
      </c>
      <c r="H5357" t="str">
        <f>IF(ISNUMBER(FIND(",", E5357)), TRIM(MID(E5357, FIND(",", E5357) + 1, LEN(E5357))), E5357)</f>
        <v>India region</v>
      </c>
    </row>
    <row r="5358" spans="1:8" x14ac:dyDescent="0.25">
      <c r="A5358" s="2">
        <v>25855</v>
      </c>
      <c r="B5358">
        <v>43.481999999999999</v>
      </c>
      <c r="C5358">
        <v>147.876</v>
      </c>
      <c r="D5358" t="s">
        <v>14</v>
      </c>
      <c r="E5358" t="s">
        <v>191</v>
      </c>
      <c r="F5358">
        <f t="shared" si="166"/>
        <v>1970</v>
      </c>
      <c r="G5358">
        <f t="shared" si="167"/>
        <v>10</v>
      </c>
      <c r="H5358" t="str">
        <f>IF(ISNUMBER(FIND(",", E5358)), TRIM(MID(E5358, FIND(",", E5358) + 1, LEN(E5358))), E5358)</f>
        <v>Kuril Islands</v>
      </c>
    </row>
    <row r="5359" spans="1:8" x14ac:dyDescent="0.25">
      <c r="A5359" s="2">
        <v>25852</v>
      </c>
      <c r="B5359">
        <v>-32.066000000000003</v>
      </c>
      <c r="C5359">
        <v>-177.75800000000001</v>
      </c>
      <c r="D5359" t="s">
        <v>14</v>
      </c>
      <c r="E5359" t="s">
        <v>262</v>
      </c>
      <c r="F5359">
        <f t="shared" si="166"/>
        <v>1970</v>
      </c>
      <c r="G5359">
        <f t="shared" si="167"/>
        <v>10</v>
      </c>
      <c r="H5359" t="str">
        <f>IF(ISNUMBER(FIND(",", E5359)), TRIM(MID(E5359, FIND(",", E5359) + 1, LEN(E5359))), E5359)</f>
        <v>south of the Kermadec Islands</v>
      </c>
    </row>
    <row r="5360" spans="1:8" x14ac:dyDescent="0.25">
      <c r="A5360" s="2">
        <v>25852</v>
      </c>
      <c r="B5360">
        <v>-31.997</v>
      </c>
      <c r="C5360">
        <v>-178.02799999999999</v>
      </c>
      <c r="D5360" t="s">
        <v>14</v>
      </c>
      <c r="E5360" t="s">
        <v>240</v>
      </c>
      <c r="F5360">
        <f t="shared" si="166"/>
        <v>1970</v>
      </c>
      <c r="G5360">
        <f t="shared" si="167"/>
        <v>10</v>
      </c>
      <c r="H5360" t="str">
        <f>IF(ISNUMBER(FIND(",", E5360)), TRIM(MID(E5360, FIND(",", E5360) + 1, LEN(E5360))), E5360)</f>
        <v>Kermadec Islands region</v>
      </c>
    </row>
    <row r="5361" spans="1:8" x14ac:dyDescent="0.25">
      <c r="A5361" s="2">
        <v>25851</v>
      </c>
      <c r="B5361">
        <v>-31.927</v>
      </c>
      <c r="C5361">
        <v>-177.85400000000001</v>
      </c>
      <c r="D5361" t="s">
        <v>14</v>
      </c>
      <c r="E5361" t="s">
        <v>240</v>
      </c>
      <c r="F5361">
        <f t="shared" si="166"/>
        <v>1970</v>
      </c>
      <c r="G5361">
        <f t="shared" si="167"/>
        <v>10</v>
      </c>
      <c r="H5361" t="str">
        <f>IF(ISNUMBER(FIND(",", E5361)), TRIM(MID(E5361, FIND(",", E5361) + 1, LEN(E5361))), E5361)</f>
        <v>Kermadec Islands region</v>
      </c>
    </row>
    <row r="5362" spans="1:8" x14ac:dyDescent="0.25">
      <c r="A5362" s="2">
        <v>25851</v>
      </c>
      <c r="B5362">
        <v>-3.61</v>
      </c>
      <c r="C5362">
        <v>86.123000000000005</v>
      </c>
      <c r="D5362" t="s">
        <v>14</v>
      </c>
      <c r="E5362" t="s">
        <v>473</v>
      </c>
      <c r="F5362">
        <f t="shared" si="166"/>
        <v>1970</v>
      </c>
      <c r="G5362">
        <f t="shared" si="167"/>
        <v>10</v>
      </c>
      <c r="H5362" t="str">
        <f>IF(ISNUMBER(FIND(",", E5362)), TRIM(MID(E5362, FIND(",", E5362) + 1, LEN(E5362))), E5362)</f>
        <v>South Indian Ocean</v>
      </c>
    </row>
    <row r="5363" spans="1:8" x14ac:dyDescent="0.25">
      <c r="A5363" s="2">
        <v>25843</v>
      </c>
      <c r="B5363">
        <v>-6.8</v>
      </c>
      <c r="C5363">
        <v>154.97200000000001</v>
      </c>
      <c r="D5363" t="s">
        <v>17</v>
      </c>
      <c r="E5363" t="s">
        <v>290</v>
      </c>
      <c r="F5363">
        <f t="shared" si="166"/>
        <v>1970</v>
      </c>
      <c r="G5363">
        <f t="shared" si="167"/>
        <v>10</v>
      </c>
      <c r="H5363" t="str">
        <f>IF(ISNUMBER(FIND(",", E5363)), TRIM(MID(E5363, FIND(",", E5363) + 1, LEN(E5363))), E5363)</f>
        <v>Papua New Guinea</v>
      </c>
    </row>
    <row r="5364" spans="1:8" x14ac:dyDescent="0.25">
      <c r="A5364" s="2">
        <v>25840</v>
      </c>
      <c r="B5364">
        <v>-13.516999999999999</v>
      </c>
      <c r="C5364">
        <v>166.67699999999999</v>
      </c>
      <c r="D5364" t="s">
        <v>13</v>
      </c>
      <c r="E5364" t="s">
        <v>181</v>
      </c>
      <c r="F5364">
        <f t="shared" si="166"/>
        <v>1970</v>
      </c>
      <c r="G5364">
        <f t="shared" si="167"/>
        <v>9</v>
      </c>
      <c r="H5364" t="str">
        <f>IF(ISNUMBER(FIND(",", E5364)), TRIM(MID(E5364, FIND(",", E5364) + 1, LEN(E5364))), E5364)</f>
        <v>Vanuatu</v>
      </c>
    </row>
    <row r="5365" spans="1:8" x14ac:dyDescent="0.25">
      <c r="A5365" s="2">
        <v>25838</v>
      </c>
      <c r="B5365">
        <v>6.3730000000000002</v>
      </c>
      <c r="C5365">
        <v>-77.506</v>
      </c>
      <c r="D5365" t="s">
        <v>14</v>
      </c>
      <c r="E5365" t="s">
        <v>417</v>
      </c>
      <c r="F5365">
        <f t="shared" si="166"/>
        <v>1970</v>
      </c>
      <c r="G5365">
        <f t="shared" si="167"/>
        <v>9</v>
      </c>
      <c r="H5365" t="str">
        <f>IF(ISNUMBER(FIND(",", E5365)), TRIM(MID(E5365, FIND(",", E5365) + 1, LEN(E5365))), E5365)</f>
        <v>near the west coast of Colombia</v>
      </c>
    </row>
    <row r="5366" spans="1:8" x14ac:dyDescent="0.25">
      <c r="A5366" s="2">
        <v>25837</v>
      </c>
      <c r="B5366">
        <v>6.2430000000000003</v>
      </c>
      <c r="C5366">
        <v>-77.528000000000006</v>
      </c>
      <c r="D5366" t="s">
        <v>14</v>
      </c>
      <c r="E5366" t="s">
        <v>417</v>
      </c>
      <c r="F5366">
        <f t="shared" si="166"/>
        <v>1970</v>
      </c>
      <c r="G5366">
        <f t="shared" si="167"/>
        <v>9</v>
      </c>
      <c r="H5366" t="str">
        <f>IF(ISNUMBER(FIND(",", E5366)), TRIM(MID(E5366, FIND(",", E5366) + 1, LEN(E5366))), E5366)</f>
        <v>near the west coast of Colombia</v>
      </c>
    </row>
    <row r="5367" spans="1:8" x14ac:dyDescent="0.25">
      <c r="A5367" s="2">
        <v>25834</v>
      </c>
      <c r="B5367">
        <v>-6.46</v>
      </c>
      <c r="C5367">
        <v>154.62299999999999</v>
      </c>
      <c r="D5367" t="s">
        <v>14</v>
      </c>
      <c r="E5367" t="s">
        <v>290</v>
      </c>
      <c r="F5367">
        <f t="shared" si="166"/>
        <v>1970</v>
      </c>
      <c r="G5367">
        <f t="shared" si="167"/>
        <v>9</v>
      </c>
      <c r="H5367" t="str">
        <f>IF(ISNUMBER(FIND(",", E5367)), TRIM(MID(E5367, FIND(",", E5367) + 1, LEN(E5367))), E5367)</f>
        <v>Papua New Guinea</v>
      </c>
    </row>
    <row r="5368" spans="1:8" x14ac:dyDescent="0.25">
      <c r="A5368" s="2">
        <v>25816</v>
      </c>
      <c r="B5368">
        <v>52.195</v>
      </c>
      <c r="C5368">
        <v>151.47800000000001</v>
      </c>
      <c r="D5368" t="s">
        <v>14</v>
      </c>
      <c r="E5368" t="s">
        <v>74</v>
      </c>
      <c r="F5368">
        <f t="shared" si="166"/>
        <v>1970</v>
      </c>
      <c r="G5368">
        <f t="shared" si="167"/>
        <v>9</v>
      </c>
      <c r="H5368" t="str">
        <f>IF(ISNUMBER(FIND(",", E5368)), TRIM(MID(E5368, FIND(",", E5368) + 1, LEN(E5368))), E5368)</f>
        <v>Sea of Okhotsk</v>
      </c>
    </row>
    <row r="5369" spans="1:8" x14ac:dyDescent="0.25">
      <c r="A5369" s="2">
        <v>25812</v>
      </c>
      <c r="B5369">
        <v>17.704000000000001</v>
      </c>
      <c r="C5369">
        <v>147.69800000000001</v>
      </c>
      <c r="D5369" t="s">
        <v>13</v>
      </c>
      <c r="E5369" t="s">
        <v>72</v>
      </c>
      <c r="F5369">
        <f t="shared" si="166"/>
        <v>1970</v>
      </c>
      <c r="G5369">
        <f t="shared" si="167"/>
        <v>9</v>
      </c>
      <c r="H5369" t="str">
        <f>IF(ISNUMBER(FIND(",", E5369)), TRIM(MID(E5369, FIND(",", E5369) + 1, LEN(E5369))), E5369)</f>
        <v>Mariana Islands region</v>
      </c>
    </row>
    <row r="5370" spans="1:8" x14ac:dyDescent="0.25">
      <c r="A5370" s="2">
        <v>25810</v>
      </c>
      <c r="B5370">
        <v>52.348999999999997</v>
      </c>
      <c r="C5370">
        <v>151.61600000000001</v>
      </c>
      <c r="D5370" t="s">
        <v>14</v>
      </c>
      <c r="E5370" t="s">
        <v>74</v>
      </c>
      <c r="F5370">
        <f t="shared" si="166"/>
        <v>1970</v>
      </c>
      <c r="G5370">
        <f t="shared" si="167"/>
        <v>8</v>
      </c>
      <c r="H5370" t="str">
        <f>IF(ISNUMBER(FIND(",", E5370)), TRIM(MID(E5370, FIND(",", E5370) + 1, LEN(E5370))), E5370)</f>
        <v>Sea of Okhotsk</v>
      </c>
    </row>
    <row r="5371" spans="1:8" x14ac:dyDescent="0.25">
      <c r="A5371" s="2">
        <v>25808</v>
      </c>
      <c r="B5371">
        <v>-4.5730000000000004</v>
      </c>
      <c r="C5371">
        <v>153.28</v>
      </c>
      <c r="D5371" t="s">
        <v>17</v>
      </c>
      <c r="E5371" t="s">
        <v>183</v>
      </c>
      <c r="F5371">
        <f t="shared" si="166"/>
        <v>1970</v>
      </c>
      <c r="G5371">
        <f t="shared" si="167"/>
        <v>8</v>
      </c>
      <c r="H5371" t="str">
        <f>IF(ISNUMBER(FIND(",", E5371)), TRIM(MID(E5371, FIND(",", E5371) + 1, LEN(E5371))), E5371)</f>
        <v>Papua New Guinea</v>
      </c>
    </row>
    <row r="5372" spans="1:8" x14ac:dyDescent="0.25">
      <c r="A5372" s="2">
        <v>25804</v>
      </c>
      <c r="B5372">
        <v>-56.354999999999997</v>
      </c>
      <c r="C5372">
        <v>-142.50399999999999</v>
      </c>
      <c r="D5372" t="s">
        <v>14</v>
      </c>
      <c r="E5372" t="s">
        <v>179</v>
      </c>
      <c r="F5372">
        <f t="shared" si="166"/>
        <v>1970</v>
      </c>
      <c r="G5372">
        <f t="shared" si="167"/>
        <v>8</v>
      </c>
      <c r="H5372" t="str">
        <f>IF(ISNUMBER(FIND(",", E5372)), TRIM(MID(E5372, FIND(",", E5372) + 1, LEN(E5372))), E5372)</f>
        <v>Pacific-Antarctic Ridge</v>
      </c>
    </row>
    <row r="5373" spans="1:8" x14ac:dyDescent="0.25">
      <c r="A5373" s="2">
        <v>25791</v>
      </c>
      <c r="B5373">
        <v>-14.097</v>
      </c>
      <c r="C5373">
        <v>166.57</v>
      </c>
      <c r="D5373" t="s">
        <v>14</v>
      </c>
      <c r="E5373" t="s">
        <v>181</v>
      </c>
      <c r="F5373">
        <f t="shared" si="166"/>
        <v>1970</v>
      </c>
      <c r="G5373">
        <f t="shared" si="167"/>
        <v>8</v>
      </c>
      <c r="H5373" t="str">
        <f>IF(ISNUMBER(FIND(",", E5373)), TRIM(MID(E5373, FIND(",", E5373) + 1, LEN(E5373))), E5373)</f>
        <v>Vanuatu</v>
      </c>
    </row>
    <row r="5374" spans="1:8" x14ac:dyDescent="0.25">
      <c r="A5374" s="2">
        <v>25790</v>
      </c>
      <c r="B5374">
        <v>-13.922000000000001</v>
      </c>
      <c r="C5374">
        <v>166.68799999999999</v>
      </c>
      <c r="D5374" t="s">
        <v>14</v>
      </c>
      <c r="E5374" t="s">
        <v>181</v>
      </c>
      <c r="F5374">
        <f t="shared" si="166"/>
        <v>1970</v>
      </c>
      <c r="G5374">
        <f t="shared" si="167"/>
        <v>8</v>
      </c>
      <c r="H5374" t="str">
        <f>IF(ISNUMBER(FIND(",", E5374)), TRIM(MID(E5374, FIND(",", E5374) + 1, LEN(E5374))), E5374)</f>
        <v>Vanuatu</v>
      </c>
    </row>
    <row r="5375" spans="1:8" x14ac:dyDescent="0.25">
      <c r="A5375" s="2">
        <v>25787</v>
      </c>
      <c r="B5375">
        <v>-17.849</v>
      </c>
      <c r="C5375">
        <v>-178.18299999999999</v>
      </c>
      <c r="D5375" t="s">
        <v>14</v>
      </c>
      <c r="E5375" t="s">
        <v>53</v>
      </c>
      <c r="F5375">
        <f t="shared" si="166"/>
        <v>1970</v>
      </c>
      <c r="G5375">
        <f t="shared" si="167"/>
        <v>8</v>
      </c>
      <c r="H5375" t="str">
        <f>IF(ISNUMBER(FIND(",", E5375)), TRIM(MID(E5375, FIND(",", E5375) + 1, LEN(E5375))), E5375)</f>
        <v>Fiji region</v>
      </c>
    </row>
    <row r="5376" spans="1:8" x14ac:dyDescent="0.25">
      <c r="A5376" s="2">
        <v>25780</v>
      </c>
      <c r="B5376">
        <v>-1.486</v>
      </c>
      <c r="C5376">
        <v>-72.555999999999997</v>
      </c>
      <c r="D5376" t="s">
        <v>13</v>
      </c>
      <c r="E5376" t="s">
        <v>206</v>
      </c>
      <c r="F5376">
        <f t="shared" si="166"/>
        <v>1970</v>
      </c>
      <c r="G5376">
        <f t="shared" si="167"/>
        <v>7</v>
      </c>
      <c r="H5376" t="str">
        <f>IF(ISNUMBER(FIND(",", E5376)), TRIM(MID(E5376, FIND(",", E5376) + 1, LEN(E5376))), E5376)</f>
        <v>Colombia</v>
      </c>
    </row>
    <row r="5377" spans="1:8" x14ac:dyDescent="0.25">
      <c r="A5377" s="2">
        <v>25779</v>
      </c>
      <c r="B5377">
        <v>14.252000000000001</v>
      </c>
      <c r="C5377">
        <v>51.83</v>
      </c>
      <c r="D5377" t="s">
        <v>14</v>
      </c>
      <c r="E5377" t="s">
        <v>434</v>
      </c>
      <c r="F5377">
        <f t="shared" si="166"/>
        <v>1970</v>
      </c>
      <c r="G5377">
        <f t="shared" si="167"/>
        <v>7</v>
      </c>
      <c r="H5377" t="str">
        <f>IF(ISNUMBER(FIND(",", E5377)), TRIM(MID(E5377, FIND(",", E5377) + 1, LEN(E5377))), E5377)</f>
        <v>Gulf of Aden</v>
      </c>
    </row>
    <row r="5378" spans="1:8" x14ac:dyDescent="0.25">
      <c r="A5378" s="2">
        <v>25779</v>
      </c>
      <c r="B5378">
        <v>37.835999999999999</v>
      </c>
      <c r="C5378">
        <v>55.886000000000003</v>
      </c>
      <c r="D5378" t="s">
        <v>14</v>
      </c>
      <c r="E5378" t="s">
        <v>539</v>
      </c>
      <c r="F5378">
        <f t="shared" ref="F5378:F5441" si="168">YEAR(A5378)</f>
        <v>1970</v>
      </c>
      <c r="G5378">
        <f t="shared" si="167"/>
        <v>7</v>
      </c>
      <c r="H5378" t="str">
        <f>IF(ISNUMBER(FIND(",", E5378)), TRIM(MID(E5378, FIND(",", E5378) + 1, LEN(E5378))), E5378)</f>
        <v>Turkmenistan-Iran border region</v>
      </c>
    </row>
    <row r="5379" spans="1:8" x14ac:dyDescent="0.25">
      <c r="A5379" s="2">
        <v>25778</v>
      </c>
      <c r="B5379">
        <v>25.991</v>
      </c>
      <c r="C5379">
        <v>95.35</v>
      </c>
      <c r="D5379" t="s">
        <v>13</v>
      </c>
      <c r="E5379" t="s">
        <v>197</v>
      </c>
      <c r="F5379">
        <f t="shared" si="168"/>
        <v>1970</v>
      </c>
      <c r="G5379">
        <f t="shared" ref="G5379:G5442" si="169">MONTH(A5379)</f>
        <v>7</v>
      </c>
      <c r="H5379" t="str">
        <f>IF(ISNUMBER(FIND(",", E5379)), TRIM(MID(E5379, FIND(",", E5379) + 1, LEN(E5379))), E5379)</f>
        <v>Myanmar</v>
      </c>
    </row>
    <row r="5380" spans="1:8" x14ac:dyDescent="0.25">
      <c r="A5380" s="2">
        <v>25774</v>
      </c>
      <c r="B5380">
        <v>32.244999999999997</v>
      </c>
      <c r="C5380">
        <v>131.679</v>
      </c>
      <c r="D5380" t="s">
        <v>16</v>
      </c>
      <c r="E5380" t="s">
        <v>357</v>
      </c>
      <c r="F5380">
        <f t="shared" si="168"/>
        <v>1970</v>
      </c>
      <c r="G5380">
        <f t="shared" si="169"/>
        <v>7</v>
      </c>
      <c r="H5380" t="str">
        <f>IF(ISNUMBER(FIND(",", E5380)), TRIM(MID(E5380, FIND(",", E5380) + 1, LEN(E5380))), E5380)</f>
        <v>Japan</v>
      </c>
    </row>
    <row r="5381" spans="1:8" x14ac:dyDescent="0.25">
      <c r="A5381" s="2">
        <v>25768</v>
      </c>
      <c r="B5381">
        <v>-3.9340000000000002</v>
      </c>
      <c r="C5381">
        <v>152.31800000000001</v>
      </c>
      <c r="D5381" t="s">
        <v>14</v>
      </c>
      <c r="E5381" t="s">
        <v>183</v>
      </c>
      <c r="F5381">
        <f t="shared" si="168"/>
        <v>1970</v>
      </c>
      <c r="G5381">
        <f t="shared" si="169"/>
        <v>7</v>
      </c>
      <c r="H5381" t="str">
        <f>IF(ISNUMBER(FIND(",", E5381)), TRIM(MID(E5381, FIND(",", E5381) + 1, LEN(E5381))), E5381)</f>
        <v>Papua New Guinea</v>
      </c>
    </row>
    <row r="5382" spans="1:8" x14ac:dyDescent="0.25">
      <c r="A5382" s="2">
        <v>25766</v>
      </c>
      <c r="B5382">
        <v>-21.931000000000001</v>
      </c>
      <c r="C5382">
        <v>-174.63399999999999</v>
      </c>
      <c r="D5382" t="s">
        <v>14</v>
      </c>
      <c r="E5382" t="s">
        <v>239</v>
      </c>
      <c r="F5382">
        <f t="shared" si="168"/>
        <v>1970</v>
      </c>
      <c r="G5382">
        <f t="shared" si="169"/>
        <v>7</v>
      </c>
      <c r="H5382" t="str">
        <f>IF(ISNUMBER(FIND(",", E5382)), TRIM(MID(E5382, FIND(",", E5382) + 1, LEN(E5382))), E5382)</f>
        <v>Tonga</v>
      </c>
    </row>
    <row r="5383" spans="1:8" x14ac:dyDescent="0.25">
      <c r="A5383" s="2">
        <v>25765</v>
      </c>
      <c r="B5383">
        <v>-19.204999999999998</v>
      </c>
      <c r="C5383">
        <v>-173.297</v>
      </c>
      <c r="D5383" t="s">
        <v>14</v>
      </c>
      <c r="E5383" t="s">
        <v>239</v>
      </c>
      <c r="F5383">
        <f t="shared" si="168"/>
        <v>1970</v>
      </c>
      <c r="G5383">
        <f t="shared" si="169"/>
        <v>7</v>
      </c>
      <c r="H5383" t="str">
        <f>IF(ISNUMBER(FIND(",", E5383)), TRIM(MID(E5383, FIND(",", E5383) + 1, LEN(E5383))), E5383)</f>
        <v>Tonga</v>
      </c>
    </row>
    <row r="5384" spans="1:8" x14ac:dyDescent="0.25">
      <c r="A5384" s="2">
        <v>25751</v>
      </c>
      <c r="B5384">
        <v>-51.073999999999998</v>
      </c>
      <c r="C5384">
        <v>139.30000000000001</v>
      </c>
      <c r="D5384" t="s">
        <v>14</v>
      </c>
      <c r="E5384" t="s">
        <v>235</v>
      </c>
      <c r="F5384">
        <f t="shared" si="168"/>
        <v>1970</v>
      </c>
      <c r="G5384">
        <f t="shared" si="169"/>
        <v>7</v>
      </c>
      <c r="H5384" t="str">
        <f>IF(ISNUMBER(FIND(",", E5384)), TRIM(MID(E5384, FIND(",", E5384) + 1, LEN(E5384))), E5384)</f>
        <v>western Indian-Antarctic Ridge</v>
      </c>
    </row>
    <row r="5385" spans="1:8" x14ac:dyDescent="0.25">
      <c r="A5385" s="2">
        <v>25747</v>
      </c>
      <c r="B5385">
        <v>-21.736999999999998</v>
      </c>
      <c r="C5385">
        <v>-179.37</v>
      </c>
      <c r="D5385" t="s">
        <v>14</v>
      </c>
      <c r="E5385" t="s">
        <v>53</v>
      </c>
      <c r="F5385">
        <f t="shared" si="168"/>
        <v>1970</v>
      </c>
      <c r="G5385">
        <f t="shared" si="169"/>
        <v>6</v>
      </c>
      <c r="H5385" t="str">
        <f>IF(ISNUMBER(FIND(",", E5385)), TRIM(MID(E5385, FIND(",", E5385) + 1, LEN(E5385))), E5385)</f>
        <v>Fiji region</v>
      </c>
    </row>
    <row r="5386" spans="1:8" x14ac:dyDescent="0.25">
      <c r="A5386" s="2">
        <v>25747</v>
      </c>
      <c r="B5386">
        <v>-8.7479999999999993</v>
      </c>
      <c r="C5386">
        <v>123.994</v>
      </c>
      <c r="D5386" t="s">
        <v>13</v>
      </c>
      <c r="E5386" t="s">
        <v>399</v>
      </c>
      <c r="F5386">
        <f t="shared" si="168"/>
        <v>1970</v>
      </c>
      <c r="G5386">
        <f t="shared" si="169"/>
        <v>6</v>
      </c>
      <c r="H5386" t="str">
        <f>IF(ISNUMBER(FIND(",", E5386)), TRIM(MID(E5386, FIND(",", E5386) + 1, LEN(E5386))), E5386)</f>
        <v>Indonesia</v>
      </c>
    </row>
    <row r="5387" spans="1:8" x14ac:dyDescent="0.25">
      <c r="A5387" s="2">
        <v>25744</v>
      </c>
      <c r="B5387">
        <v>-7.9189999999999996</v>
      </c>
      <c r="C5387">
        <v>158.72800000000001</v>
      </c>
      <c r="D5387" t="s">
        <v>17</v>
      </c>
      <c r="E5387" t="s">
        <v>221</v>
      </c>
      <c r="F5387">
        <f t="shared" si="168"/>
        <v>1970</v>
      </c>
      <c r="G5387">
        <f t="shared" si="169"/>
        <v>6</v>
      </c>
      <c r="H5387" t="str">
        <f>IF(ISNUMBER(FIND(",", E5387)), TRIM(MID(E5387, FIND(",", E5387) + 1, LEN(E5387))), E5387)</f>
        <v>Solomon Islands</v>
      </c>
    </row>
    <row r="5388" spans="1:8" x14ac:dyDescent="0.25">
      <c r="A5388" s="2">
        <v>25743</v>
      </c>
      <c r="B5388">
        <v>51.780999999999999</v>
      </c>
      <c r="C5388">
        <v>-130.941</v>
      </c>
      <c r="D5388" t="s">
        <v>16</v>
      </c>
      <c r="E5388" t="s">
        <v>409</v>
      </c>
      <c r="F5388">
        <f t="shared" si="168"/>
        <v>1970</v>
      </c>
      <c r="G5388">
        <f t="shared" si="169"/>
        <v>6</v>
      </c>
      <c r="H5388" t="str">
        <f>IF(ISNUMBER(FIND(",", E5388)), TRIM(MID(E5388, FIND(",", E5388) + 1, LEN(E5388))), E5388)</f>
        <v>Canada</v>
      </c>
    </row>
    <row r="5389" spans="1:8" x14ac:dyDescent="0.25">
      <c r="A5389" s="2">
        <v>25738</v>
      </c>
      <c r="B5389">
        <v>-22.266999999999999</v>
      </c>
      <c r="C5389">
        <v>-70.501000000000005</v>
      </c>
      <c r="D5389" t="s">
        <v>17</v>
      </c>
      <c r="E5389" t="s">
        <v>413</v>
      </c>
      <c r="F5389">
        <f t="shared" si="168"/>
        <v>1970</v>
      </c>
      <c r="G5389">
        <f t="shared" si="169"/>
        <v>6</v>
      </c>
      <c r="H5389" t="str">
        <f>IF(ISNUMBER(FIND(",", E5389)), TRIM(MID(E5389, FIND(",", E5389) + 1, LEN(E5389))), E5389)</f>
        <v>Chile</v>
      </c>
    </row>
    <row r="5390" spans="1:8" x14ac:dyDescent="0.25">
      <c r="A5390" s="2">
        <v>25734</v>
      </c>
      <c r="B5390">
        <v>-54.369</v>
      </c>
      <c r="C5390">
        <v>-64.11</v>
      </c>
      <c r="D5390" t="s">
        <v>14</v>
      </c>
      <c r="E5390" t="s">
        <v>662</v>
      </c>
      <c r="F5390">
        <f t="shared" si="168"/>
        <v>1970</v>
      </c>
      <c r="G5390">
        <f t="shared" si="169"/>
        <v>6</v>
      </c>
      <c r="H5390" t="str">
        <f>IF(ISNUMBER(FIND(",", E5390)), TRIM(MID(E5390, FIND(",", E5390) + 1, LEN(E5390))), E5390)</f>
        <v>Argentina region</v>
      </c>
    </row>
    <row r="5391" spans="1:8" x14ac:dyDescent="0.25">
      <c r="A5391" s="2">
        <v>25734</v>
      </c>
      <c r="B5391">
        <v>-8.6999999999999993</v>
      </c>
      <c r="C5391">
        <v>118.8</v>
      </c>
      <c r="E5391" t="s">
        <v>349</v>
      </c>
      <c r="F5391">
        <f t="shared" si="168"/>
        <v>1970</v>
      </c>
      <c r="G5391">
        <f t="shared" si="169"/>
        <v>6</v>
      </c>
      <c r="H5391" t="str">
        <f>IF(ISNUMBER(FIND(",", E5391)), TRIM(MID(E5391, FIND(",", E5391) + 1, LEN(E5391))), E5391)</f>
        <v>Indonesia</v>
      </c>
    </row>
    <row r="5392" spans="1:8" x14ac:dyDescent="0.25">
      <c r="A5392" s="2">
        <v>25733</v>
      </c>
      <c r="B5392">
        <v>-51.987000000000002</v>
      </c>
      <c r="C5392">
        <v>-74.331000000000003</v>
      </c>
      <c r="D5392" t="s">
        <v>14</v>
      </c>
      <c r="E5392" t="s">
        <v>663</v>
      </c>
      <c r="F5392">
        <f t="shared" si="168"/>
        <v>1970</v>
      </c>
      <c r="G5392">
        <f t="shared" si="169"/>
        <v>6</v>
      </c>
      <c r="H5392" t="str">
        <f>IF(ISNUMBER(FIND(",", E5392)), TRIM(MID(E5392, FIND(",", E5392) + 1, LEN(E5392))), E5392)</f>
        <v>Chile</v>
      </c>
    </row>
    <row r="5393" spans="1:8" x14ac:dyDescent="0.25">
      <c r="A5393" s="2">
        <v>25731</v>
      </c>
      <c r="B5393">
        <v>-2.9079999999999999</v>
      </c>
      <c r="C5393">
        <v>139.16999999999999</v>
      </c>
      <c r="D5393" t="s">
        <v>14</v>
      </c>
      <c r="E5393" t="s">
        <v>241</v>
      </c>
      <c r="F5393">
        <f t="shared" si="168"/>
        <v>1970</v>
      </c>
      <c r="G5393">
        <f t="shared" si="169"/>
        <v>6</v>
      </c>
      <c r="H5393" t="str">
        <f>IF(ISNUMBER(FIND(",", E5393)), TRIM(MID(E5393, FIND(",", E5393) + 1, LEN(E5393))), E5393)</f>
        <v>Indonesia</v>
      </c>
    </row>
    <row r="5394" spans="1:8" x14ac:dyDescent="0.25">
      <c r="A5394" s="2">
        <v>25730</v>
      </c>
      <c r="B5394">
        <v>-59.418999999999997</v>
      </c>
      <c r="C5394">
        <v>159.22499999999999</v>
      </c>
      <c r="D5394" t="s">
        <v>16</v>
      </c>
      <c r="E5394" t="s">
        <v>350</v>
      </c>
      <c r="F5394">
        <f t="shared" si="168"/>
        <v>1970</v>
      </c>
      <c r="G5394">
        <f t="shared" si="169"/>
        <v>6</v>
      </c>
      <c r="H5394" t="str">
        <f>IF(ISNUMBER(FIND(",", E5394)), TRIM(MID(E5394, FIND(",", E5394) + 1, LEN(E5394))), E5394)</f>
        <v>Macquarie Island region</v>
      </c>
    </row>
    <row r="5395" spans="1:8" x14ac:dyDescent="0.25">
      <c r="A5395" s="2">
        <v>25730</v>
      </c>
      <c r="B5395">
        <v>-24.486000000000001</v>
      </c>
      <c r="C5395">
        <v>-68.497</v>
      </c>
      <c r="D5395" t="s">
        <v>13</v>
      </c>
      <c r="E5395" t="s">
        <v>289</v>
      </c>
      <c r="F5395">
        <f t="shared" si="168"/>
        <v>1970</v>
      </c>
      <c r="G5395">
        <f t="shared" si="169"/>
        <v>6</v>
      </c>
      <c r="H5395" t="str">
        <f>IF(ISNUMBER(FIND(",", E5395)), TRIM(MID(E5395, FIND(",", E5395) + 1, LEN(E5395))), E5395)</f>
        <v>Chile</v>
      </c>
    </row>
    <row r="5396" spans="1:8" x14ac:dyDescent="0.25">
      <c r="A5396" s="2">
        <v>25724</v>
      </c>
      <c r="B5396">
        <v>42.491999999999997</v>
      </c>
      <c r="C5396">
        <v>78.718000000000004</v>
      </c>
      <c r="D5396" t="s">
        <v>14</v>
      </c>
      <c r="E5396" t="s">
        <v>284</v>
      </c>
      <c r="F5396">
        <f t="shared" si="168"/>
        <v>1970</v>
      </c>
      <c r="G5396">
        <f t="shared" si="169"/>
        <v>6</v>
      </c>
      <c r="H5396" t="str">
        <f>IF(ISNUMBER(FIND(",", E5396)), TRIM(MID(E5396, FIND(",", E5396) + 1, LEN(E5396))), E5396)</f>
        <v>Kyrgyzstan</v>
      </c>
    </row>
    <row r="5397" spans="1:8" x14ac:dyDescent="0.25">
      <c r="A5397" s="2">
        <v>25723</v>
      </c>
      <c r="B5397">
        <v>-9.8919999999999995</v>
      </c>
      <c r="C5397">
        <v>-78.668000000000006</v>
      </c>
      <c r="D5397" t="s">
        <v>17</v>
      </c>
      <c r="E5397" t="s">
        <v>376</v>
      </c>
      <c r="F5397">
        <f t="shared" si="168"/>
        <v>1970</v>
      </c>
      <c r="G5397">
        <f t="shared" si="169"/>
        <v>6</v>
      </c>
      <c r="H5397" t="str">
        <f>IF(ISNUMBER(FIND(",", E5397)), TRIM(MID(E5397, FIND(",", E5397) + 1, LEN(E5397))), E5397)</f>
        <v>near the coast of northern Peru</v>
      </c>
    </row>
    <row r="5398" spans="1:8" x14ac:dyDescent="0.25">
      <c r="A5398" s="2">
        <v>25719</v>
      </c>
      <c r="B5398">
        <v>-10.002000000000001</v>
      </c>
      <c r="C5398">
        <v>-78.503</v>
      </c>
      <c r="D5398" t="s">
        <v>13</v>
      </c>
      <c r="E5398" t="s">
        <v>258</v>
      </c>
      <c r="F5398">
        <f t="shared" si="168"/>
        <v>1970</v>
      </c>
      <c r="G5398">
        <f t="shared" si="169"/>
        <v>5</v>
      </c>
      <c r="H5398" t="str">
        <f>IF(ISNUMBER(FIND(",", E5398)), TRIM(MID(E5398, FIND(",", E5398) + 1, LEN(E5398))), E5398)</f>
        <v>near the coast of central Peru</v>
      </c>
    </row>
    <row r="5399" spans="1:8" x14ac:dyDescent="0.25">
      <c r="A5399" s="2">
        <v>25719</v>
      </c>
      <c r="B5399">
        <v>-9.2479999999999993</v>
      </c>
      <c r="C5399">
        <v>-78.841999999999999</v>
      </c>
      <c r="D5399" t="s">
        <v>13</v>
      </c>
      <c r="E5399" t="s">
        <v>376</v>
      </c>
      <c r="F5399">
        <f t="shared" si="168"/>
        <v>1970</v>
      </c>
      <c r="G5399">
        <f t="shared" si="169"/>
        <v>5</v>
      </c>
      <c r="H5399" t="str">
        <f>IF(ISNUMBER(FIND(",", E5399)), TRIM(MID(E5399, FIND(",", E5399) + 1, LEN(E5399))), E5399)</f>
        <v>near the coast of northern Peru</v>
      </c>
    </row>
    <row r="5400" spans="1:8" x14ac:dyDescent="0.25">
      <c r="A5400" s="2">
        <v>25715</v>
      </c>
      <c r="B5400">
        <v>40.308999999999997</v>
      </c>
      <c r="C5400">
        <v>143.066</v>
      </c>
      <c r="D5400" t="s">
        <v>14</v>
      </c>
      <c r="E5400" t="s">
        <v>189</v>
      </c>
      <c r="F5400">
        <f t="shared" si="168"/>
        <v>1970</v>
      </c>
      <c r="G5400">
        <f t="shared" si="169"/>
        <v>5</v>
      </c>
      <c r="H5400" t="str">
        <f>IF(ISNUMBER(FIND(",", E5400)), TRIM(MID(E5400, FIND(",", E5400) + 1, LEN(E5400))), E5400)</f>
        <v>Japan</v>
      </c>
    </row>
    <row r="5401" spans="1:8" x14ac:dyDescent="0.25">
      <c r="A5401" s="2">
        <v>25715</v>
      </c>
      <c r="B5401">
        <v>27.195</v>
      </c>
      <c r="C5401">
        <v>140.22800000000001</v>
      </c>
      <c r="D5401" t="s">
        <v>14</v>
      </c>
      <c r="E5401" t="s">
        <v>233</v>
      </c>
      <c r="F5401">
        <f t="shared" si="168"/>
        <v>1970</v>
      </c>
      <c r="G5401">
        <f t="shared" si="169"/>
        <v>5</v>
      </c>
      <c r="H5401" t="str">
        <f>IF(ISNUMBER(FIND(",", E5401)), TRIM(MID(E5401, FIND(",", E5401) + 1, LEN(E5401))), E5401)</f>
        <v>Japan region</v>
      </c>
    </row>
    <row r="5402" spans="1:8" x14ac:dyDescent="0.25">
      <c r="A5402" s="2">
        <v>25708</v>
      </c>
      <c r="B5402">
        <v>-55.936999999999998</v>
      </c>
      <c r="C5402">
        <v>-28.27</v>
      </c>
      <c r="D5402" t="s">
        <v>13</v>
      </c>
      <c r="E5402" t="s">
        <v>260</v>
      </c>
      <c r="F5402">
        <f t="shared" si="168"/>
        <v>1970</v>
      </c>
      <c r="G5402">
        <f t="shared" si="169"/>
        <v>5</v>
      </c>
      <c r="H5402" t="str">
        <f>IF(ISNUMBER(FIND(",", E5402)), TRIM(MID(E5402, FIND(",", E5402) + 1, LEN(E5402))), E5402)</f>
        <v>South Sandwich Islands region</v>
      </c>
    </row>
    <row r="5403" spans="1:8" x14ac:dyDescent="0.25">
      <c r="A5403" s="2">
        <v>25703</v>
      </c>
      <c r="B5403">
        <v>50.203000000000003</v>
      </c>
      <c r="C5403">
        <v>91.259</v>
      </c>
      <c r="D5403" t="s">
        <v>14</v>
      </c>
      <c r="E5403" t="s">
        <v>570</v>
      </c>
      <c r="F5403">
        <f t="shared" si="168"/>
        <v>1970</v>
      </c>
      <c r="G5403">
        <f t="shared" si="169"/>
        <v>5</v>
      </c>
      <c r="H5403" t="str">
        <f>IF(ISNUMBER(FIND(",", E5403)), TRIM(MID(E5403, FIND(",", E5403) + 1, LEN(E5403))), E5403)</f>
        <v>Russia-Mongolia border region</v>
      </c>
    </row>
    <row r="5404" spans="1:8" x14ac:dyDescent="0.25">
      <c r="A5404" s="2">
        <v>25702</v>
      </c>
      <c r="B5404">
        <v>43.097000000000001</v>
      </c>
      <c r="C5404">
        <v>47.067999999999998</v>
      </c>
      <c r="D5404" t="s">
        <v>14</v>
      </c>
      <c r="E5404" t="s">
        <v>636</v>
      </c>
      <c r="F5404">
        <f t="shared" si="168"/>
        <v>1970</v>
      </c>
      <c r="G5404">
        <f t="shared" si="169"/>
        <v>5</v>
      </c>
      <c r="H5404" t="str">
        <f>IF(ISNUMBER(FIND(",", E5404)), TRIM(MID(E5404, FIND(",", E5404) + 1, LEN(E5404))), E5404)</f>
        <v>Russia</v>
      </c>
    </row>
    <row r="5405" spans="1:8" x14ac:dyDescent="0.25">
      <c r="A5405" s="2">
        <v>25698</v>
      </c>
      <c r="B5405">
        <v>18.588999999999999</v>
      </c>
      <c r="C5405">
        <v>145.36699999999999</v>
      </c>
      <c r="D5405" t="s">
        <v>14</v>
      </c>
      <c r="E5405" t="s">
        <v>416</v>
      </c>
      <c r="F5405">
        <f t="shared" si="168"/>
        <v>1970</v>
      </c>
      <c r="G5405">
        <f t="shared" si="169"/>
        <v>5</v>
      </c>
      <c r="H5405" t="str">
        <f>IF(ISNUMBER(FIND(",", E5405)), TRIM(MID(E5405, FIND(",", E5405) + 1, LEN(E5405))), E5405)</f>
        <v>Northern Mariana Islands</v>
      </c>
    </row>
    <row r="5406" spans="1:8" x14ac:dyDescent="0.25">
      <c r="A5406" s="2">
        <v>25692</v>
      </c>
      <c r="B5406">
        <v>-41.542999999999999</v>
      </c>
      <c r="C5406">
        <v>80.069000000000003</v>
      </c>
      <c r="D5406" t="s">
        <v>14</v>
      </c>
      <c r="E5406" t="s">
        <v>377</v>
      </c>
      <c r="F5406">
        <f t="shared" si="168"/>
        <v>1970</v>
      </c>
      <c r="G5406">
        <f t="shared" si="169"/>
        <v>5</v>
      </c>
      <c r="H5406" t="str">
        <f>IF(ISNUMBER(FIND(",", E5406)), TRIM(MID(E5406, FIND(",", E5406) + 1, LEN(E5406))), E5406)</f>
        <v>Mid-Indian Ridge</v>
      </c>
    </row>
    <row r="5407" spans="1:8" x14ac:dyDescent="0.25">
      <c r="A5407" s="2">
        <v>25689</v>
      </c>
      <c r="B5407">
        <v>14.536</v>
      </c>
      <c r="C5407">
        <v>-93.225999999999999</v>
      </c>
      <c r="D5407" t="s">
        <v>17</v>
      </c>
      <c r="E5407" t="s">
        <v>238</v>
      </c>
      <c r="F5407">
        <f t="shared" si="168"/>
        <v>1970</v>
      </c>
      <c r="G5407">
        <f t="shared" si="169"/>
        <v>5</v>
      </c>
      <c r="H5407" t="str">
        <f>IF(ISNUMBER(FIND(",", E5407)), TRIM(MID(E5407, FIND(",", E5407) + 1, LEN(E5407))), E5407)</f>
        <v>Mexico</v>
      </c>
    </row>
    <row r="5408" spans="1:8" x14ac:dyDescent="0.25">
      <c r="A5408" s="2">
        <v>25688</v>
      </c>
      <c r="B5408">
        <v>14.666</v>
      </c>
      <c r="C5408">
        <v>-93.216999999999999</v>
      </c>
      <c r="D5408" t="s">
        <v>14</v>
      </c>
      <c r="E5408" t="s">
        <v>238</v>
      </c>
      <c r="F5408">
        <f t="shared" si="168"/>
        <v>1970</v>
      </c>
      <c r="G5408">
        <f t="shared" si="169"/>
        <v>4</v>
      </c>
      <c r="H5408" t="str">
        <f>IF(ISNUMBER(FIND(",", E5408)), TRIM(MID(E5408, FIND(",", E5408) + 1, LEN(E5408))), E5408)</f>
        <v>Mexico</v>
      </c>
    </row>
    <row r="5409" spans="1:8" x14ac:dyDescent="0.25">
      <c r="A5409" s="2">
        <v>25687</v>
      </c>
      <c r="B5409">
        <v>14.458</v>
      </c>
      <c r="C5409">
        <v>-92.763999999999996</v>
      </c>
      <c r="D5409" t="s">
        <v>16</v>
      </c>
      <c r="E5409" t="s">
        <v>238</v>
      </c>
      <c r="F5409">
        <f t="shared" si="168"/>
        <v>1970</v>
      </c>
      <c r="G5409">
        <f t="shared" si="169"/>
        <v>4</v>
      </c>
      <c r="H5409" t="str">
        <f>IF(ISNUMBER(FIND(",", E5409)), TRIM(MID(E5409, FIND(",", E5409) + 1, LEN(E5409))), E5409)</f>
        <v>Mexico</v>
      </c>
    </row>
    <row r="5410" spans="1:8" x14ac:dyDescent="0.25">
      <c r="A5410" s="2">
        <v>25687</v>
      </c>
      <c r="B5410">
        <v>14.423</v>
      </c>
      <c r="C5410">
        <v>-92.774000000000001</v>
      </c>
      <c r="D5410" t="s">
        <v>14</v>
      </c>
      <c r="E5410" t="s">
        <v>238</v>
      </c>
      <c r="F5410">
        <f t="shared" si="168"/>
        <v>1970</v>
      </c>
      <c r="G5410">
        <f t="shared" si="169"/>
        <v>4</v>
      </c>
      <c r="H5410" t="str">
        <f>IF(ISNUMBER(FIND(",", E5410)), TRIM(MID(E5410, FIND(",", E5410) + 1, LEN(E5410))), E5410)</f>
        <v>Mexico</v>
      </c>
    </row>
    <row r="5411" spans="1:8" x14ac:dyDescent="0.25">
      <c r="A5411" s="2">
        <v>25678</v>
      </c>
      <c r="B5411">
        <v>-18.805</v>
      </c>
      <c r="C5411">
        <v>169.374</v>
      </c>
      <c r="D5411" t="s">
        <v>13</v>
      </c>
      <c r="E5411" t="s">
        <v>181</v>
      </c>
      <c r="F5411">
        <f t="shared" si="168"/>
        <v>1970</v>
      </c>
      <c r="G5411">
        <f t="shared" si="169"/>
        <v>4</v>
      </c>
      <c r="H5411" t="str">
        <f>IF(ISNUMBER(FIND(",", E5411)), TRIM(MID(E5411, FIND(",", E5411) + 1, LEN(E5411))), E5411)</f>
        <v>Vanuatu</v>
      </c>
    </row>
    <row r="5412" spans="1:8" x14ac:dyDescent="0.25">
      <c r="A5412" s="2">
        <v>25677</v>
      </c>
      <c r="B5412">
        <v>59.552999999999997</v>
      </c>
      <c r="C5412">
        <v>-142.839</v>
      </c>
      <c r="D5412" t="s">
        <v>14</v>
      </c>
      <c r="E5412" t="s">
        <v>195</v>
      </c>
      <c r="F5412">
        <f t="shared" si="168"/>
        <v>1970</v>
      </c>
      <c r="G5412">
        <f t="shared" si="169"/>
        <v>4</v>
      </c>
      <c r="H5412" t="str">
        <f>IF(ISNUMBER(FIND(",", E5412)), TRIM(MID(E5412, FIND(",", E5412) + 1, LEN(E5412))), E5412)</f>
        <v>Gulf of Alaska</v>
      </c>
    </row>
    <row r="5413" spans="1:8" x14ac:dyDescent="0.25">
      <c r="A5413" s="2">
        <v>25674</v>
      </c>
      <c r="B5413">
        <v>59.774000000000001</v>
      </c>
      <c r="C5413">
        <v>-142.547</v>
      </c>
      <c r="D5413" t="s">
        <v>14</v>
      </c>
      <c r="E5413" t="s">
        <v>195</v>
      </c>
      <c r="F5413">
        <f t="shared" si="168"/>
        <v>1970</v>
      </c>
      <c r="G5413">
        <f t="shared" si="169"/>
        <v>4</v>
      </c>
      <c r="H5413" t="str">
        <f>IF(ISNUMBER(FIND(",", E5413)), TRIM(MID(E5413, FIND(",", E5413) + 1, LEN(E5413))), E5413)</f>
        <v>Gulf of Alaska</v>
      </c>
    </row>
    <row r="5414" spans="1:8" x14ac:dyDescent="0.25">
      <c r="A5414" s="2">
        <v>25673</v>
      </c>
      <c r="B5414">
        <v>15.129</v>
      </c>
      <c r="C5414">
        <v>122.68</v>
      </c>
      <c r="D5414" t="s">
        <v>14</v>
      </c>
      <c r="E5414" t="s">
        <v>213</v>
      </c>
      <c r="F5414">
        <f t="shared" si="168"/>
        <v>1970</v>
      </c>
      <c r="G5414">
        <f t="shared" si="169"/>
        <v>4</v>
      </c>
      <c r="H5414" t="str">
        <f>IF(ISNUMBER(FIND(",", E5414)), TRIM(MID(E5414, FIND(",", E5414) + 1, LEN(E5414))), E5414)</f>
        <v>Philippine Islands region</v>
      </c>
    </row>
    <row r="5415" spans="1:8" x14ac:dyDescent="0.25">
      <c r="A5415" s="2">
        <v>25670</v>
      </c>
      <c r="B5415">
        <v>15.086</v>
      </c>
      <c r="C5415">
        <v>122.01</v>
      </c>
      <c r="D5415" t="s">
        <v>14</v>
      </c>
      <c r="E5415" t="s">
        <v>213</v>
      </c>
      <c r="F5415">
        <f t="shared" si="168"/>
        <v>1970</v>
      </c>
      <c r="G5415">
        <f t="shared" si="169"/>
        <v>4</v>
      </c>
      <c r="H5415" t="str">
        <f>IF(ISNUMBER(FIND(",", E5415)), TRIM(MID(E5415, FIND(",", E5415) + 1, LEN(E5415))), E5415)</f>
        <v>Philippine Islands region</v>
      </c>
    </row>
    <row r="5416" spans="1:8" x14ac:dyDescent="0.25">
      <c r="A5416" s="2">
        <v>25669</v>
      </c>
      <c r="B5416">
        <v>59.642000000000003</v>
      </c>
      <c r="C5416">
        <v>-142.60300000000001</v>
      </c>
      <c r="D5416" t="s">
        <v>14</v>
      </c>
      <c r="E5416" t="s">
        <v>195</v>
      </c>
      <c r="F5416">
        <f t="shared" si="168"/>
        <v>1970</v>
      </c>
      <c r="G5416">
        <f t="shared" si="169"/>
        <v>4</v>
      </c>
      <c r="H5416" t="str">
        <f>IF(ISNUMBER(FIND(",", E5416)), TRIM(MID(E5416, FIND(",", E5416) + 1, LEN(E5416))), E5416)</f>
        <v>Gulf of Alaska</v>
      </c>
    </row>
    <row r="5417" spans="1:8" x14ac:dyDescent="0.25">
      <c r="A5417" s="2">
        <v>25666</v>
      </c>
      <c r="B5417">
        <v>15.458</v>
      </c>
      <c r="C5417">
        <v>121.754</v>
      </c>
      <c r="D5417" t="s">
        <v>14</v>
      </c>
      <c r="E5417" t="s">
        <v>297</v>
      </c>
      <c r="F5417">
        <f t="shared" si="168"/>
        <v>1970</v>
      </c>
      <c r="G5417">
        <f t="shared" si="169"/>
        <v>4</v>
      </c>
      <c r="H5417" t="str">
        <f>IF(ISNUMBER(FIND(",", E5417)), TRIM(MID(E5417, FIND(",", E5417) + 1, LEN(E5417))), E5417)</f>
        <v>Philippines</v>
      </c>
    </row>
    <row r="5418" spans="1:8" x14ac:dyDescent="0.25">
      <c r="A5418" s="2">
        <v>25665</v>
      </c>
      <c r="B5418">
        <v>15.771000000000001</v>
      </c>
      <c r="C5418">
        <v>121.65900000000001</v>
      </c>
      <c r="D5418" t="s">
        <v>16</v>
      </c>
      <c r="E5418" t="s">
        <v>297</v>
      </c>
      <c r="F5418">
        <f t="shared" si="168"/>
        <v>1970</v>
      </c>
      <c r="G5418">
        <f t="shared" si="169"/>
        <v>4</v>
      </c>
      <c r="H5418" t="str">
        <f>IF(ISNUMBER(FIND(",", E5418)), TRIM(MID(E5418, FIND(",", E5418) + 1, LEN(E5418))), E5418)</f>
        <v>Philippines</v>
      </c>
    </row>
    <row r="5419" spans="1:8" x14ac:dyDescent="0.25">
      <c r="A5419" s="2">
        <v>25657</v>
      </c>
      <c r="B5419">
        <v>6.7629999999999999</v>
      </c>
      <c r="C5419">
        <v>126.617</v>
      </c>
      <c r="D5419" t="s">
        <v>13</v>
      </c>
      <c r="E5419" t="s">
        <v>200</v>
      </c>
      <c r="F5419">
        <f t="shared" si="168"/>
        <v>1970</v>
      </c>
      <c r="G5419">
        <f t="shared" si="169"/>
        <v>3</v>
      </c>
      <c r="H5419" t="str">
        <f>IF(ISNUMBER(FIND(",", E5419)), TRIM(MID(E5419, FIND(",", E5419) + 1, LEN(E5419))), E5419)</f>
        <v>Philippines</v>
      </c>
    </row>
    <row r="5420" spans="1:8" x14ac:dyDescent="0.25">
      <c r="A5420" s="2">
        <v>25656</v>
      </c>
      <c r="B5420">
        <v>-17.085999999999999</v>
      </c>
      <c r="C5420">
        <v>168.60599999999999</v>
      </c>
      <c r="D5420" t="s">
        <v>13</v>
      </c>
      <c r="E5420" t="s">
        <v>181</v>
      </c>
      <c r="F5420">
        <f t="shared" si="168"/>
        <v>1970</v>
      </c>
      <c r="G5420">
        <f t="shared" si="169"/>
        <v>3</v>
      </c>
      <c r="H5420" t="str">
        <f>IF(ISNUMBER(FIND(",", E5420)), TRIM(MID(E5420, FIND(",", E5420) + 1, LEN(E5420))), E5420)</f>
        <v>Vanuatu</v>
      </c>
    </row>
    <row r="5421" spans="1:8" x14ac:dyDescent="0.25">
      <c r="A5421" s="2">
        <v>25655</v>
      </c>
      <c r="B5421">
        <v>39.173999999999999</v>
      </c>
      <c r="C5421">
        <v>29.545000000000002</v>
      </c>
      <c r="D5421" t="s">
        <v>17</v>
      </c>
      <c r="E5421" t="s">
        <v>494</v>
      </c>
      <c r="F5421">
        <f t="shared" si="168"/>
        <v>1970</v>
      </c>
      <c r="G5421">
        <f t="shared" si="169"/>
        <v>3</v>
      </c>
      <c r="H5421" t="str">
        <f>IF(ISNUMBER(FIND(",", E5421)), TRIM(MID(E5421, FIND(",", E5421) + 1, LEN(E5421))), E5421)</f>
        <v>western Turkey</v>
      </c>
    </row>
    <row r="5422" spans="1:8" x14ac:dyDescent="0.25">
      <c r="A5422" s="2">
        <v>25654</v>
      </c>
      <c r="B5422">
        <v>0.27200000000000002</v>
      </c>
      <c r="C5422">
        <v>119.327</v>
      </c>
      <c r="D5422" t="s">
        <v>14</v>
      </c>
      <c r="E5422" t="s">
        <v>263</v>
      </c>
      <c r="F5422">
        <f t="shared" si="168"/>
        <v>1970</v>
      </c>
      <c r="G5422">
        <f t="shared" si="169"/>
        <v>3</v>
      </c>
      <c r="H5422" t="str">
        <f>IF(ISNUMBER(FIND(",", E5422)), TRIM(MID(E5422, FIND(",", E5422) + 1, LEN(E5422))), E5422)</f>
        <v>Sulawesi, Indonesia</v>
      </c>
    </row>
    <row r="5423" spans="1:8" x14ac:dyDescent="0.25">
      <c r="A5423" s="2">
        <v>25646</v>
      </c>
      <c r="B5423">
        <v>51.296999999999997</v>
      </c>
      <c r="C5423">
        <v>173.77</v>
      </c>
      <c r="D5423" t="s">
        <v>14</v>
      </c>
      <c r="E5423" t="s">
        <v>184</v>
      </c>
      <c r="F5423">
        <f t="shared" si="168"/>
        <v>1970</v>
      </c>
      <c r="G5423">
        <f t="shared" si="169"/>
        <v>3</v>
      </c>
      <c r="H5423" t="str">
        <f>IF(ISNUMBER(FIND(",", E5423)), TRIM(MID(E5423, FIND(",", E5423) + 1, LEN(E5423))), E5423)</f>
        <v>Aleutian Islands, Alaska</v>
      </c>
    </row>
    <row r="5424" spans="1:8" x14ac:dyDescent="0.25">
      <c r="A5424" s="2">
        <v>25638</v>
      </c>
      <c r="B5424">
        <v>57.328000000000003</v>
      </c>
      <c r="C5424">
        <v>-153.941</v>
      </c>
      <c r="D5424" t="s">
        <v>14</v>
      </c>
      <c r="E5424" t="s">
        <v>374</v>
      </c>
      <c r="F5424">
        <f t="shared" si="168"/>
        <v>1970</v>
      </c>
      <c r="G5424">
        <f t="shared" si="169"/>
        <v>3</v>
      </c>
      <c r="H5424" t="str">
        <f>IF(ISNUMBER(FIND(",", E5424)), TRIM(MID(E5424, FIND(",", E5424) + 1, LEN(E5424))), E5424)</f>
        <v>Alaska</v>
      </c>
    </row>
    <row r="5425" spans="1:8" x14ac:dyDescent="0.25">
      <c r="A5425" s="2">
        <v>25636</v>
      </c>
      <c r="B5425">
        <v>-19.079000000000001</v>
      </c>
      <c r="C5425">
        <v>168.68</v>
      </c>
      <c r="D5425" t="s">
        <v>14</v>
      </c>
      <c r="E5425" t="s">
        <v>181</v>
      </c>
      <c r="F5425">
        <f t="shared" si="168"/>
        <v>1970</v>
      </c>
      <c r="G5425">
        <f t="shared" si="169"/>
        <v>3</v>
      </c>
      <c r="H5425" t="str">
        <f>IF(ISNUMBER(FIND(",", E5425)), TRIM(MID(E5425, FIND(",", E5425) + 1, LEN(E5425))), E5425)</f>
        <v>Vanuatu</v>
      </c>
    </row>
    <row r="5426" spans="1:8" x14ac:dyDescent="0.25">
      <c r="A5426" s="2">
        <v>25631</v>
      </c>
      <c r="B5426">
        <v>12.169</v>
      </c>
      <c r="C5426">
        <v>143.85599999999999</v>
      </c>
      <c r="D5426" t="s">
        <v>14</v>
      </c>
      <c r="E5426" t="s">
        <v>403</v>
      </c>
      <c r="F5426">
        <f t="shared" si="168"/>
        <v>1970</v>
      </c>
      <c r="G5426">
        <f t="shared" si="169"/>
        <v>3</v>
      </c>
      <c r="H5426" t="str">
        <f>IF(ISNUMBER(FIND(",", E5426)), TRIM(MID(E5426, FIND(",", E5426) + 1, LEN(E5426))), E5426)</f>
        <v>Guam region</v>
      </c>
    </row>
    <row r="5427" spans="1:8" x14ac:dyDescent="0.25">
      <c r="A5427" s="2">
        <v>25627</v>
      </c>
      <c r="B5427">
        <v>52.555</v>
      </c>
      <c r="C5427">
        <v>-175.03200000000001</v>
      </c>
      <c r="D5427" t="s">
        <v>13</v>
      </c>
      <c r="E5427" t="s">
        <v>207</v>
      </c>
      <c r="F5427">
        <f t="shared" si="168"/>
        <v>1970</v>
      </c>
      <c r="G5427">
        <f t="shared" si="169"/>
        <v>2</v>
      </c>
      <c r="H5427" t="str">
        <f>IF(ISNUMBER(FIND(",", E5427)), TRIM(MID(E5427, FIND(",", E5427) + 1, LEN(E5427))), E5427)</f>
        <v>Aleutian Islands, Alaska</v>
      </c>
    </row>
    <row r="5428" spans="1:8" x14ac:dyDescent="0.25">
      <c r="A5428" s="2">
        <v>25612</v>
      </c>
      <c r="B5428">
        <v>-5.9870000000000001</v>
      </c>
      <c r="C5428">
        <v>112.973</v>
      </c>
      <c r="D5428" t="s">
        <v>14</v>
      </c>
      <c r="E5428" t="s">
        <v>556</v>
      </c>
      <c r="F5428">
        <f t="shared" si="168"/>
        <v>1970</v>
      </c>
      <c r="G5428">
        <f t="shared" si="169"/>
        <v>2</v>
      </c>
      <c r="H5428" t="str">
        <f>IF(ISNUMBER(FIND(",", E5428)), TRIM(MID(E5428, FIND(",", E5428) + 1, LEN(E5428))), E5428)</f>
        <v>Java Sea</v>
      </c>
    </row>
    <row r="5429" spans="1:8" x14ac:dyDescent="0.25">
      <c r="A5429" s="2">
        <v>25605</v>
      </c>
      <c r="B5429">
        <v>23.048999999999999</v>
      </c>
      <c r="C5429">
        <v>100.751</v>
      </c>
      <c r="D5429" t="s">
        <v>14</v>
      </c>
      <c r="E5429" t="s">
        <v>423</v>
      </c>
      <c r="F5429">
        <f t="shared" si="168"/>
        <v>1970</v>
      </c>
      <c r="G5429">
        <f t="shared" si="169"/>
        <v>2</v>
      </c>
      <c r="H5429" t="str">
        <f>IF(ISNUMBER(FIND(",", E5429)), TRIM(MID(E5429, FIND(",", E5429) + 1, LEN(E5429))), E5429)</f>
        <v>China</v>
      </c>
    </row>
    <row r="5430" spans="1:8" x14ac:dyDescent="0.25">
      <c r="A5430" s="2">
        <v>25604</v>
      </c>
      <c r="B5430">
        <v>12.6</v>
      </c>
      <c r="C5430">
        <v>122.057</v>
      </c>
      <c r="D5430" t="s">
        <v>14</v>
      </c>
      <c r="E5430" t="s">
        <v>664</v>
      </c>
      <c r="F5430">
        <f t="shared" si="168"/>
        <v>1970</v>
      </c>
      <c r="G5430">
        <f t="shared" si="169"/>
        <v>2</v>
      </c>
      <c r="H5430" t="str">
        <f>IF(ISNUMBER(FIND(",", E5430)), TRIM(MID(E5430, FIND(",", E5430) + 1, LEN(E5430))), E5430)</f>
        <v>Philippines</v>
      </c>
    </row>
    <row r="5431" spans="1:8" x14ac:dyDescent="0.25">
      <c r="A5431" s="2">
        <v>25603</v>
      </c>
      <c r="B5431">
        <v>15.518000000000001</v>
      </c>
      <c r="C5431">
        <v>-99.484999999999999</v>
      </c>
      <c r="D5431" t="s">
        <v>14</v>
      </c>
      <c r="E5431" t="s">
        <v>665</v>
      </c>
      <c r="F5431">
        <f t="shared" si="168"/>
        <v>1970</v>
      </c>
      <c r="G5431">
        <f t="shared" si="169"/>
        <v>2</v>
      </c>
      <c r="H5431" t="str">
        <f>IF(ISNUMBER(FIND(",", E5431)), TRIM(MID(E5431, FIND(",", E5431) + 1, LEN(E5431))), E5431)</f>
        <v>Mexico</v>
      </c>
    </row>
    <row r="5432" spans="1:8" x14ac:dyDescent="0.25">
      <c r="A5432" s="2">
        <v>25596</v>
      </c>
      <c r="B5432">
        <v>-20.722999999999999</v>
      </c>
      <c r="C5432">
        <v>-178.74600000000001</v>
      </c>
      <c r="D5432" t="s">
        <v>14</v>
      </c>
      <c r="E5432" t="s">
        <v>53</v>
      </c>
      <c r="F5432">
        <f t="shared" si="168"/>
        <v>1970</v>
      </c>
      <c r="G5432">
        <f t="shared" si="169"/>
        <v>1</v>
      </c>
      <c r="H5432" t="str">
        <f>IF(ISNUMBER(FIND(",", E5432)), TRIM(MID(E5432, FIND(",", E5432) + 1, LEN(E5432))), E5432)</f>
        <v>Fiji region</v>
      </c>
    </row>
    <row r="5433" spans="1:8" x14ac:dyDescent="0.25">
      <c r="A5433" s="2">
        <v>25594</v>
      </c>
      <c r="B5433">
        <v>-12.63</v>
      </c>
      <c r="C5433">
        <v>166.47300000000001</v>
      </c>
      <c r="D5433" t="s">
        <v>14</v>
      </c>
      <c r="E5433" t="s">
        <v>211</v>
      </c>
      <c r="F5433">
        <f t="shared" si="168"/>
        <v>1970</v>
      </c>
      <c r="G5433">
        <f t="shared" si="169"/>
        <v>1</v>
      </c>
      <c r="H5433" t="str">
        <f>IF(ISNUMBER(FIND(",", E5433)), TRIM(MID(E5433, FIND(",", E5433) + 1, LEN(E5433))), E5433)</f>
        <v>Santa Cruz Islands</v>
      </c>
    </row>
    <row r="5434" spans="1:8" x14ac:dyDescent="0.25">
      <c r="A5434" s="2">
        <v>25589</v>
      </c>
      <c r="B5434">
        <v>6.976</v>
      </c>
      <c r="C5434">
        <v>-104.255</v>
      </c>
      <c r="D5434" t="s">
        <v>14</v>
      </c>
      <c r="E5434" t="s">
        <v>353</v>
      </c>
      <c r="F5434">
        <f t="shared" si="168"/>
        <v>1970</v>
      </c>
      <c r="G5434">
        <f t="shared" si="169"/>
        <v>1</v>
      </c>
      <c r="H5434" t="str">
        <f>IF(ISNUMBER(FIND(",", E5434)), TRIM(MID(E5434, FIND(",", E5434) + 1, LEN(E5434))), E5434)</f>
        <v>Galapagos Triple Junction region</v>
      </c>
    </row>
    <row r="5435" spans="1:8" x14ac:dyDescent="0.25">
      <c r="A5435" s="2">
        <v>25588</v>
      </c>
      <c r="B5435">
        <v>42.521000000000001</v>
      </c>
      <c r="C5435">
        <v>143.024</v>
      </c>
      <c r="D5435" t="s">
        <v>14</v>
      </c>
      <c r="E5435" t="s">
        <v>265</v>
      </c>
      <c r="F5435">
        <f t="shared" si="168"/>
        <v>1970</v>
      </c>
      <c r="G5435">
        <f t="shared" si="169"/>
        <v>1</v>
      </c>
      <c r="H5435" t="str">
        <f>IF(ISNUMBER(FIND(",", E5435)), TRIM(MID(E5435, FIND(",", E5435) + 1, LEN(E5435))), E5435)</f>
        <v>Japan region</v>
      </c>
    </row>
    <row r="5436" spans="1:8" x14ac:dyDescent="0.25">
      <c r="A5436" s="2">
        <v>25588</v>
      </c>
      <c r="B5436">
        <v>-25.864999999999998</v>
      </c>
      <c r="C5436">
        <v>-177.173</v>
      </c>
      <c r="D5436" t="s">
        <v>13</v>
      </c>
      <c r="E5436" t="s">
        <v>256</v>
      </c>
      <c r="F5436">
        <f t="shared" si="168"/>
        <v>1970</v>
      </c>
      <c r="G5436">
        <f t="shared" si="169"/>
        <v>1</v>
      </c>
      <c r="H5436" t="str">
        <f>IF(ISNUMBER(FIND(",", E5436)), TRIM(MID(E5436, FIND(",", E5436) + 1, LEN(E5436))), E5436)</f>
        <v>south of the Fiji Islands</v>
      </c>
    </row>
    <row r="5437" spans="1:8" x14ac:dyDescent="0.25">
      <c r="A5437" s="2">
        <v>25578</v>
      </c>
      <c r="B5437">
        <v>6.7859999999999996</v>
      </c>
      <c r="C5437">
        <v>126.687</v>
      </c>
      <c r="D5437" t="s">
        <v>14</v>
      </c>
      <c r="E5437" t="s">
        <v>200</v>
      </c>
      <c r="F5437">
        <f t="shared" si="168"/>
        <v>1970</v>
      </c>
      <c r="G5437">
        <f t="shared" si="169"/>
        <v>1</v>
      </c>
      <c r="H5437" t="str">
        <f>IF(ISNUMBER(FIND(",", E5437)), TRIM(MID(E5437, FIND(",", E5437) + 1, LEN(E5437))), E5437)</f>
        <v>Philippines</v>
      </c>
    </row>
    <row r="5438" spans="1:8" x14ac:dyDescent="0.25">
      <c r="A5438" s="2">
        <v>25576</v>
      </c>
      <c r="B5438">
        <v>-34.884</v>
      </c>
      <c r="C5438">
        <v>178.851</v>
      </c>
      <c r="D5438" t="s">
        <v>13</v>
      </c>
      <c r="E5438" t="s">
        <v>262</v>
      </c>
      <c r="F5438">
        <f t="shared" si="168"/>
        <v>1970</v>
      </c>
      <c r="G5438">
        <f t="shared" si="169"/>
        <v>1</v>
      </c>
      <c r="H5438" t="str">
        <f>IF(ISNUMBER(FIND(",", E5438)), TRIM(MID(E5438, FIND(",", E5438) + 1, LEN(E5438))), E5438)</f>
        <v>south of the Kermadec Islands</v>
      </c>
    </row>
    <row r="5439" spans="1:8" x14ac:dyDescent="0.25">
      <c r="A5439" s="2">
        <v>25574</v>
      </c>
      <c r="B5439">
        <v>-9.6159999999999997</v>
      </c>
      <c r="C5439">
        <v>151.501</v>
      </c>
      <c r="D5439" t="s">
        <v>14</v>
      </c>
      <c r="E5439" t="s">
        <v>507</v>
      </c>
      <c r="F5439">
        <f t="shared" si="168"/>
        <v>1970</v>
      </c>
      <c r="G5439">
        <f t="shared" si="169"/>
        <v>1</v>
      </c>
      <c r="H5439" t="str">
        <f>IF(ISNUMBER(FIND(",", E5439)), TRIM(MID(E5439, FIND(",", E5439) + 1, LEN(E5439))), E5439)</f>
        <v>D'Entrecasteaux Islands region</v>
      </c>
    </row>
    <row r="5440" spans="1:8" x14ac:dyDescent="0.25">
      <c r="A5440" s="2">
        <v>25572</v>
      </c>
      <c r="B5440">
        <v>24.148</v>
      </c>
      <c r="C5440">
        <v>102.462</v>
      </c>
      <c r="D5440" t="s">
        <v>16</v>
      </c>
      <c r="E5440" t="s">
        <v>423</v>
      </c>
      <c r="F5440">
        <f t="shared" si="168"/>
        <v>1970</v>
      </c>
      <c r="G5440">
        <f t="shared" si="169"/>
        <v>1</v>
      </c>
      <c r="H5440" t="str">
        <f>IF(ISNUMBER(FIND(",", E5440)), TRIM(MID(E5440, FIND(",", E5440) + 1, LEN(E5440))), E5440)</f>
        <v>China</v>
      </c>
    </row>
    <row r="5441" spans="1:8" x14ac:dyDescent="0.25">
      <c r="A5441" s="2">
        <v>25568</v>
      </c>
      <c r="B5441">
        <v>28.545000000000002</v>
      </c>
      <c r="C5441">
        <v>129.13200000000001</v>
      </c>
      <c r="D5441" t="s">
        <v>14</v>
      </c>
      <c r="E5441" t="s">
        <v>340</v>
      </c>
      <c r="F5441">
        <f t="shared" si="168"/>
        <v>1969</v>
      </c>
      <c r="G5441">
        <f t="shared" si="169"/>
        <v>12</v>
      </c>
      <c r="H5441" t="str">
        <f>IF(ISNUMBER(FIND(",", E5441)), TRIM(MID(E5441, FIND(",", E5441) + 1, LEN(E5441))), E5441)</f>
        <v>Japan</v>
      </c>
    </row>
    <row r="5442" spans="1:8" x14ac:dyDescent="0.25">
      <c r="A5442" s="2">
        <v>25562</v>
      </c>
      <c r="B5442">
        <v>15.727</v>
      </c>
      <c r="C5442">
        <v>-59.648000000000003</v>
      </c>
      <c r="D5442" t="s">
        <v>16</v>
      </c>
      <c r="E5442" t="s">
        <v>666</v>
      </c>
      <c r="F5442">
        <f t="shared" ref="F5442:F5505" si="170">YEAR(A5442)</f>
        <v>1969</v>
      </c>
      <c r="G5442">
        <f t="shared" si="169"/>
        <v>12</v>
      </c>
      <c r="H5442" t="str">
        <f>IF(ISNUMBER(FIND(",", E5442)), TRIM(MID(E5442, FIND(",", E5442) + 1, LEN(E5442))), E5442)</f>
        <v>Leeward Islands</v>
      </c>
    </row>
    <row r="5443" spans="1:8" x14ac:dyDescent="0.25">
      <c r="A5443" s="2">
        <v>25555</v>
      </c>
      <c r="B5443">
        <v>46.226999999999997</v>
      </c>
      <c r="C5443">
        <v>142.47800000000001</v>
      </c>
      <c r="D5443" t="s">
        <v>14</v>
      </c>
      <c r="E5443" t="s">
        <v>514</v>
      </c>
      <c r="F5443">
        <f t="shared" si="170"/>
        <v>1969</v>
      </c>
      <c r="G5443">
        <f t="shared" ref="G5443:G5506" si="171">MONTH(A5443)</f>
        <v>12</v>
      </c>
      <c r="H5443" t="str">
        <f>IF(ISNUMBER(FIND(",", E5443)), TRIM(MID(E5443, FIND(",", E5443) + 1, LEN(E5443))), E5443)</f>
        <v>Russia</v>
      </c>
    </row>
    <row r="5444" spans="1:8" x14ac:dyDescent="0.25">
      <c r="A5444" s="2">
        <v>25551</v>
      </c>
      <c r="B5444">
        <v>1.982</v>
      </c>
      <c r="C5444">
        <v>126.898</v>
      </c>
      <c r="D5444" t="s">
        <v>13</v>
      </c>
      <c r="E5444" t="s">
        <v>186</v>
      </c>
      <c r="F5444">
        <f t="shared" si="170"/>
        <v>1969</v>
      </c>
      <c r="G5444">
        <f t="shared" si="171"/>
        <v>12</v>
      </c>
      <c r="H5444" t="str">
        <f>IF(ISNUMBER(FIND(",", E5444)), TRIM(MID(E5444, FIND(",", E5444) + 1, LEN(E5444))), E5444)</f>
        <v>Molucca Sea</v>
      </c>
    </row>
    <row r="5445" spans="1:8" x14ac:dyDescent="0.25">
      <c r="A5445" s="2">
        <v>25547</v>
      </c>
      <c r="B5445">
        <v>-14.819000000000001</v>
      </c>
      <c r="C5445">
        <v>167.155</v>
      </c>
      <c r="D5445" t="s">
        <v>14</v>
      </c>
      <c r="E5445" t="s">
        <v>181</v>
      </c>
      <c r="F5445">
        <f t="shared" si="170"/>
        <v>1969</v>
      </c>
      <c r="G5445">
        <f t="shared" si="171"/>
        <v>12</v>
      </c>
      <c r="H5445" t="str">
        <f>IF(ISNUMBER(FIND(",", E5445)), TRIM(MID(E5445, FIND(",", E5445) + 1, LEN(E5445))), E5445)</f>
        <v>Vanuatu</v>
      </c>
    </row>
    <row r="5446" spans="1:8" x14ac:dyDescent="0.25">
      <c r="A5446" s="2">
        <v>25533</v>
      </c>
      <c r="B5446">
        <v>-16.838999999999999</v>
      </c>
      <c r="C5446">
        <v>167.846</v>
      </c>
      <c r="D5446" t="s">
        <v>14</v>
      </c>
      <c r="E5446" t="s">
        <v>181</v>
      </c>
      <c r="F5446">
        <f t="shared" si="170"/>
        <v>1969</v>
      </c>
      <c r="G5446">
        <f t="shared" si="171"/>
        <v>11</v>
      </c>
      <c r="H5446" t="str">
        <f>IF(ISNUMBER(FIND(",", E5446)), TRIM(MID(E5446, FIND(",", E5446) + 1, LEN(E5446))), E5446)</f>
        <v>Vanuatu</v>
      </c>
    </row>
    <row r="5447" spans="1:8" x14ac:dyDescent="0.25">
      <c r="A5447" s="2">
        <v>25529</v>
      </c>
      <c r="B5447">
        <v>57.728999999999999</v>
      </c>
      <c r="C5447">
        <v>163.595</v>
      </c>
      <c r="D5447" t="s">
        <v>16</v>
      </c>
      <c r="E5447" t="s">
        <v>225</v>
      </c>
      <c r="F5447">
        <f t="shared" si="170"/>
        <v>1969</v>
      </c>
      <c r="G5447">
        <f t="shared" si="171"/>
        <v>11</v>
      </c>
      <c r="H5447" t="str">
        <f>IF(ISNUMBER(FIND(",", E5447)), TRIM(MID(E5447, FIND(",", E5447) + 1, LEN(E5447))), E5447)</f>
        <v>Russia</v>
      </c>
    </row>
    <row r="5448" spans="1:8" x14ac:dyDescent="0.25">
      <c r="A5448" s="2">
        <v>25528</v>
      </c>
      <c r="B5448">
        <v>1.972</v>
      </c>
      <c r="C5448">
        <v>94.572999999999993</v>
      </c>
      <c r="D5448" t="s">
        <v>16</v>
      </c>
      <c r="E5448" t="s">
        <v>245</v>
      </c>
      <c r="F5448">
        <f t="shared" si="170"/>
        <v>1969</v>
      </c>
      <c r="G5448">
        <f t="shared" si="171"/>
        <v>11</v>
      </c>
      <c r="H5448" t="str">
        <f>IF(ISNUMBER(FIND(",", E5448)), TRIM(MID(E5448, FIND(",", E5448) + 1, LEN(E5448))), E5448)</f>
        <v>off the west coast of northern Sumatra</v>
      </c>
    </row>
    <row r="5449" spans="1:8" x14ac:dyDescent="0.25">
      <c r="A5449" s="2">
        <v>25520</v>
      </c>
      <c r="B5449">
        <v>-27.79</v>
      </c>
      <c r="C5449">
        <v>-71.834999999999994</v>
      </c>
      <c r="D5449" t="s">
        <v>14</v>
      </c>
      <c r="E5449" t="s">
        <v>439</v>
      </c>
      <c r="F5449">
        <f t="shared" si="170"/>
        <v>1969</v>
      </c>
      <c r="G5449">
        <f t="shared" si="171"/>
        <v>11</v>
      </c>
      <c r="H5449" t="str">
        <f>IF(ISNUMBER(FIND(",", E5449)), TRIM(MID(E5449, FIND(",", E5449) + 1, LEN(E5449))), E5449)</f>
        <v>Chile</v>
      </c>
    </row>
    <row r="5450" spans="1:8" x14ac:dyDescent="0.25">
      <c r="A5450" s="2">
        <v>25514</v>
      </c>
      <c r="B5450">
        <v>27.815999999999999</v>
      </c>
      <c r="C5450">
        <v>59.978999999999999</v>
      </c>
      <c r="D5450" t="s">
        <v>13</v>
      </c>
      <c r="E5450" t="s">
        <v>305</v>
      </c>
      <c r="F5450">
        <f t="shared" si="170"/>
        <v>1969</v>
      </c>
      <c r="G5450">
        <f t="shared" si="171"/>
        <v>11</v>
      </c>
      <c r="H5450" t="str">
        <f>IF(ISNUMBER(FIND(",", E5450)), TRIM(MID(E5450, FIND(",", E5450) + 1, LEN(E5450))), E5450)</f>
        <v>southeastern Iran</v>
      </c>
    </row>
    <row r="5451" spans="1:8" x14ac:dyDescent="0.25">
      <c r="A5451" s="2">
        <v>25508</v>
      </c>
      <c r="B5451">
        <v>23.084</v>
      </c>
      <c r="C5451">
        <v>-107.994</v>
      </c>
      <c r="D5451" t="s">
        <v>14</v>
      </c>
      <c r="E5451" t="s">
        <v>282</v>
      </c>
      <c r="F5451">
        <f t="shared" si="170"/>
        <v>1969</v>
      </c>
      <c r="G5451">
        <f t="shared" si="171"/>
        <v>11</v>
      </c>
      <c r="H5451" t="str">
        <f>IF(ISNUMBER(FIND(",", E5451)), TRIM(MID(E5451, FIND(",", E5451) + 1, LEN(E5451))), E5451)</f>
        <v>Gulf of California</v>
      </c>
    </row>
    <row r="5452" spans="1:8" x14ac:dyDescent="0.25">
      <c r="A5452" s="2">
        <v>25507</v>
      </c>
      <c r="B5452">
        <v>51.264000000000003</v>
      </c>
      <c r="C5452">
        <v>-178.976</v>
      </c>
      <c r="D5452" t="s">
        <v>14</v>
      </c>
      <c r="E5452" t="s">
        <v>207</v>
      </c>
      <c r="F5452">
        <f t="shared" si="170"/>
        <v>1969</v>
      </c>
      <c r="G5452">
        <f t="shared" si="171"/>
        <v>10</v>
      </c>
      <c r="H5452" t="str">
        <f>IF(ISNUMBER(FIND(",", E5452)), TRIM(MID(E5452, FIND(",", E5452) + 1, LEN(E5452))), E5452)</f>
        <v>Aleutian Islands, Alaska</v>
      </c>
    </row>
    <row r="5453" spans="1:8" x14ac:dyDescent="0.25">
      <c r="A5453" s="2">
        <v>25503</v>
      </c>
      <c r="B5453">
        <v>44.835999999999999</v>
      </c>
      <c r="C5453">
        <v>17.233000000000001</v>
      </c>
      <c r="D5453" t="s">
        <v>14</v>
      </c>
      <c r="E5453" t="s">
        <v>667</v>
      </c>
      <c r="F5453">
        <f t="shared" si="170"/>
        <v>1969</v>
      </c>
      <c r="G5453">
        <f t="shared" si="171"/>
        <v>10</v>
      </c>
      <c r="H5453" t="str">
        <f>IF(ISNUMBER(FIND(",", E5453)), TRIM(MID(E5453, FIND(",", E5453) + 1, LEN(E5453))), E5453)</f>
        <v>Bosnia and Herzegovina</v>
      </c>
    </row>
    <row r="5454" spans="1:8" x14ac:dyDescent="0.25">
      <c r="A5454" s="2">
        <v>25502</v>
      </c>
      <c r="B5454">
        <v>-53.337000000000003</v>
      </c>
      <c r="C5454">
        <v>23.478999999999999</v>
      </c>
      <c r="D5454" t="s">
        <v>14</v>
      </c>
      <c r="E5454" t="s">
        <v>465</v>
      </c>
      <c r="F5454">
        <f t="shared" si="170"/>
        <v>1969</v>
      </c>
      <c r="G5454">
        <f t="shared" si="171"/>
        <v>10</v>
      </c>
      <c r="H5454" t="str">
        <f>IF(ISNUMBER(FIND(",", E5454)), TRIM(MID(E5454, FIND(",", E5454) + 1, LEN(E5454))), E5454)</f>
        <v>south of Africa</v>
      </c>
    </row>
    <row r="5455" spans="1:8" x14ac:dyDescent="0.25">
      <c r="A5455" s="2">
        <v>25493</v>
      </c>
      <c r="B5455">
        <v>23.094000000000001</v>
      </c>
      <c r="C5455">
        <v>94.713999999999999</v>
      </c>
      <c r="D5455" t="s">
        <v>13</v>
      </c>
      <c r="E5455" t="s">
        <v>197</v>
      </c>
      <c r="F5455">
        <f t="shared" si="170"/>
        <v>1969</v>
      </c>
      <c r="G5455">
        <f t="shared" si="171"/>
        <v>10</v>
      </c>
      <c r="H5455" t="str">
        <f>IF(ISNUMBER(FIND(",", E5455)), TRIM(MID(E5455, FIND(",", E5455) + 1, LEN(E5455))), E5455)</f>
        <v>Myanmar</v>
      </c>
    </row>
    <row r="5456" spans="1:8" x14ac:dyDescent="0.25">
      <c r="A5456" s="2">
        <v>25477</v>
      </c>
      <c r="B5456">
        <v>-60.863999999999997</v>
      </c>
      <c r="C5456">
        <v>-19.771000000000001</v>
      </c>
      <c r="D5456" t="s">
        <v>14</v>
      </c>
      <c r="E5456" t="s">
        <v>242</v>
      </c>
      <c r="F5456">
        <f t="shared" si="170"/>
        <v>1969</v>
      </c>
      <c r="G5456">
        <f t="shared" si="171"/>
        <v>10</v>
      </c>
      <c r="H5456" t="str">
        <f>IF(ISNUMBER(FIND(",", E5456)), TRIM(MID(E5456, FIND(",", E5456) + 1, LEN(E5456))), E5456)</f>
        <v>east of the South Sandwich Islands</v>
      </c>
    </row>
    <row r="5457" spans="1:8" x14ac:dyDescent="0.25">
      <c r="A5457" s="2">
        <v>25477</v>
      </c>
      <c r="B5457">
        <v>-11.835000000000001</v>
      </c>
      <c r="C5457">
        <v>-75.194000000000003</v>
      </c>
      <c r="D5457" t="s">
        <v>14</v>
      </c>
      <c r="E5457" t="s">
        <v>198</v>
      </c>
      <c r="F5457">
        <f t="shared" si="170"/>
        <v>1969</v>
      </c>
      <c r="G5457">
        <f t="shared" si="171"/>
        <v>10</v>
      </c>
      <c r="H5457" t="str">
        <f>IF(ISNUMBER(FIND(",", E5457)), TRIM(MID(E5457, FIND(",", E5457) + 1, LEN(E5457))), E5457)</f>
        <v>central Peru</v>
      </c>
    </row>
    <row r="5458" spans="1:8" x14ac:dyDescent="0.25">
      <c r="A5458" s="2">
        <v>25476</v>
      </c>
      <c r="B5458">
        <v>-31.829000000000001</v>
      </c>
      <c r="C5458">
        <v>-177.703</v>
      </c>
      <c r="D5458" t="s">
        <v>14</v>
      </c>
      <c r="E5458" t="s">
        <v>240</v>
      </c>
      <c r="F5458">
        <f t="shared" si="170"/>
        <v>1969</v>
      </c>
      <c r="G5458">
        <f t="shared" si="171"/>
        <v>9</v>
      </c>
      <c r="H5458" t="str">
        <f>IF(ISNUMBER(FIND(",", E5458)), TRIM(MID(E5458, FIND(",", E5458) + 1, LEN(E5458))), E5458)</f>
        <v>Kermadec Islands region</v>
      </c>
    </row>
    <row r="5459" spans="1:8" x14ac:dyDescent="0.25">
      <c r="A5459" s="2">
        <v>25475</v>
      </c>
      <c r="B5459">
        <v>-33.191000000000003</v>
      </c>
      <c r="C5459">
        <v>19.335000000000001</v>
      </c>
      <c r="D5459" t="s">
        <v>14</v>
      </c>
      <c r="E5459" t="s">
        <v>668</v>
      </c>
      <c r="F5459">
        <f t="shared" si="170"/>
        <v>1969</v>
      </c>
      <c r="G5459">
        <f t="shared" si="171"/>
        <v>9</v>
      </c>
      <c r="H5459" t="str">
        <f>IF(ISNUMBER(FIND(",", E5459)), TRIM(MID(E5459, FIND(",", E5459) + 1, LEN(E5459))), E5459)</f>
        <v>South Africa</v>
      </c>
    </row>
    <row r="5460" spans="1:8" x14ac:dyDescent="0.25">
      <c r="A5460" s="2">
        <v>25470</v>
      </c>
      <c r="B5460">
        <v>15.228</v>
      </c>
      <c r="C5460">
        <v>-45.741999999999997</v>
      </c>
      <c r="D5460" t="s">
        <v>14</v>
      </c>
      <c r="E5460" t="s">
        <v>325</v>
      </c>
      <c r="F5460">
        <f t="shared" si="170"/>
        <v>1969</v>
      </c>
      <c r="G5460">
        <f t="shared" si="171"/>
        <v>9</v>
      </c>
      <c r="H5460" t="str">
        <f>IF(ISNUMBER(FIND(",", E5460)), TRIM(MID(E5460, FIND(",", E5460) + 1, LEN(E5460))), E5460)</f>
        <v>northern Mid-Atlantic Ridge</v>
      </c>
    </row>
    <row r="5461" spans="1:8" x14ac:dyDescent="0.25">
      <c r="A5461" s="2">
        <v>25466</v>
      </c>
      <c r="B5461">
        <v>58.293999999999997</v>
      </c>
      <c r="C5461">
        <v>-32.106000000000002</v>
      </c>
      <c r="D5461" t="s">
        <v>14</v>
      </c>
      <c r="E5461" t="s">
        <v>529</v>
      </c>
      <c r="F5461">
        <f t="shared" si="170"/>
        <v>1969</v>
      </c>
      <c r="G5461">
        <f t="shared" si="171"/>
        <v>9</v>
      </c>
      <c r="H5461" t="str">
        <f>IF(ISNUMBER(FIND(",", E5461)), TRIM(MID(E5461, FIND(",", E5461) + 1, LEN(E5461))), E5461)</f>
        <v>Reykjanes Ridge</v>
      </c>
    </row>
    <row r="5462" spans="1:8" x14ac:dyDescent="0.25">
      <c r="A5462" s="2">
        <v>25458</v>
      </c>
      <c r="B5462">
        <v>51.253999999999998</v>
      </c>
      <c r="C5462">
        <v>-179.18299999999999</v>
      </c>
      <c r="D5462" t="s">
        <v>14</v>
      </c>
      <c r="E5462" t="s">
        <v>207</v>
      </c>
      <c r="F5462">
        <f t="shared" si="170"/>
        <v>1969</v>
      </c>
      <c r="G5462">
        <f t="shared" si="171"/>
        <v>9</v>
      </c>
      <c r="H5462" t="str">
        <f>IF(ISNUMBER(FIND(",", E5462)), TRIM(MID(E5462, FIND(",", E5462) + 1, LEN(E5462))), E5462)</f>
        <v>Aleutian Islands, Alaska</v>
      </c>
    </row>
    <row r="5463" spans="1:8" x14ac:dyDescent="0.25">
      <c r="A5463" s="2">
        <v>25455</v>
      </c>
      <c r="B5463">
        <v>35.786999999999999</v>
      </c>
      <c r="C5463">
        <v>137.09100000000001</v>
      </c>
      <c r="D5463" t="s">
        <v>14</v>
      </c>
      <c r="E5463" t="s">
        <v>293</v>
      </c>
      <c r="F5463">
        <f t="shared" si="170"/>
        <v>1969</v>
      </c>
      <c r="G5463">
        <f t="shared" si="171"/>
        <v>9</v>
      </c>
      <c r="H5463" t="str">
        <f>IF(ISNUMBER(FIND(",", E5463)), TRIM(MID(E5463, FIND(",", E5463) + 1, LEN(E5463))), E5463)</f>
        <v>Japan</v>
      </c>
    </row>
    <row r="5464" spans="1:8" x14ac:dyDescent="0.25">
      <c r="A5464" s="2">
        <v>25452</v>
      </c>
      <c r="B5464">
        <v>-8.8789999999999996</v>
      </c>
      <c r="C5464">
        <v>157.935</v>
      </c>
      <c r="D5464" t="s">
        <v>14</v>
      </c>
      <c r="E5464" t="s">
        <v>221</v>
      </c>
      <c r="F5464">
        <f t="shared" si="170"/>
        <v>1969</v>
      </c>
      <c r="G5464">
        <f t="shared" si="171"/>
        <v>9</v>
      </c>
      <c r="H5464" t="str">
        <f>IF(ISNUMBER(FIND(",", E5464)), TRIM(MID(E5464, FIND(",", E5464) + 1, LEN(E5464))), E5464)</f>
        <v>Solomon Islands</v>
      </c>
    </row>
    <row r="5465" spans="1:8" x14ac:dyDescent="0.25">
      <c r="A5465" s="2">
        <v>25452</v>
      </c>
      <c r="B5465">
        <v>36.908999999999999</v>
      </c>
      <c r="C5465">
        <v>-11.939</v>
      </c>
      <c r="D5465" t="s">
        <v>14</v>
      </c>
      <c r="E5465" t="s">
        <v>430</v>
      </c>
      <c r="F5465">
        <f t="shared" si="170"/>
        <v>1969</v>
      </c>
      <c r="G5465">
        <f t="shared" si="171"/>
        <v>9</v>
      </c>
      <c r="H5465" t="str">
        <f>IF(ISNUMBER(FIND(",", E5465)), TRIM(MID(E5465, FIND(",", E5465) + 1, LEN(E5465))), E5465)</f>
        <v>Azores-Cape St. Vincent Ridge</v>
      </c>
    </row>
    <row r="5466" spans="1:8" x14ac:dyDescent="0.25">
      <c r="A5466" s="2">
        <v>25448</v>
      </c>
      <c r="B5466">
        <v>-31.402999999999999</v>
      </c>
      <c r="C5466">
        <v>-176.84899999999999</v>
      </c>
      <c r="D5466" t="s">
        <v>17</v>
      </c>
      <c r="E5466" t="s">
        <v>240</v>
      </c>
      <c r="F5466">
        <f t="shared" si="170"/>
        <v>1969</v>
      </c>
      <c r="G5466">
        <f t="shared" si="171"/>
        <v>9</v>
      </c>
      <c r="H5466" t="str">
        <f>IF(ISNUMBER(FIND(",", E5466)), TRIM(MID(E5466, FIND(",", E5466) + 1, LEN(E5466))), E5466)</f>
        <v>Kermadec Islands region</v>
      </c>
    </row>
    <row r="5467" spans="1:8" x14ac:dyDescent="0.25">
      <c r="A5467" s="2">
        <v>25435</v>
      </c>
      <c r="B5467">
        <v>47.924999999999997</v>
      </c>
      <c r="C5467">
        <v>153.65899999999999</v>
      </c>
      <c r="D5467" t="s">
        <v>13</v>
      </c>
      <c r="E5467" t="s">
        <v>191</v>
      </c>
      <c r="F5467">
        <f t="shared" si="170"/>
        <v>1969</v>
      </c>
      <c r="G5467">
        <f t="shared" si="171"/>
        <v>8</v>
      </c>
      <c r="H5467" t="str">
        <f>IF(ISNUMBER(FIND(",", E5467)), TRIM(MID(E5467, FIND(",", E5467) + 1, LEN(E5467))), E5467)</f>
        <v>Kuril Islands</v>
      </c>
    </row>
    <row r="5468" spans="1:8" x14ac:dyDescent="0.25">
      <c r="A5468" s="2">
        <v>25433</v>
      </c>
      <c r="B5468">
        <v>-55.868000000000002</v>
      </c>
      <c r="C5468">
        <v>-123.34</v>
      </c>
      <c r="D5468" t="s">
        <v>14</v>
      </c>
      <c r="E5468" t="s">
        <v>268</v>
      </c>
      <c r="F5468">
        <f t="shared" si="170"/>
        <v>1969</v>
      </c>
      <c r="G5468">
        <f t="shared" si="171"/>
        <v>8</v>
      </c>
      <c r="H5468" t="str">
        <f>IF(ISNUMBER(FIND(",", E5468)), TRIM(MID(E5468, FIND(",", E5468) + 1, LEN(E5468))), E5468)</f>
        <v>southern East Pacific Rise</v>
      </c>
    </row>
    <row r="5469" spans="1:8" x14ac:dyDescent="0.25">
      <c r="A5469" s="2">
        <v>25432</v>
      </c>
      <c r="B5469">
        <v>24.844000000000001</v>
      </c>
      <c r="C5469">
        <v>-109.68600000000001</v>
      </c>
      <c r="D5469" t="s">
        <v>17</v>
      </c>
      <c r="E5469" t="s">
        <v>282</v>
      </c>
      <c r="F5469">
        <f t="shared" si="170"/>
        <v>1969</v>
      </c>
      <c r="G5469">
        <f t="shared" si="171"/>
        <v>8</v>
      </c>
      <c r="H5469" t="str">
        <f>IF(ISNUMBER(FIND(",", E5469)), TRIM(MID(E5469, FIND(",", E5469) + 1, LEN(E5469))), E5469)</f>
        <v>Gulf of California</v>
      </c>
    </row>
    <row r="5470" spans="1:8" x14ac:dyDescent="0.25">
      <c r="A5470" s="2">
        <v>25430</v>
      </c>
      <c r="B5470">
        <v>21.59</v>
      </c>
      <c r="C5470">
        <v>143.10599999999999</v>
      </c>
      <c r="D5470" t="s">
        <v>14</v>
      </c>
      <c r="E5470" t="s">
        <v>72</v>
      </c>
      <c r="F5470">
        <f t="shared" si="170"/>
        <v>1969</v>
      </c>
      <c r="G5470">
        <f t="shared" si="171"/>
        <v>8</v>
      </c>
      <c r="H5470" t="str">
        <f>IF(ISNUMBER(FIND(",", E5470)), TRIM(MID(E5470, FIND(",", E5470) + 1, LEN(E5470))), E5470)</f>
        <v>Mariana Islands region</v>
      </c>
    </row>
    <row r="5471" spans="1:8" x14ac:dyDescent="0.25">
      <c r="A5471" s="2">
        <v>25429</v>
      </c>
      <c r="B5471">
        <v>43.273000000000003</v>
      </c>
      <c r="C5471">
        <v>147.572</v>
      </c>
      <c r="D5471" t="s">
        <v>14</v>
      </c>
      <c r="E5471" t="s">
        <v>191</v>
      </c>
      <c r="F5471">
        <f t="shared" si="170"/>
        <v>1969</v>
      </c>
      <c r="G5471">
        <f t="shared" si="171"/>
        <v>8</v>
      </c>
      <c r="H5471" t="str">
        <f>IF(ISNUMBER(FIND(",", E5471)), TRIM(MID(E5471, FIND(",", E5471) + 1, LEN(E5471))), E5471)</f>
        <v>Kuril Islands</v>
      </c>
    </row>
    <row r="5472" spans="1:8" x14ac:dyDescent="0.25">
      <c r="A5472" s="2">
        <v>25428</v>
      </c>
      <c r="B5472">
        <v>44.180999999999997</v>
      </c>
      <c r="C5472">
        <v>148.26400000000001</v>
      </c>
      <c r="D5472" t="s">
        <v>14</v>
      </c>
      <c r="E5472" t="s">
        <v>191</v>
      </c>
      <c r="F5472">
        <f t="shared" si="170"/>
        <v>1969</v>
      </c>
      <c r="G5472">
        <f t="shared" si="171"/>
        <v>8</v>
      </c>
      <c r="H5472" t="str">
        <f>IF(ISNUMBER(FIND(",", E5472)), TRIM(MID(E5472, FIND(",", E5472) + 1, LEN(E5472))), E5472)</f>
        <v>Kuril Islands</v>
      </c>
    </row>
    <row r="5473" spans="1:8" x14ac:dyDescent="0.25">
      <c r="A5473" s="2">
        <v>25427</v>
      </c>
      <c r="B5473">
        <v>44.021000000000001</v>
      </c>
      <c r="C5473">
        <v>148.684</v>
      </c>
      <c r="D5473" t="s">
        <v>14</v>
      </c>
      <c r="E5473" t="s">
        <v>191</v>
      </c>
      <c r="F5473">
        <f t="shared" si="170"/>
        <v>1969</v>
      </c>
      <c r="G5473">
        <f t="shared" si="171"/>
        <v>8</v>
      </c>
      <c r="H5473" t="str">
        <f>IF(ISNUMBER(FIND(",", E5473)), TRIM(MID(E5473, FIND(",", E5473) + 1, LEN(E5473))), E5473)</f>
        <v>Kuril Islands</v>
      </c>
    </row>
    <row r="5474" spans="1:8" x14ac:dyDescent="0.25">
      <c r="A5474" s="2">
        <v>25427</v>
      </c>
      <c r="B5474">
        <v>43.801000000000002</v>
      </c>
      <c r="C5474">
        <v>148.53299999999999</v>
      </c>
      <c r="D5474" t="s">
        <v>14</v>
      </c>
      <c r="E5474" t="s">
        <v>317</v>
      </c>
      <c r="F5474">
        <f t="shared" si="170"/>
        <v>1969</v>
      </c>
      <c r="G5474">
        <f t="shared" si="171"/>
        <v>8</v>
      </c>
      <c r="H5474" t="str">
        <f>IF(ISNUMBER(FIND(",", E5474)), TRIM(MID(E5474, FIND(",", E5474) + 1, LEN(E5474))), E5474)</f>
        <v>east of the Kuril Islands</v>
      </c>
    </row>
    <row r="5475" spans="1:8" x14ac:dyDescent="0.25">
      <c r="A5475" s="2">
        <v>25427</v>
      </c>
      <c r="B5475">
        <v>43.594999999999999</v>
      </c>
      <c r="C5475">
        <v>148.21299999999999</v>
      </c>
      <c r="D5475" t="s">
        <v>14</v>
      </c>
      <c r="E5475" t="s">
        <v>317</v>
      </c>
      <c r="F5475">
        <f t="shared" si="170"/>
        <v>1969</v>
      </c>
      <c r="G5475">
        <f t="shared" si="171"/>
        <v>8</v>
      </c>
      <c r="H5475" t="str">
        <f>IF(ISNUMBER(FIND(",", E5475)), TRIM(MID(E5475, FIND(",", E5475) + 1, LEN(E5475))), E5475)</f>
        <v>east of the Kuril Islands</v>
      </c>
    </row>
    <row r="5476" spans="1:8" x14ac:dyDescent="0.25">
      <c r="A5476" s="2">
        <v>25426</v>
      </c>
      <c r="B5476">
        <v>1.825</v>
      </c>
      <c r="C5476">
        <v>126.34099999999999</v>
      </c>
      <c r="D5476" t="s">
        <v>16</v>
      </c>
      <c r="E5476" t="s">
        <v>186</v>
      </c>
      <c r="F5476">
        <f t="shared" si="170"/>
        <v>1969</v>
      </c>
      <c r="G5476">
        <f t="shared" si="171"/>
        <v>8</v>
      </c>
      <c r="H5476" t="str">
        <f>IF(ISNUMBER(FIND(",", E5476)), TRIM(MID(E5476, FIND(",", E5476) + 1, LEN(E5476))), E5476)</f>
        <v>Molucca Sea</v>
      </c>
    </row>
    <row r="5477" spans="1:8" x14ac:dyDescent="0.25">
      <c r="A5477" s="2">
        <v>25426</v>
      </c>
      <c r="B5477">
        <v>43.610999999999997</v>
      </c>
      <c r="C5477">
        <v>147.61600000000001</v>
      </c>
      <c r="D5477" t="s">
        <v>13</v>
      </c>
      <c r="E5477" t="s">
        <v>191</v>
      </c>
      <c r="F5477">
        <f t="shared" si="170"/>
        <v>1969</v>
      </c>
      <c r="G5477">
        <f t="shared" si="171"/>
        <v>8</v>
      </c>
      <c r="H5477" t="str">
        <f>IF(ISNUMBER(FIND(",", E5477)), TRIM(MID(E5477, FIND(",", E5477) + 1, LEN(E5477))), E5477)</f>
        <v>Kuril Islands</v>
      </c>
    </row>
    <row r="5478" spans="1:8" x14ac:dyDescent="0.25">
      <c r="A5478" s="2">
        <v>25426</v>
      </c>
      <c r="B5478">
        <v>43.786999999999999</v>
      </c>
      <c r="C5478">
        <v>146.39599999999999</v>
      </c>
      <c r="D5478" t="s">
        <v>13</v>
      </c>
      <c r="E5478" t="s">
        <v>191</v>
      </c>
      <c r="F5478">
        <f t="shared" si="170"/>
        <v>1969</v>
      </c>
      <c r="G5478">
        <f t="shared" si="171"/>
        <v>8</v>
      </c>
      <c r="H5478" t="str">
        <f>IF(ISNUMBER(FIND(",", E5478)), TRIM(MID(E5478, FIND(",", E5478) + 1, LEN(E5478))), E5478)</f>
        <v>Kuril Islands</v>
      </c>
    </row>
    <row r="5479" spans="1:8" x14ac:dyDescent="0.25">
      <c r="A5479" s="2">
        <v>25426</v>
      </c>
      <c r="B5479">
        <v>43.476999999999997</v>
      </c>
      <c r="C5479">
        <v>147.815</v>
      </c>
      <c r="D5479" t="s">
        <v>16</v>
      </c>
      <c r="E5479" t="s">
        <v>191</v>
      </c>
      <c r="F5479">
        <f t="shared" si="170"/>
        <v>1969</v>
      </c>
      <c r="G5479">
        <f t="shared" si="171"/>
        <v>8</v>
      </c>
      <c r="H5479" t="str">
        <f>IF(ISNUMBER(FIND(",", E5479)), TRIM(MID(E5479, FIND(",", E5479) + 1, LEN(E5479))), E5479)</f>
        <v>Kuril Islands</v>
      </c>
    </row>
    <row r="5480" spans="1:8" x14ac:dyDescent="0.25">
      <c r="A5480" s="2">
        <v>25423</v>
      </c>
      <c r="B5480">
        <v>-47.752000000000002</v>
      </c>
      <c r="C5480">
        <v>-15.689</v>
      </c>
      <c r="D5480" t="s">
        <v>14</v>
      </c>
      <c r="E5480" t="s">
        <v>422</v>
      </c>
      <c r="F5480">
        <f t="shared" si="170"/>
        <v>1969</v>
      </c>
      <c r="G5480">
        <f t="shared" si="171"/>
        <v>8</v>
      </c>
      <c r="H5480" t="str">
        <f>IF(ISNUMBER(FIND(",", E5480)), TRIM(MID(E5480, FIND(",", E5480) + 1, LEN(E5480))), E5480)</f>
        <v>southern Mid-Atlantic Ridge</v>
      </c>
    </row>
    <row r="5481" spans="1:8" x14ac:dyDescent="0.25">
      <c r="A5481" s="2">
        <v>25420</v>
      </c>
      <c r="B5481">
        <v>1.244</v>
      </c>
      <c r="C5481">
        <v>126.19199999999999</v>
      </c>
      <c r="D5481" t="s">
        <v>14</v>
      </c>
      <c r="E5481" t="s">
        <v>186</v>
      </c>
      <c r="F5481">
        <f t="shared" si="170"/>
        <v>1969</v>
      </c>
      <c r="G5481">
        <f t="shared" si="171"/>
        <v>8</v>
      </c>
      <c r="H5481" t="str">
        <f>IF(ISNUMBER(FIND(",", E5481)), TRIM(MID(E5481, FIND(",", E5481) + 1, LEN(E5481))), E5481)</f>
        <v>Molucca Sea</v>
      </c>
    </row>
    <row r="5482" spans="1:8" x14ac:dyDescent="0.25">
      <c r="A5482" s="2">
        <v>25419</v>
      </c>
      <c r="B5482">
        <v>-5.7270000000000003</v>
      </c>
      <c r="C5482">
        <v>125.387</v>
      </c>
      <c r="D5482" t="s">
        <v>14</v>
      </c>
      <c r="E5482" t="s">
        <v>187</v>
      </c>
      <c r="F5482">
        <f t="shared" si="170"/>
        <v>1969</v>
      </c>
      <c r="G5482">
        <f t="shared" si="171"/>
        <v>8</v>
      </c>
      <c r="H5482" t="str">
        <f>IF(ISNUMBER(FIND(",", E5482)), TRIM(MID(E5482, FIND(",", E5482) + 1, LEN(E5482))), E5482)</f>
        <v>Banda Sea</v>
      </c>
    </row>
    <row r="5483" spans="1:8" x14ac:dyDescent="0.25">
      <c r="A5483" s="2">
        <v>25402</v>
      </c>
      <c r="B5483">
        <v>38.417999999999999</v>
      </c>
      <c r="C5483">
        <v>119.452</v>
      </c>
      <c r="D5483" t="s">
        <v>16</v>
      </c>
      <c r="E5483" t="s">
        <v>669</v>
      </c>
      <c r="F5483">
        <f t="shared" si="170"/>
        <v>1969</v>
      </c>
      <c r="G5483">
        <f t="shared" si="171"/>
        <v>7</v>
      </c>
      <c r="H5483" t="str">
        <f>IF(ISNUMBER(FIND(",", E5483)), TRIM(MID(E5483, FIND(",", E5483) + 1, LEN(E5483))), E5483)</f>
        <v>China</v>
      </c>
    </row>
    <row r="5484" spans="1:8" x14ac:dyDescent="0.25">
      <c r="A5484" s="2">
        <v>25400</v>
      </c>
      <c r="B5484">
        <v>52.201999999999998</v>
      </c>
      <c r="C5484">
        <v>158.899</v>
      </c>
      <c r="D5484" t="s">
        <v>17</v>
      </c>
      <c r="E5484" t="s">
        <v>225</v>
      </c>
      <c r="F5484">
        <f t="shared" si="170"/>
        <v>1969</v>
      </c>
      <c r="G5484">
        <f t="shared" si="171"/>
        <v>7</v>
      </c>
      <c r="H5484" t="str">
        <f>IF(ISNUMBER(FIND(",", E5484)), TRIM(MID(E5484, FIND(",", E5484) + 1, LEN(E5484))), E5484)</f>
        <v>Russia</v>
      </c>
    </row>
    <row r="5485" spans="1:8" x14ac:dyDescent="0.25">
      <c r="A5485" s="2">
        <v>25383</v>
      </c>
      <c r="B5485">
        <v>-62.701999999999998</v>
      </c>
      <c r="C5485">
        <v>166.45599999999999</v>
      </c>
      <c r="D5485" t="s">
        <v>14</v>
      </c>
      <c r="E5485" t="s">
        <v>283</v>
      </c>
      <c r="F5485">
        <f t="shared" si="170"/>
        <v>1969</v>
      </c>
      <c r="G5485">
        <f t="shared" si="171"/>
        <v>6</v>
      </c>
      <c r="H5485" t="str">
        <f>IF(ISNUMBER(FIND(",", E5485)), TRIM(MID(E5485, FIND(",", E5485) + 1, LEN(E5485))), E5485)</f>
        <v>Balleny Islands region</v>
      </c>
    </row>
    <row r="5486" spans="1:8" x14ac:dyDescent="0.25">
      <c r="A5486" s="2">
        <v>25376</v>
      </c>
      <c r="B5486">
        <v>51.435000000000002</v>
      </c>
      <c r="C5486">
        <v>-179.95099999999999</v>
      </c>
      <c r="D5486" t="s">
        <v>13</v>
      </c>
      <c r="E5486" t="s">
        <v>207</v>
      </c>
      <c r="F5486">
        <f t="shared" si="170"/>
        <v>1969</v>
      </c>
      <c r="G5486">
        <f t="shared" si="171"/>
        <v>6</v>
      </c>
      <c r="H5486" t="str">
        <f>IF(ISNUMBER(FIND(",", E5486)), TRIM(MID(E5486, FIND(",", E5486) + 1, LEN(E5486))), E5486)</f>
        <v>Aleutian Islands, Alaska</v>
      </c>
    </row>
    <row r="5487" spans="1:8" x14ac:dyDescent="0.25">
      <c r="A5487" s="2">
        <v>25371</v>
      </c>
      <c r="B5487">
        <v>-52.609000000000002</v>
      </c>
      <c r="C5487">
        <v>159.81399999999999</v>
      </c>
      <c r="D5487" t="s">
        <v>14</v>
      </c>
      <c r="E5487" t="s">
        <v>350</v>
      </c>
      <c r="F5487">
        <f t="shared" si="170"/>
        <v>1969</v>
      </c>
      <c r="G5487">
        <f t="shared" si="171"/>
        <v>6</v>
      </c>
      <c r="H5487" t="str">
        <f>IF(ISNUMBER(FIND(",", E5487)), TRIM(MID(E5487, FIND(",", E5487) + 1, LEN(E5487))), E5487)</f>
        <v>Macquarie Island region</v>
      </c>
    </row>
    <row r="5488" spans="1:8" x14ac:dyDescent="0.25">
      <c r="A5488" s="2">
        <v>25368</v>
      </c>
      <c r="B5488">
        <v>-7.9429999999999996</v>
      </c>
      <c r="C5488">
        <v>159.06700000000001</v>
      </c>
      <c r="D5488" t="s">
        <v>17</v>
      </c>
      <c r="E5488" t="s">
        <v>221</v>
      </c>
      <c r="F5488">
        <f t="shared" si="170"/>
        <v>1969</v>
      </c>
      <c r="G5488">
        <f t="shared" si="171"/>
        <v>6</v>
      </c>
      <c r="H5488" t="str">
        <f>IF(ISNUMBER(FIND(",", E5488)), TRIM(MID(E5488, FIND(",", E5488) + 1, LEN(E5488))), E5488)</f>
        <v>Solomon Islands</v>
      </c>
    </row>
    <row r="5489" spans="1:8" x14ac:dyDescent="0.25">
      <c r="A5489" s="2">
        <v>25367</v>
      </c>
      <c r="B5489">
        <v>49.427999999999997</v>
      </c>
      <c r="C5489">
        <v>155.47800000000001</v>
      </c>
      <c r="D5489" t="s">
        <v>13</v>
      </c>
      <c r="E5489" t="s">
        <v>191</v>
      </c>
      <c r="F5489">
        <f t="shared" si="170"/>
        <v>1969</v>
      </c>
      <c r="G5489">
        <f t="shared" si="171"/>
        <v>6</v>
      </c>
      <c r="H5489" t="str">
        <f>IF(ISNUMBER(FIND(",", E5489)), TRIM(MID(E5489, FIND(",", E5489) + 1, LEN(E5489))), E5489)</f>
        <v>Kuril Islands</v>
      </c>
    </row>
    <row r="5490" spans="1:8" x14ac:dyDescent="0.25">
      <c r="A5490" s="2">
        <v>25353</v>
      </c>
      <c r="B5490">
        <v>-32.203000000000003</v>
      </c>
      <c r="C5490">
        <v>-177.93799999999999</v>
      </c>
      <c r="D5490" t="s">
        <v>17</v>
      </c>
      <c r="E5490" t="s">
        <v>262</v>
      </c>
      <c r="F5490">
        <f t="shared" si="170"/>
        <v>1969</v>
      </c>
      <c r="G5490">
        <f t="shared" si="171"/>
        <v>5</v>
      </c>
      <c r="H5490" t="str">
        <f>IF(ISNUMBER(FIND(",", E5490)), TRIM(MID(E5490, FIND(",", E5490) + 1, LEN(E5490))), E5490)</f>
        <v>south of the Kermadec Islands</v>
      </c>
    </row>
    <row r="5491" spans="1:8" x14ac:dyDescent="0.25">
      <c r="A5491" s="2">
        <v>25337</v>
      </c>
      <c r="B5491">
        <v>51.279000000000003</v>
      </c>
      <c r="C5491">
        <v>-179.85499999999999</v>
      </c>
      <c r="D5491" t="s">
        <v>14</v>
      </c>
      <c r="E5491" t="s">
        <v>207</v>
      </c>
      <c r="F5491">
        <f t="shared" si="170"/>
        <v>1969</v>
      </c>
      <c r="G5491">
        <f t="shared" si="171"/>
        <v>5</v>
      </c>
      <c r="H5491" t="str">
        <f>IF(ISNUMBER(FIND(",", E5491)), TRIM(MID(E5491, FIND(",", E5491) + 1, LEN(E5491))), E5491)</f>
        <v>Aleutian Islands, Alaska</v>
      </c>
    </row>
    <row r="5492" spans="1:8" x14ac:dyDescent="0.25">
      <c r="A5492" s="2">
        <v>25336</v>
      </c>
      <c r="B5492">
        <v>-7.2690000000000001</v>
      </c>
      <c r="C5492">
        <v>120.851</v>
      </c>
      <c r="D5492" t="s">
        <v>14</v>
      </c>
      <c r="E5492" t="s">
        <v>438</v>
      </c>
      <c r="F5492">
        <f t="shared" si="170"/>
        <v>1969</v>
      </c>
      <c r="G5492">
        <f t="shared" si="171"/>
        <v>5</v>
      </c>
      <c r="H5492" t="str">
        <f>IF(ISNUMBER(FIND(",", E5492)), TRIM(MID(E5492, FIND(",", E5492) + 1, LEN(E5492))), E5492)</f>
        <v>Flores Sea</v>
      </c>
    </row>
    <row r="5493" spans="1:8" x14ac:dyDescent="0.25">
      <c r="A5493" s="2">
        <v>25319</v>
      </c>
      <c r="B5493">
        <v>-30.603000000000002</v>
      </c>
      <c r="C5493">
        <v>-71.421999999999997</v>
      </c>
      <c r="D5493" t="s">
        <v>14</v>
      </c>
      <c r="E5493" t="s">
        <v>193</v>
      </c>
      <c r="F5493">
        <f t="shared" si="170"/>
        <v>1969</v>
      </c>
      <c r="G5493">
        <f t="shared" si="171"/>
        <v>4</v>
      </c>
      <c r="H5493" t="str">
        <f>IF(ISNUMBER(FIND(",", E5493)), TRIM(MID(E5493, FIND(",", E5493) + 1, LEN(E5493))), E5493)</f>
        <v>Chile</v>
      </c>
    </row>
    <row r="5494" spans="1:8" x14ac:dyDescent="0.25">
      <c r="A5494" s="2">
        <v>25319</v>
      </c>
      <c r="B5494">
        <v>-30.684999999999999</v>
      </c>
      <c r="C5494">
        <v>-71.528999999999996</v>
      </c>
      <c r="D5494" t="s">
        <v>14</v>
      </c>
      <c r="E5494" t="s">
        <v>193</v>
      </c>
      <c r="F5494">
        <f t="shared" si="170"/>
        <v>1969</v>
      </c>
      <c r="G5494">
        <f t="shared" si="171"/>
        <v>4</v>
      </c>
      <c r="H5494" t="str">
        <f>IF(ISNUMBER(FIND(",", E5494)), TRIM(MID(E5494, FIND(",", E5494) + 1, LEN(E5494))), E5494)</f>
        <v>Chile</v>
      </c>
    </row>
    <row r="5495" spans="1:8" x14ac:dyDescent="0.25">
      <c r="A5495" s="2">
        <v>25315</v>
      </c>
      <c r="B5495">
        <v>-26.699000000000002</v>
      </c>
      <c r="C5495">
        <v>-113.958</v>
      </c>
      <c r="D5495" t="s">
        <v>14</v>
      </c>
      <c r="E5495" t="s">
        <v>59</v>
      </c>
      <c r="F5495">
        <f t="shared" si="170"/>
        <v>1969</v>
      </c>
      <c r="G5495">
        <f t="shared" si="171"/>
        <v>4</v>
      </c>
      <c r="H5495" t="str">
        <f>IF(ISNUMBER(FIND(",", E5495)), TRIM(MID(E5495, FIND(",", E5495) + 1, LEN(E5495))), E5495)</f>
        <v>Easter Island region</v>
      </c>
    </row>
    <row r="5496" spans="1:8" x14ac:dyDescent="0.25">
      <c r="A5496" s="2">
        <v>25314</v>
      </c>
      <c r="B5496">
        <v>32.146999999999998</v>
      </c>
      <c r="C5496">
        <v>131.869</v>
      </c>
      <c r="D5496" t="s">
        <v>17</v>
      </c>
      <c r="E5496" t="s">
        <v>357</v>
      </c>
      <c r="F5496">
        <f t="shared" si="170"/>
        <v>1969</v>
      </c>
      <c r="G5496">
        <f t="shared" si="171"/>
        <v>4</v>
      </c>
      <c r="H5496" t="str">
        <f>IF(ISNUMBER(FIND(",", E5496)), TRIM(MID(E5496, FIND(",", E5496) + 1, LEN(E5496))), E5496)</f>
        <v>Japan</v>
      </c>
    </row>
    <row r="5497" spans="1:8" x14ac:dyDescent="0.25">
      <c r="A5497" s="2">
        <v>25309</v>
      </c>
      <c r="B5497">
        <v>-3.5139999999999998</v>
      </c>
      <c r="C5497">
        <v>151.00299999999999</v>
      </c>
      <c r="D5497" t="s">
        <v>14</v>
      </c>
      <c r="E5497" t="s">
        <v>183</v>
      </c>
      <c r="F5497">
        <f t="shared" si="170"/>
        <v>1969</v>
      </c>
      <c r="G5497">
        <f t="shared" si="171"/>
        <v>4</v>
      </c>
      <c r="H5497" t="str">
        <f>IF(ISNUMBER(FIND(",", E5497)), TRIM(MID(E5497, FIND(",", E5497) + 1, LEN(E5497))), E5497)</f>
        <v>Papua New Guinea</v>
      </c>
    </row>
    <row r="5498" spans="1:8" x14ac:dyDescent="0.25">
      <c r="A5498" s="2">
        <v>25298</v>
      </c>
      <c r="B5498">
        <v>1.25</v>
      </c>
      <c r="C5498">
        <v>-85.171000000000006</v>
      </c>
      <c r="D5498" t="s">
        <v>14</v>
      </c>
      <c r="E5498" t="s">
        <v>267</v>
      </c>
      <c r="F5498">
        <f t="shared" si="170"/>
        <v>1969</v>
      </c>
      <c r="G5498">
        <f t="shared" si="171"/>
        <v>4</v>
      </c>
      <c r="H5498" t="str">
        <f>IF(ISNUMBER(FIND(",", E5498)), TRIM(MID(E5498, FIND(",", E5498) + 1, LEN(E5498))), E5498)</f>
        <v>off the coast of Ecuador</v>
      </c>
    </row>
    <row r="5499" spans="1:8" x14ac:dyDescent="0.25">
      <c r="A5499" s="2">
        <v>25298</v>
      </c>
      <c r="B5499">
        <v>11.952</v>
      </c>
      <c r="C5499">
        <v>41.332000000000001</v>
      </c>
      <c r="D5499" t="s">
        <v>14</v>
      </c>
      <c r="E5499" t="s">
        <v>580</v>
      </c>
      <c r="F5499">
        <f t="shared" si="170"/>
        <v>1969</v>
      </c>
      <c r="G5499">
        <f t="shared" si="171"/>
        <v>4</v>
      </c>
      <c r="H5499" t="str">
        <f>IF(ISNUMBER(FIND(",", E5499)), TRIM(MID(E5499, FIND(",", E5499) + 1, LEN(E5499))), E5499)</f>
        <v>Ethiopia</v>
      </c>
    </row>
    <row r="5500" spans="1:8" x14ac:dyDescent="0.25">
      <c r="A5500" s="2">
        <v>25293</v>
      </c>
      <c r="B5500">
        <v>38.438000000000002</v>
      </c>
      <c r="C5500">
        <v>134.488</v>
      </c>
      <c r="D5500" t="s">
        <v>14</v>
      </c>
      <c r="E5500" t="s">
        <v>420</v>
      </c>
      <c r="F5500">
        <f t="shared" si="170"/>
        <v>1969</v>
      </c>
      <c r="G5500">
        <f t="shared" si="171"/>
        <v>3</v>
      </c>
      <c r="H5500" t="str">
        <f>IF(ISNUMBER(FIND(",", E5500)), TRIM(MID(E5500, FIND(",", E5500) + 1, LEN(E5500))), E5500)</f>
        <v>Sea of Japan</v>
      </c>
    </row>
    <row r="5501" spans="1:8" x14ac:dyDescent="0.25">
      <c r="A5501" s="2">
        <v>25293</v>
      </c>
      <c r="B5501">
        <v>27.512</v>
      </c>
      <c r="C5501">
        <v>33.933</v>
      </c>
      <c r="D5501" t="s">
        <v>14</v>
      </c>
      <c r="E5501" t="s">
        <v>550</v>
      </c>
      <c r="F5501">
        <f t="shared" si="170"/>
        <v>1969</v>
      </c>
      <c r="G5501">
        <f t="shared" si="171"/>
        <v>3</v>
      </c>
      <c r="H5501" t="str">
        <f>IF(ISNUMBER(FIND(",", E5501)), TRIM(MID(E5501, FIND(",", E5501) + 1, LEN(E5501))), E5501)</f>
        <v>Egypt</v>
      </c>
    </row>
    <row r="5502" spans="1:8" x14ac:dyDescent="0.25">
      <c r="A5502" s="2">
        <v>25291</v>
      </c>
      <c r="B5502">
        <v>11.938000000000001</v>
      </c>
      <c r="C5502">
        <v>41.219000000000001</v>
      </c>
      <c r="D5502" t="s">
        <v>14</v>
      </c>
      <c r="E5502" t="s">
        <v>580</v>
      </c>
      <c r="F5502">
        <f t="shared" si="170"/>
        <v>1969</v>
      </c>
      <c r="G5502">
        <f t="shared" si="171"/>
        <v>3</v>
      </c>
      <c r="H5502" t="str">
        <f>IF(ISNUMBER(FIND(",", E5502)), TRIM(MID(E5502, FIND(",", E5502) + 1, LEN(E5502))), E5502)</f>
        <v>Ethiopia</v>
      </c>
    </row>
    <row r="5503" spans="1:8" x14ac:dyDescent="0.25">
      <c r="A5503" s="2">
        <v>25290</v>
      </c>
      <c r="B5503">
        <v>38.536999999999999</v>
      </c>
      <c r="C5503">
        <v>28.466000000000001</v>
      </c>
      <c r="D5503" t="s">
        <v>14</v>
      </c>
      <c r="E5503" t="s">
        <v>494</v>
      </c>
      <c r="F5503">
        <f t="shared" si="170"/>
        <v>1969</v>
      </c>
      <c r="G5503">
        <f t="shared" si="171"/>
        <v>3</v>
      </c>
      <c r="H5503" t="str">
        <f>IF(ISNUMBER(FIND(",", E5503)), TRIM(MID(E5503, FIND(",", E5503) + 1, LEN(E5503))), E5503)</f>
        <v>western Turkey</v>
      </c>
    </row>
    <row r="5504" spans="1:8" x14ac:dyDescent="0.25">
      <c r="A5504" s="2">
        <v>25282</v>
      </c>
      <c r="B5504">
        <v>8.7409999999999997</v>
      </c>
      <c r="C5504">
        <v>127.28100000000001</v>
      </c>
      <c r="D5504" t="s">
        <v>14</v>
      </c>
      <c r="E5504" t="s">
        <v>213</v>
      </c>
      <c r="F5504">
        <f t="shared" si="170"/>
        <v>1969</v>
      </c>
      <c r="G5504">
        <f t="shared" si="171"/>
        <v>3</v>
      </c>
      <c r="H5504" t="str">
        <f>IF(ISNUMBER(FIND(",", E5504)), TRIM(MID(E5504, FIND(",", E5504) + 1, LEN(E5504))), E5504)</f>
        <v>Philippine Islands region</v>
      </c>
    </row>
    <row r="5505" spans="1:8" x14ac:dyDescent="0.25">
      <c r="A5505" s="2">
        <v>25272</v>
      </c>
      <c r="B5505">
        <v>12.329000000000001</v>
      </c>
      <c r="C5505">
        <v>-87.418000000000006</v>
      </c>
      <c r="D5505" t="s">
        <v>17</v>
      </c>
      <c r="E5505" t="s">
        <v>448</v>
      </c>
      <c r="F5505">
        <f t="shared" si="170"/>
        <v>1969</v>
      </c>
      <c r="G5505">
        <f t="shared" si="171"/>
        <v>3</v>
      </c>
      <c r="H5505" t="str">
        <f>IF(ISNUMBER(FIND(",", E5505)), TRIM(MID(E5505, FIND(",", E5505) + 1, LEN(E5505))), E5505)</f>
        <v>near the coast of Nicaragua</v>
      </c>
    </row>
    <row r="5506" spans="1:8" x14ac:dyDescent="0.25">
      <c r="A5506" s="2">
        <v>25271</v>
      </c>
      <c r="B5506">
        <v>-4.0789999999999997</v>
      </c>
      <c r="C5506">
        <v>135.583</v>
      </c>
      <c r="D5506" t="s">
        <v>14</v>
      </c>
      <c r="E5506" t="s">
        <v>204</v>
      </c>
      <c r="F5506">
        <f t="shared" ref="F5506:F5569" si="172">YEAR(A5506)</f>
        <v>1969</v>
      </c>
      <c r="G5506">
        <f t="shared" si="171"/>
        <v>3</v>
      </c>
      <c r="H5506" t="str">
        <f>IF(ISNUMBER(FIND(",", E5506)), TRIM(MID(E5506, FIND(",", E5506) + 1, LEN(E5506))), E5506)</f>
        <v>Indonesia</v>
      </c>
    </row>
    <row r="5507" spans="1:8" x14ac:dyDescent="0.25">
      <c r="A5507" s="2">
        <v>25271</v>
      </c>
      <c r="B5507">
        <v>-4.0069999999999997</v>
      </c>
      <c r="C5507">
        <v>135.631</v>
      </c>
      <c r="D5507" t="s">
        <v>14</v>
      </c>
      <c r="E5507" t="s">
        <v>204</v>
      </c>
      <c r="F5507">
        <f t="shared" si="172"/>
        <v>1969</v>
      </c>
      <c r="G5507">
        <f t="shared" ref="G5507:G5570" si="173">MONTH(A5507)</f>
        <v>3</v>
      </c>
      <c r="H5507" t="str">
        <f>IF(ISNUMBER(FIND(",", E5507)), TRIM(MID(E5507, FIND(",", E5507) + 1, LEN(E5507))), E5507)</f>
        <v>Indonesia</v>
      </c>
    </row>
    <row r="5508" spans="1:8" x14ac:dyDescent="0.25">
      <c r="A5508" s="2">
        <v>25262</v>
      </c>
      <c r="B5508">
        <v>35.917999999999999</v>
      </c>
      <c r="C5508">
        <v>-10.577999999999999</v>
      </c>
      <c r="D5508" t="s">
        <v>16</v>
      </c>
      <c r="E5508" t="s">
        <v>430</v>
      </c>
      <c r="F5508">
        <f t="shared" si="172"/>
        <v>1969</v>
      </c>
      <c r="G5508">
        <f t="shared" si="173"/>
        <v>2</v>
      </c>
      <c r="H5508" t="str">
        <f>IF(ISNUMBER(FIND(",", E5508)), TRIM(MID(E5508, FIND(",", E5508) + 1, LEN(E5508))), E5508)</f>
        <v>Azores-Cape St. Vincent Ridge</v>
      </c>
    </row>
    <row r="5509" spans="1:8" x14ac:dyDescent="0.25">
      <c r="A5509" s="2">
        <v>25254</v>
      </c>
      <c r="B5509">
        <v>3.516</v>
      </c>
      <c r="C5509">
        <v>128.12</v>
      </c>
      <c r="D5509" t="s">
        <v>14</v>
      </c>
      <c r="E5509" t="s">
        <v>320</v>
      </c>
      <c r="F5509">
        <f t="shared" si="172"/>
        <v>1969</v>
      </c>
      <c r="G5509">
        <f t="shared" si="173"/>
        <v>2</v>
      </c>
      <c r="H5509" t="str">
        <f>IF(ISNUMBER(FIND(",", E5509)), TRIM(MID(E5509, FIND(",", E5509) + 1, LEN(E5509))), E5509)</f>
        <v>Indonesia</v>
      </c>
    </row>
    <row r="5510" spans="1:8" x14ac:dyDescent="0.25">
      <c r="A5510" s="2">
        <v>25251</v>
      </c>
      <c r="B5510">
        <v>3.78</v>
      </c>
      <c r="C5510">
        <v>128.34800000000001</v>
      </c>
      <c r="D5510" t="s">
        <v>14</v>
      </c>
      <c r="E5510" t="s">
        <v>320</v>
      </c>
      <c r="F5510">
        <f t="shared" si="172"/>
        <v>1969</v>
      </c>
      <c r="G5510">
        <f t="shared" si="173"/>
        <v>2</v>
      </c>
      <c r="H5510" t="str">
        <f>IF(ISNUMBER(FIND(",", E5510)), TRIM(MID(E5510, FIND(",", E5510) + 1, LEN(E5510))), E5510)</f>
        <v>Indonesia</v>
      </c>
    </row>
    <row r="5511" spans="1:8" x14ac:dyDescent="0.25">
      <c r="A5511" s="2">
        <v>25245</v>
      </c>
      <c r="B5511">
        <v>-6.7880000000000003</v>
      </c>
      <c r="C5511">
        <v>126.685</v>
      </c>
      <c r="D5511" t="s">
        <v>14</v>
      </c>
      <c r="E5511" t="s">
        <v>187</v>
      </c>
      <c r="F5511">
        <f t="shared" si="172"/>
        <v>1969</v>
      </c>
      <c r="G5511">
        <f t="shared" si="173"/>
        <v>2</v>
      </c>
      <c r="H5511" t="str">
        <f>IF(ISNUMBER(FIND(",", E5511)), TRIM(MID(E5511, FIND(",", E5511) + 1, LEN(E5511))), E5511)</f>
        <v>Banda Sea</v>
      </c>
    </row>
    <row r="5512" spans="1:8" x14ac:dyDescent="0.25">
      <c r="A5512" s="2">
        <v>25245</v>
      </c>
      <c r="B5512">
        <v>41.423999999999999</v>
      </c>
      <c r="C5512">
        <v>79.238</v>
      </c>
      <c r="D5512" t="s">
        <v>17</v>
      </c>
      <c r="E5512" t="s">
        <v>454</v>
      </c>
      <c r="F5512">
        <f t="shared" si="172"/>
        <v>1969</v>
      </c>
      <c r="G5512">
        <f t="shared" si="173"/>
        <v>2</v>
      </c>
      <c r="H5512" t="str">
        <f>IF(ISNUMBER(FIND(",", E5512)), TRIM(MID(E5512, FIND(",", E5512) + 1, LEN(E5512))), E5512)</f>
        <v>Kyrgyzstan-Xinjiang border region</v>
      </c>
    </row>
    <row r="5513" spans="1:8" x14ac:dyDescent="0.25">
      <c r="A5513" s="2">
        <v>25244</v>
      </c>
      <c r="B5513">
        <v>-22.797999999999998</v>
      </c>
      <c r="C5513">
        <v>178.79300000000001</v>
      </c>
      <c r="D5513" t="s">
        <v>14</v>
      </c>
      <c r="E5513" t="s">
        <v>256</v>
      </c>
      <c r="F5513">
        <f t="shared" si="172"/>
        <v>1969</v>
      </c>
      <c r="G5513">
        <f t="shared" si="173"/>
        <v>2</v>
      </c>
      <c r="H5513" t="str">
        <f>IF(ISNUMBER(FIND(",", E5513)), TRIM(MID(E5513, FIND(",", E5513) + 1, LEN(E5513))), E5513)</f>
        <v>south of the Fiji Islands</v>
      </c>
    </row>
    <row r="5514" spans="1:8" x14ac:dyDescent="0.25">
      <c r="A5514" s="2">
        <v>25238</v>
      </c>
      <c r="B5514">
        <v>-0.73299999999999998</v>
      </c>
      <c r="C5514">
        <v>121.538</v>
      </c>
      <c r="D5514" t="s">
        <v>14</v>
      </c>
      <c r="E5514" t="s">
        <v>182</v>
      </c>
      <c r="F5514">
        <f t="shared" si="172"/>
        <v>1969</v>
      </c>
      <c r="G5514">
        <f t="shared" si="173"/>
        <v>2</v>
      </c>
      <c r="H5514" t="str">
        <f>IF(ISNUMBER(FIND(",", E5514)), TRIM(MID(E5514, FIND(",", E5514) + 1, LEN(E5514))), E5514)</f>
        <v>Indonesia</v>
      </c>
    </row>
    <row r="5515" spans="1:8" x14ac:dyDescent="0.25">
      <c r="A5515" s="2">
        <v>25237</v>
      </c>
      <c r="B5515">
        <v>4.7969999999999997</v>
      </c>
      <c r="C5515">
        <v>127.52800000000001</v>
      </c>
      <c r="D5515" t="s">
        <v>13</v>
      </c>
      <c r="E5515" t="s">
        <v>372</v>
      </c>
      <c r="F5515">
        <f t="shared" si="172"/>
        <v>1969</v>
      </c>
      <c r="G5515">
        <f t="shared" si="173"/>
        <v>2</v>
      </c>
      <c r="H5515" t="str">
        <f>IF(ISNUMBER(FIND(",", E5515)), TRIM(MID(E5515, FIND(",", E5515) + 1, LEN(E5515))), E5515)</f>
        <v>Indonesia</v>
      </c>
    </row>
    <row r="5516" spans="1:8" x14ac:dyDescent="0.25">
      <c r="A5516" s="2">
        <v>25234</v>
      </c>
      <c r="B5516">
        <v>4.1399999999999997</v>
      </c>
      <c r="C5516">
        <v>128.06100000000001</v>
      </c>
      <c r="D5516" t="s">
        <v>14</v>
      </c>
      <c r="E5516" t="s">
        <v>320</v>
      </c>
      <c r="F5516">
        <f t="shared" si="172"/>
        <v>1969</v>
      </c>
      <c r="G5516">
        <f t="shared" si="173"/>
        <v>1</v>
      </c>
      <c r="H5516" t="str">
        <f>IF(ISNUMBER(FIND(",", E5516)), TRIM(MID(E5516, FIND(",", E5516) + 1, LEN(E5516))), E5516)</f>
        <v>Indonesia</v>
      </c>
    </row>
    <row r="5517" spans="1:8" x14ac:dyDescent="0.25">
      <c r="A5517" s="2">
        <v>25233</v>
      </c>
      <c r="B5517">
        <v>4.7640000000000002</v>
      </c>
      <c r="C5517">
        <v>127.43600000000001</v>
      </c>
      <c r="D5517" t="s">
        <v>13</v>
      </c>
      <c r="E5517" t="s">
        <v>372</v>
      </c>
      <c r="F5517">
        <f t="shared" si="172"/>
        <v>1969</v>
      </c>
      <c r="G5517">
        <f t="shared" si="173"/>
        <v>1</v>
      </c>
      <c r="H5517" t="str">
        <f>IF(ISNUMBER(FIND(",", E5517)), TRIM(MID(E5517, FIND(",", E5517) + 1, LEN(E5517))), E5517)</f>
        <v>Indonesia</v>
      </c>
    </row>
    <row r="5518" spans="1:8" x14ac:dyDescent="0.25">
      <c r="A5518" s="2">
        <v>25227</v>
      </c>
      <c r="B5518">
        <v>-21.940999999999999</v>
      </c>
      <c r="C5518">
        <v>-179.47800000000001</v>
      </c>
      <c r="D5518" t="s">
        <v>14</v>
      </c>
      <c r="E5518" t="s">
        <v>53</v>
      </c>
      <c r="F5518">
        <f t="shared" si="172"/>
        <v>1969</v>
      </c>
      <c r="G5518">
        <f t="shared" si="173"/>
        <v>1</v>
      </c>
      <c r="H5518" t="str">
        <f>IF(ISNUMBER(FIND(",", E5518)), TRIM(MID(E5518, FIND(",", E5518) + 1, LEN(E5518))), E5518)</f>
        <v>Fiji region</v>
      </c>
    </row>
    <row r="5519" spans="1:8" x14ac:dyDescent="0.25">
      <c r="A5519" s="2">
        <v>25222</v>
      </c>
      <c r="B5519">
        <v>-14.909000000000001</v>
      </c>
      <c r="C5519">
        <v>167.30699999999999</v>
      </c>
      <c r="D5519" t="s">
        <v>13</v>
      </c>
      <c r="E5519" t="s">
        <v>181</v>
      </c>
      <c r="F5519">
        <f t="shared" si="172"/>
        <v>1969</v>
      </c>
      <c r="G5519">
        <f t="shared" si="173"/>
        <v>1</v>
      </c>
      <c r="H5519" t="str">
        <f>IF(ISNUMBER(FIND(",", E5519)), TRIM(MID(E5519, FIND(",", E5519) + 1, LEN(E5519))), E5519)</f>
        <v>Vanuatu</v>
      </c>
    </row>
    <row r="5520" spans="1:8" x14ac:dyDescent="0.25">
      <c r="A5520" s="2">
        <v>25222</v>
      </c>
      <c r="B5520">
        <v>44.889000000000003</v>
      </c>
      <c r="C5520">
        <v>143.20500000000001</v>
      </c>
      <c r="D5520" t="s">
        <v>13</v>
      </c>
      <c r="E5520" t="s">
        <v>265</v>
      </c>
      <c r="F5520">
        <f t="shared" si="172"/>
        <v>1969</v>
      </c>
      <c r="G5520">
        <f t="shared" si="173"/>
        <v>1</v>
      </c>
      <c r="H5520" t="str">
        <f>IF(ISNUMBER(FIND(",", E5520)), TRIM(MID(E5520, FIND(",", E5520) + 1, LEN(E5520))), E5520)</f>
        <v>Japan region</v>
      </c>
    </row>
    <row r="5521" spans="1:8" x14ac:dyDescent="0.25">
      <c r="A5521" s="2">
        <v>25221</v>
      </c>
      <c r="B5521">
        <v>-56.805999999999997</v>
      </c>
      <c r="C5521">
        <v>-26.956</v>
      </c>
      <c r="D5521" t="s">
        <v>13</v>
      </c>
      <c r="E5521" t="s">
        <v>260</v>
      </c>
      <c r="F5521">
        <f t="shared" si="172"/>
        <v>1969</v>
      </c>
      <c r="G5521">
        <f t="shared" si="173"/>
        <v>1</v>
      </c>
      <c r="H5521" t="str">
        <f>IF(ISNUMBER(FIND(",", E5521)), TRIM(MID(E5521, FIND(",", E5521) + 1, LEN(E5521))), E5521)</f>
        <v>South Sandwich Islands region</v>
      </c>
    </row>
    <row r="5522" spans="1:8" x14ac:dyDescent="0.25">
      <c r="A5522" s="2">
        <v>25217</v>
      </c>
      <c r="B5522">
        <v>36.14</v>
      </c>
      <c r="C5522">
        <v>29.199000000000002</v>
      </c>
      <c r="D5522" t="s">
        <v>14</v>
      </c>
      <c r="E5522" t="s">
        <v>494</v>
      </c>
      <c r="F5522">
        <f t="shared" si="172"/>
        <v>1969</v>
      </c>
      <c r="G5522">
        <f t="shared" si="173"/>
        <v>1</v>
      </c>
      <c r="H5522" t="str">
        <f>IF(ISNUMBER(FIND(",", E5522)), TRIM(MID(E5522, FIND(",", E5522) + 1, LEN(E5522))), E5522)</f>
        <v>western Turkey</v>
      </c>
    </row>
    <row r="5523" spans="1:8" x14ac:dyDescent="0.25">
      <c r="A5523" s="2">
        <v>25214</v>
      </c>
      <c r="B5523">
        <v>-28.395</v>
      </c>
      <c r="C5523">
        <v>-176.70500000000001</v>
      </c>
      <c r="D5523" t="s">
        <v>17</v>
      </c>
      <c r="E5523" t="s">
        <v>240</v>
      </c>
      <c r="F5523">
        <f t="shared" si="172"/>
        <v>1969</v>
      </c>
      <c r="G5523">
        <f t="shared" si="173"/>
        <v>1</v>
      </c>
      <c r="H5523" t="str">
        <f>IF(ISNUMBER(FIND(",", E5523)), TRIM(MID(E5523, FIND(",", E5523) + 1, LEN(E5523))), E5523)</f>
        <v>Kermadec Islands region</v>
      </c>
    </row>
    <row r="5524" spans="1:8" x14ac:dyDescent="0.25">
      <c r="A5524" s="2">
        <v>25209</v>
      </c>
      <c r="B5524">
        <v>-10.48</v>
      </c>
      <c r="C5524">
        <v>164.59200000000001</v>
      </c>
      <c r="D5524" t="s">
        <v>14</v>
      </c>
      <c r="E5524" t="s">
        <v>396</v>
      </c>
      <c r="F5524">
        <f t="shared" si="172"/>
        <v>1969</v>
      </c>
      <c r="G5524">
        <f t="shared" si="173"/>
        <v>1</v>
      </c>
      <c r="H5524" t="str">
        <f>IF(ISNUMBER(FIND(",", E5524)), TRIM(MID(E5524, FIND(",", E5524) + 1, LEN(E5524))), E5524)</f>
        <v>Santa Cruz Islands region</v>
      </c>
    </row>
    <row r="5525" spans="1:8" x14ac:dyDescent="0.25">
      <c r="A5525" s="2">
        <v>25208</v>
      </c>
      <c r="B5525">
        <v>-7.9909999999999997</v>
      </c>
      <c r="C5525">
        <v>158.96799999999999</v>
      </c>
      <c r="D5525" t="s">
        <v>13</v>
      </c>
      <c r="E5525" t="s">
        <v>221</v>
      </c>
      <c r="F5525">
        <f t="shared" si="172"/>
        <v>1969</v>
      </c>
      <c r="G5525">
        <f t="shared" si="173"/>
        <v>1</v>
      </c>
      <c r="H5525" t="str">
        <f>IF(ISNUMBER(FIND(",", E5525)), TRIM(MID(E5525, FIND(",", E5525) + 1, LEN(E5525))), E5525)</f>
        <v>Solomon Islands</v>
      </c>
    </row>
    <row r="5526" spans="1:8" x14ac:dyDescent="0.25">
      <c r="A5526" s="2">
        <v>25189</v>
      </c>
      <c r="B5526">
        <v>60.106000000000002</v>
      </c>
      <c r="C5526">
        <v>-152.84299999999999</v>
      </c>
      <c r="D5526" t="s">
        <v>13</v>
      </c>
      <c r="E5526" t="s">
        <v>497</v>
      </c>
      <c r="F5526">
        <f t="shared" si="172"/>
        <v>1968</v>
      </c>
      <c r="G5526">
        <f t="shared" si="173"/>
        <v>12</v>
      </c>
      <c r="H5526" t="str">
        <f>IF(ISNUMBER(FIND(",", E5526)), TRIM(MID(E5526, FIND(",", E5526) + 1, LEN(E5526))), E5526)</f>
        <v>Southern Alaska</v>
      </c>
    </row>
    <row r="5527" spans="1:8" x14ac:dyDescent="0.25">
      <c r="A5527" s="2">
        <v>25187</v>
      </c>
      <c r="B5527">
        <v>51.670999999999999</v>
      </c>
      <c r="C5527">
        <v>175.762</v>
      </c>
      <c r="D5527" t="s">
        <v>14</v>
      </c>
      <c r="E5527" t="s">
        <v>366</v>
      </c>
      <c r="F5527">
        <f t="shared" si="172"/>
        <v>1968</v>
      </c>
      <c r="G5527">
        <f t="shared" si="173"/>
        <v>12</v>
      </c>
      <c r="H5527" t="str">
        <f>IF(ISNUMBER(FIND(",", E5527)), TRIM(MID(E5527, FIND(",", E5527) + 1, LEN(E5527))), E5527)</f>
        <v>Aleutian Islands, Alaska</v>
      </c>
    </row>
    <row r="5528" spans="1:8" x14ac:dyDescent="0.25">
      <c r="A5528" s="2">
        <v>25187</v>
      </c>
      <c r="B5528">
        <v>51.546999999999997</v>
      </c>
      <c r="C5528">
        <v>175.83699999999999</v>
      </c>
      <c r="D5528" t="s">
        <v>14</v>
      </c>
      <c r="E5528" t="s">
        <v>366</v>
      </c>
      <c r="F5528">
        <f t="shared" si="172"/>
        <v>1968</v>
      </c>
      <c r="G5528">
        <f t="shared" si="173"/>
        <v>12</v>
      </c>
      <c r="H5528" t="str">
        <f>IF(ISNUMBER(FIND(",", E5528)), TRIM(MID(E5528, FIND(",", E5528) + 1, LEN(E5528))), E5528)</f>
        <v>Aleutian Islands, Alaska</v>
      </c>
    </row>
    <row r="5529" spans="1:8" x14ac:dyDescent="0.25">
      <c r="A5529" s="2">
        <v>25179</v>
      </c>
      <c r="B5529">
        <v>-3.4430000000000001</v>
      </c>
      <c r="C5529">
        <v>146.261</v>
      </c>
      <c r="D5529" t="s">
        <v>14</v>
      </c>
      <c r="E5529" t="s">
        <v>380</v>
      </c>
      <c r="F5529">
        <f t="shared" si="172"/>
        <v>1968</v>
      </c>
      <c r="G5529">
        <f t="shared" si="173"/>
        <v>12</v>
      </c>
      <c r="H5529" t="str">
        <f>IF(ISNUMBER(FIND(",", E5529)), TRIM(MID(E5529, FIND(",", E5529) + 1, LEN(E5529))), E5529)</f>
        <v>Bismarck Sea</v>
      </c>
    </row>
    <row r="5530" spans="1:8" x14ac:dyDescent="0.25">
      <c r="A5530" s="2">
        <v>25177</v>
      </c>
      <c r="B5530">
        <v>63.884999999999998</v>
      </c>
      <c r="C5530">
        <v>-21.832999999999998</v>
      </c>
      <c r="D5530" t="s">
        <v>14</v>
      </c>
      <c r="E5530" t="s">
        <v>640</v>
      </c>
      <c r="F5530">
        <f t="shared" si="172"/>
        <v>1968</v>
      </c>
      <c r="G5530">
        <f t="shared" si="173"/>
        <v>12</v>
      </c>
      <c r="H5530" t="str">
        <f>IF(ISNUMBER(FIND(",", E5530)), TRIM(MID(E5530, FIND(",", E5530) + 1, LEN(E5530))), E5530)</f>
        <v>Iceland region</v>
      </c>
    </row>
    <row r="5531" spans="1:8" x14ac:dyDescent="0.25">
      <c r="A5531" s="2">
        <v>25170</v>
      </c>
      <c r="B5531">
        <v>15.241</v>
      </c>
      <c r="C5531">
        <v>-94.769000000000005</v>
      </c>
      <c r="D5531" t="s">
        <v>14</v>
      </c>
      <c r="E5531" t="s">
        <v>562</v>
      </c>
      <c r="F5531">
        <f t="shared" si="172"/>
        <v>1968</v>
      </c>
      <c r="G5531">
        <f t="shared" si="173"/>
        <v>11</v>
      </c>
      <c r="H5531" t="str">
        <f>IF(ISNUMBER(FIND(",", E5531)), TRIM(MID(E5531, FIND(",", E5531) + 1, LEN(E5531))), E5531)</f>
        <v>Mexico</v>
      </c>
    </row>
    <row r="5532" spans="1:8" x14ac:dyDescent="0.25">
      <c r="A5532" s="2">
        <v>25167</v>
      </c>
      <c r="B5532">
        <v>5.056</v>
      </c>
      <c r="C5532">
        <v>126.587</v>
      </c>
      <c r="D5532" t="s">
        <v>14</v>
      </c>
      <c r="E5532" t="s">
        <v>200</v>
      </c>
      <c r="F5532">
        <f t="shared" si="172"/>
        <v>1968</v>
      </c>
      <c r="G5532">
        <f t="shared" si="173"/>
        <v>11</v>
      </c>
      <c r="H5532" t="str">
        <f>IF(ISNUMBER(FIND(",", E5532)), TRIM(MID(E5532, FIND(",", E5532) + 1, LEN(E5532))), E5532)</f>
        <v>Philippines</v>
      </c>
    </row>
    <row r="5533" spans="1:8" x14ac:dyDescent="0.25">
      <c r="A5533" s="2">
        <v>25158</v>
      </c>
      <c r="B5533">
        <v>-16.617000000000001</v>
      </c>
      <c r="C5533">
        <v>176.03800000000001</v>
      </c>
      <c r="D5533" t="s">
        <v>17</v>
      </c>
      <c r="E5533" t="s">
        <v>53</v>
      </c>
      <c r="F5533">
        <f t="shared" si="172"/>
        <v>1968</v>
      </c>
      <c r="G5533">
        <f t="shared" si="173"/>
        <v>11</v>
      </c>
      <c r="H5533" t="str">
        <f>IF(ISNUMBER(FIND(",", E5533)), TRIM(MID(E5533, FIND(",", E5533) + 1, LEN(E5533))), E5533)</f>
        <v>Fiji region</v>
      </c>
    </row>
    <row r="5534" spans="1:8" x14ac:dyDescent="0.25">
      <c r="A5534" s="2">
        <v>25157</v>
      </c>
      <c r="B5534">
        <v>58.273000000000003</v>
      </c>
      <c r="C5534">
        <v>-150.44999999999999</v>
      </c>
      <c r="D5534" t="s">
        <v>17</v>
      </c>
      <c r="E5534" t="s">
        <v>195</v>
      </c>
      <c r="F5534">
        <f t="shared" si="172"/>
        <v>1968</v>
      </c>
      <c r="G5534">
        <f t="shared" si="173"/>
        <v>11</v>
      </c>
      <c r="H5534" t="str">
        <f>IF(ISNUMBER(FIND(",", E5534)), TRIM(MID(E5534, FIND(",", E5534) + 1, LEN(E5534))), E5534)</f>
        <v>Gulf of Alaska</v>
      </c>
    </row>
    <row r="5535" spans="1:8" x14ac:dyDescent="0.25">
      <c r="A5535" s="2">
        <v>25151</v>
      </c>
      <c r="B5535">
        <v>2.38</v>
      </c>
      <c r="C5535">
        <v>126.857</v>
      </c>
      <c r="D5535" t="s">
        <v>14</v>
      </c>
      <c r="E5535" t="s">
        <v>186</v>
      </c>
      <c r="F5535">
        <f t="shared" si="172"/>
        <v>1968</v>
      </c>
      <c r="G5535">
        <f t="shared" si="173"/>
        <v>11</v>
      </c>
      <c r="H5535" t="str">
        <f>IF(ISNUMBER(FIND(",", E5535)), TRIM(MID(E5535, FIND(",", E5535) + 1, LEN(E5535))), E5535)</f>
        <v>Molucca Sea</v>
      </c>
    </row>
    <row r="5536" spans="1:8" x14ac:dyDescent="0.25">
      <c r="A5536" s="2">
        <v>25146</v>
      </c>
      <c r="B5536">
        <v>-14.227</v>
      </c>
      <c r="C5536">
        <v>172.113</v>
      </c>
      <c r="D5536" t="s">
        <v>14</v>
      </c>
      <c r="E5536" t="s">
        <v>281</v>
      </c>
      <c r="F5536">
        <f t="shared" si="172"/>
        <v>1968</v>
      </c>
      <c r="G5536">
        <f t="shared" si="173"/>
        <v>11</v>
      </c>
      <c r="H5536" t="str">
        <f>IF(ISNUMBER(FIND(",", E5536)), TRIM(MID(E5536, FIND(",", E5536) + 1, LEN(E5536))), E5536)</f>
        <v>Vanuatu region</v>
      </c>
    </row>
    <row r="5537" spans="1:8" x14ac:dyDescent="0.25">
      <c r="A5537" s="2">
        <v>25142</v>
      </c>
      <c r="B5537">
        <v>1.1719999999999999</v>
      </c>
      <c r="C5537">
        <v>126.306</v>
      </c>
      <c r="D5537" t="s">
        <v>14</v>
      </c>
      <c r="E5537" t="s">
        <v>186</v>
      </c>
      <c r="F5537">
        <f t="shared" si="172"/>
        <v>1968</v>
      </c>
      <c r="G5537">
        <f t="shared" si="173"/>
        <v>10</v>
      </c>
      <c r="H5537" t="str">
        <f>IF(ISNUMBER(FIND(",", E5537)), TRIM(MID(E5537, FIND(",", E5537) + 1, LEN(E5537))), E5537)</f>
        <v>Molucca Sea</v>
      </c>
    </row>
    <row r="5538" spans="1:8" x14ac:dyDescent="0.25">
      <c r="A5538" s="2">
        <v>25140</v>
      </c>
      <c r="B5538">
        <v>65.400000000000006</v>
      </c>
      <c r="C5538">
        <v>-150.19900000000001</v>
      </c>
      <c r="D5538" t="s">
        <v>14</v>
      </c>
      <c r="E5538" t="s">
        <v>597</v>
      </c>
      <c r="F5538">
        <f t="shared" si="172"/>
        <v>1968</v>
      </c>
      <c r="G5538">
        <f t="shared" si="173"/>
        <v>10</v>
      </c>
      <c r="H5538" t="str">
        <f>IF(ISNUMBER(FIND(",", E5538)), TRIM(MID(E5538, FIND(",", E5538) + 1, LEN(E5538))), E5538)</f>
        <v>northern Alaska</v>
      </c>
    </row>
    <row r="5539" spans="1:8" x14ac:dyDescent="0.25">
      <c r="A5539" s="2">
        <v>25135</v>
      </c>
      <c r="B5539">
        <v>5.9480000000000004</v>
      </c>
      <c r="C5539">
        <v>126.99</v>
      </c>
      <c r="D5539" t="s">
        <v>17</v>
      </c>
      <c r="E5539" t="s">
        <v>200</v>
      </c>
      <c r="F5539">
        <f t="shared" si="172"/>
        <v>1968</v>
      </c>
      <c r="G5539">
        <f t="shared" si="173"/>
        <v>10</v>
      </c>
      <c r="H5539" t="str">
        <f>IF(ISNUMBER(FIND(",", E5539)), TRIM(MID(E5539, FIND(",", E5539) + 1, LEN(E5539))), E5539)</f>
        <v>Philippines</v>
      </c>
    </row>
    <row r="5540" spans="1:8" x14ac:dyDescent="0.25">
      <c r="A5540" s="2">
        <v>25134</v>
      </c>
      <c r="B5540">
        <v>-3.3730000000000002</v>
      </c>
      <c r="C5540">
        <v>143.31899999999999</v>
      </c>
      <c r="D5540" t="s">
        <v>16</v>
      </c>
      <c r="E5540" t="s">
        <v>216</v>
      </c>
      <c r="F5540">
        <f t="shared" si="172"/>
        <v>1968</v>
      </c>
      <c r="G5540">
        <f t="shared" si="173"/>
        <v>10</v>
      </c>
      <c r="H5540" t="str">
        <f>IF(ISNUMBER(FIND(",", E5540)), TRIM(MID(E5540, FIND(",", E5540) + 1, LEN(E5540))), E5540)</f>
        <v>Papua New Guinea</v>
      </c>
    </row>
    <row r="5541" spans="1:8" x14ac:dyDescent="0.25">
      <c r="A5541" s="2">
        <v>25125</v>
      </c>
      <c r="B5541">
        <v>-31.521999999999998</v>
      </c>
      <c r="C5541">
        <v>116.97799999999999</v>
      </c>
      <c r="D5541" t="s">
        <v>14</v>
      </c>
      <c r="E5541" t="s">
        <v>534</v>
      </c>
      <c r="F5541">
        <f t="shared" si="172"/>
        <v>1968</v>
      </c>
      <c r="G5541">
        <f t="shared" si="173"/>
        <v>10</v>
      </c>
      <c r="H5541" t="str">
        <f>IF(ISNUMBER(FIND(",", E5541)), TRIM(MID(E5541, FIND(",", E5541) + 1, LEN(E5541))), E5541)</f>
        <v>Western Australia</v>
      </c>
    </row>
    <row r="5542" spans="1:8" x14ac:dyDescent="0.25">
      <c r="A5542" s="2">
        <v>25118</v>
      </c>
      <c r="B5542">
        <v>42.002000000000002</v>
      </c>
      <c r="C5542">
        <v>142.51900000000001</v>
      </c>
      <c r="D5542" t="s">
        <v>14</v>
      </c>
      <c r="E5542" t="s">
        <v>265</v>
      </c>
      <c r="F5542">
        <f t="shared" si="172"/>
        <v>1968</v>
      </c>
      <c r="G5542">
        <f t="shared" si="173"/>
        <v>10</v>
      </c>
      <c r="H5542" t="str">
        <f>IF(ISNUMBER(FIND(",", E5542)), TRIM(MID(E5542, FIND(",", E5542) + 1, LEN(E5542))), E5542)</f>
        <v>Japan region</v>
      </c>
    </row>
    <row r="5543" spans="1:8" x14ac:dyDescent="0.25">
      <c r="A5543" s="2">
        <v>25118</v>
      </c>
      <c r="B5543">
        <v>26.29</v>
      </c>
      <c r="C5543">
        <v>140.685</v>
      </c>
      <c r="D5543" t="s">
        <v>14</v>
      </c>
      <c r="E5543" t="s">
        <v>233</v>
      </c>
      <c r="F5543">
        <f t="shared" si="172"/>
        <v>1968</v>
      </c>
      <c r="G5543">
        <f t="shared" si="173"/>
        <v>10</v>
      </c>
      <c r="H5543" t="str">
        <f>IF(ISNUMBER(FIND(",", E5543)), TRIM(MID(E5543, FIND(",", E5543) + 1, LEN(E5543))), E5543)</f>
        <v>Japan region</v>
      </c>
    </row>
    <row r="5544" spans="1:8" x14ac:dyDescent="0.25">
      <c r="A5544" s="2">
        <v>25117</v>
      </c>
      <c r="B5544">
        <v>-14.853</v>
      </c>
      <c r="C5544">
        <v>-175.346</v>
      </c>
      <c r="D5544" t="s">
        <v>14</v>
      </c>
      <c r="E5544" t="s">
        <v>352</v>
      </c>
      <c r="F5544">
        <f t="shared" si="172"/>
        <v>1968</v>
      </c>
      <c r="G5544">
        <f t="shared" si="173"/>
        <v>10</v>
      </c>
      <c r="H5544" t="str">
        <f>IF(ISNUMBER(FIND(",", E5544)), TRIM(MID(E5544, FIND(",", E5544) + 1, LEN(E5544))), E5544)</f>
        <v>Samoa Islands region</v>
      </c>
    </row>
    <row r="5545" spans="1:8" x14ac:dyDescent="0.25">
      <c r="A5545" s="2">
        <v>25117</v>
      </c>
      <c r="B5545">
        <v>-15.061999999999999</v>
      </c>
      <c r="C5545">
        <v>-175.30799999999999</v>
      </c>
      <c r="D5545" t="s">
        <v>14</v>
      </c>
      <c r="E5545" t="s">
        <v>239</v>
      </c>
      <c r="F5545">
        <f t="shared" si="172"/>
        <v>1968</v>
      </c>
      <c r="G5545">
        <f t="shared" si="173"/>
        <v>10</v>
      </c>
      <c r="H5545" t="str">
        <f>IF(ISNUMBER(FIND(",", E5545)), TRIM(MID(E5545, FIND(",", E5545) + 1, LEN(E5545))), E5545)</f>
        <v>Tonga</v>
      </c>
    </row>
    <row r="5546" spans="1:8" x14ac:dyDescent="0.25">
      <c r="A5546" s="2">
        <v>25115</v>
      </c>
      <c r="B5546">
        <v>-56.31</v>
      </c>
      <c r="C5546">
        <v>-27.268000000000001</v>
      </c>
      <c r="D5546" t="s">
        <v>13</v>
      </c>
      <c r="E5546" t="s">
        <v>260</v>
      </c>
      <c r="F5546">
        <f t="shared" si="172"/>
        <v>1968</v>
      </c>
      <c r="G5546">
        <f t="shared" si="173"/>
        <v>10</v>
      </c>
      <c r="H5546" t="str">
        <f>IF(ISNUMBER(FIND(",", E5546)), TRIM(MID(E5546, FIND(",", E5546) + 1, LEN(E5546))), E5546)</f>
        <v>South Sandwich Islands region</v>
      </c>
    </row>
    <row r="5547" spans="1:8" x14ac:dyDescent="0.25">
      <c r="A5547" s="2">
        <v>25108</v>
      </c>
      <c r="B5547">
        <v>-3.6640000000000001</v>
      </c>
      <c r="C5547">
        <v>143.37</v>
      </c>
      <c r="D5547" t="s">
        <v>14</v>
      </c>
      <c r="E5547" t="s">
        <v>216</v>
      </c>
      <c r="F5547">
        <f t="shared" si="172"/>
        <v>1968</v>
      </c>
      <c r="G5547">
        <f t="shared" si="173"/>
        <v>9</v>
      </c>
      <c r="H5547" t="str">
        <f>IF(ISNUMBER(FIND(",", E5547)), TRIM(MID(E5547, FIND(",", E5547) + 1, LEN(E5547))), E5547)</f>
        <v>Papua New Guinea</v>
      </c>
    </row>
    <row r="5548" spans="1:8" x14ac:dyDescent="0.25">
      <c r="A5548" s="2">
        <v>25107</v>
      </c>
      <c r="B5548">
        <v>-30.577000000000002</v>
      </c>
      <c r="C5548">
        <v>-177.94800000000001</v>
      </c>
      <c r="D5548" t="s">
        <v>14</v>
      </c>
      <c r="E5548" t="s">
        <v>288</v>
      </c>
      <c r="F5548">
        <f t="shared" si="172"/>
        <v>1968</v>
      </c>
      <c r="G5548">
        <f t="shared" si="173"/>
        <v>9</v>
      </c>
      <c r="H5548" t="str">
        <f>IF(ISNUMBER(FIND(",", E5548)), TRIM(MID(E5548, FIND(",", E5548) + 1, LEN(E5548))), E5548)</f>
        <v>New Zealand</v>
      </c>
    </row>
    <row r="5549" spans="1:8" x14ac:dyDescent="0.25">
      <c r="A5549" s="2">
        <v>25107</v>
      </c>
      <c r="B5549">
        <v>-20.959</v>
      </c>
      <c r="C5549">
        <v>-176.84899999999999</v>
      </c>
      <c r="D5549" t="s">
        <v>13</v>
      </c>
      <c r="E5549" t="s">
        <v>53</v>
      </c>
      <c r="F5549">
        <f t="shared" si="172"/>
        <v>1968</v>
      </c>
      <c r="G5549">
        <f t="shared" si="173"/>
        <v>9</v>
      </c>
      <c r="H5549" t="str">
        <f>IF(ISNUMBER(FIND(",", E5549)), TRIM(MID(E5549, FIND(",", E5549) + 1, LEN(E5549))), E5549)</f>
        <v>Fiji region</v>
      </c>
    </row>
    <row r="5550" spans="1:8" x14ac:dyDescent="0.25">
      <c r="A5550" s="2">
        <v>25106</v>
      </c>
      <c r="B5550">
        <v>-46.615000000000002</v>
      </c>
      <c r="C5550">
        <v>166.333</v>
      </c>
      <c r="D5550" t="s">
        <v>14</v>
      </c>
      <c r="E5550" t="s">
        <v>361</v>
      </c>
      <c r="F5550">
        <f t="shared" si="172"/>
        <v>1968</v>
      </c>
      <c r="G5550">
        <f t="shared" si="173"/>
        <v>9</v>
      </c>
      <c r="H5550" t="str">
        <f>IF(ISNUMBER(FIND(",", E5550)), TRIM(MID(E5550, FIND(",", E5550) + 1, LEN(E5550))), E5550)</f>
        <v>off the west coast of the South Island of New Zealand</v>
      </c>
    </row>
    <row r="5551" spans="1:8" x14ac:dyDescent="0.25">
      <c r="A5551" s="2">
        <v>25102</v>
      </c>
      <c r="B5551">
        <v>42.115000000000002</v>
      </c>
      <c r="C5551">
        <v>142.62</v>
      </c>
      <c r="D5551" t="s">
        <v>17</v>
      </c>
      <c r="E5551" t="s">
        <v>265</v>
      </c>
      <c r="F5551">
        <f t="shared" si="172"/>
        <v>1968</v>
      </c>
      <c r="G5551">
        <f t="shared" si="173"/>
        <v>9</v>
      </c>
      <c r="H5551" t="str">
        <f>IF(ISNUMBER(FIND(",", E5551)), TRIM(MID(E5551, FIND(",", E5551) + 1, LEN(E5551))), E5551)</f>
        <v>Japan region</v>
      </c>
    </row>
    <row r="5552" spans="1:8" x14ac:dyDescent="0.25">
      <c r="A5552" s="2">
        <v>25101</v>
      </c>
      <c r="B5552">
        <v>10.734</v>
      </c>
      <c r="C5552">
        <v>-62.718000000000004</v>
      </c>
      <c r="D5552" t="s">
        <v>13</v>
      </c>
      <c r="E5552" t="s">
        <v>536</v>
      </c>
      <c r="F5552">
        <f t="shared" si="172"/>
        <v>1968</v>
      </c>
      <c r="G5552">
        <f t="shared" si="173"/>
        <v>9</v>
      </c>
      <c r="H5552" t="str">
        <f>IF(ISNUMBER(FIND(",", E5552)), TRIM(MID(E5552, FIND(",", E5552) + 1, LEN(E5552))), E5552)</f>
        <v>Venezuela</v>
      </c>
    </row>
    <row r="5553" spans="1:8" x14ac:dyDescent="0.25">
      <c r="A5553" s="2">
        <v>25097</v>
      </c>
      <c r="B5553">
        <v>-6.032</v>
      </c>
      <c r="C5553">
        <v>148.74199999999999</v>
      </c>
      <c r="D5553" t="s">
        <v>17</v>
      </c>
      <c r="E5553" t="s">
        <v>190</v>
      </c>
      <c r="F5553">
        <f t="shared" si="172"/>
        <v>1968</v>
      </c>
      <c r="G5553">
        <f t="shared" si="173"/>
        <v>9</v>
      </c>
      <c r="H5553" t="str">
        <f>IF(ISNUMBER(FIND(",", E5553)), TRIM(MID(E5553, FIND(",", E5553) + 1, LEN(E5553))), E5553)</f>
        <v>Papua New Guinea</v>
      </c>
    </row>
    <row r="5554" spans="1:8" x14ac:dyDescent="0.25">
      <c r="A5554" s="2">
        <v>25093</v>
      </c>
      <c r="B5554">
        <v>-21.579000000000001</v>
      </c>
      <c r="C5554">
        <v>-179.221</v>
      </c>
      <c r="D5554" t="s">
        <v>14</v>
      </c>
      <c r="E5554" t="s">
        <v>53</v>
      </c>
      <c r="F5554">
        <f t="shared" si="172"/>
        <v>1968</v>
      </c>
      <c r="G5554">
        <f t="shared" si="173"/>
        <v>9</v>
      </c>
      <c r="H5554" t="str">
        <f>IF(ISNUMBER(FIND(",", E5554)), TRIM(MID(E5554, FIND(",", E5554) + 1, LEN(E5554))), E5554)</f>
        <v>Fiji region</v>
      </c>
    </row>
    <row r="5555" spans="1:8" x14ac:dyDescent="0.25">
      <c r="A5555" s="2">
        <v>25089</v>
      </c>
      <c r="B5555">
        <v>-3.7320000000000002</v>
      </c>
      <c r="C5555">
        <v>143.07</v>
      </c>
      <c r="D5555" t="s">
        <v>14</v>
      </c>
      <c r="E5555" t="s">
        <v>216</v>
      </c>
      <c r="F5555">
        <f t="shared" si="172"/>
        <v>1968</v>
      </c>
      <c r="G5555">
        <f t="shared" si="173"/>
        <v>9</v>
      </c>
      <c r="H5555" t="str">
        <f>IF(ISNUMBER(FIND(",", E5555)), TRIM(MID(E5555, FIND(",", E5555) + 1, LEN(E5555))), E5555)</f>
        <v>Papua New Guinea</v>
      </c>
    </row>
    <row r="5556" spans="1:8" x14ac:dyDescent="0.25">
      <c r="A5556" s="2">
        <v>25082</v>
      </c>
      <c r="B5556">
        <v>34.073</v>
      </c>
      <c r="C5556">
        <v>58.206000000000003</v>
      </c>
      <c r="D5556" t="s">
        <v>14</v>
      </c>
      <c r="E5556" t="s">
        <v>622</v>
      </c>
      <c r="F5556">
        <f t="shared" si="172"/>
        <v>1968</v>
      </c>
      <c r="G5556">
        <f t="shared" si="173"/>
        <v>9</v>
      </c>
      <c r="H5556" t="str">
        <f>IF(ISNUMBER(FIND(",", E5556)), TRIM(MID(E5556, FIND(",", E5556) + 1, LEN(E5556))), E5556)</f>
        <v>northeastern Iran</v>
      </c>
    </row>
    <row r="5557" spans="1:8" x14ac:dyDescent="0.25">
      <c r="A5557" s="2">
        <v>25081</v>
      </c>
      <c r="B5557">
        <v>34.036999999999999</v>
      </c>
      <c r="C5557">
        <v>58.962000000000003</v>
      </c>
      <c r="D5557" t="s">
        <v>16</v>
      </c>
      <c r="E5557" t="s">
        <v>622</v>
      </c>
      <c r="F5557">
        <f t="shared" si="172"/>
        <v>1968</v>
      </c>
      <c r="G5557">
        <f t="shared" si="173"/>
        <v>8</v>
      </c>
      <c r="H5557" t="str">
        <f>IF(ISNUMBER(FIND(",", E5557)), TRIM(MID(E5557, FIND(",", E5557) + 1, LEN(E5557))), E5557)</f>
        <v>northeastern Iran</v>
      </c>
    </row>
    <row r="5558" spans="1:8" x14ac:dyDescent="0.25">
      <c r="A5558" s="2">
        <v>25078</v>
      </c>
      <c r="B5558">
        <v>15.6</v>
      </c>
      <c r="C5558">
        <v>121.95699999999999</v>
      </c>
      <c r="D5558" t="s">
        <v>14</v>
      </c>
      <c r="E5558" t="s">
        <v>297</v>
      </c>
      <c r="F5558">
        <f t="shared" si="172"/>
        <v>1968</v>
      </c>
      <c r="G5558">
        <f t="shared" si="173"/>
        <v>8</v>
      </c>
      <c r="H5558" t="str">
        <f>IF(ISNUMBER(FIND(",", E5558)), TRIM(MID(E5558, FIND(",", E5558) + 1, LEN(E5558))), E5558)</f>
        <v>Philippines</v>
      </c>
    </row>
    <row r="5559" spans="1:8" x14ac:dyDescent="0.25">
      <c r="A5559" s="2">
        <v>25073</v>
      </c>
      <c r="B5559">
        <v>-21.978999999999999</v>
      </c>
      <c r="C5559">
        <v>-63.646000000000001</v>
      </c>
      <c r="D5559" t="s">
        <v>14</v>
      </c>
      <c r="E5559" t="s">
        <v>655</v>
      </c>
      <c r="F5559">
        <f t="shared" si="172"/>
        <v>1968</v>
      </c>
      <c r="G5559">
        <f t="shared" si="173"/>
        <v>8</v>
      </c>
      <c r="H5559" t="str">
        <f>IF(ISNUMBER(FIND(",", E5559)), TRIM(MID(E5559, FIND(",", E5559) + 1, LEN(E5559))), E5559)</f>
        <v>Bolivia</v>
      </c>
    </row>
    <row r="5560" spans="1:8" x14ac:dyDescent="0.25">
      <c r="A5560" s="2">
        <v>25072</v>
      </c>
      <c r="B5560">
        <v>52.942</v>
      </c>
      <c r="C5560">
        <v>171.12799999999999</v>
      </c>
      <c r="D5560" t="s">
        <v>14</v>
      </c>
      <c r="E5560" t="s">
        <v>184</v>
      </c>
      <c r="F5560">
        <f t="shared" si="172"/>
        <v>1968</v>
      </c>
      <c r="G5560">
        <f t="shared" si="173"/>
        <v>8</v>
      </c>
      <c r="H5560" t="str">
        <f>IF(ISNUMBER(FIND(",", E5560)), TRIM(MID(E5560, FIND(",", E5560) + 1, LEN(E5560))), E5560)</f>
        <v>Aleutian Islands, Alaska</v>
      </c>
    </row>
    <row r="5561" spans="1:8" x14ac:dyDescent="0.25">
      <c r="A5561" s="2">
        <v>25071</v>
      </c>
      <c r="B5561">
        <v>-30.666</v>
      </c>
      <c r="C5561">
        <v>-178.81200000000001</v>
      </c>
      <c r="D5561" t="s">
        <v>14</v>
      </c>
      <c r="E5561" t="s">
        <v>288</v>
      </c>
      <c r="F5561">
        <f t="shared" si="172"/>
        <v>1968</v>
      </c>
      <c r="G5561">
        <f t="shared" si="173"/>
        <v>8</v>
      </c>
      <c r="H5561" t="str">
        <f>IF(ISNUMBER(FIND(",", E5561)), TRIM(MID(E5561, FIND(",", E5561) + 1, LEN(E5561))), E5561)</f>
        <v>New Zealand</v>
      </c>
    </row>
    <row r="5562" spans="1:8" x14ac:dyDescent="0.25">
      <c r="A5562" s="2">
        <v>25068</v>
      </c>
      <c r="B5562">
        <v>-10.205</v>
      </c>
      <c r="C5562">
        <v>159.95599999999999</v>
      </c>
      <c r="D5562" t="s">
        <v>14</v>
      </c>
      <c r="E5562" t="s">
        <v>221</v>
      </c>
      <c r="F5562">
        <f t="shared" si="172"/>
        <v>1968</v>
      </c>
      <c r="G5562">
        <f t="shared" si="173"/>
        <v>8</v>
      </c>
      <c r="H5562" t="str">
        <f>IF(ISNUMBER(FIND(",", E5562)), TRIM(MID(E5562, FIND(",", E5562) + 1, LEN(E5562))), E5562)</f>
        <v>Solomon Islands</v>
      </c>
    </row>
    <row r="5563" spans="1:8" x14ac:dyDescent="0.25">
      <c r="A5563" s="2">
        <v>25064</v>
      </c>
      <c r="B5563">
        <v>6.4000000000000001E-2</v>
      </c>
      <c r="C5563">
        <v>119.69</v>
      </c>
      <c r="D5563" t="s">
        <v>16</v>
      </c>
      <c r="E5563" t="s">
        <v>263</v>
      </c>
      <c r="F5563">
        <f t="shared" si="172"/>
        <v>1968</v>
      </c>
      <c r="G5563">
        <f t="shared" si="173"/>
        <v>8</v>
      </c>
      <c r="H5563" t="str">
        <f>IF(ISNUMBER(FIND(",", E5563)), TRIM(MID(E5563, FIND(",", E5563) + 1, LEN(E5563))), E5563)</f>
        <v>Sulawesi, Indonesia</v>
      </c>
    </row>
    <row r="5564" spans="1:8" x14ac:dyDescent="0.25">
      <c r="A5564" s="2">
        <v>25061</v>
      </c>
      <c r="B5564">
        <v>1.548</v>
      </c>
      <c r="C5564">
        <v>126.39</v>
      </c>
      <c r="D5564" t="s">
        <v>14</v>
      </c>
      <c r="E5564" t="s">
        <v>186</v>
      </c>
      <c r="F5564">
        <f t="shared" si="172"/>
        <v>1968</v>
      </c>
      <c r="G5564">
        <f t="shared" si="173"/>
        <v>8</v>
      </c>
      <c r="H5564" t="str">
        <f>IF(ISNUMBER(FIND(",", E5564)), TRIM(MID(E5564, FIND(",", E5564) + 1, LEN(E5564))), E5564)</f>
        <v>Molucca Sea</v>
      </c>
    </row>
    <row r="5565" spans="1:8" x14ac:dyDescent="0.25">
      <c r="A5565" s="2">
        <v>25060</v>
      </c>
      <c r="B5565">
        <v>1.403</v>
      </c>
      <c r="C5565">
        <v>126.179</v>
      </c>
      <c r="D5565" t="s">
        <v>14</v>
      </c>
      <c r="E5565" t="s">
        <v>186</v>
      </c>
      <c r="F5565">
        <f t="shared" si="172"/>
        <v>1968</v>
      </c>
      <c r="G5565">
        <f t="shared" si="173"/>
        <v>8</v>
      </c>
      <c r="H5565" t="str">
        <f>IF(ISNUMBER(FIND(",", E5565)), TRIM(MID(E5565, FIND(",", E5565) + 1, LEN(E5565))), E5565)</f>
        <v>Molucca Sea</v>
      </c>
    </row>
    <row r="5566" spans="1:8" x14ac:dyDescent="0.25">
      <c r="A5566" s="2">
        <v>25060</v>
      </c>
      <c r="B5566">
        <v>1.4219999999999999</v>
      </c>
      <c r="C5566">
        <v>126.259</v>
      </c>
      <c r="D5566" t="s">
        <v>16</v>
      </c>
      <c r="E5566" t="s">
        <v>186</v>
      </c>
      <c r="F5566">
        <f t="shared" si="172"/>
        <v>1968</v>
      </c>
      <c r="G5566">
        <f t="shared" si="173"/>
        <v>8</v>
      </c>
      <c r="H5566" t="str">
        <f>IF(ISNUMBER(FIND(",", E5566)), TRIM(MID(E5566, FIND(",", E5566) + 1, LEN(E5566))), E5566)</f>
        <v>Molucca Sea</v>
      </c>
    </row>
    <row r="5567" spans="1:8" x14ac:dyDescent="0.25">
      <c r="A5567" s="2">
        <v>25055</v>
      </c>
      <c r="B5567">
        <v>33.326999999999998</v>
      </c>
      <c r="C5567">
        <v>132.22399999999999</v>
      </c>
      <c r="D5567" t="s">
        <v>13</v>
      </c>
      <c r="E5567" t="s">
        <v>670</v>
      </c>
      <c r="F5567">
        <f t="shared" si="172"/>
        <v>1968</v>
      </c>
      <c r="G5567">
        <f t="shared" si="173"/>
        <v>8</v>
      </c>
      <c r="H5567" t="str">
        <f>IF(ISNUMBER(FIND(",", E5567)), TRIM(MID(E5567, FIND(",", E5567) + 1, LEN(E5567))), E5567)</f>
        <v>Japan</v>
      </c>
    </row>
    <row r="5568" spans="1:8" x14ac:dyDescent="0.25">
      <c r="A5568" s="2">
        <v>25053</v>
      </c>
      <c r="B5568">
        <v>25.649000000000001</v>
      </c>
      <c r="C5568">
        <v>128.46899999999999</v>
      </c>
      <c r="D5568" t="s">
        <v>16</v>
      </c>
      <c r="E5568" t="s">
        <v>340</v>
      </c>
      <c r="F5568">
        <f t="shared" si="172"/>
        <v>1968</v>
      </c>
      <c r="G5568">
        <f t="shared" si="173"/>
        <v>8</v>
      </c>
      <c r="H5568" t="str">
        <f>IF(ISNUMBER(FIND(",", E5568)), TRIM(MID(E5568, FIND(",", E5568) + 1, LEN(E5568))), E5568)</f>
        <v>Japan</v>
      </c>
    </row>
    <row r="5569" spans="1:8" x14ac:dyDescent="0.25">
      <c r="A5569" s="2">
        <v>25052</v>
      </c>
      <c r="B5569">
        <v>16.492000000000001</v>
      </c>
      <c r="C5569">
        <v>-97.77</v>
      </c>
      <c r="D5569" t="s">
        <v>16</v>
      </c>
      <c r="E5569" t="s">
        <v>251</v>
      </c>
      <c r="F5569">
        <f t="shared" si="172"/>
        <v>1968</v>
      </c>
      <c r="G5569">
        <f t="shared" si="173"/>
        <v>8</v>
      </c>
      <c r="H5569" t="str">
        <f>IF(ISNUMBER(FIND(",", E5569)), TRIM(MID(E5569, FIND(",", E5569) + 1, LEN(E5569))), E5569)</f>
        <v>Mexico</v>
      </c>
    </row>
    <row r="5570" spans="1:8" x14ac:dyDescent="0.25">
      <c r="A5570" s="2">
        <v>25051</v>
      </c>
      <c r="B5570">
        <v>16.382999999999999</v>
      </c>
      <c r="C5570">
        <v>122.078</v>
      </c>
      <c r="D5570" t="s">
        <v>16</v>
      </c>
      <c r="E5570" t="s">
        <v>297</v>
      </c>
      <c r="F5570">
        <f t="shared" ref="F5570:F5633" si="174">YEAR(A5570)</f>
        <v>1968</v>
      </c>
      <c r="G5570">
        <f t="shared" si="173"/>
        <v>8</v>
      </c>
      <c r="H5570" t="str">
        <f>IF(ISNUMBER(FIND(",", E5570)), TRIM(MID(E5570, FIND(",", E5570) + 1, LEN(E5570))), E5570)</f>
        <v>Philippines</v>
      </c>
    </row>
    <row r="5571" spans="1:8" x14ac:dyDescent="0.25">
      <c r="A5571" s="2">
        <v>25049</v>
      </c>
      <c r="B5571">
        <v>-6.9279999999999999</v>
      </c>
      <c r="C5571">
        <v>-80.408000000000001</v>
      </c>
      <c r="D5571" t="s">
        <v>14</v>
      </c>
      <c r="E5571" t="s">
        <v>376</v>
      </c>
      <c r="F5571">
        <f t="shared" si="174"/>
        <v>1968</v>
      </c>
      <c r="G5571">
        <f t="shared" ref="G5571:G5634" si="175">MONTH(A5571)</f>
        <v>7</v>
      </c>
      <c r="H5571" t="str">
        <f>IF(ISNUMBER(FIND(",", E5571)), TRIM(MID(E5571, FIND(",", E5571) + 1, LEN(E5571))), E5571)</f>
        <v>near the coast of northern Peru</v>
      </c>
    </row>
    <row r="5572" spans="1:8" x14ac:dyDescent="0.25">
      <c r="A5572" s="2">
        <v>25048</v>
      </c>
      <c r="B5572">
        <v>-0.29299999999999998</v>
      </c>
      <c r="C5572">
        <v>133.499</v>
      </c>
      <c r="D5572" t="s">
        <v>14</v>
      </c>
      <c r="E5572" t="s">
        <v>241</v>
      </c>
      <c r="F5572">
        <f t="shared" si="174"/>
        <v>1968</v>
      </c>
      <c r="G5572">
        <f t="shared" si="175"/>
        <v>7</v>
      </c>
      <c r="H5572" t="str">
        <f>IF(ISNUMBER(FIND(",", E5572)), TRIM(MID(E5572, FIND(",", E5572) + 1, LEN(E5572))), E5572)</f>
        <v>Indonesia</v>
      </c>
    </row>
    <row r="5573" spans="1:8" x14ac:dyDescent="0.25">
      <c r="A5573" s="2">
        <v>25048</v>
      </c>
      <c r="B5573">
        <v>-22.501000000000001</v>
      </c>
      <c r="C5573">
        <v>-174.89500000000001</v>
      </c>
      <c r="D5573" t="s">
        <v>14</v>
      </c>
      <c r="E5573" t="s">
        <v>304</v>
      </c>
      <c r="F5573">
        <f t="shared" si="174"/>
        <v>1968</v>
      </c>
      <c r="G5573">
        <f t="shared" si="175"/>
        <v>7</v>
      </c>
      <c r="H5573" t="str">
        <f>IF(ISNUMBER(FIND(",", E5573)), TRIM(MID(E5573, FIND(",", E5573) + 1, LEN(E5573))), E5573)</f>
        <v>Tonga region</v>
      </c>
    </row>
    <row r="5574" spans="1:8" x14ac:dyDescent="0.25">
      <c r="A5574" s="2">
        <v>25044</v>
      </c>
      <c r="B5574">
        <v>-30.81</v>
      </c>
      <c r="C5574">
        <v>-178.14400000000001</v>
      </c>
      <c r="D5574" t="s">
        <v>13</v>
      </c>
      <c r="E5574" t="s">
        <v>288</v>
      </c>
      <c r="F5574">
        <f t="shared" si="174"/>
        <v>1968</v>
      </c>
      <c r="G5574">
        <f t="shared" si="175"/>
        <v>7</v>
      </c>
      <c r="H5574" t="str">
        <f>IF(ISNUMBER(FIND(",", E5574)), TRIM(MID(E5574, FIND(",", E5574) + 1, LEN(E5574))), E5574)</f>
        <v>New Zealand</v>
      </c>
    </row>
    <row r="5575" spans="1:8" x14ac:dyDescent="0.25">
      <c r="A5575" s="2">
        <v>25029</v>
      </c>
      <c r="B5575">
        <v>-36.805999999999997</v>
      </c>
      <c r="C5575">
        <v>78.424000000000007</v>
      </c>
      <c r="D5575" t="s">
        <v>14</v>
      </c>
      <c r="E5575" t="s">
        <v>377</v>
      </c>
      <c r="F5575">
        <f t="shared" si="174"/>
        <v>1968</v>
      </c>
      <c r="G5575">
        <f t="shared" si="175"/>
        <v>7</v>
      </c>
      <c r="H5575" t="str">
        <f>IF(ISNUMBER(FIND(",", E5575)), TRIM(MID(E5575, FIND(",", E5575) + 1, LEN(E5575))), E5575)</f>
        <v>Mid-Indian Ridge</v>
      </c>
    </row>
    <row r="5576" spans="1:8" x14ac:dyDescent="0.25">
      <c r="A5576" s="2">
        <v>25024</v>
      </c>
      <c r="B5576">
        <v>38.549999999999997</v>
      </c>
      <c r="C5576">
        <v>142.11699999999999</v>
      </c>
      <c r="D5576" t="s">
        <v>13</v>
      </c>
      <c r="E5576" t="s">
        <v>227</v>
      </c>
      <c r="F5576">
        <f t="shared" si="174"/>
        <v>1968</v>
      </c>
      <c r="G5576">
        <f t="shared" si="175"/>
        <v>7</v>
      </c>
      <c r="H5576" t="str">
        <f>IF(ISNUMBER(FIND(",", E5576)), TRIM(MID(E5576, FIND(",", E5576) + 1, LEN(E5576))), E5576)</f>
        <v>Japan</v>
      </c>
    </row>
    <row r="5577" spans="1:8" x14ac:dyDescent="0.25">
      <c r="A5577" s="2">
        <v>25008</v>
      </c>
      <c r="B5577">
        <v>-5.5579999999999998</v>
      </c>
      <c r="C5577">
        <v>-77.153000000000006</v>
      </c>
      <c r="D5577" t="s">
        <v>14</v>
      </c>
      <c r="E5577" t="s">
        <v>277</v>
      </c>
      <c r="F5577">
        <f t="shared" si="174"/>
        <v>1968</v>
      </c>
      <c r="G5577">
        <f t="shared" si="175"/>
        <v>6</v>
      </c>
      <c r="H5577" t="str">
        <f>IF(ISNUMBER(FIND(",", E5577)), TRIM(MID(E5577, FIND(",", E5577) + 1, LEN(E5577))), E5577)</f>
        <v>northern Peru</v>
      </c>
    </row>
    <row r="5578" spans="1:8" x14ac:dyDescent="0.25">
      <c r="A5578" s="2">
        <v>25006</v>
      </c>
      <c r="B5578">
        <v>41.097000000000001</v>
      </c>
      <c r="C5578">
        <v>143.072</v>
      </c>
      <c r="D5578" t="s">
        <v>17</v>
      </c>
      <c r="E5578" t="s">
        <v>265</v>
      </c>
      <c r="F5578">
        <f t="shared" si="174"/>
        <v>1968</v>
      </c>
      <c r="G5578">
        <f t="shared" si="175"/>
        <v>6</v>
      </c>
      <c r="H5578" t="str">
        <f>IF(ISNUMBER(FIND(",", E5578)), TRIM(MID(E5578, FIND(",", E5578) + 1, LEN(E5578))), E5578)</f>
        <v>Japan region</v>
      </c>
    </row>
    <row r="5579" spans="1:8" x14ac:dyDescent="0.25">
      <c r="A5579" s="2">
        <v>25005</v>
      </c>
      <c r="B5579">
        <v>-35.929000000000002</v>
      </c>
      <c r="C5579">
        <v>-16.123999999999999</v>
      </c>
      <c r="D5579" t="s">
        <v>14</v>
      </c>
      <c r="E5579" t="s">
        <v>422</v>
      </c>
      <c r="F5579">
        <f t="shared" si="174"/>
        <v>1968</v>
      </c>
      <c r="G5579">
        <f t="shared" si="175"/>
        <v>6</v>
      </c>
      <c r="H5579" t="str">
        <f>IF(ISNUMBER(FIND(",", E5579)), TRIM(MID(E5579, FIND(",", E5579) + 1, LEN(E5579))), E5579)</f>
        <v>southern Mid-Atlantic Ridge</v>
      </c>
    </row>
    <row r="5580" spans="1:8" x14ac:dyDescent="0.25">
      <c r="A5580" s="2">
        <v>25004</v>
      </c>
      <c r="B5580">
        <v>5.5709999999999997</v>
      </c>
      <c r="C5580">
        <v>-82.602000000000004</v>
      </c>
      <c r="D5580" t="s">
        <v>14</v>
      </c>
      <c r="E5580" t="s">
        <v>231</v>
      </c>
      <c r="F5580">
        <f t="shared" si="174"/>
        <v>1968</v>
      </c>
      <c r="G5580">
        <f t="shared" si="175"/>
        <v>6</v>
      </c>
      <c r="H5580" t="str">
        <f>IF(ISNUMBER(FIND(",", E5580)), TRIM(MID(E5580, FIND(",", E5580) + 1, LEN(E5580))), E5580)</f>
        <v>south of Panama</v>
      </c>
    </row>
    <row r="5581" spans="1:8" x14ac:dyDescent="0.25">
      <c r="A5581" s="2">
        <v>25001</v>
      </c>
      <c r="B5581">
        <v>39.500999999999998</v>
      </c>
      <c r="C5581">
        <v>142.892</v>
      </c>
      <c r="D5581" t="s">
        <v>16</v>
      </c>
      <c r="E5581" t="s">
        <v>227</v>
      </c>
      <c r="F5581">
        <f t="shared" si="174"/>
        <v>1968</v>
      </c>
      <c r="G5581">
        <f t="shared" si="175"/>
        <v>6</v>
      </c>
      <c r="H5581" t="str">
        <f>IF(ISNUMBER(FIND(",", E5581)), TRIM(MID(E5581, FIND(",", E5581) + 1, LEN(E5581))), E5581)</f>
        <v>Japan</v>
      </c>
    </row>
    <row r="5582" spans="1:8" x14ac:dyDescent="0.25">
      <c r="A5582" s="2">
        <v>24997</v>
      </c>
      <c r="B5582">
        <v>-48.881999999999998</v>
      </c>
      <c r="C5582">
        <v>31.132000000000001</v>
      </c>
      <c r="D5582" t="s">
        <v>14</v>
      </c>
      <c r="E5582" t="s">
        <v>465</v>
      </c>
      <c r="F5582">
        <f t="shared" si="174"/>
        <v>1968</v>
      </c>
      <c r="G5582">
        <f t="shared" si="175"/>
        <v>6</v>
      </c>
      <c r="H5582" t="str">
        <f>IF(ISNUMBER(FIND(",", E5582)), TRIM(MID(E5582, FIND(",", E5582) + 1, LEN(E5582))), E5582)</f>
        <v>south of Africa</v>
      </c>
    </row>
    <row r="5583" spans="1:8" x14ac:dyDescent="0.25">
      <c r="A5583" s="2">
        <v>24996</v>
      </c>
      <c r="B5583">
        <v>-1.863</v>
      </c>
      <c r="C5583">
        <v>120.065</v>
      </c>
      <c r="D5583" t="s">
        <v>14</v>
      </c>
      <c r="E5583" t="s">
        <v>182</v>
      </c>
      <c r="F5583">
        <f t="shared" si="174"/>
        <v>1968</v>
      </c>
      <c r="G5583">
        <f t="shared" si="175"/>
        <v>6</v>
      </c>
      <c r="H5583" t="str">
        <f>IF(ISNUMBER(FIND(",", E5583)), TRIM(MID(E5583, FIND(",", E5583) + 1, LEN(E5583))), E5583)</f>
        <v>Indonesia</v>
      </c>
    </row>
    <row r="5584" spans="1:8" x14ac:dyDescent="0.25">
      <c r="A5584" s="2">
        <v>24988</v>
      </c>
      <c r="B5584">
        <v>-30.97</v>
      </c>
      <c r="C5584">
        <v>-177.56</v>
      </c>
      <c r="D5584" t="s">
        <v>14</v>
      </c>
      <c r="E5584" t="s">
        <v>288</v>
      </c>
      <c r="F5584">
        <f t="shared" si="174"/>
        <v>1968</v>
      </c>
      <c r="G5584">
        <f t="shared" si="175"/>
        <v>5</v>
      </c>
      <c r="H5584" t="str">
        <f>IF(ISNUMBER(FIND(",", E5584)), TRIM(MID(E5584, FIND(",", E5584) + 1, LEN(E5584))), E5584)</f>
        <v>New Zealand</v>
      </c>
    </row>
    <row r="5585" spans="1:8" x14ac:dyDescent="0.25">
      <c r="A5585" s="2">
        <v>24986</v>
      </c>
      <c r="B5585">
        <v>-2.92</v>
      </c>
      <c r="C5585">
        <v>139.40899999999999</v>
      </c>
      <c r="D5585" t="s">
        <v>13</v>
      </c>
      <c r="E5585" t="s">
        <v>241</v>
      </c>
      <c r="F5585">
        <f t="shared" si="174"/>
        <v>1968</v>
      </c>
      <c r="G5585">
        <f t="shared" si="175"/>
        <v>5</v>
      </c>
      <c r="H5585" t="str">
        <f>IF(ISNUMBER(FIND(",", E5585)), TRIM(MID(E5585, FIND(",", E5585) + 1, LEN(E5585))), E5585)</f>
        <v>Indonesia</v>
      </c>
    </row>
    <row r="5586" spans="1:8" x14ac:dyDescent="0.25">
      <c r="A5586" s="2">
        <v>24982</v>
      </c>
      <c r="B5586">
        <v>-6.8529999999999998</v>
      </c>
      <c r="C5586">
        <v>118.907</v>
      </c>
      <c r="D5586" t="s">
        <v>14</v>
      </c>
      <c r="E5586" t="s">
        <v>438</v>
      </c>
      <c r="F5586">
        <f t="shared" si="174"/>
        <v>1968</v>
      </c>
      <c r="G5586">
        <f t="shared" si="175"/>
        <v>5</v>
      </c>
      <c r="H5586" t="str">
        <f>IF(ISNUMBER(FIND(",", E5586)), TRIM(MID(E5586, FIND(",", E5586) + 1, LEN(E5586))), E5586)</f>
        <v>Flores Sea</v>
      </c>
    </row>
    <row r="5587" spans="1:8" x14ac:dyDescent="0.25">
      <c r="A5587" s="2">
        <v>24982</v>
      </c>
      <c r="B5587">
        <v>40.954999999999998</v>
      </c>
      <c r="C5587">
        <v>143.09</v>
      </c>
      <c r="D5587" t="s">
        <v>14</v>
      </c>
      <c r="E5587" t="s">
        <v>189</v>
      </c>
      <c r="F5587">
        <f t="shared" si="174"/>
        <v>1968</v>
      </c>
      <c r="G5587">
        <f t="shared" si="175"/>
        <v>5</v>
      </c>
      <c r="H5587" t="str">
        <f>IF(ISNUMBER(FIND(",", E5587)), TRIM(MID(E5587, FIND(",", E5587) + 1, LEN(E5587))), E5587)</f>
        <v>Japan</v>
      </c>
    </row>
    <row r="5588" spans="1:8" x14ac:dyDescent="0.25">
      <c r="A5588" s="2">
        <v>24981</v>
      </c>
      <c r="B5588">
        <v>-41.743000000000002</v>
      </c>
      <c r="C5588">
        <v>172.12299999999999</v>
      </c>
      <c r="D5588" t="s">
        <v>16</v>
      </c>
      <c r="E5588" t="s">
        <v>300</v>
      </c>
      <c r="F5588">
        <f t="shared" si="174"/>
        <v>1968</v>
      </c>
      <c r="G5588">
        <f t="shared" si="175"/>
        <v>5</v>
      </c>
      <c r="H5588" t="str">
        <f>IF(ISNUMBER(FIND(",", E5588)), TRIM(MID(E5588, FIND(",", E5588) + 1, LEN(E5588))), E5588)</f>
        <v>South Island of New Zealand</v>
      </c>
    </row>
    <row r="5589" spans="1:8" x14ac:dyDescent="0.25">
      <c r="A5589" s="2">
        <v>24979</v>
      </c>
      <c r="B5589">
        <v>44.863</v>
      </c>
      <c r="C5589">
        <v>150.19</v>
      </c>
      <c r="D5589" t="s">
        <v>14</v>
      </c>
      <c r="E5589" t="s">
        <v>317</v>
      </c>
      <c r="F5589">
        <f t="shared" si="174"/>
        <v>1968</v>
      </c>
      <c r="G5589">
        <f t="shared" si="175"/>
        <v>5</v>
      </c>
      <c r="H5589" t="str">
        <f>IF(ISNUMBER(FIND(",", E5589)), TRIM(MID(E5589, FIND(",", E5589) + 1, LEN(E5589))), E5589)</f>
        <v>east of the Kuril Islands</v>
      </c>
    </row>
    <row r="5590" spans="1:8" x14ac:dyDescent="0.25">
      <c r="A5590" s="2">
        <v>24978</v>
      </c>
      <c r="B5590">
        <v>44.795999999999999</v>
      </c>
      <c r="C5590">
        <v>150.357</v>
      </c>
      <c r="D5590" t="s">
        <v>16</v>
      </c>
      <c r="E5590" t="s">
        <v>317</v>
      </c>
      <c r="F5590">
        <f t="shared" si="174"/>
        <v>1968</v>
      </c>
      <c r="G5590">
        <f t="shared" si="175"/>
        <v>5</v>
      </c>
      <c r="H5590" t="str">
        <f>IF(ISNUMBER(FIND(",", E5590)), TRIM(MID(E5590, FIND(",", E5590) + 1, LEN(E5590))), E5590)</f>
        <v>east of the Kuril Islands</v>
      </c>
    </row>
    <row r="5591" spans="1:8" x14ac:dyDescent="0.25">
      <c r="A5591" s="2">
        <v>24978</v>
      </c>
      <c r="B5591">
        <v>-30.786000000000001</v>
      </c>
      <c r="C5591">
        <v>-178.148</v>
      </c>
      <c r="D5591" t="s">
        <v>13</v>
      </c>
      <c r="E5591" t="s">
        <v>288</v>
      </c>
      <c r="F5591">
        <f t="shared" si="174"/>
        <v>1968</v>
      </c>
      <c r="G5591">
        <f t="shared" si="175"/>
        <v>5</v>
      </c>
      <c r="H5591" t="str">
        <f>IF(ISNUMBER(FIND(",", E5591)), TRIM(MID(E5591, FIND(",", E5591) + 1, LEN(E5591))), E5591)</f>
        <v>New Zealand</v>
      </c>
    </row>
    <row r="5592" spans="1:8" x14ac:dyDescent="0.25">
      <c r="A5592" s="2">
        <v>24978</v>
      </c>
      <c r="B5592">
        <v>-30.829000000000001</v>
      </c>
      <c r="C5592">
        <v>-178.136</v>
      </c>
      <c r="D5592" t="s">
        <v>13</v>
      </c>
      <c r="E5592" t="s">
        <v>288</v>
      </c>
      <c r="F5592">
        <f t="shared" si="174"/>
        <v>1968</v>
      </c>
      <c r="G5592">
        <f t="shared" si="175"/>
        <v>5</v>
      </c>
      <c r="H5592" t="str">
        <f>IF(ISNUMBER(FIND(",", E5592)), TRIM(MID(E5592, FIND(",", E5592) + 1, LEN(E5592))), E5592)</f>
        <v>New Zealand</v>
      </c>
    </row>
    <row r="5593" spans="1:8" x14ac:dyDescent="0.25">
      <c r="A5593" s="2">
        <v>24974</v>
      </c>
      <c r="B5593">
        <v>39.881</v>
      </c>
      <c r="C5593">
        <v>143.221</v>
      </c>
      <c r="D5593" t="s">
        <v>17</v>
      </c>
      <c r="E5593" t="s">
        <v>189</v>
      </c>
      <c r="F5593">
        <f t="shared" si="174"/>
        <v>1968</v>
      </c>
      <c r="G5593">
        <f t="shared" si="175"/>
        <v>5</v>
      </c>
      <c r="H5593" t="str">
        <f>IF(ISNUMBER(FIND(",", E5593)), TRIM(MID(E5593, FIND(",", E5593) + 1, LEN(E5593))), E5593)</f>
        <v>Japan</v>
      </c>
    </row>
    <row r="5594" spans="1:8" x14ac:dyDescent="0.25">
      <c r="A5594" s="2">
        <v>24974</v>
      </c>
      <c r="B5594">
        <v>41.594999999999999</v>
      </c>
      <c r="C5594">
        <v>142.78800000000001</v>
      </c>
      <c r="D5594" t="s">
        <v>16</v>
      </c>
      <c r="E5594" t="s">
        <v>265</v>
      </c>
      <c r="F5594">
        <f t="shared" si="174"/>
        <v>1968</v>
      </c>
      <c r="G5594">
        <f t="shared" si="175"/>
        <v>5</v>
      </c>
      <c r="H5594" t="str">
        <f>IF(ISNUMBER(FIND(",", E5594)), TRIM(MID(E5594, FIND(",", E5594) + 1, LEN(E5594))), E5594)</f>
        <v>Japan region</v>
      </c>
    </row>
    <row r="5595" spans="1:8" x14ac:dyDescent="0.25">
      <c r="A5595" s="2">
        <v>24974</v>
      </c>
      <c r="B5595">
        <v>40.901000000000003</v>
      </c>
      <c r="C5595">
        <v>143.346</v>
      </c>
      <c r="D5595" t="s">
        <v>16</v>
      </c>
      <c r="E5595" t="s">
        <v>189</v>
      </c>
      <c r="F5595">
        <f t="shared" si="174"/>
        <v>1968</v>
      </c>
      <c r="G5595">
        <f t="shared" si="175"/>
        <v>5</v>
      </c>
      <c r="H5595" t="str">
        <f>IF(ISNUMBER(FIND(",", E5595)), TRIM(MID(E5595, FIND(",", E5595) + 1, LEN(E5595))), E5595)</f>
        <v>Japan</v>
      </c>
    </row>
    <row r="5596" spans="1:8" x14ac:dyDescent="0.25">
      <c r="A5596" s="2">
        <v>24972</v>
      </c>
      <c r="B5596">
        <v>29.936</v>
      </c>
      <c r="C5596">
        <v>129.36799999999999</v>
      </c>
      <c r="D5596" t="s">
        <v>13</v>
      </c>
      <c r="E5596" t="s">
        <v>340</v>
      </c>
      <c r="F5596">
        <f t="shared" si="174"/>
        <v>1968</v>
      </c>
      <c r="G5596">
        <f t="shared" si="175"/>
        <v>5</v>
      </c>
      <c r="H5596" t="str">
        <f>IF(ISNUMBER(FIND(",", E5596)), TRIM(MID(E5596, FIND(",", E5596) + 1, LEN(E5596))), E5596)</f>
        <v>Japan</v>
      </c>
    </row>
    <row r="5597" spans="1:8" x14ac:dyDescent="0.25">
      <c r="A5597" s="2">
        <v>24966</v>
      </c>
      <c r="B5597">
        <v>43.582000000000001</v>
      </c>
      <c r="C5597">
        <v>-128.04599999999999</v>
      </c>
      <c r="D5597" t="s">
        <v>13</v>
      </c>
      <c r="E5597" t="s">
        <v>249</v>
      </c>
      <c r="F5597">
        <f t="shared" si="174"/>
        <v>1968</v>
      </c>
      <c r="G5597">
        <f t="shared" si="175"/>
        <v>5</v>
      </c>
      <c r="H5597" t="str">
        <f>IF(ISNUMBER(FIND(",", E5597)), TRIM(MID(E5597, FIND(",", E5597) + 1, LEN(E5597))), E5597)</f>
        <v>off the coast of Oregon</v>
      </c>
    </row>
    <row r="5598" spans="1:8" x14ac:dyDescent="0.25">
      <c r="A5598" s="2">
        <v>24951</v>
      </c>
      <c r="B5598">
        <v>58.652000000000001</v>
      </c>
      <c r="C5598">
        <v>-149.98099999999999</v>
      </c>
      <c r="D5598" t="s">
        <v>13</v>
      </c>
      <c r="E5598" t="s">
        <v>195</v>
      </c>
      <c r="F5598">
        <f t="shared" si="174"/>
        <v>1968</v>
      </c>
      <c r="G5598">
        <f t="shared" si="175"/>
        <v>4</v>
      </c>
      <c r="H5598" t="str">
        <f>IF(ISNUMBER(FIND(",", E5598)), TRIM(MID(E5598, FIND(",", E5598) + 1, LEN(E5598))), E5598)</f>
        <v>Gulf of Alaska</v>
      </c>
    </row>
    <row r="5599" spans="1:8" x14ac:dyDescent="0.25">
      <c r="A5599" s="2">
        <v>24937</v>
      </c>
      <c r="B5599">
        <v>33.156999999999996</v>
      </c>
      <c r="C5599">
        <v>-116.194</v>
      </c>
      <c r="D5599" t="s">
        <v>14</v>
      </c>
      <c r="E5599" t="s">
        <v>521</v>
      </c>
      <c r="F5599">
        <f t="shared" si="174"/>
        <v>1968</v>
      </c>
      <c r="G5599">
        <f t="shared" si="175"/>
        <v>4</v>
      </c>
      <c r="H5599" t="str">
        <f>IF(ISNUMBER(FIND(",", E5599)), TRIM(MID(E5599, FIND(",", E5599) + 1, LEN(E5599))), E5599)</f>
        <v>Southern California</v>
      </c>
    </row>
    <row r="5600" spans="1:8" x14ac:dyDescent="0.25">
      <c r="A5600" s="2">
        <v>24929</v>
      </c>
      <c r="B5600">
        <v>32.484000000000002</v>
      </c>
      <c r="C5600">
        <v>132.19300000000001</v>
      </c>
      <c r="D5600" t="s">
        <v>16</v>
      </c>
      <c r="E5600" t="s">
        <v>670</v>
      </c>
      <c r="F5600">
        <f t="shared" si="174"/>
        <v>1968</v>
      </c>
      <c r="G5600">
        <f t="shared" si="175"/>
        <v>4</v>
      </c>
      <c r="H5600" t="str">
        <f>IF(ISNUMBER(FIND(",", E5600)), TRIM(MID(E5600, FIND(",", E5600) + 1, LEN(E5600))), E5600)</f>
        <v>Japan</v>
      </c>
    </row>
    <row r="5601" spans="1:8" x14ac:dyDescent="0.25">
      <c r="A5601" s="2">
        <v>24923</v>
      </c>
      <c r="B5601">
        <v>-6.6520000000000001</v>
      </c>
      <c r="C5601">
        <v>116.121</v>
      </c>
      <c r="D5601" t="s">
        <v>14</v>
      </c>
      <c r="E5601" t="s">
        <v>299</v>
      </c>
      <c r="F5601">
        <f t="shared" si="174"/>
        <v>1968</v>
      </c>
      <c r="G5601">
        <f t="shared" si="175"/>
        <v>3</v>
      </c>
      <c r="H5601" t="str">
        <f>IF(ISNUMBER(FIND(",", E5601)), TRIM(MID(E5601, FIND(",", E5601) + 1, LEN(E5601))), E5601)</f>
        <v>Bali Sea</v>
      </c>
    </row>
    <row r="5602" spans="1:8" x14ac:dyDescent="0.25">
      <c r="A5602" s="2">
        <v>24908</v>
      </c>
      <c r="B5602">
        <v>-16.187999999999999</v>
      </c>
      <c r="C5602">
        <v>-173.86699999999999</v>
      </c>
      <c r="D5602" t="s">
        <v>13</v>
      </c>
      <c r="E5602" t="s">
        <v>239</v>
      </c>
      <c r="F5602">
        <f t="shared" si="174"/>
        <v>1968</v>
      </c>
      <c r="G5602">
        <f t="shared" si="175"/>
        <v>3</v>
      </c>
      <c r="H5602" t="str">
        <f>IF(ISNUMBER(FIND(",", E5602)), TRIM(MID(E5602, FIND(",", E5602) + 1, LEN(E5602))), E5602)</f>
        <v>Tonga</v>
      </c>
    </row>
    <row r="5603" spans="1:8" x14ac:dyDescent="0.25">
      <c r="A5603" s="2">
        <v>24896</v>
      </c>
      <c r="B5603">
        <v>32.93</v>
      </c>
      <c r="C5603">
        <v>137.77199999999999</v>
      </c>
      <c r="D5603" t="s">
        <v>14</v>
      </c>
      <c r="E5603" t="s">
        <v>88</v>
      </c>
      <c r="F5603">
        <f t="shared" si="174"/>
        <v>1968</v>
      </c>
      <c r="G5603">
        <f t="shared" si="175"/>
        <v>2</v>
      </c>
      <c r="H5603" t="str">
        <f>IF(ISNUMBER(FIND(",", E5603)), TRIM(MID(E5603, FIND(",", E5603) + 1, LEN(E5603))), E5603)</f>
        <v>Japan region</v>
      </c>
    </row>
    <row r="5604" spans="1:8" x14ac:dyDescent="0.25">
      <c r="A5604" s="2">
        <v>24894</v>
      </c>
      <c r="B5604">
        <v>22.762</v>
      </c>
      <c r="C5604">
        <v>121.414</v>
      </c>
      <c r="D5604" t="s">
        <v>16</v>
      </c>
      <c r="E5604" t="s">
        <v>363</v>
      </c>
      <c r="F5604">
        <f t="shared" si="174"/>
        <v>1968</v>
      </c>
      <c r="G5604">
        <f t="shared" si="175"/>
        <v>2</v>
      </c>
      <c r="H5604" t="str">
        <f>IF(ISNUMBER(FIND(",", E5604)), TRIM(MID(E5604, FIND(",", E5604) + 1, LEN(E5604))), E5604)</f>
        <v>Taiwan region</v>
      </c>
    </row>
    <row r="5605" spans="1:8" x14ac:dyDescent="0.25">
      <c r="A5605" s="2">
        <v>24887</v>
      </c>
      <c r="B5605">
        <v>39.371000000000002</v>
      </c>
      <c r="C5605">
        <v>24.942</v>
      </c>
      <c r="D5605" t="s">
        <v>16</v>
      </c>
      <c r="E5605" t="s">
        <v>498</v>
      </c>
      <c r="F5605">
        <f t="shared" si="174"/>
        <v>1968</v>
      </c>
      <c r="G5605">
        <f t="shared" si="175"/>
        <v>2</v>
      </c>
      <c r="H5605" t="str">
        <f>IF(ISNUMBER(FIND(",", E5605)), TRIM(MID(E5605, FIND(",", E5605) + 1, LEN(E5605))), E5605)</f>
        <v>Aegean Sea</v>
      </c>
    </row>
    <row r="5606" spans="1:8" x14ac:dyDescent="0.25">
      <c r="A5606" s="2">
        <v>24880</v>
      </c>
      <c r="B5606">
        <v>-5.5030000000000001</v>
      </c>
      <c r="C5606">
        <v>153.40100000000001</v>
      </c>
      <c r="D5606" t="s">
        <v>16</v>
      </c>
      <c r="E5606" t="s">
        <v>183</v>
      </c>
      <c r="F5606">
        <f t="shared" si="174"/>
        <v>1968</v>
      </c>
      <c r="G5606">
        <f t="shared" si="175"/>
        <v>2</v>
      </c>
      <c r="H5606" t="str">
        <f>IF(ISNUMBER(FIND(",", E5606)), TRIM(MID(E5606, FIND(",", E5606) + 1, LEN(E5606))), E5606)</f>
        <v>Papua New Guinea</v>
      </c>
    </row>
    <row r="5607" spans="1:8" x14ac:dyDescent="0.25">
      <c r="A5607" s="2">
        <v>24867</v>
      </c>
      <c r="B5607">
        <v>-6.1619999999999999</v>
      </c>
      <c r="C5607">
        <v>113.312</v>
      </c>
      <c r="D5607" t="s">
        <v>14</v>
      </c>
      <c r="E5607" t="s">
        <v>358</v>
      </c>
      <c r="F5607">
        <f t="shared" si="174"/>
        <v>1968</v>
      </c>
      <c r="G5607">
        <f t="shared" si="175"/>
        <v>1</v>
      </c>
      <c r="H5607" t="str">
        <f>IF(ISNUMBER(FIND(",", E5607)), TRIM(MID(E5607, FIND(",", E5607) + 1, LEN(E5607))), E5607)</f>
        <v>Indonesia</v>
      </c>
    </row>
    <row r="5608" spans="1:8" x14ac:dyDescent="0.25">
      <c r="A5608" s="2">
        <v>24866</v>
      </c>
      <c r="B5608">
        <v>43.591000000000001</v>
      </c>
      <c r="C5608">
        <v>146.69900000000001</v>
      </c>
      <c r="D5608" t="s">
        <v>16</v>
      </c>
      <c r="E5608" t="s">
        <v>191</v>
      </c>
      <c r="F5608">
        <f t="shared" si="174"/>
        <v>1968</v>
      </c>
      <c r="G5608">
        <f t="shared" si="175"/>
        <v>1</v>
      </c>
      <c r="H5608" t="str">
        <f>IF(ISNUMBER(FIND(",", E5608)), TRIM(MID(E5608, FIND(",", E5608) + 1, LEN(E5608))), E5608)</f>
        <v>Kuril Islands</v>
      </c>
    </row>
    <row r="5609" spans="1:8" x14ac:dyDescent="0.25">
      <c r="A5609" s="2">
        <v>24863</v>
      </c>
      <c r="B5609">
        <v>-8.8979999999999997</v>
      </c>
      <c r="C5609">
        <v>120.244</v>
      </c>
      <c r="D5609" t="s">
        <v>13</v>
      </c>
      <c r="E5609" t="s">
        <v>399</v>
      </c>
      <c r="F5609">
        <f t="shared" si="174"/>
        <v>1968</v>
      </c>
      <c r="G5609">
        <f t="shared" si="175"/>
        <v>1</v>
      </c>
      <c r="H5609" t="str">
        <f>IF(ISNUMBER(FIND(",", E5609)), TRIM(MID(E5609, FIND(",", E5609) + 1, LEN(E5609))), E5609)</f>
        <v>Indonesia</v>
      </c>
    </row>
    <row r="5610" spans="1:8" x14ac:dyDescent="0.25">
      <c r="A5610" s="2">
        <v>24857</v>
      </c>
      <c r="B5610">
        <v>-30.114999999999998</v>
      </c>
      <c r="C5610">
        <v>-179.45400000000001</v>
      </c>
      <c r="D5610" t="s">
        <v>14</v>
      </c>
      <c r="E5610" t="s">
        <v>240</v>
      </c>
      <c r="F5610">
        <f t="shared" si="174"/>
        <v>1968</v>
      </c>
      <c r="G5610">
        <f t="shared" si="175"/>
        <v>1</v>
      </c>
      <c r="H5610" t="str">
        <f>IF(ISNUMBER(FIND(",", E5610)), TRIM(MID(E5610, FIND(",", E5610) + 1, LEN(E5610))), E5610)</f>
        <v>Kermadec Islands region</v>
      </c>
    </row>
    <row r="5611" spans="1:8" x14ac:dyDescent="0.25">
      <c r="A5611" s="2">
        <v>24856</v>
      </c>
      <c r="B5611">
        <v>-9.3279999999999994</v>
      </c>
      <c r="C5611">
        <v>158.48500000000001</v>
      </c>
      <c r="D5611" t="s">
        <v>13</v>
      </c>
      <c r="E5611" t="s">
        <v>221</v>
      </c>
      <c r="F5611">
        <f t="shared" si="174"/>
        <v>1968</v>
      </c>
      <c r="G5611">
        <f t="shared" si="175"/>
        <v>1</v>
      </c>
      <c r="H5611" t="str">
        <f>IF(ISNUMBER(FIND(",", E5611)), TRIM(MID(E5611, FIND(",", E5611) + 1, LEN(E5611))), E5611)</f>
        <v>Solomon Islands</v>
      </c>
    </row>
    <row r="5612" spans="1:8" x14ac:dyDescent="0.25">
      <c r="A5612" s="2">
        <v>24851</v>
      </c>
      <c r="B5612">
        <v>-7.5209999999999999</v>
      </c>
      <c r="C5612">
        <v>127.917</v>
      </c>
      <c r="D5612" t="s">
        <v>13</v>
      </c>
      <c r="E5612" t="s">
        <v>49</v>
      </c>
      <c r="F5612">
        <f t="shared" si="174"/>
        <v>1968</v>
      </c>
      <c r="G5612">
        <f t="shared" si="175"/>
        <v>1</v>
      </c>
      <c r="H5612" t="str">
        <f>IF(ISNUMBER(FIND(",", E5612)), TRIM(MID(E5612, FIND(",", E5612) + 1, LEN(E5612))), E5612)</f>
        <v>Indonesia</v>
      </c>
    </row>
    <row r="5613" spans="1:8" x14ac:dyDescent="0.25">
      <c r="A5613" s="2">
        <v>24833</v>
      </c>
      <c r="B5613">
        <v>-21.210999999999999</v>
      </c>
      <c r="C5613">
        <v>-68.183999999999997</v>
      </c>
      <c r="D5613" t="s">
        <v>13</v>
      </c>
      <c r="E5613" t="s">
        <v>472</v>
      </c>
      <c r="F5613">
        <f t="shared" si="174"/>
        <v>1967</v>
      </c>
      <c r="G5613">
        <f t="shared" si="175"/>
        <v>12</v>
      </c>
      <c r="H5613" t="str">
        <f>IF(ISNUMBER(FIND(",", E5613)), TRIM(MID(E5613, FIND(",", E5613) + 1, LEN(E5613))), E5613)</f>
        <v>Bolivia</v>
      </c>
    </row>
    <row r="5614" spans="1:8" x14ac:dyDescent="0.25">
      <c r="A5614" s="2">
        <v>24831</v>
      </c>
      <c r="B5614">
        <v>-5.2889999999999997</v>
      </c>
      <c r="C5614">
        <v>153.762</v>
      </c>
      <c r="D5614" t="s">
        <v>16</v>
      </c>
      <c r="E5614" t="s">
        <v>183</v>
      </c>
      <c r="F5614">
        <f t="shared" si="174"/>
        <v>1967</v>
      </c>
      <c r="G5614">
        <f t="shared" si="175"/>
        <v>12</v>
      </c>
      <c r="H5614" t="str">
        <f>IF(ISNUMBER(FIND(",", E5614)), TRIM(MID(E5614, FIND(",", E5614) + 1, LEN(E5614))), E5614)</f>
        <v>Papua New Guinea</v>
      </c>
    </row>
    <row r="5615" spans="1:8" x14ac:dyDescent="0.25">
      <c r="A5615" s="2">
        <v>24830</v>
      </c>
      <c r="B5615">
        <v>17.431999999999999</v>
      </c>
      <c r="C5615">
        <v>-61.152000000000001</v>
      </c>
      <c r="D5615" t="s">
        <v>13</v>
      </c>
      <c r="E5615" t="s">
        <v>651</v>
      </c>
      <c r="F5615">
        <f t="shared" si="174"/>
        <v>1967</v>
      </c>
      <c r="G5615">
        <f t="shared" si="175"/>
        <v>12</v>
      </c>
      <c r="H5615" t="str">
        <f>IF(ISNUMBER(FIND(",", E5615)), TRIM(MID(E5615, FIND(",", E5615) + 1, LEN(E5615))), E5615)</f>
        <v>Leeward Islands</v>
      </c>
    </row>
    <row r="5616" spans="1:8" x14ac:dyDescent="0.25">
      <c r="A5616" s="2">
        <v>24827</v>
      </c>
      <c r="B5616">
        <v>-21.861000000000001</v>
      </c>
      <c r="C5616">
        <v>-69.947000000000003</v>
      </c>
      <c r="D5616" t="s">
        <v>16</v>
      </c>
      <c r="E5616" t="s">
        <v>289</v>
      </c>
      <c r="F5616">
        <f t="shared" si="174"/>
        <v>1967</v>
      </c>
      <c r="G5616">
        <f t="shared" si="175"/>
        <v>12</v>
      </c>
      <c r="H5616" t="str">
        <f>IF(ISNUMBER(FIND(",", E5616)), TRIM(MID(E5616, FIND(",", E5616) + 1, LEN(E5616))), E5616)</f>
        <v>Chile</v>
      </c>
    </row>
    <row r="5617" spans="1:8" x14ac:dyDescent="0.25">
      <c r="A5617" s="2">
        <v>24816</v>
      </c>
      <c r="B5617">
        <v>17.39</v>
      </c>
      <c r="C5617">
        <v>73.774000000000001</v>
      </c>
      <c r="D5617" t="s">
        <v>14</v>
      </c>
      <c r="E5617" t="s">
        <v>563</v>
      </c>
      <c r="F5617">
        <f t="shared" si="174"/>
        <v>1967</v>
      </c>
      <c r="G5617">
        <f t="shared" si="175"/>
        <v>12</v>
      </c>
      <c r="H5617" t="str">
        <f>IF(ISNUMBER(FIND(",", E5617)), TRIM(MID(E5617, FIND(",", E5617) + 1, LEN(E5617))), E5617)</f>
        <v>India</v>
      </c>
    </row>
    <row r="5618" spans="1:8" x14ac:dyDescent="0.25">
      <c r="A5618" s="2">
        <v>24807</v>
      </c>
      <c r="B5618">
        <v>49.465000000000003</v>
      </c>
      <c r="C5618">
        <v>154.38499999999999</v>
      </c>
      <c r="D5618" t="s">
        <v>13</v>
      </c>
      <c r="E5618" t="s">
        <v>191</v>
      </c>
      <c r="F5618">
        <f t="shared" si="174"/>
        <v>1967</v>
      </c>
      <c r="G5618">
        <f t="shared" si="175"/>
        <v>12</v>
      </c>
      <c r="H5618" t="str">
        <f>IF(ISNUMBER(FIND(",", E5618)), TRIM(MID(E5618, FIND(",", E5618) + 1, LEN(E5618))), E5618)</f>
        <v>Kuril Islands</v>
      </c>
    </row>
    <row r="5619" spans="1:8" x14ac:dyDescent="0.25">
      <c r="A5619" s="2">
        <v>24799</v>
      </c>
      <c r="B5619">
        <v>14.446</v>
      </c>
      <c r="C5619">
        <v>51.981999999999999</v>
      </c>
      <c r="D5619" t="s">
        <v>17</v>
      </c>
      <c r="E5619" t="s">
        <v>434</v>
      </c>
      <c r="F5619">
        <f t="shared" si="174"/>
        <v>1967</v>
      </c>
      <c r="G5619">
        <f t="shared" si="175"/>
        <v>11</v>
      </c>
      <c r="H5619" t="str">
        <f>IF(ISNUMBER(FIND(",", E5619)), TRIM(MID(E5619, FIND(",", E5619) + 1, LEN(E5619))), E5619)</f>
        <v>Gulf of Aden</v>
      </c>
    </row>
    <row r="5620" spans="1:8" x14ac:dyDescent="0.25">
      <c r="A5620" s="2">
        <v>24791</v>
      </c>
      <c r="B5620">
        <v>-28.792000000000002</v>
      </c>
      <c r="C5620">
        <v>-71.165000000000006</v>
      </c>
      <c r="D5620" t="s">
        <v>13</v>
      </c>
      <c r="E5620" t="s">
        <v>264</v>
      </c>
      <c r="F5620">
        <f t="shared" si="174"/>
        <v>1967</v>
      </c>
      <c r="G5620">
        <f t="shared" si="175"/>
        <v>11</v>
      </c>
      <c r="H5620" t="str">
        <f>IF(ISNUMBER(FIND(",", E5620)), TRIM(MID(E5620, FIND(",", E5620) + 1, LEN(E5620))), E5620)</f>
        <v>Chile</v>
      </c>
    </row>
    <row r="5621" spans="1:8" x14ac:dyDescent="0.25">
      <c r="A5621" s="2">
        <v>24785</v>
      </c>
      <c r="B5621">
        <v>-7.2130000000000001</v>
      </c>
      <c r="C5621">
        <v>123.69499999999999</v>
      </c>
      <c r="D5621" t="s">
        <v>14</v>
      </c>
      <c r="E5621" t="s">
        <v>187</v>
      </c>
      <c r="F5621">
        <f t="shared" si="174"/>
        <v>1967</v>
      </c>
      <c r="G5621">
        <f t="shared" si="175"/>
        <v>11</v>
      </c>
      <c r="H5621" t="str">
        <f>IF(ISNUMBER(FIND(",", E5621)), TRIM(MID(E5621, FIND(",", E5621) + 1, LEN(E5621))), E5621)</f>
        <v>Banda Sea</v>
      </c>
    </row>
    <row r="5622" spans="1:8" x14ac:dyDescent="0.25">
      <c r="A5622" s="2">
        <v>24770</v>
      </c>
      <c r="B5622">
        <v>24.463000000000001</v>
      </c>
      <c r="C5622">
        <v>122.218</v>
      </c>
      <c r="D5622" t="s">
        <v>13</v>
      </c>
      <c r="E5622" t="s">
        <v>363</v>
      </c>
      <c r="F5622">
        <f t="shared" si="174"/>
        <v>1967</v>
      </c>
      <c r="G5622">
        <f t="shared" si="175"/>
        <v>10</v>
      </c>
      <c r="H5622" t="str">
        <f>IF(ISNUMBER(FIND(",", E5622)), TRIM(MID(E5622, FIND(",", E5622) + 1, LEN(E5622))), E5622)</f>
        <v>Taiwan region</v>
      </c>
    </row>
    <row r="5623" spans="1:8" x14ac:dyDescent="0.25">
      <c r="A5623" s="2">
        <v>24760</v>
      </c>
      <c r="B5623">
        <v>11.906000000000001</v>
      </c>
      <c r="C5623">
        <v>-85.924000000000007</v>
      </c>
      <c r="D5623" t="s">
        <v>13</v>
      </c>
      <c r="E5623" t="s">
        <v>270</v>
      </c>
      <c r="F5623">
        <f t="shared" si="174"/>
        <v>1967</v>
      </c>
      <c r="G5623">
        <f t="shared" si="175"/>
        <v>10</v>
      </c>
      <c r="H5623" t="str">
        <f>IF(ISNUMBER(FIND(",", E5623)), TRIM(MID(E5623, FIND(",", E5623) + 1, LEN(E5623))), E5623)</f>
        <v>Nicaragua</v>
      </c>
    </row>
    <row r="5624" spans="1:8" x14ac:dyDescent="0.25">
      <c r="A5624" s="2">
        <v>24757</v>
      </c>
      <c r="B5624">
        <v>-7.1790000000000003</v>
      </c>
      <c r="C5624">
        <v>129.851</v>
      </c>
      <c r="D5624" t="s">
        <v>13</v>
      </c>
      <c r="E5624" t="s">
        <v>615</v>
      </c>
      <c r="F5624">
        <f t="shared" si="174"/>
        <v>1967</v>
      </c>
      <c r="G5624">
        <f t="shared" si="175"/>
        <v>10</v>
      </c>
      <c r="H5624" t="str">
        <f>IF(ISNUMBER(FIND(",", E5624)), TRIM(MID(E5624, FIND(",", E5624) + 1, LEN(E5624))), E5624)</f>
        <v>Indonesia</v>
      </c>
    </row>
    <row r="5625" spans="1:8" x14ac:dyDescent="0.25">
      <c r="A5625" s="2">
        <v>24754</v>
      </c>
      <c r="B5625">
        <v>-21.295000000000002</v>
      </c>
      <c r="C5625">
        <v>-179.06299999999999</v>
      </c>
      <c r="D5625" t="s">
        <v>14</v>
      </c>
      <c r="E5625" t="s">
        <v>53</v>
      </c>
      <c r="F5625">
        <f t="shared" si="174"/>
        <v>1967</v>
      </c>
      <c r="G5625">
        <f t="shared" si="175"/>
        <v>10</v>
      </c>
      <c r="H5625" t="str">
        <f>IF(ISNUMBER(FIND(",", E5625)), TRIM(MID(E5625, FIND(",", E5625) + 1, LEN(E5625))), E5625)</f>
        <v>Fiji region</v>
      </c>
    </row>
    <row r="5626" spans="1:8" x14ac:dyDescent="0.25">
      <c r="A5626" s="2">
        <v>24735</v>
      </c>
      <c r="B5626">
        <v>-20.744</v>
      </c>
      <c r="C5626">
        <v>169.852</v>
      </c>
      <c r="D5626" t="s">
        <v>13</v>
      </c>
      <c r="E5626" t="s">
        <v>181</v>
      </c>
      <c r="F5626">
        <f t="shared" si="174"/>
        <v>1967</v>
      </c>
      <c r="G5626">
        <f t="shared" si="175"/>
        <v>9</v>
      </c>
      <c r="H5626" t="str">
        <f>IF(ISNUMBER(FIND(",", E5626)), TRIM(MID(E5626, FIND(",", E5626) + 1, LEN(E5626))), E5626)</f>
        <v>Vanuatu</v>
      </c>
    </row>
    <row r="5627" spans="1:8" x14ac:dyDescent="0.25">
      <c r="A5627" s="2">
        <v>24734</v>
      </c>
      <c r="B5627">
        <v>-57.789000000000001</v>
      </c>
      <c r="C5627">
        <v>-23.613</v>
      </c>
      <c r="D5627" t="s">
        <v>13</v>
      </c>
      <c r="E5627" t="s">
        <v>260</v>
      </c>
      <c r="F5627">
        <f t="shared" si="174"/>
        <v>1967</v>
      </c>
      <c r="G5627">
        <f t="shared" si="175"/>
        <v>9</v>
      </c>
      <c r="H5627" t="str">
        <f>IF(ISNUMBER(FIND(",", E5627)), TRIM(MID(E5627, FIND(",", E5627) + 1, LEN(E5627))), E5627)</f>
        <v>South Sandwich Islands region</v>
      </c>
    </row>
    <row r="5628" spans="1:8" x14ac:dyDescent="0.25">
      <c r="A5628" s="2">
        <v>24724</v>
      </c>
      <c r="B5628">
        <v>-27.661000000000001</v>
      </c>
      <c r="C5628">
        <v>-63.174999999999997</v>
      </c>
      <c r="D5628" t="s">
        <v>14</v>
      </c>
      <c r="E5628" t="s">
        <v>232</v>
      </c>
      <c r="F5628">
        <f t="shared" si="174"/>
        <v>1967</v>
      </c>
      <c r="G5628">
        <f t="shared" si="175"/>
        <v>9</v>
      </c>
      <c r="H5628" t="str">
        <f>IF(ISNUMBER(FIND(",", E5628)), TRIM(MID(E5628, FIND(",", E5628) + 1, LEN(E5628))), E5628)</f>
        <v>Argentina</v>
      </c>
    </row>
    <row r="5629" spans="1:8" x14ac:dyDescent="0.25">
      <c r="A5629" s="2">
        <v>24719</v>
      </c>
      <c r="B5629">
        <v>-31.396999999999998</v>
      </c>
      <c r="C5629">
        <v>-179.333</v>
      </c>
      <c r="D5629" t="s">
        <v>13</v>
      </c>
      <c r="E5629" t="s">
        <v>240</v>
      </c>
      <c r="F5629">
        <f t="shared" si="174"/>
        <v>1967</v>
      </c>
      <c r="G5629">
        <f t="shared" si="175"/>
        <v>9</v>
      </c>
      <c r="H5629" t="str">
        <f>IF(ISNUMBER(FIND(",", E5629)), TRIM(MID(E5629, FIND(",", E5629) + 1, LEN(E5629))), E5629)</f>
        <v>Kermadec Islands region</v>
      </c>
    </row>
    <row r="5630" spans="1:8" x14ac:dyDescent="0.25">
      <c r="A5630" s="2">
        <v>24718</v>
      </c>
      <c r="B5630">
        <v>-10.603</v>
      </c>
      <c r="C5630">
        <v>-79.692999999999998</v>
      </c>
      <c r="D5630" t="s">
        <v>14</v>
      </c>
      <c r="E5630" t="s">
        <v>671</v>
      </c>
      <c r="F5630">
        <f t="shared" si="174"/>
        <v>1967</v>
      </c>
      <c r="G5630">
        <f t="shared" si="175"/>
        <v>9</v>
      </c>
      <c r="H5630" t="str">
        <f>IF(ISNUMBER(FIND(",", E5630)), TRIM(MID(E5630, FIND(",", E5630) + 1, LEN(E5630))), E5630)</f>
        <v>off the coast of central Peru</v>
      </c>
    </row>
    <row r="5631" spans="1:8" x14ac:dyDescent="0.25">
      <c r="A5631" s="2">
        <v>24714</v>
      </c>
      <c r="B5631">
        <v>31.63</v>
      </c>
      <c r="C5631">
        <v>100.232</v>
      </c>
      <c r="D5631" t="s">
        <v>17</v>
      </c>
      <c r="E5631" t="s">
        <v>578</v>
      </c>
      <c r="F5631">
        <f t="shared" si="174"/>
        <v>1967</v>
      </c>
      <c r="G5631">
        <f t="shared" si="175"/>
        <v>8</v>
      </c>
      <c r="H5631" t="str">
        <f>IF(ISNUMBER(FIND(",", E5631)), TRIM(MID(E5631, FIND(",", E5631) + 1, LEN(E5631))), E5631)</f>
        <v>China</v>
      </c>
    </row>
    <row r="5632" spans="1:8" x14ac:dyDescent="0.25">
      <c r="A5632" s="2">
        <v>24710</v>
      </c>
      <c r="B5632">
        <v>12.182</v>
      </c>
      <c r="C5632">
        <v>140.846</v>
      </c>
      <c r="D5632" t="s">
        <v>13</v>
      </c>
      <c r="E5632" t="s">
        <v>458</v>
      </c>
      <c r="F5632">
        <f t="shared" si="174"/>
        <v>1967</v>
      </c>
      <c r="G5632">
        <f t="shared" si="175"/>
        <v>8</v>
      </c>
      <c r="H5632" t="str">
        <f>IF(ISNUMBER(FIND(",", E5632)), TRIM(MID(E5632, FIND(",", E5632) + 1, LEN(E5632))), E5632)</f>
        <v>Federated States of Micronesia</v>
      </c>
    </row>
    <row r="5633" spans="1:8" x14ac:dyDescent="0.25">
      <c r="A5633" s="2">
        <v>24706</v>
      </c>
      <c r="B5633">
        <v>-60.82</v>
      </c>
      <c r="C5633">
        <v>-24.36</v>
      </c>
      <c r="D5633" t="s">
        <v>13</v>
      </c>
      <c r="E5633" t="s">
        <v>260</v>
      </c>
      <c r="F5633">
        <f t="shared" si="174"/>
        <v>1967</v>
      </c>
      <c r="G5633">
        <f t="shared" si="175"/>
        <v>8</v>
      </c>
      <c r="H5633" t="str">
        <f>IF(ISNUMBER(FIND(",", E5633)), TRIM(MID(E5633, FIND(",", E5633) + 1, LEN(E5633))), E5633)</f>
        <v>South Sandwich Islands region</v>
      </c>
    </row>
    <row r="5634" spans="1:8" x14ac:dyDescent="0.25">
      <c r="A5634" s="2">
        <v>24705</v>
      </c>
      <c r="B5634">
        <v>3.6960000000000002</v>
      </c>
      <c r="C5634">
        <v>95.682000000000002</v>
      </c>
      <c r="D5634" t="s">
        <v>13</v>
      </c>
      <c r="E5634" t="s">
        <v>245</v>
      </c>
      <c r="F5634">
        <f t="shared" ref="F5634:F5697" si="176">YEAR(A5634)</f>
        <v>1967</v>
      </c>
      <c r="G5634">
        <f t="shared" si="175"/>
        <v>8</v>
      </c>
      <c r="H5634" t="str">
        <f>IF(ISNUMBER(FIND(",", E5634)), TRIM(MID(E5634, FIND(",", E5634) + 1, LEN(E5634))), E5634)</f>
        <v>off the west coast of northern Sumatra</v>
      </c>
    </row>
    <row r="5635" spans="1:8" x14ac:dyDescent="0.25">
      <c r="A5635" s="2">
        <v>24703</v>
      </c>
      <c r="B5635">
        <v>10.358000000000001</v>
      </c>
      <c r="C5635">
        <v>125.82899999999999</v>
      </c>
      <c r="D5635" t="s">
        <v>13</v>
      </c>
      <c r="E5635" t="s">
        <v>545</v>
      </c>
      <c r="F5635">
        <f t="shared" si="176"/>
        <v>1967</v>
      </c>
      <c r="G5635">
        <f t="shared" ref="G5635:G5698" si="177">MONTH(A5635)</f>
        <v>8</v>
      </c>
      <c r="H5635" t="str">
        <f>IF(ISNUMBER(FIND(",", E5635)), TRIM(MID(E5635, FIND(",", E5635) + 1, LEN(E5635))), E5635)</f>
        <v>Philippines</v>
      </c>
    </row>
    <row r="5636" spans="1:8" x14ac:dyDescent="0.25">
      <c r="A5636" s="2">
        <v>24697</v>
      </c>
      <c r="B5636">
        <v>35.384999999999998</v>
      </c>
      <c r="C5636">
        <v>135.44900000000001</v>
      </c>
      <c r="D5636" t="s">
        <v>14</v>
      </c>
      <c r="E5636" t="s">
        <v>502</v>
      </c>
      <c r="F5636">
        <f t="shared" si="176"/>
        <v>1967</v>
      </c>
      <c r="G5636">
        <f t="shared" si="177"/>
        <v>8</v>
      </c>
      <c r="H5636" t="str">
        <f>IF(ISNUMBER(FIND(",", E5636)), TRIM(MID(E5636, FIND(",", E5636) + 1, LEN(E5636))), E5636)</f>
        <v>Japan</v>
      </c>
    </row>
    <row r="5637" spans="1:8" x14ac:dyDescent="0.25">
      <c r="A5637" s="2">
        <v>24696</v>
      </c>
      <c r="B5637">
        <v>-24.762</v>
      </c>
      <c r="C5637">
        <v>-177.291</v>
      </c>
      <c r="D5637" t="s">
        <v>13</v>
      </c>
      <c r="E5637" t="s">
        <v>256</v>
      </c>
      <c r="F5637">
        <f t="shared" si="176"/>
        <v>1967</v>
      </c>
      <c r="G5637">
        <f t="shared" si="177"/>
        <v>8</v>
      </c>
      <c r="H5637" t="str">
        <f>IF(ISNUMBER(FIND(",", E5637)), TRIM(MID(E5637, FIND(",", E5637) + 1, LEN(E5637))), E5637)</f>
        <v>south of the Fiji Islands</v>
      </c>
    </row>
    <row r="5638" spans="1:8" x14ac:dyDescent="0.25">
      <c r="A5638" s="2">
        <v>24675</v>
      </c>
      <c r="B5638">
        <v>40.628999999999998</v>
      </c>
      <c r="C5638">
        <v>30.74</v>
      </c>
      <c r="D5638" t="s">
        <v>16</v>
      </c>
      <c r="E5638" t="s">
        <v>494</v>
      </c>
      <c r="F5638">
        <f t="shared" si="176"/>
        <v>1967</v>
      </c>
      <c r="G5638">
        <f t="shared" si="177"/>
        <v>7</v>
      </c>
      <c r="H5638" t="str">
        <f>IF(ISNUMBER(FIND(",", E5638)), TRIM(MID(E5638, FIND(",", E5638) + 1, LEN(E5638))), E5638)</f>
        <v>western Turkey</v>
      </c>
    </row>
    <row r="5639" spans="1:8" x14ac:dyDescent="0.25">
      <c r="A5639" s="2">
        <v>24654</v>
      </c>
      <c r="B5639">
        <v>54.313000000000002</v>
      </c>
      <c r="C5639">
        <v>-157.999</v>
      </c>
      <c r="D5639" t="s">
        <v>13</v>
      </c>
      <c r="E5639" t="s">
        <v>493</v>
      </c>
      <c r="F5639">
        <f t="shared" si="176"/>
        <v>1967</v>
      </c>
      <c r="G5639">
        <f t="shared" si="177"/>
        <v>7</v>
      </c>
      <c r="H5639" t="str">
        <f>IF(ISNUMBER(FIND(",", E5639)), TRIM(MID(E5639, FIND(",", E5639) + 1, LEN(E5639))), E5639)</f>
        <v>south of Alaska</v>
      </c>
    </row>
    <row r="5640" spans="1:8" x14ac:dyDescent="0.25">
      <c r="A5640" s="2">
        <v>24619</v>
      </c>
      <c r="B5640">
        <v>51.844999999999999</v>
      </c>
      <c r="C5640">
        <v>176.119</v>
      </c>
      <c r="D5640" t="s">
        <v>17</v>
      </c>
      <c r="E5640" t="s">
        <v>366</v>
      </c>
      <c r="F5640">
        <f t="shared" si="176"/>
        <v>1967</v>
      </c>
      <c r="G5640">
        <f t="shared" si="177"/>
        <v>5</v>
      </c>
      <c r="H5640" t="str">
        <f>IF(ISNUMBER(FIND(",", E5640)), TRIM(MID(E5640, FIND(",", E5640) + 1, LEN(E5640))), E5640)</f>
        <v>Aleutian Islands, Alaska</v>
      </c>
    </row>
    <row r="5641" spans="1:8" x14ac:dyDescent="0.25">
      <c r="A5641" s="2">
        <v>24613</v>
      </c>
      <c r="B5641">
        <v>-1.0049999999999999</v>
      </c>
      <c r="C5641">
        <v>101.303</v>
      </c>
      <c r="D5641" t="s">
        <v>13</v>
      </c>
      <c r="E5641" t="s">
        <v>308</v>
      </c>
      <c r="F5641">
        <f t="shared" si="176"/>
        <v>1967</v>
      </c>
      <c r="G5641">
        <f t="shared" si="177"/>
        <v>5</v>
      </c>
      <c r="H5641" t="str">
        <f>IF(ISNUMBER(FIND(",", E5641)), TRIM(MID(E5641, FIND(",", E5641) + 1, LEN(E5641))), E5641)</f>
        <v>Indonesia</v>
      </c>
    </row>
    <row r="5642" spans="1:8" x14ac:dyDescent="0.25">
      <c r="A5642" s="2">
        <v>24591</v>
      </c>
      <c r="B5642">
        <v>51.387</v>
      </c>
      <c r="C5642">
        <v>-178.33199999999999</v>
      </c>
      <c r="D5642" t="s">
        <v>13</v>
      </c>
      <c r="E5642" t="s">
        <v>207</v>
      </c>
      <c r="F5642">
        <f t="shared" si="176"/>
        <v>1967</v>
      </c>
      <c r="G5642">
        <f t="shared" si="177"/>
        <v>4</v>
      </c>
      <c r="H5642" t="str">
        <f>IF(ISNUMBER(FIND(",", E5642)), TRIM(MID(E5642, FIND(",", E5642) + 1, LEN(E5642))), E5642)</f>
        <v>Aleutian Islands, Alaska</v>
      </c>
    </row>
    <row r="5643" spans="1:8" x14ac:dyDescent="0.25">
      <c r="A5643" s="2">
        <v>24583</v>
      </c>
      <c r="B5643">
        <v>-5.56</v>
      </c>
      <c r="C5643">
        <v>126.684</v>
      </c>
      <c r="D5643" t="s">
        <v>17</v>
      </c>
      <c r="E5643" t="s">
        <v>187</v>
      </c>
      <c r="F5643">
        <f t="shared" si="176"/>
        <v>1967</v>
      </c>
      <c r="G5643">
        <f t="shared" si="177"/>
        <v>4</v>
      </c>
      <c r="H5643" t="str">
        <f>IF(ISNUMBER(FIND(",", E5643)), TRIM(MID(E5643, FIND(",", E5643) + 1, LEN(E5643))), E5643)</f>
        <v>Banda Sea</v>
      </c>
    </row>
    <row r="5644" spans="1:8" x14ac:dyDescent="0.25">
      <c r="A5644" s="2">
        <v>24574</v>
      </c>
      <c r="B5644">
        <v>5.0839999999999996</v>
      </c>
      <c r="C5644">
        <v>96.233000000000004</v>
      </c>
      <c r="D5644" t="s">
        <v>13</v>
      </c>
      <c r="E5644" t="s">
        <v>226</v>
      </c>
      <c r="F5644">
        <f t="shared" si="176"/>
        <v>1967</v>
      </c>
      <c r="G5644">
        <f t="shared" si="177"/>
        <v>4</v>
      </c>
      <c r="H5644" t="str">
        <f>IF(ISNUMBER(FIND(",", E5644)), TRIM(MID(E5644, FIND(",", E5644) + 1, LEN(E5644))), E5644)</f>
        <v>Indonesia</v>
      </c>
    </row>
    <row r="5645" spans="1:8" x14ac:dyDescent="0.25">
      <c r="A5645" s="2">
        <v>24572</v>
      </c>
      <c r="B5645">
        <v>-7.2560000000000002</v>
      </c>
      <c r="C5645">
        <v>155.85599999999999</v>
      </c>
      <c r="D5645" t="s">
        <v>17</v>
      </c>
      <c r="E5645" t="s">
        <v>221</v>
      </c>
      <c r="F5645">
        <f t="shared" si="176"/>
        <v>1967</v>
      </c>
      <c r="G5645">
        <f t="shared" si="177"/>
        <v>4</v>
      </c>
      <c r="H5645" t="str">
        <f>IF(ISNUMBER(FIND(",", E5645)), TRIM(MID(E5645, FIND(",", E5645) + 1, LEN(E5645))), E5645)</f>
        <v>Solomon Islands</v>
      </c>
    </row>
    <row r="5646" spans="1:8" x14ac:dyDescent="0.25">
      <c r="A5646" s="2">
        <v>24561</v>
      </c>
      <c r="B5646">
        <v>-11.141999999999999</v>
      </c>
      <c r="C5646">
        <v>115.30800000000001</v>
      </c>
      <c r="D5646" t="s">
        <v>13</v>
      </c>
      <c r="E5646" t="s">
        <v>274</v>
      </c>
      <c r="F5646">
        <f t="shared" si="176"/>
        <v>1967</v>
      </c>
      <c r="G5646">
        <f t="shared" si="177"/>
        <v>3</v>
      </c>
      <c r="H5646" t="str">
        <f>IF(ISNUMBER(FIND(",", E5646)), TRIM(MID(E5646, FIND(",", E5646) + 1, LEN(E5646))), E5646)</f>
        <v>Indonesia</v>
      </c>
    </row>
    <row r="5647" spans="1:8" x14ac:dyDescent="0.25">
      <c r="A5647" s="2">
        <v>24558</v>
      </c>
      <c r="B5647">
        <v>-16.387</v>
      </c>
      <c r="C5647">
        <v>168.19</v>
      </c>
      <c r="D5647" t="s">
        <v>17</v>
      </c>
      <c r="E5647" t="s">
        <v>181</v>
      </c>
      <c r="F5647">
        <f t="shared" si="176"/>
        <v>1967</v>
      </c>
      <c r="G5647">
        <f t="shared" si="177"/>
        <v>3</v>
      </c>
      <c r="H5647" t="str">
        <f>IF(ISNUMBER(FIND(",", E5647)), TRIM(MID(E5647, FIND(",", E5647) + 1, LEN(E5647))), E5647)</f>
        <v>Vanuatu</v>
      </c>
    </row>
    <row r="5648" spans="1:8" x14ac:dyDescent="0.25">
      <c r="A5648" s="2">
        <v>24555</v>
      </c>
      <c r="B5648">
        <v>-6.0330000000000004</v>
      </c>
      <c r="C5648">
        <v>112.282</v>
      </c>
      <c r="D5648" t="s">
        <v>14</v>
      </c>
      <c r="E5648" t="s">
        <v>358</v>
      </c>
      <c r="F5648">
        <f t="shared" si="176"/>
        <v>1967</v>
      </c>
      <c r="G5648">
        <f t="shared" si="177"/>
        <v>3</v>
      </c>
      <c r="H5648" t="str">
        <f>IF(ISNUMBER(FIND(",", E5648)), TRIM(MID(E5648, FIND(",", E5648) + 1, LEN(E5648))), E5648)</f>
        <v>Indonesia</v>
      </c>
    </row>
    <row r="5649" spans="1:8" x14ac:dyDescent="0.25">
      <c r="A5649" s="2">
        <v>24550</v>
      </c>
      <c r="B5649">
        <v>45.625999999999998</v>
      </c>
      <c r="C5649">
        <v>151.19900000000001</v>
      </c>
      <c r="D5649" t="s">
        <v>17</v>
      </c>
      <c r="E5649" t="s">
        <v>191</v>
      </c>
      <c r="F5649">
        <f t="shared" si="176"/>
        <v>1967</v>
      </c>
      <c r="G5649">
        <f t="shared" si="177"/>
        <v>3</v>
      </c>
      <c r="H5649" t="str">
        <f>IF(ISNUMBER(FIND(",", E5649)), TRIM(MID(E5649, FIND(",", E5649) + 1, LEN(E5649))), E5649)</f>
        <v>Kuril Islands</v>
      </c>
    </row>
    <row r="5650" spans="1:8" x14ac:dyDescent="0.25">
      <c r="A5650" s="2">
        <v>24548</v>
      </c>
      <c r="B5650">
        <v>-3.5550000000000002</v>
      </c>
      <c r="C5650">
        <v>150.90899999999999</v>
      </c>
      <c r="D5650" t="s">
        <v>17</v>
      </c>
      <c r="E5650" t="s">
        <v>183</v>
      </c>
      <c r="F5650">
        <f t="shared" si="176"/>
        <v>1967</v>
      </c>
      <c r="G5650">
        <f t="shared" si="177"/>
        <v>3</v>
      </c>
      <c r="H5650" t="str">
        <f>IF(ISNUMBER(FIND(",", E5650)), TRIM(MID(E5650, FIND(",", E5650) + 1, LEN(E5650))), E5650)</f>
        <v>Papua New Guinea</v>
      </c>
    </row>
    <row r="5651" spans="1:8" x14ac:dyDescent="0.25">
      <c r="A5651" s="2">
        <v>24544</v>
      </c>
      <c r="B5651">
        <v>-40.192</v>
      </c>
      <c r="C5651">
        <v>-74.84</v>
      </c>
      <c r="D5651" t="s">
        <v>17</v>
      </c>
      <c r="E5651" t="s">
        <v>522</v>
      </c>
      <c r="F5651">
        <f t="shared" si="176"/>
        <v>1967</v>
      </c>
      <c r="G5651">
        <f t="shared" si="177"/>
        <v>3</v>
      </c>
      <c r="H5651" t="str">
        <f>IF(ISNUMBER(FIND(",", E5651)), TRIM(MID(E5651, FIND(",", E5651) + 1, LEN(E5651))), E5651)</f>
        <v>Chile</v>
      </c>
    </row>
    <row r="5652" spans="1:8" x14ac:dyDescent="0.25">
      <c r="A5652" s="2">
        <v>24542</v>
      </c>
      <c r="B5652">
        <v>-10.773</v>
      </c>
      <c r="C5652">
        <v>166.34299999999999</v>
      </c>
      <c r="D5652" t="s">
        <v>17</v>
      </c>
      <c r="E5652" t="s">
        <v>211</v>
      </c>
      <c r="F5652">
        <f t="shared" si="176"/>
        <v>1967</v>
      </c>
      <c r="G5652">
        <f t="shared" si="177"/>
        <v>3</v>
      </c>
      <c r="H5652" t="str">
        <f>IF(ISNUMBER(FIND(",", E5652)), TRIM(MID(E5652, FIND(",", E5652) + 1, LEN(E5652))), E5652)</f>
        <v>Santa Cruz Islands</v>
      </c>
    </row>
    <row r="5653" spans="1:8" x14ac:dyDescent="0.25">
      <c r="A5653" s="2">
        <v>24540</v>
      </c>
      <c r="B5653">
        <v>-10.743</v>
      </c>
      <c r="C5653">
        <v>166.501</v>
      </c>
      <c r="D5653" t="s">
        <v>17</v>
      </c>
      <c r="E5653" t="s">
        <v>211</v>
      </c>
      <c r="F5653">
        <f t="shared" si="176"/>
        <v>1967</v>
      </c>
      <c r="G5653">
        <f t="shared" si="177"/>
        <v>3</v>
      </c>
      <c r="H5653" t="str">
        <f>IF(ISNUMBER(FIND(",", E5653)), TRIM(MID(E5653, FIND(",", E5653) + 1, LEN(E5653))), E5653)</f>
        <v>Santa Cruz Islands</v>
      </c>
    </row>
    <row r="5654" spans="1:8" x14ac:dyDescent="0.25">
      <c r="A5654" s="2">
        <v>24540</v>
      </c>
      <c r="B5654">
        <v>-10.557</v>
      </c>
      <c r="C5654">
        <v>166.398</v>
      </c>
      <c r="D5654" t="s">
        <v>17</v>
      </c>
      <c r="E5654" t="s">
        <v>211</v>
      </c>
      <c r="F5654">
        <f t="shared" si="176"/>
        <v>1967</v>
      </c>
      <c r="G5654">
        <f t="shared" si="177"/>
        <v>3</v>
      </c>
      <c r="H5654" t="str">
        <f>IF(ISNUMBER(FIND(",", E5654)), TRIM(MID(E5654, FIND(",", E5654) + 1, LEN(E5654))), E5654)</f>
        <v>Santa Cruz Islands</v>
      </c>
    </row>
    <row r="5655" spans="1:8" x14ac:dyDescent="0.25">
      <c r="A5655" s="2">
        <v>24535</v>
      </c>
      <c r="B5655">
        <v>39.097000000000001</v>
      </c>
      <c r="C5655">
        <v>24.623999999999999</v>
      </c>
      <c r="D5655" t="s">
        <v>17</v>
      </c>
      <c r="E5655" t="s">
        <v>498</v>
      </c>
      <c r="F5655">
        <f t="shared" si="176"/>
        <v>1967</v>
      </c>
      <c r="G5655">
        <f t="shared" si="177"/>
        <v>3</v>
      </c>
      <c r="H5655" t="str">
        <f>IF(ISNUMBER(FIND(",", E5655)), TRIM(MID(E5655, FIND(",", E5655) + 1, LEN(E5655))), E5655)</f>
        <v>Aegean Sea</v>
      </c>
    </row>
    <row r="5656" spans="1:8" x14ac:dyDescent="0.25">
      <c r="A5656" s="2">
        <v>24520</v>
      </c>
      <c r="B5656">
        <v>-23.794</v>
      </c>
      <c r="C5656">
        <v>-175.07400000000001</v>
      </c>
      <c r="D5656" t="s">
        <v>17</v>
      </c>
      <c r="E5656" t="s">
        <v>304</v>
      </c>
      <c r="F5656">
        <f t="shared" si="176"/>
        <v>1967</v>
      </c>
      <c r="G5656">
        <f t="shared" si="177"/>
        <v>2</v>
      </c>
      <c r="H5656" t="str">
        <f>IF(ISNUMBER(FIND(",", E5656)), TRIM(MID(E5656, FIND(",", E5656) + 1, LEN(E5656))), E5656)</f>
        <v>Tonga region</v>
      </c>
    </row>
    <row r="5657" spans="1:8" x14ac:dyDescent="0.25">
      <c r="A5657" s="2">
        <v>24518</v>
      </c>
      <c r="B5657">
        <v>-9.1199999999999992</v>
      </c>
      <c r="C5657">
        <v>-71.325999999999993</v>
      </c>
      <c r="D5657" t="s">
        <v>14</v>
      </c>
      <c r="E5657" t="s">
        <v>557</v>
      </c>
      <c r="F5657">
        <f t="shared" si="176"/>
        <v>1967</v>
      </c>
      <c r="G5657">
        <f t="shared" si="177"/>
        <v>2</v>
      </c>
      <c r="H5657" t="str">
        <f>IF(ISNUMBER(FIND(",", E5657)), TRIM(MID(E5657, FIND(",", E5657) + 1, LEN(E5657))), E5657)</f>
        <v>Peru-Brazil border region</v>
      </c>
    </row>
    <row r="5658" spans="1:8" x14ac:dyDescent="0.25">
      <c r="A5658" s="2">
        <v>24516</v>
      </c>
      <c r="B5658">
        <v>52.786000000000001</v>
      </c>
      <c r="C5658">
        <v>-34.243000000000002</v>
      </c>
      <c r="D5658" t="s">
        <v>17</v>
      </c>
      <c r="E5658" t="s">
        <v>529</v>
      </c>
      <c r="F5658">
        <f t="shared" si="176"/>
        <v>1967</v>
      </c>
      <c r="G5658">
        <f t="shared" si="177"/>
        <v>2</v>
      </c>
      <c r="H5658" t="str">
        <f>IF(ISNUMBER(FIND(",", E5658)), TRIM(MID(E5658, FIND(",", E5658) + 1, LEN(E5658))), E5658)</f>
        <v>Reykjanes Ridge</v>
      </c>
    </row>
    <row r="5659" spans="1:8" x14ac:dyDescent="0.25">
      <c r="A5659" s="2">
        <v>24512</v>
      </c>
      <c r="B5659">
        <v>2.89</v>
      </c>
      <c r="C5659">
        <v>-74.801000000000002</v>
      </c>
      <c r="D5659" t="s">
        <v>16</v>
      </c>
      <c r="E5659" t="s">
        <v>206</v>
      </c>
      <c r="F5659">
        <f t="shared" si="176"/>
        <v>1967</v>
      </c>
      <c r="G5659">
        <f t="shared" si="177"/>
        <v>2</v>
      </c>
      <c r="H5659" t="str">
        <f>IF(ISNUMBER(FIND(",", E5659)), TRIM(MID(E5659, FIND(",", E5659) + 1, LEN(E5659))), E5659)</f>
        <v>Colombia</v>
      </c>
    </row>
    <row r="5660" spans="1:8" x14ac:dyDescent="0.25">
      <c r="A5660" s="2">
        <v>24500</v>
      </c>
      <c r="B5660">
        <v>52.317999999999998</v>
      </c>
      <c r="C5660">
        <v>-169.41399999999999</v>
      </c>
      <c r="D5660" t="s">
        <v>17</v>
      </c>
      <c r="E5660" t="s">
        <v>219</v>
      </c>
      <c r="F5660">
        <f t="shared" si="176"/>
        <v>1967</v>
      </c>
      <c r="G5660">
        <f t="shared" si="177"/>
        <v>1</v>
      </c>
      <c r="H5660" t="str">
        <f>IF(ISNUMBER(FIND(",", E5660)), TRIM(MID(E5660, FIND(",", E5660) + 1, LEN(E5660))), E5660)</f>
        <v>Aleutian Islands, Alaska</v>
      </c>
    </row>
    <row r="5661" spans="1:8" x14ac:dyDescent="0.25">
      <c r="A5661" s="2">
        <v>24500</v>
      </c>
      <c r="B5661">
        <v>52.317999999999998</v>
      </c>
      <c r="C5661">
        <v>-169.60599999999999</v>
      </c>
      <c r="D5661" t="s">
        <v>17</v>
      </c>
      <c r="E5661" t="s">
        <v>219</v>
      </c>
      <c r="F5661">
        <f t="shared" si="176"/>
        <v>1967</v>
      </c>
      <c r="G5661">
        <f t="shared" si="177"/>
        <v>1</v>
      </c>
      <c r="H5661" t="str">
        <f>IF(ISNUMBER(FIND(",", E5661)), TRIM(MID(E5661, FIND(",", E5661) + 1, LEN(E5661))), E5661)</f>
        <v>Aleutian Islands, Alaska</v>
      </c>
    </row>
    <row r="5662" spans="1:8" x14ac:dyDescent="0.25">
      <c r="A5662" s="2">
        <v>24493</v>
      </c>
      <c r="B5662">
        <v>-49.723999999999997</v>
      </c>
      <c r="C5662">
        <v>-114.90600000000001</v>
      </c>
      <c r="D5662" t="s">
        <v>17</v>
      </c>
      <c r="E5662" t="s">
        <v>268</v>
      </c>
      <c r="F5662">
        <f t="shared" si="176"/>
        <v>1967</v>
      </c>
      <c r="G5662">
        <f t="shared" si="177"/>
        <v>1</v>
      </c>
      <c r="H5662" t="str">
        <f>IF(ISNUMBER(FIND(",", E5662)), TRIM(MID(E5662, FIND(",", E5662) + 1, LEN(E5662))), E5662)</f>
        <v>southern East Pacific Rise</v>
      </c>
    </row>
    <row r="5663" spans="1:8" x14ac:dyDescent="0.25">
      <c r="A5663" s="2">
        <v>24492</v>
      </c>
      <c r="B5663">
        <v>48.073</v>
      </c>
      <c r="C5663">
        <v>103.057</v>
      </c>
      <c r="D5663" t="s">
        <v>17</v>
      </c>
      <c r="E5663" t="s">
        <v>672</v>
      </c>
      <c r="F5663">
        <f t="shared" si="176"/>
        <v>1967</v>
      </c>
      <c r="G5663">
        <f t="shared" si="177"/>
        <v>1</v>
      </c>
      <c r="H5663" t="str">
        <f>IF(ISNUMBER(FIND(",", E5663)), TRIM(MID(E5663, FIND(",", E5663) + 1, LEN(E5663))), E5663)</f>
        <v>central Mongolia</v>
      </c>
    </row>
    <row r="5664" spans="1:8" x14ac:dyDescent="0.25">
      <c r="A5664" s="2">
        <v>24491</v>
      </c>
      <c r="B5664">
        <v>-14.795999999999999</v>
      </c>
      <c r="C5664">
        <v>-178.73699999999999</v>
      </c>
      <c r="D5664" t="s">
        <v>14</v>
      </c>
      <c r="E5664" t="s">
        <v>53</v>
      </c>
      <c r="F5664">
        <f t="shared" si="176"/>
        <v>1967</v>
      </c>
      <c r="G5664">
        <f t="shared" si="177"/>
        <v>1</v>
      </c>
      <c r="H5664" t="str">
        <f>IF(ISNUMBER(FIND(",", E5664)), TRIM(MID(E5664, FIND(",", E5664) + 1, LEN(E5664))), E5664)</f>
        <v>Fiji region</v>
      </c>
    </row>
    <row r="5665" spans="1:8" x14ac:dyDescent="0.25">
      <c r="A5665" s="2">
        <v>24490</v>
      </c>
      <c r="B5665">
        <v>52.472999999999999</v>
      </c>
      <c r="C5665">
        <v>-168.298</v>
      </c>
      <c r="D5665" t="s">
        <v>17</v>
      </c>
      <c r="E5665" t="s">
        <v>219</v>
      </c>
      <c r="F5665">
        <f t="shared" si="176"/>
        <v>1967</v>
      </c>
      <c r="G5665">
        <f t="shared" si="177"/>
        <v>1</v>
      </c>
      <c r="H5665" t="str">
        <f>IF(ISNUMBER(FIND(",", E5665)), TRIM(MID(E5665, FIND(",", E5665) + 1, LEN(E5665))), E5665)</f>
        <v>Aleutian Islands, Alaska</v>
      </c>
    </row>
    <row r="5666" spans="1:8" x14ac:dyDescent="0.25">
      <c r="A5666" s="2">
        <v>24490</v>
      </c>
      <c r="B5666">
        <v>56.652000000000001</v>
      </c>
      <c r="C5666">
        <v>121.002</v>
      </c>
      <c r="D5666" t="s">
        <v>17</v>
      </c>
      <c r="E5666" t="s">
        <v>273</v>
      </c>
      <c r="F5666">
        <f t="shared" si="176"/>
        <v>1967</v>
      </c>
      <c r="G5666">
        <f t="shared" si="177"/>
        <v>1</v>
      </c>
      <c r="H5666" t="str">
        <f>IF(ISNUMBER(FIND(",", E5666)), TRIM(MID(E5666, FIND(",", E5666) + 1, LEN(E5666))), E5666)</f>
        <v>Russia</v>
      </c>
    </row>
    <row r="5667" spans="1:8" x14ac:dyDescent="0.25">
      <c r="A5667" s="2">
        <v>24489</v>
      </c>
      <c r="B5667">
        <v>38.308</v>
      </c>
      <c r="C5667">
        <v>142.16300000000001</v>
      </c>
      <c r="D5667" t="s">
        <v>17</v>
      </c>
      <c r="E5667" t="s">
        <v>227</v>
      </c>
      <c r="F5667">
        <f t="shared" si="176"/>
        <v>1967</v>
      </c>
      <c r="G5667">
        <f t="shared" si="177"/>
        <v>1</v>
      </c>
      <c r="H5667" t="str">
        <f>IF(ISNUMBER(FIND(",", E5667)), TRIM(MID(E5667, FIND(",", E5667) + 1, LEN(E5667))), E5667)</f>
        <v>Japan</v>
      </c>
    </row>
    <row r="5668" spans="1:8" x14ac:dyDescent="0.25">
      <c r="A5668" s="2">
        <v>24489</v>
      </c>
      <c r="B5668">
        <v>-27.381</v>
      </c>
      <c r="C5668">
        <v>-63.264000000000003</v>
      </c>
      <c r="D5668" t="s">
        <v>14</v>
      </c>
      <c r="E5668" t="s">
        <v>232</v>
      </c>
      <c r="F5668">
        <f t="shared" si="176"/>
        <v>1967</v>
      </c>
      <c r="G5668">
        <f t="shared" si="177"/>
        <v>1</v>
      </c>
      <c r="H5668" t="str">
        <f>IF(ISNUMBER(FIND(",", E5668)), TRIM(MID(E5668, FIND(",", E5668) + 1, LEN(E5668))), E5668)</f>
        <v>Argentina</v>
      </c>
    </row>
    <row r="5669" spans="1:8" x14ac:dyDescent="0.25">
      <c r="A5669" s="2">
        <v>24488</v>
      </c>
      <c r="B5669">
        <v>-11.26</v>
      </c>
      <c r="C5669">
        <v>165.82499999999999</v>
      </c>
      <c r="D5669" t="s">
        <v>17</v>
      </c>
      <c r="E5669" t="s">
        <v>211</v>
      </c>
      <c r="F5669">
        <f t="shared" si="176"/>
        <v>1967</v>
      </c>
      <c r="G5669">
        <f t="shared" si="177"/>
        <v>1</v>
      </c>
      <c r="H5669" t="str">
        <f>IF(ISNUMBER(FIND(",", E5669)), TRIM(MID(E5669, FIND(",", E5669) + 1, LEN(E5669))), E5669)</f>
        <v>Santa Cruz Islands</v>
      </c>
    </row>
    <row r="5670" spans="1:8" x14ac:dyDescent="0.25">
      <c r="A5670" s="2">
        <v>24485</v>
      </c>
      <c r="B5670">
        <v>-10.568</v>
      </c>
      <c r="C5670">
        <v>161.37</v>
      </c>
      <c r="D5670" t="s">
        <v>17</v>
      </c>
      <c r="E5670" t="s">
        <v>221</v>
      </c>
      <c r="F5670">
        <f t="shared" si="176"/>
        <v>1967</v>
      </c>
      <c r="G5670">
        <f t="shared" si="177"/>
        <v>1</v>
      </c>
      <c r="H5670" t="str">
        <f>IF(ISNUMBER(FIND(",", E5670)), TRIM(MID(E5670, FIND(",", E5670) + 1, LEN(E5670))), E5670)</f>
        <v>Solomon Islands</v>
      </c>
    </row>
    <row r="5671" spans="1:8" x14ac:dyDescent="0.25">
      <c r="A5671" s="2">
        <v>24477</v>
      </c>
      <c r="B5671">
        <v>48.201000000000001</v>
      </c>
      <c r="C5671">
        <v>102.92100000000001</v>
      </c>
      <c r="D5671" t="s">
        <v>16</v>
      </c>
      <c r="E5671" t="s">
        <v>672</v>
      </c>
      <c r="F5671">
        <f t="shared" si="176"/>
        <v>1967</v>
      </c>
      <c r="G5671">
        <f t="shared" si="177"/>
        <v>1</v>
      </c>
      <c r="H5671" t="str">
        <f>IF(ISNUMBER(FIND(",", E5671)), TRIM(MID(E5671, FIND(",", E5671) + 1, LEN(E5671))), E5671)</f>
        <v>central Mongolia</v>
      </c>
    </row>
    <row r="5672" spans="1:8" x14ac:dyDescent="0.25">
      <c r="A5672" s="2">
        <v>24475</v>
      </c>
      <c r="B5672">
        <v>-10.926</v>
      </c>
      <c r="C5672">
        <v>165.661</v>
      </c>
      <c r="D5672" t="s">
        <v>17</v>
      </c>
      <c r="E5672" t="s">
        <v>211</v>
      </c>
      <c r="F5672">
        <f t="shared" si="176"/>
        <v>1967</v>
      </c>
      <c r="G5672">
        <f t="shared" si="177"/>
        <v>1</v>
      </c>
      <c r="H5672" t="str">
        <f>IF(ISNUMBER(FIND(",", E5672)), TRIM(MID(E5672, FIND(",", E5672) + 1, LEN(E5672))), E5672)</f>
        <v>Santa Cruz Islands</v>
      </c>
    </row>
    <row r="5673" spans="1:8" x14ac:dyDescent="0.25">
      <c r="A5673" s="2">
        <v>24474</v>
      </c>
      <c r="B5673">
        <v>-12.420999999999999</v>
      </c>
      <c r="C5673">
        <v>166.434</v>
      </c>
      <c r="D5673" t="s">
        <v>17</v>
      </c>
      <c r="E5673" t="s">
        <v>211</v>
      </c>
      <c r="F5673">
        <f t="shared" si="176"/>
        <v>1967</v>
      </c>
      <c r="G5673">
        <f t="shared" si="177"/>
        <v>1</v>
      </c>
      <c r="H5673" t="str">
        <f>IF(ISNUMBER(FIND(",", E5673)), TRIM(MID(E5673, FIND(",", E5673) + 1, LEN(E5673))), E5673)</f>
        <v>Santa Cruz Islands</v>
      </c>
    </row>
    <row r="5674" spans="1:8" x14ac:dyDescent="0.25">
      <c r="A5674" s="2">
        <v>24473</v>
      </c>
      <c r="B5674">
        <v>-11.036</v>
      </c>
      <c r="C5674">
        <v>165.589</v>
      </c>
      <c r="D5674" t="s">
        <v>17</v>
      </c>
      <c r="E5674" t="s">
        <v>211</v>
      </c>
      <c r="F5674">
        <f t="shared" si="176"/>
        <v>1967</v>
      </c>
      <c r="G5674">
        <f t="shared" si="177"/>
        <v>1</v>
      </c>
      <c r="H5674" t="str">
        <f>IF(ISNUMBER(FIND(",", E5674)), TRIM(MID(E5674, FIND(",", E5674) + 1, LEN(E5674))), E5674)</f>
        <v>Santa Cruz Islands</v>
      </c>
    </row>
    <row r="5675" spans="1:8" x14ac:dyDescent="0.25">
      <c r="A5675" s="2">
        <v>24473</v>
      </c>
      <c r="B5675">
        <v>-15.268000000000001</v>
      </c>
      <c r="C5675">
        <v>-173.55799999999999</v>
      </c>
      <c r="D5675" t="s">
        <v>17</v>
      </c>
      <c r="E5675" t="s">
        <v>239</v>
      </c>
      <c r="F5675">
        <f t="shared" si="176"/>
        <v>1967</v>
      </c>
      <c r="G5675">
        <f t="shared" si="177"/>
        <v>1</v>
      </c>
      <c r="H5675" t="str">
        <f>IF(ISNUMBER(FIND(",", E5675)), TRIM(MID(E5675, FIND(",", E5675) + 1, LEN(E5675))), E5675)</f>
        <v>Tonga</v>
      </c>
    </row>
    <row r="5676" spans="1:8" x14ac:dyDescent="0.25">
      <c r="A5676" s="2">
        <v>24473</v>
      </c>
      <c r="B5676">
        <v>-12.036</v>
      </c>
      <c r="C5676">
        <v>166.31</v>
      </c>
      <c r="D5676" t="s">
        <v>17</v>
      </c>
      <c r="E5676" t="s">
        <v>211</v>
      </c>
      <c r="F5676">
        <f t="shared" si="176"/>
        <v>1967</v>
      </c>
      <c r="G5676">
        <f t="shared" si="177"/>
        <v>1</v>
      </c>
      <c r="H5676" t="str">
        <f>IF(ISNUMBER(FIND(",", E5676)), TRIM(MID(E5676, FIND(",", E5676) + 1, LEN(E5676))), E5676)</f>
        <v>Santa Cruz Islands</v>
      </c>
    </row>
    <row r="5677" spans="1:8" x14ac:dyDescent="0.25">
      <c r="A5677" s="2">
        <v>24472</v>
      </c>
      <c r="B5677">
        <v>-12.334</v>
      </c>
      <c r="C5677">
        <v>166.68299999999999</v>
      </c>
      <c r="D5677" t="s">
        <v>16</v>
      </c>
      <c r="E5677" t="s">
        <v>211</v>
      </c>
      <c r="F5677">
        <f t="shared" si="176"/>
        <v>1966</v>
      </c>
      <c r="G5677">
        <f t="shared" si="177"/>
        <v>12</v>
      </c>
      <c r="H5677" t="str">
        <f>IF(ISNUMBER(FIND(",", E5677)), TRIM(MID(E5677, FIND(",", E5677) + 1, LEN(E5677))), E5677)</f>
        <v>Santa Cruz Islands</v>
      </c>
    </row>
    <row r="5678" spans="1:8" x14ac:dyDescent="0.25">
      <c r="A5678" s="2">
        <v>24472</v>
      </c>
      <c r="B5678">
        <v>-11.891999999999999</v>
      </c>
      <c r="C5678">
        <v>166.44300000000001</v>
      </c>
      <c r="D5678" t="s">
        <v>13</v>
      </c>
      <c r="E5678" t="s">
        <v>211</v>
      </c>
      <c r="F5678">
        <f t="shared" si="176"/>
        <v>1966</v>
      </c>
      <c r="G5678">
        <f t="shared" si="177"/>
        <v>12</v>
      </c>
      <c r="H5678" t="str">
        <f>IF(ISNUMBER(FIND(",", E5678)), TRIM(MID(E5678, FIND(",", E5678) + 1, LEN(E5678))), E5678)</f>
        <v>Santa Cruz Islands</v>
      </c>
    </row>
    <row r="5679" spans="1:8" x14ac:dyDescent="0.25">
      <c r="A5679" s="2">
        <v>24469</v>
      </c>
      <c r="B5679">
        <v>-25.501999999999999</v>
      </c>
      <c r="C5679">
        <v>-70.656000000000006</v>
      </c>
      <c r="D5679" t="s">
        <v>16</v>
      </c>
      <c r="E5679" t="s">
        <v>413</v>
      </c>
      <c r="F5679">
        <f t="shared" si="176"/>
        <v>1966</v>
      </c>
      <c r="G5679">
        <f t="shared" si="177"/>
        <v>12</v>
      </c>
      <c r="H5679" t="str">
        <f>IF(ISNUMBER(FIND(",", E5679)), TRIM(MID(E5679, FIND(",", E5679) + 1, LEN(E5679))), E5679)</f>
        <v>Chile</v>
      </c>
    </row>
    <row r="5680" spans="1:8" x14ac:dyDescent="0.25">
      <c r="A5680" s="2">
        <v>24464</v>
      </c>
      <c r="B5680">
        <v>-7.1589999999999998</v>
      </c>
      <c r="C5680">
        <v>148.36500000000001</v>
      </c>
      <c r="D5680" t="s">
        <v>13</v>
      </c>
      <c r="E5680" t="s">
        <v>243</v>
      </c>
      <c r="F5680">
        <f t="shared" si="176"/>
        <v>1966</v>
      </c>
      <c r="G5680">
        <f t="shared" si="177"/>
        <v>12</v>
      </c>
      <c r="H5680" t="str">
        <f>IF(ISNUMBER(FIND(",", E5680)), TRIM(MID(E5680, FIND(",", E5680) + 1, LEN(E5680))), E5680)</f>
        <v>Papua New Guinea</v>
      </c>
    </row>
    <row r="5681" spans="1:8" x14ac:dyDescent="0.25">
      <c r="A5681" s="2">
        <v>24461</v>
      </c>
      <c r="B5681">
        <v>-26.138000000000002</v>
      </c>
      <c r="C5681">
        <v>-63.16</v>
      </c>
      <c r="D5681" t="s">
        <v>14</v>
      </c>
      <c r="E5681" t="s">
        <v>232</v>
      </c>
      <c r="F5681">
        <f t="shared" si="176"/>
        <v>1966</v>
      </c>
      <c r="G5681">
        <f t="shared" si="177"/>
        <v>12</v>
      </c>
      <c r="H5681" t="str">
        <f>IF(ISNUMBER(FIND(",", E5681)), TRIM(MID(E5681, FIND(",", E5681) + 1, LEN(E5681))), E5681)</f>
        <v>Argentina</v>
      </c>
    </row>
    <row r="5682" spans="1:8" x14ac:dyDescent="0.25">
      <c r="A5682" s="2">
        <v>24442</v>
      </c>
      <c r="B5682">
        <v>-14.041</v>
      </c>
      <c r="C5682">
        <v>167.15100000000001</v>
      </c>
      <c r="D5682" t="s">
        <v>13</v>
      </c>
      <c r="E5682" t="s">
        <v>181</v>
      </c>
      <c r="F5682">
        <f t="shared" si="176"/>
        <v>1966</v>
      </c>
      <c r="G5682">
        <f t="shared" si="177"/>
        <v>12</v>
      </c>
      <c r="H5682" t="str">
        <f>IF(ISNUMBER(FIND(",", E5682)), TRIM(MID(E5682, FIND(",", E5682) + 1, LEN(E5682))), E5682)</f>
        <v>Vanuatu</v>
      </c>
    </row>
    <row r="5683" spans="1:8" x14ac:dyDescent="0.25">
      <c r="A5683" s="2">
        <v>24421</v>
      </c>
      <c r="B5683">
        <v>-31.945</v>
      </c>
      <c r="C5683">
        <v>-68.388999999999996</v>
      </c>
      <c r="D5683" t="s">
        <v>13</v>
      </c>
      <c r="E5683" t="s">
        <v>339</v>
      </c>
      <c r="F5683">
        <f t="shared" si="176"/>
        <v>1966</v>
      </c>
      <c r="G5683">
        <f t="shared" si="177"/>
        <v>11</v>
      </c>
      <c r="H5683" t="str">
        <f>IF(ISNUMBER(FIND(",", E5683)), TRIM(MID(E5683, FIND(",", E5683) + 1, LEN(E5683))), E5683)</f>
        <v>Argentina</v>
      </c>
    </row>
    <row r="5684" spans="1:8" x14ac:dyDescent="0.25">
      <c r="A5684" s="2">
        <v>24407</v>
      </c>
      <c r="B5684">
        <v>22.143000000000001</v>
      </c>
      <c r="C5684">
        <v>145.946</v>
      </c>
      <c r="D5684" t="s">
        <v>13</v>
      </c>
      <c r="E5684" t="s">
        <v>519</v>
      </c>
      <c r="F5684">
        <f t="shared" si="176"/>
        <v>1966</v>
      </c>
      <c r="G5684">
        <f t="shared" si="177"/>
        <v>10</v>
      </c>
      <c r="H5684" t="str">
        <f>IF(ISNUMBER(FIND(",", E5684)), TRIM(MID(E5684, FIND(",", E5684) + 1, LEN(E5684))), E5684)</f>
        <v>Japan region</v>
      </c>
    </row>
    <row r="5685" spans="1:8" x14ac:dyDescent="0.25">
      <c r="A5685" s="2">
        <v>24399</v>
      </c>
      <c r="B5685">
        <v>-1.583</v>
      </c>
      <c r="C5685">
        <v>-15.39</v>
      </c>
      <c r="D5685" t="s">
        <v>17</v>
      </c>
      <c r="E5685" t="s">
        <v>378</v>
      </c>
      <c r="F5685">
        <f t="shared" si="176"/>
        <v>1966</v>
      </c>
      <c r="G5685">
        <f t="shared" si="177"/>
        <v>10</v>
      </c>
      <c r="H5685" t="str">
        <f>IF(ISNUMBER(FIND(",", E5685)), TRIM(MID(E5685, FIND(",", E5685) + 1, LEN(E5685))), E5685)</f>
        <v>north of Ascension Island</v>
      </c>
    </row>
    <row r="5686" spans="1:8" x14ac:dyDescent="0.25">
      <c r="A5686" s="2">
        <v>24397</v>
      </c>
      <c r="B5686">
        <v>-10.798999999999999</v>
      </c>
      <c r="C5686">
        <v>-78.680000000000007</v>
      </c>
      <c r="D5686" t="s">
        <v>16</v>
      </c>
      <c r="E5686" t="s">
        <v>258</v>
      </c>
      <c r="F5686">
        <f t="shared" si="176"/>
        <v>1966</v>
      </c>
      <c r="G5686">
        <f t="shared" si="177"/>
        <v>10</v>
      </c>
      <c r="H5686" t="str">
        <f>IF(ISNUMBER(FIND(",", E5686)), TRIM(MID(E5686, FIND(",", E5686) + 1, LEN(E5686))), E5686)</f>
        <v>near the coast of central Peru</v>
      </c>
    </row>
    <row r="5687" spans="1:8" x14ac:dyDescent="0.25">
      <c r="A5687" s="2">
        <v>24387</v>
      </c>
      <c r="B5687">
        <v>-21.622</v>
      </c>
      <c r="C5687">
        <v>170.626</v>
      </c>
      <c r="D5687" t="s">
        <v>13</v>
      </c>
      <c r="E5687" t="s">
        <v>254</v>
      </c>
      <c r="F5687">
        <f t="shared" si="176"/>
        <v>1966</v>
      </c>
      <c r="G5687">
        <f t="shared" si="177"/>
        <v>10</v>
      </c>
      <c r="H5687" t="str">
        <f>IF(ISNUMBER(FIND(",", E5687)), TRIM(MID(E5687, FIND(",", E5687) + 1, LEN(E5687))), E5687)</f>
        <v>southeast of the Loyalty Islands</v>
      </c>
    </row>
    <row r="5688" spans="1:8" x14ac:dyDescent="0.25">
      <c r="A5688" s="2">
        <v>24362</v>
      </c>
      <c r="B5688">
        <v>39.387999999999998</v>
      </c>
      <c r="C5688">
        <v>-120.227</v>
      </c>
      <c r="D5688" t="s">
        <v>17</v>
      </c>
      <c r="E5688" t="s">
        <v>568</v>
      </c>
      <c r="F5688">
        <f t="shared" si="176"/>
        <v>1966</v>
      </c>
      <c r="G5688">
        <f t="shared" si="177"/>
        <v>9</v>
      </c>
      <c r="H5688" t="str">
        <f>IF(ISNUMBER(FIND(",", E5688)), TRIM(MID(E5688, FIND(",", E5688) + 1, LEN(E5688))), E5688)</f>
        <v>Northern California</v>
      </c>
    </row>
    <row r="5689" spans="1:8" x14ac:dyDescent="0.25">
      <c r="A5689" s="2">
        <v>24358</v>
      </c>
      <c r="B5689">
        <v>2.3530000000000002</v>
      </c>
      <c r="C5689">
        <v>128.38499999999999</v>
      </c>
      <c r="D5689" t="s">
        <v>13</v>
      </c>
      <c r="E5689" t="s">
        <v>311</v>
      </c>
      <c r="F5689">
        <f t="shared" si="176"/>
        <v>1966</v>
      </c>
      <c r="G5689">
        <f t="shared" si="177"/>
        <v>9</v>
      </c>
      <c r="H5689" t="str">
        <f>IF(ISNUMBER(FIND(",", E5689)), TRIM(MID(E5689, FIND(",", E5689) + 1, LEN(E5689))), E5689)</f>
        <v>Indonesia</v>
      </c>
    </row>
    <row r="5690" spans="1:8" x14ac:dyDescent="0.25">
      <c r="A5690" s="2">
        <v>24352</v>
      </c>
      <c r="B5690">
        <v>-4.6749999999999998</v>
      </c>
      <c r="C5690">
        <v>-106.18</v>
      </c>
      <c r="D5690" t="s">
        <v>17</v>
      </c>
      <c r="E5690" t="s">
        <v>381</v>
      </c>
      <c r="F5690">
        <f t="shared" si="176"/>
        <v>1966</v>
      </c>
      <c r="G5690">
        <f t="shared" si="177"/>
        <v>9</v>
      </c>
      <c r="H5690" t="str">
        <f>IF(ISNUMBER(FIND(",", E5690)), TRIM(MID(E5690, FIND(",", E5690) + 1, LEN(E5690))), E5690)</f>
        <v>central East Pacific Rise</v>
      </c>
    </row>
    <row r="5691" spans="1:8" x14ac:dyDescent="0.25">
      <c r="A5691" s="2">
        <v>24341</v>
      </c>
      <c r="B5691">
        <v>-22.443999999999999</v>
      </c>
      <c r="C5691">
        <v>170.702</v>
      </c>
      <c r="D5691" t="s">
        <v>17</v>
      </c>
      <c r="E5691" t="s">
        <v>254</v>
      </c>
      <c r="F5691">
        <f t="shared" si="176"/>
        <v>1966</v>
      </c>
      <c r="G5691">
        <f t="shared" si="177"/>
        <v>8</v>
      </c>
      <c r="H5691" t="str">
        <f>IF(ISNUMBER(FIND(",", E5691)), TRIM(MID(E5691, FIND(",", E5691) + 1, LEN(E5691))), E5691)</f>
        <v>southeast of the Loyalty Islands</v>
      </c>
    </row>
    <row r="5692" spans="1:8" x14ac:dyDescent="0.25">
      <c r="A5692" s="2">
        <v>24337</v>
      </c>
      <c r="B5692">
        <v>-6.2E-2</v>
      </c>
      <c r="C5692">
        <v>125.04600000000001</v>
      </c>
      <c r="D5692" t="s">
        <v>13</v>
      </c>
      <c r="E5692" t="s">
        <v>186</v>
      </c>
      <c r="F5692">
        <f t="shared" si="176"/>
        <v>1966</v>
      </c>
      <c r="G5692">
        <f t="shared" si="177"/>
        <v>8</v>
      </c>
      <c r="H5692" t="str">
        <f>IF(ISNUMBER(FIND(",", E5692)), TRIM(MID(E5692, FIND(",", E5692) + 1, LEN(E5692))), E5692)</f>
        <v>Molucca Sea</v>
      </c>
    </row>
    <row r="5693" spans="1:8" x14ac:dyDescent="0.25">
      <c r="A5693" s="2">
        <v>24337</v>
      </c>
      <c r="B5693">
        <v>-8.1000000000000003E-2</v>
      </c>
      <c r="C5693">
        <v>124.935</v>
      </c>
      <c r="D5693" t="s">
        <v>13</v>
      </c>
      <c r="E5693" t="s">
        <v>186</v>
      </c>
      <c r="F5693">
        <f t="shared" si="176"/>
        <v>1966</v>
      </c>
      <c r="G5693">
        <f t="shared" si="177"/>
        <v>8</v>
      </c>
      <c r="H5693" t="str">
        <f>IF(ISNUMBER(FIND(",", E5693)), TRIM(MID(E5693, FIND(",", E5693) + 1, LEN(E5693))), E5693)</f>
        <v>Molucca Sea</v>
      </c>
    </row>
    <row r="5694" spans="1:8" x14ac:dyDescent="0.25">
      <c r="A5694" s="2">
        <v>24326</v>
      </c>
      <c r="B5694">
        <v>50.548999999999999</v>
      </c>
      <c r="C5694">
        <v>-171.21</v>
      </c>
      <c r="D5694" t="s">
        <v>14</v>
      </c>
      <c r="E5694" t="s">
        <v>588</v>
      </c>
      <c r="F5694">
        <f t="shared" si="176"/>
        <v>1966</v>
      </c>
      <c r="G5694">
        <f t="shared" si="177"/>
        <v>8</v>
      </c>
      <c r="H5694" t="str">
        <f>IF(ISNUMBER(FIND(",", E5694)), TRIM(MID(E5694, FIND(",", E5694) + 1, LEN(E5694))), E5694)</f>
        <v>south of the Aleutian Islands</v>
      </c>
    </row>
    <row r="5695" spans="1:8" x14ac:dyDescent="0.25">
      <c r="A5695" s="2">
        <v>24320</v>
      </c>
      <c r="B5695">
        <v>30.047999999999998</v>
      </c>
      <c r="C5695">
        <v>68.63</v>
      </c>
      <c r="D5695" t="s">
        <v>17</v>
      </c>
      <c r="E5695" t="s">
        <v>382</v>
      </c>
      <c r="F5695">
        <f t="shared" si="176"/>
        <v>1966</v>
      </c>
      <c r="G5695">
        <f t="shared" si="177"/>
        <v>8</v>
      </c>
      <c r="H5695" t="str">
        <f>IF(ISNUMBER(FIND(",", E5695)), TRIM(MID(E5695, FIND(",", E5695) + 1, LEN(E5695))), E5695)</f>
        <v>Pakistan</v>
      </c>
    </row>
    <row r="5696" spans="1:8" x14ac:dyDescent="0.25">
      <c r="A5696" s="2">
        <v>24309</v>
      </c>
      <c r="B5696">
        <v>-17.873000000000001</v>
      </c>
      <c r="C5696">
        <v>-178.51499999999999</v>
      </c>
      <c r="D5696" t="s">
        <v>13</v>
      </c>
      <c r="E5696" t="s">
        <v>53</v>
      </c>
      <c r="F5696">
        <f t="shared" si="176"/>
        <v>1966</v>
      </c>
      <c r="G5696">
        <f t="shared" si="177"/>
        <v>7</v>
      </c>
      <c r="H5696" t="str">
        <f>IF(ISNUMBER(FIND(",", E5696)), TRIM(MID(E5696, FIND(",", E5696) + 1, LEN(E5696))), E5696)</f>
        <v>Fiji region</v>
      </c>
    </row>
    <row r="5697" spans="1:8" x14ac:dyDescent="0.25">
      <c r="A5697" s="2">
        <v>24307</v>
      </c>
      <c r="B5697">
        <v>56.231000000000002</v>
      </c>
      <c r="C5697">
        <v>164.84800000000001</v>
      </c>
      <c r="D5697" t="s">
        <v>17</v>
      </c>
      <c r="E5697" t="s">
        <v>443</v>
      </c>
      <c r="F5697">
        <f t="shared" si="176"/>
        <v>1966</v>
      </c>
      <c r="G5697">
        <f t="shared" si="177"/>
        <v>7</v>
      </c>
      <c r="H5697" t="str">
        <f>IF(ISNUMBER(FIND(",", E5697)), TRIM(MID(E5697, FIND(",", E5697) + 1, LEN(E5697))), E5697)</f>
        <v>Russia region</v>
      </c>
    </row>
    <row r="5698" spans="1:8" x14ac:dyDescent="0.25">
      <c r="A5698" s="2">
        <v>24294</v>
      </c>
      <c r="B5698">
        <v>-4.5449999999999999</v>
      </c>
      <c r="C5698">
        <v>-105.175</v>
      </c>
      <c r="D5698" t="s">
        <v>17</v>
      </c>
      <c r="E5698" t="s">
        <v>381</v>
      </c>
      <c r="F5698">
        <f t="shared" ref="F5698:F5761" si="178">YEAR(A5698)</f>
        <v>1966</v>
      </c>
      <c r="G5698">
        <f t="shared" si="177"/>
        <v>7</v>
      </c>
      <c r="H5698" t="str">
        <f>IF(ISNUMBER(FIND(",", E5698)), TRIM(MID(E5698, FIND(",", E5698) + 1, LEN(E5698))), E5698)</f>
        <v>central East Pacific Rise</v>
      </c>
    </row>
    <row r="5699" spans="1:8" x14ac:dyDescent="0.25">
      <c r="A5699" s="2">
        <v>24292</v>
      </c>
      <c r="B5699">
        <v>51.823</v>
      </c>
      <c r="C5699">
        <v>179.875</v>
      </c>
      <c r="D5699" t="s">
        <v>16</v>
      </c>
      <c r="E5699" t="s">
        <v>366</v>
      </c>
      <c r="F5699">
        <f t="shared" si="178"/>
        <v>1966</v>
      </c>
      <c r="G5699">
        <f t="shared" ref="G5699:G5762" si="179">MONTH(A5699)</f>
        <v>7</v>
      </c>
      <c r="H5699" t="str">
        <f>IF(ISNUMBER(FIND(",", E5699)), TRIM(MID(E5699, FIND(",", E5699) + 1, LEN(E5699))), E5699)</f>
        <v>Aleutian Islands, Alaska</v>
      </c>
    </row>
    <row r="5700" spans="1:8" x14ac:dyDescent="0.25">
      <c r="A5700" s="2">
        <v>24289</v>
      </c>
      <c r="B5700">
        <v>24.806000000000001</v>
      </c>
      <c r="C5700">
        <v>122.505</v>
      </c>
      <c r="D5700" t="s">
        <v>13</v>
      </c>
      <c r="E5700" t="s">
        <v>363</v>
      </c>
      <c r="F5700">
        <f t="shared" si="178"/>
        <v>1966</v>
      </c>
      <c r="G5700">
        <f t="shared" si="179"/>
        <v>7</v>
      </c>
      <c r="H5700" t="str">
        <f>IF(ISNUMBER(FIND(",", E5700)), TRIM(MID(E5700, FIND(",", E5700) + 1, LEN(E5700))), E5700)</f>
        <v>Taiwan region</v>
      </c>
    </row>
    <row r="5701" spans="1:8" x14ac:dyDescent="0.25">
      <c r="A5701" s="2">
        <v>24285</v>
      </c>
      <c r="B5701">
        <v>29.61</v>
      </c>
      <c r="C5701">
        <v>80.927999999999997</v>
      </c>
      <c r="D5701" t="s">
        <v>17</v>
      </c>
      <c r="E5701" t="s">
        <v>584</v>
      </c>
      <c r="F5701">
        <f t="shared" si="178"/>
        <v>1966</v>
      </c>
      <c r="G5701">
        <f t="shared" si="179"/>
        <v>6</v>
      </c>
      <c r="H5701" t="str">
        <f>IF(ISNUMBER(FIND(",", E5701)), TRIM(MID(E5701, FIND(",", E5701) + 1, LEN(E5701))), E5701)</f>
        <v>Nepal-India border region</v>
      </c>
    </row>
    <row r="5702" spans="1:8" x14ac:dyDescent="0.25">
      <c r="A5702" s="2">
        <v>24285</v>
      </c>
      <c r="B5702">
        <v>29.553999999999998</v>
      </c>
      <c r="C5702">
        <v>80.853999999999999</v>
      </c>
      <c r="D5702" t="s">
        <v>13</v>
      </c>
      <c r="E5702" t="s">
        <v>584</v>
      </c>
      <c r="F5702">
        <f t="shared" si="178"/>
        <v>1966</v>
      </c>
      <c r="G5702">
        <f t="shared" si="179"/>
        <v>6</v>
      </c>
      <c r="H5702" t="str">
        <f>IF(ISNUMBER(FIND(",", E5702)), TRIM(MID(E5702, FIND(",", E5702) + 1, LEN(E5702))), E5702)</f>
        <v>Nepal-India border region</v>
      </c>
    </row>
    <row r="5703" spans="1:8" x14ac:dyDescent="0.25">
      <c r="A5703" s="2">
        <v>24280</v>
      </c>
      <c r="B5703">
        <v>-7.2560000000000002</v>
      </c>
      <c r="C5703">
        <v>124.646</v>
      </c>
      <c r="D5703" t="s">
        <v>14</v>
      </c>
      <c r="E5703" t="s">
        <v>187</v>
      </c>
      <c r="F5703">
        <f t="shared" si="178"/>
        <v>1966</v>
      </c>
      <c r="G5703">
        <f t="shared" si="179"/>
        <v>6</v>
      </c>
      <c r="H5703" t="str">
        <f>IF(ISNUMBER(FIND(",", E5703)), TRIM(MID(E5703, FIND(",", E5703) + 1, LEN(E5703))), E5703)</f>
        <v>Banda Sea</v>
      </c>
    </row>
    <row r="5704" spans="1:8" x14ac:dyDescent="0.25">
      <c r="A5704" s="2">
        <v>24273</v>
      </c>
      <c r="B5704">
        <v>-10.026</v>
      </c>
      <c r="C5704">
        <v>160.97300000000001</v>
      </c>
      <c r="D5704" t="s">
        <v>17</v>
      </c>
      <c r="E5704" t="s">
        <v>221</v>
      </c>
      <c r="F5704">
        <f t="shared" si="178"/>
        <v>1966</v>
      </c>
      <c r="G5704">
        <f t="shared" si="179"/>
        <v>6</v>
      </c>
      <c r="H5704" t="str">
        <f>IF(ISNUMBER(FIND(",", E5704)), TRIM(MID(E5704, FIND(",", E5704) + 1, LEN(E5704))), E5704)</f>
        <v>Solomon Islands</v>
      </c>
    </row>
    <row r="5705" spans="1:8" x14ac:dyDescent="0.25">
      <c r="A5705" s="2">
        <v>24273</v>
      </c>
      <c r="B5705">
        <v>-10.11</v>
      </c>
      <c r="C5705">
        <v>161.029</v>
      </c>
      <c r="D5705" t="s">
        <v>16</v>
      </c>
      <c r="E5705" t="s">
        <v>221</v>
      </c>
      <c r="F5705">
        <f t="shared" si="178"/>
        <v>1966</v>
      </c>
      <c r="G5705">
        <f t="shared" si="179"/>
        <v>6</v>
      </c>
      <c r="H5705" t="str">
        <f>IF(ISNUMBER(FIND(",", E5705)), TRIM(MID(E5705, FIND(",", E5705) + 1, LEN(E5705))), E5705)</f>
        <v>Solomon Islands</v>
      </c>
    </row>
    <row r="5706" spans="1:8" x14ac:dyDescent="0.25">
      <c r="A5706" s="2">
        <v>24273</v>
      </c>
      <c r="B5706">
        <v>-10.347</v>
      </c>
      <c r="C5706">
        <v>160.87899999999999</v>
      </c>
      <c r="D5706" t="s">
        <v>16</v>
      </c>
      <c r="E5706" t="s">
        <v>221</v>
      </c>
      <c r="F5706">
        <f t="shared" si="178"/>
        <v>1966</v>
      </c>
      <c r="G5706">
        <f t="shared" si="179"/>
        <v>6</v>
      </c>
      <c r="H5706" t="str">
        <f>IF(ISNUMBER(FIND(",", E5706)), TRIM(MID(E5706, FIND(",", E5706) + 1, LEN(E5706))), E5706)</f>
        <v>Solomon Islands</v>
      </c>
    </row>
    <row r="5707" spans="1:8" x14ac:dyDescent="0.25">
      <c r="A5707" s="2">
        <v>24271</v>
      </c>
      <c r="B5707">
        <v>-12.239000000000001</v>
      </c>
      <c r="C5707">
        <v>167.12200000000001</v>
      </c>
      <c r="D5707" t="s">
        <v>13</v>
      </c>
      <c r="E5707" t="s">
        <v>211</v>
      </c>
      <c r="F5707">
        <f t="shared" si="178"/>
        <v>1966</v>
      </c>
      <c r="G5707">
        <f t="shared" si="179"/>
        <v>6</v>
      </c>
      <c r="H5707" t="str">
        <f>IF(ISNUMBER(FIND(",", E5707)), TRIM(MID(E5707, FIND(",", E5707) + 1, LEN(E5707))), E5707)</f>
        <v>Santa Cruz Islands</v>
      </c>
    </row>
    <row r="5708" spans="1:8" x14ac:dyDescent="0.25">
      <c r="A5708" s="2">
        <v>24271</v>
      </c>
      <c r="B5708">
        <v>-21.134</v>
      </c>
      <c r="C5708">
        <v>174.34100000000001</v>
      </c>
      <c r="D5708" t="s">
        <v>17</v>
      </c>
      <c r="E5708" t="s">
        <v>281</v>
      </c>
      <c r="F5708">
        <f t="shared" si="178"/>
        <v>1966</v>
      </c>
      <c r="G5708">
        <f t="shared" si="179"/>
        <v>6</v>
      </c>
      <c r="H5708" t="str">
        <f>IF(ISNUMBER(FIND(",", E5708)), TRIM(MID(E5708, FIND(",", E5708) + 1, LEN(E5708))), E5708)</f>
        <v>Vanuatu region</v>
      </c>
    </row>
    <row r="5709" spans="1:8" x14ac:dyDescent="0.25">
      <c r="A5709" s="2">
        <v>24265</v>
      </c>
      <c r="B5709">
        <v>11.303000000000001</v>
      </c>
      <c r="C5709">
        <v>139.637</v>
      </c>
      <c r="D5709" t="s">
        <v>17</v>
      </c>
      <c r="E5709" t="s">
        <v>458</v>
      </c>
      <c r="F5709">
        <f t="shared" si="178"/>
        <v>1966</v>
      </c>
      <c r="G5709">
        <f t="shared" si="179"/>
        <v>6</v>
      </c>
      <c r="H5709" t="str">
        <f>IF(ISNUMBER(FIND(",", E5709)), TRIM(MID(E5709, FIND(",", E5709) + 1, LEN(E5709))), E5709)</f>
        <v>Federated States of Micronesia</v>
      </c>
    </row>
    <row r="5710" spans="1:8" x14ac:dyDescent="0.25">
      <c r="A5710" s="2">
        <v>24265</v>
      </c>
      <c r="B5710">
        <v>-14.85</v>
      </c>
      <c r="C5710">
        <v>-75.831999999999994</v>
      </c>
      <c r="D5710" t="s">
        <v>17</v>
      </c>
      <c r="E5710" t="s">
        <v>258</v>
      </c>
      <c r="F5710">
        <f t="shared" si="178"/>
        <v>1966</v>
      </c>
      <c r="G5710">
        <f t="shared" si="179"/>
        <v>6</v>
      </c>
      <c r="H5710" t="str">
        <f>IF(ISNUMBER(FIND(",", E5710)), TRIM(MID(E5710, FIND(",", E5710) + 1, LEN(E5710))), E5710)</f>
        <v>near the coast of central Peru</v>
      </c>
    </row>
    <row r="5711" spans="1:8" x14ac:dyDescent="0.25">
      <c r="A5711" s="2">
        <v>24264</v>
      </c>
      <c r="B5711">
        <v>36.414999999999999</v>
      </c>
      <c r="C5711">
        <v>71.132000000000005</v>
      </c>
      <c r="D5711" t="s">
        <v>13</v>
      </c>
      <c r="E5711" t="s">
        <v>314</v>
      </c>
      <c r="F5711">
        <f t="shared" si="178"/>
        <v>1966</v>
      </c>
      <c r="G5711">
        <f t="shared" si="179"/>
        <v>6</v>
      </c>
      <c r="H5711" t="str">
        <f>IF(ISNUMBER(FIND(",", E5711)), TRIM(MID(E5711, FIND(",", E5711) + 1, LEN(E5711))), E5711)</f>
        <v>Afghanistan</v>
      </c>
    </row>
    <row r="5712" spans="1:8" x14ac:dyDescent="0.25">
      <c r="A5712" s="2">
        <v>24260</v>
      </c>
      <c r="B5712">
        <v>50.997</v>
      </c>
      <c r="C5712">
        <v>176.01900000000001</v>
      </c>
      <c r="D5712" t="s">
        <v>17</v>
      </c>
      <c r="E5712" t="s">
        <v>366</v>
      </c>
      <c r="F5712">
        <f t="shared" si="178"/>
        <v>1966</v>
      </c>
      <c r="G5712">
        <f t="shared" si="179"/>
        <v>6</v>
      </c>
      <c r="H5712" t="str">
        <f>IF(ISNUMBER(FIND(",", E5712)), TRIM(MID(E5712, FIND(",", E5712) + 1, LEN(E5712))), E5712)</f>
        <v>Aleutian Islands, Alaska</v>
      </c>
    </row>
    <row r="5713" spans="1:8" x14ac:dyDescent="0.25">
      <c r="A5713" s="2">
        <v>24252</v>
      </c>
      <c r="B5713">
        <v>-52.871000000000002</v>
      </c>
      <c r="C5713">
        <v>160.18600000000001</v>
      </c>
      <c r="D5713" t="s">
        <v>13</v>
      </c>
      <c r="E5713" t="s">
        <v>350</v>
      </c>
      <c r="F5713">
        <f t="shared" si="178"/>
        <v>1966</v>
      </c>
      <c r="G5713">
        <f t="shared" si="179"/>
        <v>5</v>
      </c>
      <c r="H5713" t="str">
        <f>IF(ISNUMBER(FIND(",", E5713)), TRIM(MID(E5713, FIND(",", E5713) + 1, LEN(E5713))), E5713)</f>
        <v>Macquarie Island region</v>
      </c>
    </row>
    <row r="5714" spans="1:8" x14ac:dyDescent="0.25">
      <c r="A5714" s="2">
        <v>24247</v>
      </c>
      <c r="B5714">
        <v>13.832000000000001</v>
      </c>
      <c r="C5714">
        <v>146.34800000000001</v>
      </c>
      <c r="D5714" t="s">
        <v>17</v>
      </c>
      <c r="E5714" t="s">
        <v>72</v>
      </c>
      <c r="F5714">
        <f t="shared" si="178"/>
        <v>1966</v>
      </c>
      <c r="G5714">
        <f t="shared" si="179"/>
        <v>5</v>
      </c>
      <c r="H5714" t="str">
        <f>IF(ISNUMBER(FIND(",", E5714)), TRIM(MID(E5714, FIND(",", E5714) + 1, LEN(E5714))), E5714)</f>
        <v>Mariana Islands region</v>
      </c>
    </row>
    <row r="5715" spans="1:8" x14ac:dyDescent="0.25">
      <c r="A5715" s="2">
        <v>24246</v>
      </c>
      <c r="B5715">
        <v>53.966000000000001</v>
      </c>
      <c r="C5715">
        <v>-164.072</v>
      </c>
      <c r="D5715" t="s">
        <v>17</v>
      </c>
      <c r="E5715" t="s">
        <v>447</v>
      </c>
      <c r="F5715">
        <f t="shared" si="178"/>
        <v>1966</v>
      </c>
      <c r="G5715">
        <f t="shared" si="179"/>
        <v>5</v>
      </c>
      <c r="H5715" t="str">
        <f>IF(ISNUMBER(FIND(",", E5715)), TRIM(MID(E5715, FIND(",", E5715) + 1, LEN(E5715))), E5715)</f>
        <v>Alaska</v>
      </c>
    </row>
    <row r="5716" spans="1:8" x14ac:dyDescent="0.25">
      <c r="A5716" s="2">
        <v>24220</v>
      </c>
      <c r="B5716">
        <v>-0.57599999999999996</v>
      </c>
      <c r="C5716">
        <v>122.11799999999999</v>
      </c>
      <c r="D5716" t="s">
        <v>17</v>
      </c>
      <c r="E5716" t="s">
        <v>182</v>
      </c>
      <c r="F5716">
        <f t="shared" si="178"/>
        <v>1966</v>
      </c>
      <c r="G5716">
        <f t="shared" si="179"/>
        <v>4</v>
      </c>
      <c r="H5716" t="str">
        <f>IF(ISNUMBER(FIND(",", E5716)), TRIM(MID(E5716, FIND(",", E5716) + 1, LEN(E5716))), E5716)</f>
        <v>Indonesia</v>
      </c>
    </row>
    <row r="5717" spans="1:8" x14ac:dyDescent="0.25">
      <c r="A5717" s="2">
        <v>24220</v>
      </c>
      <c r="B5717">
        <v>-1.0660000000000001</v>
      </c>
      <c r="C5717">
        <v>122.247</v>
      </c>
      <c r="D5717" t="s">
        <v>17</v>
      </c>
      <c r="E5717" t="s">
        <v>182</v>
      </c>
      <c r="F5717">
        <f t="shared" si="178"/>
        <v>1966</v>
      </c>
      <c r="G5717">
        <f t="shared" si="179"/>
        <v>4</v>
      </c>
      <c r="H5717" t="str">
        <f>IF(ISNUMBER(FIND(",", E5717)), TRIM(MID(E5717, FIND(",", E5717) + 1, LEN(E5717))), E5717)</f>
        <v>Indonesia</v>
      </c>
    </row>
    <row r="5718" spans="1:8" x14ac:dyDescent="0.25">
      <c r="A5718" s="2">
        <v>24213</v>
      </c>
      <c r="B5718">
        <v>56.841999999999999</v>
      </c>
      <c r="C5718">
        <v>-153.68100000000001</v>
      </c>
      <c r="D5718" t="s">
        <v>17</v>
      </c>
      <c r="E5718" t="s">
        <v>374</v>
      </c>
      <c r="F5718">
        <f t="shared" si="178"/>
        <v>1966</v>
      </c>
      <c r="G5718">
        <f t="shared" si="179"/>
        <v>4</v>
      </c>
      <c r="H5718" t="str">
        <f>IF(ISNUMBER(FIND(",", E5718)), TRIM(MID(E5718, FIND(",", E5718) + 1, LEN(E5718))), E5718)</f>
        <v>Alaska</v>
      </c>
    </row>
    <row r="5719" spans="1:8" x14ac:dyDescent="0.25">
      <c r="A5719" s="2">
        <v>24209</v>
      </c>
      <c r="B5719">
        <v>-38.204999999999998</v>
      </c>
      <c r="C5719">
        <v>-73.289000000000001</v>
      </c>
      <c r="D5719" t="s">
        <v>17</v>
      </c>
      <c r="E5719" t="s">
        <v>302</v>
      </c>
      <c r="F5719">
        <f t="shared" si="178"/>
        <v>1966</v>
      </c>
      <c r="G5719">
        <f t="shared" si="179"/>
        <v>4</v>
      </c>
      <c r="H5719" t="str">
        <f>IF(ISNUMBER(FIND(",", E5719)), TRIM(MID(E5719, FIND(",", E5719) + 1, LEN(E5719))), E5719)</f>
        <v>Chile</v>
      </c>
    </row>
    <row r="5720" spans="1:8" x14ac:dyDescent="0.25">
      <c r="A5720" s="2">
        <v>24205</v>
      </c>
      <c r="B5720">
        <v>51.256999999999998</v>
      </c>
      <c r="C5720">
        <v>157.73500000000001</v>
      </c>
      <c r="D5720" t="s">
        <v>17</v>
      </c>
      <c r="E5720" t="s">
        <v>225</v>
      </c>
      <c r="F5720">
        <f t="shared" si="178"/>
        <v>1966</v>
      </c>
      <c r="G5720">
        <f t="shared" si="179"/>
        <v>4</v>
      </c>
      <c r="H5720" t="str">
        <f>IF(ISNUMBER(FIND(",", E5720)), TRIM(MID(E5720, FIND(",", E5720) + 1, LEN(E5720))), E5720)</f>
        <v>Russia</v>
      </c>
    </row>
    <row r="5721" spans="1:8" x14ac:dyDescent="0.25">
      <c r="A5721" s="2">
        <v>24203</v>
      </c>
      <c r="B5721">
        <v>-45.765000000000001</v>
      </c>
      <c r="C5721">
        <v>95.95</v>
      </c>
      <c r="D5721" t="s">
        <v>17</v>
      </c>
      <c r="E5721" t="s">
        <v>310</v>
      </c>
      <c r="F5721">
        <f t="shared" si="178"/>
        <v>1966</v>
      </c>
      <c r="G5721">
        <f t="shared" si="179"/>
        <v>4</v>
      </c>
      <c r="H5721" t="str">
        <f>IF(ISNUMBER(FIND(",", E5721)), TRIM(MID(E5721, FIND(",", E5721) + 1, LEN(E5721))), E5721)</f>
        <v>southeast Indian Ridge</v>
      </c>
    </row>
    <row r="5722" spans="1:8" x14ac:dyDescent="0.25">
      <c r="A5722" s="2">
        <v>24189</v>
      </c>
      <c r="B5722">
        <v>23.936</v>
      </c>
      <c r="C5722">
        <v>122.926</v>
      </c>
      <c r="D5722" t="s">
        <v>17</v>
      </c>
      <c r="E5722" t="s">
        <v>363</v>
      </c>
      <c r="F5722">
        <f t="shared" si="178"/>
        <v>1966</v>
      </c>
      <c r="G5722">
        <f t="shared" si="179"/>
        <v>3</v>
      </c>
      <c r="H5722" t="str">
        <f>IF(ISNUMBER(FIND(",", E5722)), TRIM(MID(E5722, FIND(",", E5722) + 1, LEN(E5722))), E5722)</f>
        <v>Taiwan region</v>
      </c>
    </row>
    <row r="5723" spans="1:8" x14ac:dyDescent="0.25">
      <c r="A5723" s="2">
        <v>24188</v>
      </c>
      <c r="B5723">
        <v>37.564999999999998</v>
      </c>
      <c r="C5723">
        <v>115.202</v>
      </c>
      <c r="D5723" t="s">
        <v>16</v>
      </c>
      <c r="E5723" t="s">
        <v>637</v>
      </c>
      <c r="F5723">
        <f t="shared" si="178"/>
        <v>1966</v>
      </c>
      <c r="G5723">
        <f t="shared" si="179"/>
        <v>3</v>
      </c>
      <c r="H5723" t="str">
        <f>IF(ISNUMBER(FIND(",", E5723)), TRIM(MID(E5723, FIND(",", E5723) + 1, LEN(E5723))), E5723)</f>
        <v>China</v>
      </c>
    </row>
    <row r="5724" spans="1:8" x14ac:dyDescent="0.25">
      <c r="A5724" s="2">
        <v>24186</v>
      </c>
      <c r="B5724">
        <v>0.84499999999999997</v>
      </c>
      <c r="C5724">
        <v>29.867000000000001</v>
      </c>
      <c r="D5724" t="s">
        <v>17</v>
      </c>
      <c r="E5724" t="s">
        <v>673</v>
      </c>
      <c r="F5724">
        <f t="shared" si="178"/>
        <v>1966</v>
      </c>
      <c r="G5724">
        <f t="shared" si="179"/>
        <v>3</v>
      </c>
      <c r="H5724" t="str">
        <f>IF(ISNUMBER(FIND(",", E5724)), TRIM(MID(E5724, FIND(",", E5724) + 1, LEN(E5724))), E5724)</f>
        <v>Congo-Uganda</v>
      </c>
    </row>
    <row r="5725" spans="1:8" x14ac:dyDescent="0.25">
      <c r="A5725" s="2">
        <v>24183</v>
      </c>
      <c r="B5725">
        <v>-21.126000000000001</v>
      </c>
      <c r="C5725">
        <v>-179.10599999999999</v>
      </c>
      <c r="D5725" t="s">
        <v>14</v>
      </c>
      <c r="E5725" t="s">
        <v>53</v>
      </c>
      <c r="F5725">
        <f t="shared" si="178"/>
        <v>1966</v>
      </c>
      <c r="G5725">
        <f t="shared" si="179"/>
        <v>3</v>
      </c>
      <c r="H5725" t="str">
        <f>IF(ISNUMBER(FIND(",", E5725)), TRIM(MID(E5725, FIND(",", E5725) + 1, LEN(E5725))), E5725)</f>
        <v>Fiji region</v>
      </c>
    </row>
    <row r="5726" spans="1:8" x14ac:dyDescent="0.25">
      <c r="A5726" s="2">
        <v>24179</v>
      </c>
      <c r="B5726">
        <v>-55.152999999999999</v>
      </c>
      <c r="C5726">
        <v>-126.574</v>
      </c>
      <c r="D5726" t="s">
        <v>17</v>
      </c>
      <c r="E5726" t="s">
        <v>268</v>
      </c>
      <c r="F5726">
        <f t="shared" si="178"/>
        <v>1966</v>
      </c>
      <c r="G5726">
        <f t="shared" si="179"/>
        <v>3</v>
      </c>
      <c r="H5726" t="str">
        <f>IF(ISNUMBER(FIND(",", E5726)), TRIM(MID(E5726, FIND(",", E5726) + 1, LEN(E5726))), E5726)</f>
        <v>southern East Pacific Rise</v>
      </c>
    </row>
    <row r="5727" spans="1:8" x14ac:dyDescent="0.25">
      <c r="A5727" s="2">
        <v>24178</v>
      </c>
      <c r="B5727">
        <v>24.308</v>
      </c>
      <c r="C5727">
        <v>122.694</v>
      </c>
      <c r="D5727" t="s">
        <v>16</v>
      </c>
      <c r="E5727" t="s">
        <v>363</v>
      </c>
      <c r="F5727">
        <f t="shared" si="178"/>
        <v>1966</v>
      </c>
      <c r="G5727">
        <f t="shared" si="179"/>
        <v>3</v>
      </c>
      <c r="H5727" t="str">
        <f>IF(ISNUMBER(FIND(",", E5727)), TRIM(MID(E5727, FIND(",", E5727) + 1, LEN(E5727))), E5727)</f>
        <v>Taiwan region</v>
      </c>
    </row>
    <row r="5728" spans="1:8" x14ac:dyDescent="0.25">
      <c r="A5728" s="2">
        <v>24173</v>
      </c>
      <c r="B5728">
        <v>37.387999999999998</v>
      </c>
      <c r="C5728">
        <v>114.96</v>
      </c>
      <c r="D5728" t="s">
        <v>16</v>
      </c>
      <c r="E5728" t="s">
        <v>637</v>
      </c>
      <c r="F5728">
        <f t="shared" si="178"/>
        <v>1966</v>
      </c>
      <c r="G5728">
        <f t="shared" si="179"/>
        <v>3</v>
      </c>
      <c r="H5728" t="str">
        <f>IF(ISNUMBER(FIND(",", E5728)), TRIM(MID(E5728, FIND(",", E5728) + 1, LEN(E5728))), E5728)</f>
        <v>China</v>
      </c>
    </row>
    <row r="5729" spans="1:8" x14ac:dyDescent="0.25">
      <c r="A5729" s="2">
        <v>24172</v>
      </c>
      <c r="B5729">
        <v>31.452000000000002</v>
      </c>
      <c r="C5729">
        <v>80.468000000000004</v>
      </c>
      <c r="D5729" t="s">
        <v>17</v>
      </c>
      <c r="E5729" t="s">
        <v>388</v>
      </c>
      <c r="F5729">
        <f t="shared" si="178"/>
        <v>1966</v>
      </c>
      <c r="G5729">
        <f t="shared" si="179"/>
        <v>3</v>
      </c>
      <c r="H5729" t="str">
        <f>IF(ISNUMBER(FIND(",", E5729)), TRIM(MID(E5729, FIND(",", E5729) + 1, LEN(E5729))), E5729)</f>
        <v>western Xizang</v>
      </c>
    </row>
    <row r="5730" spans="1:8" x14ac:dyDescent="0.25">
      <c r="A5730" s="2">
        <v>24160</v>
      </c>
      <c r="B5730">
        <v>-5.43</v>
      </c>
      <c r="C5730">
        <v>151.608</v>
      </c>
      <c r="D5730" t="s">
        <v>13</v>
      </c>
      <c r="E5730" t="s">
        <v>190</v>
      </c>
      <c r="F5730">
        <f t="shared" si="178"/>
        <v>1966</v>
      </c>
      <c r="G5730">
        <f t="shared" si="179"/>
        <v>2</v>
      </c>
      <c r="H5730" t="str">
        <f>IF(ISNUMBER(FIND(",", E5730)), TRIM(MID(E5730, FIND(",", E5730) + 1, LEN(E5730))), E5730)</f>
        <v>Papua New Guinea</v>
      </c>
    </row>
    <row r="5731" spans="1:8" x14ac:dyDescent="0.25">
      <c r="A5731" s="2">
        <v>24155</v>
      </c>
      <c r="B5731">
        <v>-32.234000000000002</v>
      </c>
      <c r="C5731">
        <v>78.816999999999993</v>
      </c>
      <c r="D5731" t="s">
        <v>17</v>
      </c>
      <c r="E5731" t="s">
        <v>377</v>
      </c>
      <c r="F5731">
        <f t="shared" si="178"/>
        <v>1966</v>
      </c>
      <c r="G5731">
        <f t="shared" si="179"/>
        <v>2</v>
      </c>
      <c r="H5731" t="str">
        <f>IF(ISNUMBER(FIND(",", E5731)), TRIM(MID(E5731, FIND(",", E5731) + 1, LEN(E5731))), E5731)</f>
        <v>Mid-Indian Ridge</v>
      </c>
    </row>
    <row r="5732" spans="1:8" x14ac:dyDescent="0.25">
      <c r="A5732" s="2">
        <v>24154</v>
      </c>
      <c r="B5732">
        <v>-17.675999999999998</v>
      </c>
      <c r="C5732">
        <v>168.07300000000001</v>
      </c>
      <c r="D5732" t="s">
        <v>17</v>
      </c>
      <c r="E5732" t="s">
        <v>181</v>
      </c>
      <c r="F5732">
        <f t="shared" si="178"/>
        <v>1966</v>
      </c>
      <c r="G5732">
        <f t="shared" si="179"/>
        <v>2</v>
      </c>
      <c r="H5732" t="str">
        <f>IF(ISNUMBER(FIND(",", E5732)), TRIM(MID(E5732, FIND(",", E5732) + 1, LEN(E5732))), E5732)</f>
        <v>Vanuatu</v>
      </c>
    </row>
    <row r="5733" spans="1:8" x14ac:dyDescent="0.25">
      <c r="A5733" s="2">
        <v>24148</v>
      </c>
      <c r="B5733">
        <v>20.766999999999999</v>
      </c>
      <c r="C5733">
        <v>146.31</v>
      </c>
      <c r="D5733" t="s">
        <v>17</v>
      </c>
      <c r="E5733" t="s">
        <v>72</v>
      </c>
      <c r="F5733">
        <f t="shared" si="178"/>
        <v>1966</v>
      </c>
      <c r="G5733">
        <f t="shared" si="179"/>
        <v>2</v>
      </c>
      <c r="H5733" t="str">
        <f>IF(ISNUMBER(FIND(",", E5733)), TRIM(MID(E5733, FIND(",", E5733) + 1, LEN(E5733))), E5733)</f>
        <v>Mariana Islands region</v>
      </c>
    </row>
    <row r="5734" spans="1:8" x14ac:dyDescent="0.25">
      <c r="A5734" s="2">
        <v>24147</v>
      </c>
      <c r="B5734">
        <v>-56.698</v>
      </c>
      <c r="C5734">
        <v>-25.611999999999998</v>
      </c>
      <c r="D5734" t="s">
        <v>17</v>
      </c>
      <c r="E5734" t="s">
        <v>260</v>
      </c>
      <c r="F5734">
        <f t="shared" si="178"/>
        <v>1966</v>
      </c>
      <c r="G5734">
        <f t="shared" si="179"/>
        <v>2</v>
      </c>
      <c r="H5734" t="str">
        <f>IF(ISNUMBER(FIND(",", E5734)), TRIM(MID(E5734, FIND(",", E5734) + 1, LEN(E5734))), E5734)</f>
        <v>South Sandwich Islands region</v>
      </c>
    </row>
    <row r="5735" spans="1:8" x14ac:dyDescent="0.25">
      <c r="A5735" s="2">
        <v>24145</v>
      </c>
      <c r="B5735">
        <v>30.213999999999999</v>
      </c>
      <c r="C5735">
        <v>69.840999999999994</v>
      </c>
      <c r="D5735" t="s">
        <v>17</v>
      </c>
      <c r="E5735" t="s">
        <v>382</v>
      </c>
      <c r="F5735">
        <f t="shared" si="178"/>
        <v>1966</v>
      </c>
      <c r="G5735">
        <f t="shared" si="179"/>
        <v>2</v>
      </c>
      <c r="H5735" t="str">
        <f>IF(ISNUMBER(FIND(",", E5735)), TRIM(MID(E5735, FIND(",", E5735) + 1, LEN(E5735))), E5735)</f>
        <v>Pakistan</v>
      </c>
    </row>
    <row r="5736" spans="1:8" x14ac:dyDescent="0.25">
      <c r="A5736" s="2">
        <v>24143</v>
      </c>
      <c r="B5736">
        <v>39.045000000000002</v>
      </c>
      <c r="C5736">
        <v>21.757000000000001</v>
      </c>
      <c r="D5736" t="s">
        <v>17</v>
      </c>
      <c r="E5736" t="s">
        <v>478</v>
      </c>
      <c r="F5736">
        <f t="shared" si="178"/>
        <v>1966</v>
      </c>
      <c r="G5736">
        <f t="shared" si="179"/>
        <v>2</v>
      </c>
      <c r="H5736" t="str">
        <f>IF(ISNUMBER(FIND(",", E5736)), TRIM(MID(E5736, FIND(",", E5736) + 1, LEN(E5736))), E5736)</f>
        <v>Greece</v>
      </c>
    </row>
    <row r="5737" spans="1:8" x14ac:dyDescent="0.25">
      <c r="A5737" s="2">
        <v>24142</v>
      </c>
      <c r="B5737">
        <v>-15.926</v>
      </c>
      <c r="C5737">
        <v>167.994</v>
      </c>
      <c r="D5737" t="s">
        <v>13</v>
      </c>
      <c r="E5737" t="s">
        <v>181</v>
      </c>
      <c r="F5737">
        <f t="shared" si="178"/>
        <v>1966</v>
      </c>
      <c r="G5737">
        <f t="shared" si="179"/>
        <v>2</v>
      </c>
      <c r="H5737" t="str">
        <f>IF(ISNUMBER(FIND(",", E5737)), TRIM(MID(E5737, FIND(",", E5737) + 1, LEN(E5737))), E5737)</f>
        <v>Vanuatu</v>
      </c>
    </row>
    <row r="5738" spans="1:8" x14ac:dyDescent="0.25">
      <c r="A5738" s="2">
        <v>24135</v>
      </c>
      <c r="B5738">
        <v>-17.045000000000002</v>
      </c>
      <c r="C5738">
        <v>168.59800000000001</v>
      </c>
      <c r="D5738" t="s">
        <v>17</v>
      </c>
      <c r="E5738" t="s">
        <v>181</v>
      </c>
      <c r="F5738">
        <f t="shared" si="178"/>
        <v>1966</v>
      </c>
      <c r="G5738">
        <f t="shared" si="179"/>
        <v>1</v>
      </c>
      <c r="H5738" t="str">
        <f>IF(ISNUMBER(FIND(",", E5738)), TRIM(MID(E5738, FIND(",", E5738) + 1, LEN(E5738))), E5738)</f>
        <v>Vanuatu</v>
      </c>
    </row>
    <row r="5739" spans="1:8" x14ac:dyDescent="0.25">
      <c r="A5739" s="2">
        <v>24129</v>
      </c>
      <c r="B5739">
        <v>55.9</v>
      </c>
      <c r="C5739">
        <v>-153.892</v>
      </c>
      <c r="D5739" t="s">
        <v>17</v>
      </c>
      <c r="E5739" t="s">
        <v>493</v>
      </c>
      <c r="F5739">
        <f t="shared" si="178"/>
        <v>1966</v>
      </c>
      <c r="G5739">
        <f t="shared" si="179"/>
        <v>1</v>
      </c>
      <c r="H5739" t="str">
        <f>IF(ISNUMBER(FIND(",", E5739)), TRIM(MID(E5739, FIND(",", E5739) + 1, LEN(E5739))), E5739)</f>
        <v>south of Alaska</v>
      </c>
    </row>
    <row r="5740" spans="1:8" x14ac:dyDescent="0.25">
      <c r="A5740" s="2">
        <v>24104</v>
      </c>
      <c r="B5740">
        <v>27.879000000000001</v>
      </c>
      <c r="C5740">
        <v>141.82400000000001</v>
      </c>
      <c r="D5740" t="s">
        <v>17</v>
      </c>
      <c r="E5740" t="s">
        <v>233</v>
      </c>
      <c r="F5740">
        <f t="shared" si="178"/>
        <v>1965</v>
      </c>
      <c r="G5740">
        <f t="shared" si="179"/>
        <v>12</v>
      </c>
      <c r="H5740" t="str">
        <f>IF(ISNUMBER(FIND(",", E5740)), TRIM(MID(E5740, FIND(",", E5740) + 1, LEN(E5740))), E5740)</f>
        <v>Japan region</v>
      </c>
    </row>
    <row r="5741" spans="1:8" x14ac:dyDescent="0.25">
      <c r="A5741" s="2">
        <v>24101</v>
      </c>
      <c r="B5741">
        <v>-18.12</v>
      </c>
      <c r="C5741">
        <v>-179.09100000000001</v>
      </c>
      <c r="D5741" t="s">
        <v>14</v>
      </c>
      <c r="E5741" t="s">
        <v>53</v>
      </c>
      <c r="F5741">
        <f t="shared" si="178"/>
        <v>1965</v>
      </c>
      <c r="G5741">
        <f t="shared" si="179"/>
        <v>12</v>
      </c>
      <c r="H5741" t="str">
        <f>IF(ISNUMBER(FIND(",", E5741)), TRIM(MID(E5741, FIND(",", E5741) + 1, LEN(E5741))), E5741)</f>
        <v>Fiji region</v>
      </c>
    </row>
    <row r="5742" spans="1:8" x14ac:dyDescent="0.25">
      <c r="A5742" s="2">
        <v>24098</v>
      </c>
      <c r="B5742">
        <v>58.279000000000003</v>
      </c>
      <c r="C5742">
        <v>-153.15600000000001</v>
      </c>
      <c r="D5742" t="s">
        <v>13</v>
      </c>
      <c r="E5742" t="s">
        <v>374</v>
      </c>
      <c r="F5742">
        <f t="shared" si="178"/>
        <v>1965</v>
      </c>
      <c r="G5742">
        <f t="shared" si="179"/>
        <v>12</v>
      </c>
      <c r="H5742" t="str">
        <f>IF(ISNUMBER(FIND(",", E5742)), TRIM(MID(E5742, FIND(",", E5742) + 1, LEN(E5742))), E5742)</f>
        <v>Alaska</v>
      </c>
    </row>
    <row r="5743" spans="1:8" x14ac:dyDescent="0.25">
      <c r="A5743" s="2">
        <v>24091</v>
      </c>
      <c r="B5743">
        <v>7.593</v>
      </c>
      <c r="C5743">
        <v>-82.158000000000001</v>
      </c>
      <c r="D5743" t="s">
        <v>17</v>
      </c>
      <c r="E5743" t="s">
        <v>231</v>
      </c>
      <c r="F5743">
        <f t="shared" si="178"/>
        <v>1965</v>
      </c>
      <c r="G5743">
        <f t="shared" si="179"/>
        <v>12</v>
      </c>
      <c r="H5743" t="str">
        <f>IF(ISNUMBER(FIND(",", E5743)), TRIM(MID(E5743, FIND(",", E5743) + 1, LEN(E5743))), E5743)</f>
        <v>south of Panama</v>
      </c>
    </row>
    <row r="5744" spans="1:8" x14ac:dyDescent="0.25">
      <c r="A5744" s="2">
        <v>24089</v>
      </c>
      <c r="B5744">
        <v>44.658999999999999</v>
      </c>
      <c r="C5744">
        <v>150.18</v>
      </c>
      <c r="D5744" t="s">
        <v>17</v>
      </c>
      <c r="E5744" t="s">
        <v>317</v>
      </c>
      <c r="F5744">
        <f t="shared" si="178"/>
        <v>1965</v>
      </c>
      <c r="G5744">
        <f t="shared" si="179"/>
        <v>12</v>
      </c>
      <c r="H5744" t="str">
        <f>IF(ISNUMBER(FIND(",", E5744)), TRIM(MID(E5744, FIND(",", E5744) + 1, LEN(E5744))), E5744)</f>
        <v>east of the Kuril Islands</v>
      </c>
    </row>
    <row r="5745" spans="1:8" x14ac:dyDescent="0.25">
      <c r="A5745" s="2">
        <v>24085</v>
      </c>
      <c r="B5745">
        <v>-18.065000000000001</v>
      </c>
      <c r="C5745">
        <v>-178.077</v>
      </c>
      <c r="D5745" t="s">
        <v>14</v>
      </c>
      <c r="E5745" t="s">
        <v>53</v>
      </c>
      <c r="F5745">
        <f t="shared" si="178"/>
        <v>1965</v>
      </c>
      <c r="G5745">
        <f t="shared" si="179"/>
        <v>12</v>
      </c>
      <c r="H5745" t="str">
        <f>IF(ISNUMBER(FIND(",", E5745)), TRIM(MID(E5745, FIND(",", E5745) + 1, LEN(E5745))), E5745)</f>
        <v>Fiji region</v>
      </c>
    </row>
    <row r="5746" spans="1:8" x14ac:dyDescent="0.25">
      <c r="A5746" s="2">
        <v>24085</v>
      </c>
      <c r="B5746">
        <v>17.202000000000002</v>
      </c>
      <c r="C5746">
        <v>-100.098</v>
      </c>
      <c r="D5746" t="s">
        <v>17</v>
      </c>
      <c r="E5746" t="s">
        <v>192</v>
      </c>
      <c r="F5746">
        <f t="shared" si="178"/>
        <v>1965</v>
      </c>
      <c r="G5746">
        <f t="shared" si="179"/>
        <v>12</v>
      </c>
      <c r="H5746" t="str">
        <f>IF(ISNUMBER(FIND(",", E5746)), TRIM(MID(E5746, FIND(",", E5746) + 1, LEN(E5746))), E5746)</f>
        <v>Mexico</v>
      </c>
    </row>
    <row r="5747" spans="1:8" x14ac:dyDescent="0.25">
      <c r="A5747" s="2">
        <v>24084</v>
      </c>
      <c r="B5747">
        <v>-37.042999999999999</v>
      </c>
      <c r="C5747">
        <v>177.57499999999999</v>
      </c>
      <c r="D5747" t="s">
        <v>13</v>
      </c>
      <c r="E5747" t="s">
        <v>410</v>
      </c>
      <c r="F5747">
        <f t="shared" si="178"/>
        <v>1965</v>
      </c>
      <c r="G5747">
        <f t="shared" si="179"/>
        <v>12</v>
      </c>
      <c r="H5747" t="str">
        <f>IF(ISNUMBER(FIND(",", E5747)), TRIM(MID(E5747, FIND(",", E5747) + 1, LEN(E5747))), E5747)</f>
        <v>off the east coast of the North Island of New Zealand</v>
      </c>
    </row>
    <row r="5748" spans="1:8" x14ac:dyDescent="0.25">
      <c r="A5748" s="2">
        <v>24083</v>
      </c>
      <c r="B5748">
        <v>-6.3970000000000002</v>
      </c>
      <c r="C5748">
        <v>146.34800000000001</v>
      </c>
      <c r="D5748" t="s">
        <v>13</v>
      </c>
      <c r="E5748" t="s">
        <v>243</v>
      </c>
      <c r="F5748">
        <f t="shared" si="178"/>
        <v>1965</v>
      </c>
      <c r="G5748">
        <f t="shared" si="179"/>
        <v>12</v>
      </c>
      <c r="H5748" t="str">
        <f>IF(ISNUMBER(FIND(",", E5748)), TRIM(MID(E5748, FIND(",", E5748) + 1, LEN(E5748))), E5748)</f>
        <v>Papua New Guinea</v>
      </c>
    </row>
    <row r="5749" spans="1:8" x14ac:dyDescent="0.25">
      <c r="A5749" s="2">
        <v>24082</v>
      </c>
      <c r="B5749">
        <v>18.920000000000002</v>
      </c>
      <c r="C5749">
        <v>-107.19199999999999</v>
      </c>
      <c r="D5749" t="s">
        <v>17</v>
      </c>
      <c r="E5749" t="s">
        <v>315</v>
      </c>
      <c r="F5749">
        <f t="shared" si="178"/>
        <v>1965</v>
      </c>
      <c r="G5749">
        <f t="shared" si="179"/>
        <v>12</v>
      </c>
      <c r="H5749" t="str">
        <f>IF(ISNUMBER(FIND(",", E5749)), TRIM(MID(E5749, FIND(",", E5749) + 1, LEN(E5749))), E5749)</f>
        <v>Mexico</v>
      </c>
    </row>
    <row r="5750" spans="1:8" x14ac:dyDescent="0.25">
      <c r="A5750" s="2">
        <v>24074</v>
      </c>
      <c r="B5750">
        <v>-45.857999999999997</v>
      </c>
      <c r="C5750">
        <v>-73.037000000000006</v>
      </c>
      <c r="D5750" t="s">
        <v>17</v>
      </c>
      <c r="E5750" t="s">
        <v>426</v>
      </c>
      <c r="F5750">
        <f t="shared" si="178"/>
        <v>1965</v>
      </c>
      <c r="G5750">
        <f t="shared" si="179"/>
        <v>11</v>
      </c>
      <c r="H5750" t="str">
        <f>IF(ISNUMBER(FIND(",", E5750)), TRIM(MID(E5750, FIND(",", E5750) + 1, LEN(E5750))), E5750)</f>
        <v>Chile</v>
      </c>
    </row>
    <row r="5751" spans="1:8" x14ac:dyDescent="0.25">
      <c r="A5751" s="2">
        <v>24069</v>
      </c>
      <c r="B5751">
        <v>2.9769999999999999</v>
      </c>
      <c r="C5751">
        <v>124.795</v>
      </c>
      <c r="D5751" t="s">
        <v>17</v>
      </c>
      <c r="E5751" t="s">
        <v>203</v>
      </c>
      <c r="F5751">
        <f t="shared" si="178"/>
        <v>1965</v>
      </c>
      <c r="G5751">
        <f t="shared" si="179"/>
        <v>11</v>
      </c>
      <c r="H5751" t="str">
        <f>IF(ISNUMBER(FIND(",", E5751)), TRIM(MID(E5751, FIND(",", E5751) + 1, LEN(E5751))), E5751)</f>
        <v>Celebes Sea</v>
      </c>
    </row>
    <row r="5752" spans="1:8" x14ac:dyDescent="0.25">
      <c r="A5752" s="2">
        <v>24067</v>
      </c>
      <c r="B5752">
        <v>-6.2610000000000001</v>
      </c>
      <c r="C5752">
        <v>130.39099999999999</v>
      </c>
      <c r="D5752" t="s">
        <v>13</v>
      </c>
      <c r="E5752" t="s">
        <v>187</v>
      </c>
      <c r="F5752">
        <f t="shared" si="178"/>
        <v>1965</v>
      </c>
      <c r="G5752">
        <f t="shared" si="179"/>
        <v>11</v>
      </c>
      <c r="H5752" t="str">
        <f>IF(ISNUMBER(FIND(",", E5752)), TRIM(MID(E5752, FIND(",", E5752) + 1, LEN(E5752))), E5752)</f>
        <v>Banda Sea</v>
      </c>
    </row>
    <row r="5753" spans="1:8" x14ac:dyDescent="0.25">
      <c r="A5753" s="2">
        <v>24065</v>
      </c>
      <c r="B5753">
        <v>-29.62</v>
      </c>
      <c r="C5753">
        <v>-178.50200000000001</v>
      </c>
      <c r="D5753" t="s">
        <v>17</v>
      </c>
      <c r="E5753" t="s">
        <v>288</v>
      </c>
      <c r="F5753">
        <f t="shared" si="178"/>
        <v>1965</v>
      </c>
      <c r="G5753">
        <f t="shared" si="179"/>
        <v>11</v>
      </c>
      <c r="H5753" t="str">
        <f>IF(ISNUMBER(FIND(",", E5753)), TRIM(MID(E5753, FIND(",", E5753) + 1, LEN(E5753))), E5753)</f>
        <v>New Zealand</v>
      </c>
    </row>
    <row r="5754" spans="1:8" x14ac:dyDescent="0.25">
      <c r="A5754" s="2">
        <v>24064</v>
      </c>
      <c r="B5754">
        <v>-18.84</v>
      </c>
      <c r="C5754">
        <v>-177.726</v>
      </c>
      <c r="D5754" t="s">
        <v>14</v>
      </c>
      <c r="E5754" t="s">
        <v>53</v>
      </c>
      <c r="F5754">
        <f t="shared" si="178"/>
        <v>1965</v>
      </c>
      <c r="G5754">
        <f t="shared" si="179"/>
        <v>11</v>
      </c>
      <c r="H5754" t="str">
        <f>IF(ISNUMBER(FIND(",", E5754)), TRIM(MID(E5754, FIND(",", E5754) + 1, LEN(E5754))), E5754)</f>
        <v>Fiji region</v>
      </c>
    </row>
    <row r="5755" spans="1:8" x14ac:dyDescent="0.25">
      <c r="A5755" s="2">
        <v>24062</v>
      </c>
      <c r="B5755">
        <v>30.925000000000001</v>
      </c>
      <c r="C5755">
        <v>-41.521999999999998</v>
      </c>
      <c r="D5755" t="s">
        <v>17</v>
      </c>
      <c r="E5755" t="s">
        <v>325</v>
      </c>
      <c r="F5755">
        <f t="shared" si="178"/>
        <v>1965</v>
      </c>
      <c r="G5755">
        <f t="shared" si="179"/>
        <v>11</v>
      </c>
      <c r="H5755" t="str">
        <f>IF(ISNUMBER(FIND(",", E5755)), TRIM(MID(E5755, FIND(",", E5755) + 1, LEN(E5755))), E5755)</f>
        <v>northern Mid-Atlantic Ridge</v>
      </c>
    </row>
    <row r="5756" spans="1:8" x14ac:dyDescent="0.25">
      <c r="A5756" s="2">
        <v>24061</v>
      </c>
      <c r="B5756">
        <v>-0.35599999999999998</v>
      </c>
      <c r="C5756">
        <v>-18.658000000000001</v>
      </c>
      <c r="D5756" t="s">
        <v>17</v>
      </c>
      <c r="E5756" t="s">
        <v>291</v>
      </c>
      <c r="F5756">
        <f t="shared" si="178"/>
        <v>1965</v>
      </c>
      <c r="G5756">
        <f t="shared" si="179"/>
        <v>11</v>
      </c>
      <c r="H5756" t="str">
        <f>IF(ISNUMBER(FIND(",", E5756)), TRIM(MID(E5756, FIND(",", E5756) + 1, LEN(E5756))), E5756)</f>
        <v>central Mid-Atlantic Ridge</v>
      </c>
    </row>
    <row r="5757" spans="1:8" x14ac:dyDescent="0.25">
      <c r="A5757" s="2">
        <v>24059</v>
      </c>
      <c r="B5757">
        <v>43.841999999999999</v>
      </c>
      <c r="C5757">
        <v>87.754000000000005</v>
      </c>
      <c r="D5757" t="s">
        <v>17</v>
      </c>
      <c r="E5757" t="s">
        <v>224</v>
      </c>
      <c r="F5757">
        <f t="shared" si="178"/>
        <v>1965</v>
      </c>
      <c r="G5757">
        <f t="shared" si="179"/>
        <v>11</v>
      </c>
      <c r="H5757" t="str">
        <f>IF(ISNUMBER(FIND(",", E5757)), TRIM(MID(E5757, FIND(",", E5757) + 1, LEN(E5757))), E5757)</f>
        <v>China</v>
      </c>
    </row>
    <row r="5758" spans="1:8" x14ac:dyDescent="0.25">
      <c r="A5758" s="2">
        <v>24058</v>
      </c>
      <c r="B5758">
        <v>30.673999999999999</v>
      </c>
      <c r="C5758">
        <v>140.16900000000001</v>
      </c>
      <c r="D5758" t="s">
        <v>17</v>
      </c>
      <c r="E5758" t="s">
        <v>88</v>
      </c>
      <c r="F5758">
        <f t="shared" si="178"/>
        <v>1965</v>
      </c>
      <c r="G5758">
        <f t="shared" si="179"/>
        <v>11</v>
      </c>
      <c r="H5758" t="str">
        <f>IF(ISNUMBER(FIND(",", E5758)), TRIM(MID(E5758, FIND(",", E5758) + 1, LEN(E5758))), E5758)</f>
        <v>Japan region</v>
      </c>
    </row>
    <row r="5759" spans="1:8" x14ac:dyDescent="0.25">
      <c r="A5759" s="2">
        <v>24052</v>
      </c>
      <c r="B5759">
        <v>-22.213000000000001</v>
      </c>
      <c r="C5759">
        <v>-113.861</v>
      </c>
      <c r="D5759" t="s">
        <v>17</v>
      </c>
      <c r="E5759" t="s">
        <v>59</v>
      </c>
      <c r="F5759">
        <f t="shared" si="178"/>
        <v>1965</v>
      </c>
      <c r="G5759">
        <f t="shared" si="179"/>
        <v>11</v>
      </c>
      <c r="H5759" t="str">
        <f>IF(ISNUMBER(FIND(",", E5759)), TRIM(MID(E5759, FIND(",", E5759) + 1, LEN(E5759))), E5759)</f>
        <v>Easter Island region</v>
      </c>
    </row>
    <row r="5760" spans="1:8" x14ac:dyDescent="0.25">
      <c r="A5760" s="2">
        <v>24049</v>
      </c>
      <c r="B5760">
        <v>-22.408000000000001</v>
      </c>
      <c r="C5760">
        <v>-114.032</v>
      </c>
      <c r="D5760" t="s">
        <v>17</v>
      </c>
      <c r="E5760" t="s">
        <v>59</v>
      </c>
      <c r="F5760">
        <f t="shared" si="178"/>
        <v>1965</v>
      </c>
      <c r="G5760">
        <f t="shared" si="179"/>
        <v>11</v>
      </c>
      <c r="H5760" t="str">
        <f>IF(ISNUMBER(FIND(",", E5760)), TRIM(MID(E5760, FIND(",", E5760) + 1, LEN(E5760))), E5760)</f>
        <v>Easter Island region</v>
      </c>
    </row>
    <row r="5761" spans="1:8" x14ac:dyDescent="0.25">
      <c r="A5761" s="2">
        <v>24049</v>
      </c>
      <c r="B5761">
        <v>-9.1170000000000009</v>
      </c>
      <c r="C5761">
        <v>-71.305000000000007</v>
      </c>
      <c r="D5761" t="s">
        <v>14</v>
      </c>
      <c r="E5761" t="s">
        <v>557</v>
      </c>
      <c r="F5761">
        <f t="shared" si="178"/>
        <v>1965</v>
      </c>
      <c r="G5761">
        <f t="shared" si="179"/>
        <v>11</v>
      </c>
      <c r="H5761" t="str">
        <f>IF(ISNUMBER(FIND(",", E5761)), TRIM(MID(E5761, FIND(",", E5761) + 1, LEN(E5761))), E5761)</f>
        <v>Peru-Brazil border region</v>
      </c>
    </row>
    <row r="5762" spans="1:8" x14ac:dyDescent="0.25">
      <c r="A5762" s="2">
        <v>24040</v>
      </c>
      <c r="B5762">
        <v>44.198999999999998</v>
      </c>
      <c r="C5762">
        <v>145.38</v>
      </c>
      <c r="D5762" t="s">
        <v>13</v>
      </c>
      <c r="E5762" t="s">
        <v>265</v>
      </c>
      <c r="F5762">
        <f t="shared" ref="F5762:F5825" si="180">YEAR(A5762)</f>
        <v>1965</v>
      </c>
      <c r="G5762">
        <f t="shared" si="179"/>
        <v>10</v>
      </c>
      <c r="H5762" t="str">
        <f>IF(ISNUMBER(FIND(",", E5762)), TRIM(MID(E5762, FIND(",", E5762) + 1, LEN(E5762))), E5762)</f>
        <v>Japan region</v>
      </c>
    </row>
    <row r="5763" spans="1:8" x14ac:dyDescent="0.25">
      <c r="A5763" s="2">
        <v>24033</v>
      </c>
      <c r="B5763">
        <v>-1.361</v>
      </c>
      <c r="C5763">
        <v>127.64400000000001</v>
      </c>
      <c r="D5763" t="s">
        <v>17</v>
      </c>
      <c r="E5763" t="s">
        <v>330</v>
      </c>
      <c r="F5763">
        <f t="shared" si="180"/>
        <v>1965</v>
      </c>
      <c r="G5763">
        <f t="shared" ref="G5763:G5826" si="181">MONTH(A5763)</f>
        <v>10</v>
      </c>
      <c r="H5763" t="str">
        <f>IF(ISNUMBER(FIND(",", E5763)), TRIM(MID(E5763, FIND(",", E5763) + 1, LEN(E5763))), E5763)</f>
        <v>Indonesia</v>
      </c>
    </row>
    <row r="5764" spans="1:8" x14ac:dyDescent="0.25">
      <c r="A5764" s="2">
        <v>24018</v>
      </c>
      <c r="B5764">
        <v>-42.963999999999999</v>
      </c>
      <c r="C5764">
        <v>-75.382000000000005</v>
      </c>
      <c r="D5764" t="s">
        <v>17</v>
      </c>
      <c r="E5764" t="s">
        <v>522</v>
      </c>
      <c r="F5764">
        <f t="shared" si="180"/>
        <v>1965</v>
      </c>
      <c r="G5764">
        <f t="shared" si="181"/>
        <v>10</v>
      </c>
      <c r="H5764" t="str">
        <f>IF(ISNUMBER(FIND(",", E5764)), TRIM(MID(E5764, FIND(",", E5764) + 1, LEN(E5764))), E5764)</f>
        <v>Chile</v>
      </c>
    </row>
    <row r="5765" spans="1:8" x14ac:dyDescent="0.25">
      <c r="A5765" s="2">
        <v>24016</v>
      </c>
      <c r="B5765">
        <v>-19.913</v>
      </c>
      <c r="C5765">
        <v>174.54</v>
      </c>
      <c r="D5765" t="s">
        <v>14</v>
      </c>
      <c r="E5765" t="s">
        <v>281</v>
      </c>
      <c r="F5765">
        <f t="shared" si="180"/>
        <v>1965</v>
      </c>
      <c r="G5765">
        <f t="shared" si="181"/>
        <v>10</v>
      </c>
      <c r="H5765" t="str">
        <f>IF(ISNUMBER(FIND(",", E5765)), TRIM(MID(E5765, FIND(",", E5765) + 1, LEN(E5765))), E5765)</f>
        <v>Vanuatu region</v>
      </c>
    </row>
    <row r="5766" spans="1:8" x14ac:dyDescent="0.25">
      <c r="A5766" s="2">
        <v>24016</v>
      </c>
      <c r="B5766">
        <v>50.014000000000003</v>
      </c>
      <c r="C5766">
        <v>178.28399999999999</v>
      </c>
      <c r="D5766" t="s">
        <v>17</v>
      </c>
      <c r="E5766" t="s">
        <v>366</v>
      </c>
      <c r="F5766">
        <f t="shared" si="180"/>
        <v>1965</v>
      </c>
      <c r="G5766">
        <f t="shared" si="181"/>
        <v>10</v>
      </c>
      <c r="H5766" t="str">
        <f>IF(ISNUMBER(FIND(",", E5766)), TRIM(MID(E5766, FIND(",", E5766) + 1, LEN(E5766))), E5766)</f>
        <v>Aleutian Islands, Alaska</v>
      </c>
    </row>
    <row r="5767" spans="1:8" x14ac:dyDescent="0.25">
      <c r="A5767" s="2">
        <v>24013</v>
      </c>
      <c r="B5767">
        <v>-28.062999999999999</v>
      </c>
      <c r="C5767">
        <v>-177.833</v>
      </c>
      <c r="D5767" t="s">
        <v>17</v>
      </c>
      <c r="E5767" t="s">
        <v>240</v>
      </c>
      <c r="F5767">
        <f t="shared" si="180"/>
        <v>1965</v>
      </c>
      <c r="G5767">
        <f t="shared" si="181"/>
        <v>9</v>
      </c>
      <c r="H5767" t="str">
        <f>IF(ISNUMBER(FIND(",", E5767)), TRIM(MID(E5767, FIND(",", E5767) + 1, LEN(E5767))), E5767)</f>
        <v>Kermadec Islands region</v>
      </c>
    </row>
    <row r="5768" spans="1:8" x14ac:dyDescent="0.25">
      <c r="A5768" s="2">
        <v>24010</v>
      </c>
      <c r="B5768">
        <v>-24.509</v>
      </c>
      <c r="C5768">
        <v>-175.84700000000001</v>
      </c>
      <c r="D5768" t="s">
        <v>17</v>
      </c>
      <c r="E5768" t="s">
        <v>351</v>
      </c>
      <c r="F5768">
        <f t="shared" si="180"/>
        <v>1965</v>
      </c>
      <c r="G5768">
        <f t="shared" si="181"/>
        <v>9</v>
      </c>
      <c r="H5768" t="str">
        <f>IF(ISNUMBER(FIND(",", E5768)), TRIM(MID(E5768, FIND(",", E5768) + 1, LEN(E5768))), E5768)</f>
        <v>south of Tonga</v>
      </c>
    </row>
    <row r="5769" spans="1:8" x14ac:dyDescent="0.25">
      <c r="A5769" s="2">
        <v>24007</v>
      </c>
      <c r="B5769">
        <v>36.42</v>
      </c>
      <c r="C5769">
        <v>141.345</v>
      </c>
      <c r="D5769" t="s">
        <v>17</v>
      </c>
      <c r="E5769" t="s">
        <v>227</v>
      </c>
      <c r="F5769">
        <f t="shared" si="180"/>
        <v>1965</v>
      </c>
      <c r="G5769">
        <f t="shared" si="181"/>
        <v>9</v>
      </c>
      <c r="H5769" t="str">
        <f>IF(ISNUMBER(FIND(",", E5769)), TRIM(MID(E5769, FIND(",", E5769) + 1, LEN(E5769))), E5769)</f>
        <v>Japan</v>
      </c>
    </row>
    <row r="5770" spans="1:8" x14ac:dyDescent="0.25">
      <c r="A5770" s="2">
        <v>24006</v>
      </c>
      <c r="B5770">
        <v>28.992999999999999</v>
      </c>
      <c r="C5770">
        <v>128.18199999999999</v>
      </c>
      <c r="D5770" t="s">
        <v>13</v>
      </c>
      <c r="E5770" t="s">
        <v>340</v>
      </c>
      <c r="F5770">
        <f t="shared" si="180"/>
        <v>1965</v>
      </c>
      <c r="G5770">
        <f t="shared" si="181"/>
        <v>9</v>
      </c>
      <c r="H5770" t="str">
        <f>IF(ISNUMBER(FIND(",", E5770)), TRIM(MID(E5770, FIND(",", E5770) + 1, LEN(E5770))), E5770)</f>
        <v>Japan</v>
      </c>
    </row>
    <row r="5771" spans="1:8" x14ac:dyDescent="0.25">
      <c r="A5771" s="2">
        <v>24003</v>
      </c>
      <c r="B5771">
        <v>59.347999999999999</v>
      </c>
      <c r="C5771">
        <v>-145.25800000000001</v>
      </c>
      <c r="D5771" t="s">
        <v>17</v>
      </c>
      <c r="E5771" t="s">
        <v>195</v>
      </c>
      <c r="F5771">
        <f t="shared" si="180"/>
        <v>1965</v>
      </c>
      <c r="G5771">
        <f t="shared" si="181"/>
        <v>9</v>
      </c>
      <c r="H5771" t="str">
        <f>IF(ISNUMBER(FIND(",", E5771)), TRIM(MID(E5771, FIND(",", E5771) + 1, LEN(E5771))), E5771)</f>
        <v>Gulf of Alaska</v>
      </c>
    </row>
    <row r="5772" spans="1:8" x14ac:dyDescent="0.25">
      <c r="A5772" s="2">
        <v>24002</v>
      </c>
      <c r="B5772">
        <v>36.335000000000001</v>
      </c>
      <c r="C5772">
        <v>141.333</v>
      </c>
      <c r="D5772" t="s">
        <v>17</v>
      </c>
      <c r="E5772" t="s">
        <v>227</v>
      </c>
      <c r="F5772">
        <f t="shared" si="180"/>
        <v>1965</v>
      </c>
      <c r="G5772">
        <f t="shared" si="181"/>
        <v>9</v>
      </c>
      <c r="H5772" t="str">
        <f>IF(ISNUMBER(FIND(",", E5772)), TRIM(MID(E5772, FIND(",", E5772) + 1, LEN(E5772))), E5772)</f>
        <v>Japan</v>
      </c>
    </row>
    <row r="5773" spans="1:8" x14ac:dyDescent="0.25">
      <c r="A5773" s="2">
        <v>23997</v>
      </c>
      <c r="B5773">
        <v>-6.4770000000000003</v>
      </c>
      <c r="C5773">
        <v>70.745000000000005</v>
      </c>
      <c r="D5773" t="s">
        <v>17</v>
      </c>
      <c r="E5773" t="s">
        <v>600</v>
      </c>
      <c r="F5773">
        <f t="shared" si="180"/>
        <v>1965</v>
      </c>
      <c r="G5773">
        <f t="shared" si="181"/>
        <v>9</v>
      </c>
      <c r="H5773" t="str">
        <f>IF(ISNUMBER(FIND(",", E5773)), TRIM(MID(E5773, FIND(",", E5773) + 1, LEN(E5773))), E5773)</f>
        <v>Chagos Archipelago region</v>
      </c>
    </row>
    <row r="5774" spans="1:8" x14ac:dyDescent="0.25">
      <c r="A5774" s="2">
        <v>23997</v>
      </c>
      <c r="B5774">
        <v>-6.351</v>
      </c>
      <c r="C5774">
        <v>151.679</v>
      </c>
      <c r="D5774" t="s">
        <v>17</v>
      </c>
      <c r="E5774" t="s">
        <v>190</v>
      </c>
      <c r="F5774">
        <f t="shared" si="180"/>
        <v>1965</v>
      </c>
      <c r="G5774">
        <f t="shared" si="181"/>
        <v>9</v>
      </c>
      <c r="H5774" t="str">
        <f>IF(ISNUMBER(FIND(",", E5774)), TRIM(MID(E5774, FIND(",", E5774) + 1, LEN(E5774))), E5774)</f>
        <v>Papua New Guinea</v>
      </c>
    </row>
    <row r="5775" spans="1:8" x14ac:dyDescent="0.25">
      <c r="A5775" s="2">
        <v>23996</v>
      </c>
      <c r="B5775">
        <v>-5.3209999999999997</v>
      </c>
      <c r="C5775">
        <v>153.071</v>
      </c>
      <c r="D5775" t="s">
        <v>17</v>
      </c>
      <c r="E5775" t="s">
        <v>183</v>
      </c>
      <c r="F5775">
        <f t="shared" si="180"/>
        <v>1965</v>
      </c>
      <c r="G5775">
        <f t="shared" si="181"/>
        <v>9</v>
      </c>
      <c r="H5775" t="str">
        <f>IF(ISNUMBER(FIND(",", E5775)), TRIM(MID(E5775, FIND(",", E5775) + 1, LEN(E5775))), E5775)</f>
        <v>Papua New Guinea</v>
      </c>
    </row>
    <row r="5776" spans="1:8" x14ac:dyDescent="0.25">
      <c r="A5776" s="2">
        <v>23994</v>
      </c>
      <c r="B5776">
        <v>6.4969999999999999</v>
      </c>
      <c r="C5776">
        <v>-84.462999999999994</v>
      </c>
      <c r="D5776" t="s">
        <v>17</v>
      </c>
      <c r="E5776" t="s">
        <v>617</v>
      </c>
      <c r="F5776">
        <f t="shared" si="180"/>
        <v>1965</v>
      </c>
      <c r="G5776">
        <f t="shared" si="181"/>
        <v>9</v>
      </c>
      <c r="H5776" t="str">
        <f>IF(ISNUMBER(FIND(",", E5776)), TRIM(MID(E5776, FIND(",", E5776) + 1, LEN(E5776))), E5776)</f>
        <v>off the coast of Central America</v>
      </c>
    </row>
    <row r="5777" spans="1:8" x14ac:dyDescent="0.25">
      <c r="A5777" s="2">
        <v>23989</v>
      </c>
      <c r="B5777">
        <v>58.176000000000002</v>
      </c>
      <c r="C5777">
        <v>-152.63399999999999</v>
      </c>
      <c r="D5777" t="s">
        <v>14</v>
      </c>
      <c r="E5777" t="s">
        <v>374</v>
      </c>
      <c r="F5777">
        <f t="shared" si="180"/>
        <v>1965</v>
      </c>
      <c r="G5777">
        <f t="shared" si="181"/>
        <v>9</v>
      </c>
      <c r="H5777" t="str">
        <f>IF(ISNUMBER(FIND(",", E5777)), TRIM(MID(E5777, FIND(",", E5777) + 1, LEN(E5777))), E5777)</f>
        <v>Alaska</v>
      </c>
    </row>
    <row r="5778" spans="1:8" x14ac:dyDescent="0.25">
      <c r="A5778" s="2">
        <v>23977</v>
      </c>
      <c r="B5778">
        <v>16.175999999999998</v>
      </c>
      <c r="C5778">
        <v>-95.846000000000004</v>
      </c>
      <c r="D5778" t="s">
        <v>16</v>
      </c>
      <c r="E5778" t="s">
        <v>251</v>
      </c>
      <c r="F5778">
        <f t="shared" si="180"/>
        <v>1965</v>
      </c>
      <c r="G5778">
        <f t="shared" si="181"/>
        <v>8</v>
      </c>
      <c r="H5778" t="str">
        <f>IF(ISNUMBER(FIND(",", E5778)), TRIM(MID(E5778, FIND(",", E5778) + 1, LEN(E5778))), E5778)</f>
        <v>Mexico</v>
      </c>
    </row>
    <row r="5779" spans="1:8" x14ac:dyDescent="0.25">
      <c r="A5779" s="2">
        <v>23974</v>
      </c>
      <c r="B5779">
        <v>-22.84</v>
      </c>
      <c r="C5779">
        <v>-176.1</v>
      </c>
      <c r="D5779" t="s">
        <v>13</v>
      </c>
      <c r="E5779" t="s">
        <v>256</v>
      </c>
      <c r="F5779">
        <f t="shared" si="180"/>
        <v>1965</v>
      </c>
      <c r="G5779">
        <f t="shared" si="181"/>
        <v>8</v>
      </c>
      <c r="H5779" t="str">
        <f>IF(ISNUMBER(FIND(",", E5779)), TRIM(MID(E5779, FIND(",", E5779) + 1, LEN(E5779))), E5779)</f>
        <v>south of the Fiji Islands</v>
      </c>
    </row>
    <row r="5780" spans="1:8" x14ac:dyDescent="0.25">
      <c r="A5780" s="2">
        <v>23974</v>
      </c>
      <c r="B5780">
        <v>-5.7750000000000004</v>
      </c>
      <c r="C5780">
        <v>128.602</v>
      </c>
      <c r="D5780" t="s">
        <v>14</v>
      </c>
      <c r="E5780" t="s">
        <v>187</v>
      </c>
      <c r="F5780">
        <f t="shared" si="180"/>
        <v>1965</v>
      </c>
      <c r="G5780">
        <f t="shared" si="181"/>
        <v>8</v>
      </c>
      <c r="H5780" t="str">
        <f>IF(ISNUMBER(FIND(",", E5780)), TRIM(MID(E5780, FIND(",", E5780) + 1, LEN(E5780))), E5780)</f>
        <v>Banda Sea</v>
      </c>
    </row>
    <row r="5781" spans="1:8" x14ac:dyDescent="0.25">
      <c r="A5781" s="2">
        <v>23970</v>
      </c>
      <c r="B5781">
        <v>-0.55800000000000005</v>
      </c>
      <c r="C5781">
        <v>-19.949000000000002</v>
      </c>
      <c r="D5781" t="s">
        <v>13</v>
      </c>
      <c r="E5781" t="s">
        <v>291</v>
      </c>
      <c r="F5781">
        <f t="shared" si="180"/>
        <v>1965</v>
      </c>
      <c r="G5781">
        <f t="shared" si="181"/>
        <v>8</v>
      </c>
      <c r="H5781" t="str">
        <f>IF(ISNUMBER(FIND(",", E5781)), TRIM(MID(E5781, FIND(",", E5781) + 1, LEN(E5781))), E5781)</f>
        <v>central Mid-Atlantic Ridge</v>
      </c>
    </row>
    <row r="5782" spans="1:8" x14ac:dyDescent="0.25">
      <c r="A5782" s="2">
        <v>23967</v>
      </c>
      <c r="B5782">
        <v>-15.811</v>
      </c>
      <c r="C5782">
        <v>166.96199999999999</v>
      </c>
      <c r="D5782" t="s">
        <v>14</v>
      </c>
      <c r="E5782" t="s">
        <v>181</v>
      </c>
      <c r="F5782">
        <f t="shared" si="180"/>
        <v>1965</v>
      </c>
      <c r="G5782">
        <f t="shared" si="181"/>
        <v>8</v>
      </c>
      <c r="H5782" t="str">
        <f>IF(ISNUMBER(FIND(",", E5782)), TRIM(MID(E5782, FIND(",", E5782) + 1, LEN(E5782))), E5782)</f>
        <v>Vanuatu</v>
      </c>
    </row>
    <row r="5783" spans="1:8" x14ac:dyDescent="0.25">
      <c r="A5783" s="2">
        <v>23966</v>
      </c>
      <c r="B5783">
        <v>-5.21</v>
      </c>
      <c r="C5783">
        <v>152.19800000000001</v>
      </c>
      <c r="D5783" t="s">
        <v>17</v>
      </c>
      <c r="E5783" t="s">
        <v>190</v>
      </c>
      <c r="F5783">
        <f t="shared" si="180"/>
        <v>1965</v>
      </c>
      <c r="G5783">
        <f t="shared" si="181"/>
        <v>8</v>
      </c>
      <c r="H5783" t="str">
        <f>IF(ISNUMBER(FIND(",", E5783)), TRIM(MID(E5783, FIND(",", E5783) + 1, LEN(E5783))), E5783)</f>
        <v>Papua New Guinea</v>
      </c>
    </row>
    <row r="5784" spans="1:8" x14ac:dyDescent="0.25">
      <c r="A5784" s="2">
        <v>23966</v>
      </c>
      <c r="B5784">
        <v>-15.927</v>
      </c>
      <c r="C5784">
        <v>167.489</v>
      </c>
      <c r="D5784" t="s">
        <v>17</v>
      </c>
      <c r="E5784" t="s">
        <v>181</v>
      </c>
      <c r="F5784">
        <f t="shared" si="180"/>
        <v>1965</v>
      </c>
      <c r="G5784">
        <f t="shared" si="181"/>
        <v>8</v>
      </c>
      <c r="H5784" t="str">
        <f>IF(ISNUMBER(FIND(",", E5784)), TRIM(MID(E5784, FIND(",", E5784) + 1, LEN(E5784))), E5784)</f>
        <v>Vanuatu</v>
      </c>
    </row>
    <row r="5785" spans="1:8" x14ac:dyDescent="0.25">
      <c r="A5785" s="2">
        <v>23965</v>
      </c>
      <c r="B5785">
        <v>-15.797000000000001</v>
      </c>
      <c r="C5785">
        <v>167.25899999999999</v>
      </c>
      <c r="D5785" t="s">
        <v>16</v>
      </c>
      <c r="E5785" t="s">
        <v>181</v>
      </c>
      <c r="F5785">
        <f t="shared" si="180"/>
        <v>1965</v>
      </c>
      <c r="G5785">
        <f t="shared" si="181"/>
        <v>8</v>
      </c>
      <c r="H5785" t="str">
        <f>IF(ISNUMBER(FIND(",", E5785)), TRIM(MID(E5785, FIND(",", E5785) + 1, LEN(E5785))), E5785)</f>
        <v>Vanuatu</v>
      </c>
    </row>
    <row r="5786" spans="1:8" x14ac:dyDescent="0.25">
      <c r="A5786" s="2">
        <v>23965</v>
      </c>
      <c r="B5786">
        <v>-15.765000000000001</v>
      </c>
      <c r="C5786">
        <v>167.16200000000001</v>
      </c>
      <c r="D5786" t="s">
        <v>17</v>
      </c>
      <c r="E5786" t="s">
        <v>181</v>
      </c>
      <c r="F5786">
        <f t="shared" si="180"/>
        <v>1965</v>
      </c>
      <c r="G5786">
        <f t="shared" si="181"/>
        <v>8</v>
      </c>
      <c r="H5786" t="str">
        <f>IF(ISNUMBER(FIND(",", E5786)), TRIM(MID(E5786, FIND(",", E5786) + 1, LEN(E5786))), E5786)</f>
        <v>Vanuatu</v>
      </c>
    </row>
    <row r="5787" spans="1:8" x14ac:dyDescent="0.25">
      <c r="A5787" s="2">
        <v>23965</v>
      </c>
      <c r="B5787">
        <v>-15.654</v>
      </c>
      <c r="C5787">
        <v>167.12700000000001</v>
      </c>
      <c r="D5787" t="s">
        <v>17</v>
      </c>
      <c r="E5787" t="s">
        <v>181</v>
      </c>
      <c r="F5787">
        <f t="shared" si="180"/>
        <v>1965</v>
      </c>
      <c r="G5787">
        <f t="shared" si="181"/>
        <v>8</v>
      </c>
      <c r="H5787" t="str">
        <f>IF(ISNUMBER(FIND(",", E5787)), TRIM(MID(E5787, FIND(",", E5787) + 1, LEN(E5787))), E5787)</f>
        <v>Vanuatu</v>
      </c>
    </row>
    <row r="5788" spans="1:8" x14ac:dyDescent="0.25">
      <c r="A5788" s="2">
        <v>23965</v>
      </c>
      <c r="B5788">
        <v>-15.47</v>
      </c>
      <c r="C5788">
        <v>166.98500000000001</v>
      </c>
      <c r="D5788" t="s">
        <v>16</v>
      </c>
      <c r="E5788" t="s">
        <v>181</v>
      </c>
      <c r="F5788">
        <f t="shared" si="180"/>
        <v>1965</v>
      </c>
      <c r="G5788">
        <f t="shared" si="181"/>
        <v>8</v>
      </c>
      <c r="H5788" t="str">
        <f>IF(ISNUMBER(FIND(",", E5788)), TRIM(MID(E5788, FIND(",", E5788) + 1, LEN(E5788))), E5788)</f>
        <v>Vanuatu</v>
      </c>
    </row>
    <row r="5789" spans="1:8" x14ac:dyDescent="0.25">
      <c r="A5789" s="2">
        <v>23959</v>
      </c>
      <c r="B5789">
        <v>-5.2149999999999999</v>
      </c>
      <c r="C5789">
        <v>151.72200000000001</v>
      </c>
      <c r="D5789" t="s">
        <v>17</v>
      </c>
      <c r="E5789" t="s">
        <v>190</v>
      </c>
      <c r="F5789">
        <f t="shared" si="180"/>
        <v>1965</v>
      </c>
      <c r="G5789">
        <f t="shared" si="181"/>
        <v>8</v>
      </c>
      <c r="H5789" t="str">
        <f>IF(ISNUMBER(FIND(",", E5789)), TRIM(MID(E5789, FIND(",", E5789) + 1, LEN(E5789))), E5789)</f>
        <v>Papua New Guinea</v>
      </c>
    </row>
    <row r="5790" spans="1:8" x14ac:dyDescent="0.25">
      <c r="A5790" s="2">
        <v>23956</v>
      </c>
      <c r="B5790">
        <v>-56.076999999999998</v>
      </c>
      <c r="C5790">
        <v>157.84100000000001</v>
      </c>
      <c r="D5790" t="s">
        <v>14</v>
      </c>
      <c r="E5790" t="s">
        <v>350</v>
      </c>
      <c r="F5790">
        <f t="shared" si="180"/>
        <v>1965</v>
      </c>
      <c r="G5790">
        <f t="shared" si="181"/>
        <v>8</v>
      </c>
      <c r="H5790" t="str">
        <f>IF(ISNUMBER(FIND(",", E5790)), TRIM(MID(E5790, FIND(",", E5790) + 1, LEN(E5790))), E5790)</f>
        <v>Macquarie Island region</v>
      </c>
    </row>
    <row r="5791" spans="1:8" x14ac:dyDescent="0.25">
      <c r="A5791" s="2">
        <v>23952</v>
      </c>
      <c r="B5791">
        <v>51.02</v>
      </c>
      <c r="C5791">
        <v>-171.30600000000001</v>
      </c>
      <c r="D5791" t="s">
        <v>14</v>
      </c>
      <c r="E5791" t="s">
        <v>219</v>
      </c>
      <c r="F5791">
        <f t="shared" si="180"/>
        <v>1965</v>
      </c>
      <c r="G5791">
        <f t="shared" si="181"/>
        <v>7</v>
      </c>
      <c r="H5791" t="str">
        <f>IF(ISNUMBER(FIND(",", E5791)), TRIM(MID(E5791, FIND(",", E5791) + 1, LEN(E5791))), E5791)</f>
        <v>Aleutian Islands, Alaska</v>
      </c>
    </row>
    <row r="5792" spans="1:8" x14ac:dyDescent="0.25">
      <c r="A5792" s="2">
        <v>23944</v>
      </c>
      <c r="B5792">
        <v>-20.765000000000001</v>
      </c>
      <c r="C5792">
        <v>-175.62</v>
      </c>
      <c r="D5792" t="s">
        <v>17</v>
      </c>
      <c r="E5792" t="s">
        <v>239</v>
      </c>
      <c r="F5792">
        <f t="shared" si="180"/>
        <v>1965</v>
      </c>
      <c r="G5792">
        <f t="shared" si="181"/>
        <v>7</v>
      </c>
      <c r="H5792" t="str">
        <f>IF(ISNUMBER(FIND(",", E5792)), TRIM(MID(E5792, FIND(",", E5792) + 1, LEN(E5792))), E5792)</f>
        <v>Tonga</v>
      </c>
    </row>
    <row r="5793" spans="1:8" x14ac:dyDescent="0.25">
      <c r="A5793" s="2">
        <v>23929</v>
      </c>
      <c r="B5793">
        <v>-4.5119999999999996</v>
      </c>
      <c r="C5793">
        <v>155.1</v>
      </c>
      <c r="D5793" t="s">
        <v>14</v>
      </c>
      <c r="E5793" t="s">
        <v>290</v>
      </c>
      <c r="F5793">
        <f t="shared" si="180"/>
        <v>1965</v>
      </c>
      <c r="G5793">
        <f t="shared" si="181"/>
        <v>7</v>
      </c>
      <c r="H5793" t="str">
        <f>IF(ISNUMBER(FIND(",", E5793)), TRIM(MID(E5793, FIND(",", E5793) + 1, LEN(E5793))), E5793)</f>
        <v>Papua New Guinea</v>
      </c>
    </row>
    <row r="5794" spans="1:8" x14ac:dyDescent="0.25">
      <c r="A5794" s="2">
        <v>23925</v>
      </c>
      <c r="B5794">
        <v>52.975000000000001</v>
      </c>
      <c r="C5794">
        <v>-167.571</v>
      </c>
      <c r="D5794" t="s">
        <v>14</v>
      </c>
      <c r="E5794" t="s">
        <v>219</v>
      </c>
      <c r="F5794">
        <f t="shared" si="180"/>
        <v>1965</v>
      </c>
      <c r="G5794">
        <f t="shared" si="181"/>
        <v>7</v>
      </c>
      <c r="H5794" t="str">
        <f>IF(ISNUMBER(FIND(",", E5794)), TRIM(MID(E5794, FIND(",", E5794) + 1, LEN(E5794))), E5794)</f>
        <v>Aleutian Islands, Alaska</v>
      </c>
    </row>
    <row r="5795" spans="1:8" x14ac:dyDescent="0.25">
      <c r="A5795" s="2">
        <v>23924</v>
      </c>
      <c r="B5795">
        <v>-63.082999999999998</v>
      </c>
      <c r="C5795">
        <v>-163.41399999999999</v>
      </c>
      <c r="D5795" t="s">
        <v>17</v>
      </c>
      <c r="E5795" t="s">
        <v>179</v>
      </c>
      <c r="F5795">
        <f t="shared" si="180"/>
        <v>1965</v>
      </c>
      <c r="G5795">
        <f t="shared" si="181"/>
        <v>7</v>
      </c>
      <c r="H5795" t="str">
        <f>IF(ISNUMBER(FIND(",", E5795)), TRIM(MID(E5795, FIND(",", E5795) + 1, LEN(E5795))), E5795)</f>
        <v>Pacific-Antarctic Ridge</v>
      </c>
    </row>
    <row r="5796" spans="1:8" x14ac:dyDescent="0.25">
      <c r="A5796" s="2">
        <v>23923</v>
      </c>
      <c r="B5796">
        <v>-1.708</v>
      </c>
      <c r="C5796">
        <v>126.556</v>
      </c>
      <c r="D5796" t="s">
        <v>17</v>
      </c>
      <c r="E5796" t="s">
        <v>429</v>
      </c>
      <c r="F5796">
        <f t="shared" si="180"/>
        <v>1965</v>
      </c>
      <c r="G5796">
        <f t="shared" si="181"/>
        <v>6</v>
      </c>
      <c r="H5796" t="str">
        <f>IF(ISNUMBER(FIND(",", E5796)), TRIM(MID(E5796, FIND(",", E5796) + 1, LEN(E5796))), E5796)</f>
        <v>Indonesia</v>
      </c>
    </row>
    <row r="5797" spans="1:8" x14ac:dyDescent="0.25">
      <c r="A5797" s="2">
        <v>23916</v>
      </c>
      <c r="B5797">
        <v>56.493000000000002</v>
      </c>
      <c r="C5797">
        <v>-152.834</v>
      </c>
      <c r="D5797" t="s">
        <v>17</v>
      </c>
      <c r="E5797" t="s">
        <v>374</v>
      </c>
      <c r="F5797">
        <f t="shared" si="180"/>
        <v>1965</v>
      </c>
      <c r="G5797">
        <f t="shared" si="181"/>
        <v>6</v>
      </c>
      <c r="H5797" t="str">
        <f>IF(ISNUMBER(FIND(",", E5797)), TRIM(MID(E5797, FIND(",", E5797) + 1, LEN(E5797))), E5797)</f>
        <v>Alaska</v>
      </c>
    </row>
    <row r="5798" spans="1:8" x14ac:dyDescent="0.25">
      <c r="A5798" s="2">
        <v>23908</v>
      </c>
      <c r="B5798">
        <v>-20.864000000000001</v>
      </c>
      <c r="C5798">
        <v>173.88</v>
      </c>
      <c r="D5798" t="s">
        <v>17</v>
      </c>
      <c r="E5798" t="s">
        <v>281</v>
      </c>
      <c r="F5798">
        <f t="shared" si="180"/>
        <v>1965</v>
      </c>
      <c r="G5798">
        <f t="shared" si="181"/>
        <v>6</v>
      </c>
      <c r="H5798" t="str">
        <f>IF(ISNUMBER(FIND(",", E5798)), TRIM(MID(E5798, FIND(",", E5798) + 1, LEN(E5798))), E5798)</f>
        <v>Vanuatu region</v>
      </c>
    </row>
    <row r="5799" spans="1:8" x14ac:dyDescent="0.25">
      <c r="A5799" s="2">
        <v>23904</v>
      </c>
      <c r="B5799">
        <v>44.612000000000002</v>
      </c>
      <c r="C5799">
        <v>148.93600000000001</v>
      </c>
      <c r="D5799" t="s">
        <v>16</v>
      </c>
      <c r="E5799" t="s">
        <v>191</v>
      </c>
      <c r="F5799">
        <f t="shared" si="180"/>
        <v>1965</v>
      </c>
      <c r="G5799">
        <f t="shared" si="181"/>
        <v>6</v>
      </c>
      <c r="H5799" t="str">
        <f>IF(ISNUMBER(FIND(",", E5799)), TRIM(MID(E5799, FIND(",", E5799) + 1, LEN(E5799))), E5799)</f>
        <v>Kuril Islands</v>
      </c>
    </row>
    <row r="5800" spans="1:8" x14ac:dyDescent="0.25">
      <c r="A5800" s="2">
        <v>23885</v>
      </c>
      <c r="B5800">
        <v>52.16</v>
      </c>
      <c r="C5800">
        <v>175.16499999999999</v>
      </c>
      <c r="D5800" t="s">
        <v>17</v>
      </c>
      <c r="E5800" t="s">
        <v>366</v>
      </c>
      <c r="F5800">
        <f t="shared" si="180"/>
        <v>1965</v>
      </c>
      <c r="G5800">
        <f t="shared" si="181"/>
        <v>5</v>
      </c>
      <c r="H5800" t="str">
        <f>IF(ISNUMBER(FIND(",", E5800)), TRIM(MID(E5800, FIND(",", E5800) + 1, LEN(E5800))), E5800)</f>
        <v>Aleutian Islands, Alaska</v>
      </c>
    </row>
    <row r="5801" spans="1:8" x14ac:dyDescent="0.25">
      <c r="A5801" s="2">
        <v>23884</v>
      </c>
      <c r="B5801">
        <v>-21.111000000000001</v>
      </c>
      <c r="C5801">
        <v>-178.53700000000001</v>
      </c>
      <c r="D5801" t="s">
        <v>14</v>
      </c>
      <c r="E5801" t="s">
        <v>53</v>
      </c>
      <c r="F5801">
        <f t="shared" si="180"/>
        <v>1965</v>
      </c>
      <c r="G5801">
        <f t="shared" si="181"/>
        <v>5</v>
      </c>
      <c r="H5801" t="str">
        <f>IF(ISNUMBER(FIND(",", E5801)), TRIM(MID(E5801, FIND(",", E5801) + 1, LEN(E5801))), E5801)</f>
        <v>Fiji region</v>
      </c>
    </row>
    <row r="5802" spans="1:8" x14ac:dyDescent="0.25">
      <c r="A5802" s="2">
        <v>23882</v>
      </c>
      <c r="B5802">
        <v>-14.643000000000001</v>
      </c>
      <c r="C5802">
        <v>167.50399999999999</v>
      </c>
      <c r="D5802" t="s">
        <v>16</v>
      </c>
      <c r="E5802" t="s">
        <v>181</v>
      </c>
      <c r="F5802">
        <f t="shared" si="180"/>
        <v>1965</v>
      </c>
      <c r="G5802">
        <f t="shared" si="181"/>
        <v>5</v>
      </c>
      <c r="H5802" t="str">
        <f>IF(ISNUMBER(FIND(",", E5802)), TRIM(MID(E5802, FIND(",", E5802) + 1, LEN(E5802))), E5802)</f>
        <v>Vanuatu</v>
      </c>
    </row>
    <row r="5803" spans="1:8" x14ac:dyDescent="0.25">
      <c r="A5803" s="2">
        <v>23879</v>
      </c>
      <c r="B5803">
        <v>22.437999999999999</v>
      </c>
      <c r="C5803">
        <v>121.277</v>
      </c>
      <c r="D5803" t="s">
        <v>13</v>
      </c>
      <c r="E5803" t="s">
        <v>363</v>
      </c>
      <c r="F5803">
        <f t="shared" si="180"/>
        <v>1965</v>
      </c>
      <c r="G5803">
        <f t="shared" si="181"/>
        <v>5</v>
      </c>
      <c r="H5803" t="str">
        <f>IF(ISNUMBER(FIND(",", E5803)), TRIM(MID(E5803, FIND(",", E5803) + 1, LEN(E5803))), E5803)</f>
        <v>Taiwan region</v>
      </c>
    </row>
    <row r="5804" spans="1:8" x14ac:dyDescent="0.25">
      <c r="A5804" s="2">
        <v>23861</v>
      </c>
      <c r="B5804">
        <v>47.317</v>
      </c>
      <c r="C5804">
        <v>-122.333</v>
      </c>
      <c r="D5804" t="s">
        <v>13</v>
      </c>
      <c r="E5804" t="s">
        <v>503</v>
      </c>
      <c r="F5804">
        <f t="shared" si="180"/>
        <v>1965</v>
      </c>
      <c r="G5804">
        <f t="shared" si="181"/>
        <v>4</v>
      </c>
      <c r="H5804" t="str">
        <f>IF(ISNUMBER(FIND(",", E5804)), TRIM(MID(E5804, FIND(",", E5804) + 1, LEN(E5804))), E5804)</f>
        <v>Washington</v>
      </c>
    </row>
    <row r="5805" spans="1:8" x14ac:dyDescent="0.25">
      <c r="A5805" s="2">
        <v>23850</v>
      </c>
      <c r="B5805">
        <v>-59.802999999999997</v>
      </c>
      <c r="C5805">
        <v>-26.419</v>
      </c>
      <c r="D5805" t="s">
        <v>17</v>
      </c>
      <c r="E5805" t="s">
        <v>260</v>
      </c>
      <c r="F5805">
        <f t="shared" si="180"/>
        <v>1965</v>
      </c>
      <c r="G5805">
        <f t="shared" si="181"/>
        <v>4</v>
      </c>
      <c r="H5805" t="str">
        <f>IF(ISNUMBER(FIND(",", E5805)), TRIM(MID(E5805, FIND(",", E5805) + 1, LEN(E5805))), E5805)</f>
        <v>South Sandwich Islands region</v>
      </c>
    </row>
    <row r="5806" spans="1:8" x14ac:dyDescent="0.25">
      <c r="A5806" s="2">
        <v>23850</v>
      </c>
      <c r="B5806">
        <v>-59.805999999999997</v>
      </c>
      <c r="C5806">
        <v>-26.483000000000001</v>
      </c>
      <c r="D5806" t="s">
        <v>17</v>
      </c>
      <c r="E5806" t="s">
        <v>260</v>
      </c>
      <c r="F5806">
        <f t="shared" si="180"/>
        <v>1965</v>
      </c>
      <c r="G5806">
        <f t="shared" si="181"/>
        <v>4</v>
      </c>
      <c r="H5806" t="str">
        <f>IF(ISNUMBER(FIND(",", E5806)), TRIM(MID(E5806, FIND(",", E5806) + 1, LEN(E5806))), E5806)</f>
        <v>South Sandwich Islands region</v>
      </c>
    </row>
    <row r="5807" spans="1:8" x14ac:dyDescent="0.25">
      <c r="A5807" s="2">
        <v>23843</v>
      </c>
      <c r="B5807">
        <v>-42.686999999999998</v>
      </c>
      <c r="C5807">
        <v>174.14099999999999</v>
      </c>
      <c r="D5807" t="s">
        <v>13</v>
      </c>
      <c r="E5807" t="s">
        <v>674</v>
      </c>
      <c r="F5807">
        <f t="shared" si="180"/>
        <v>1965</v>
      </c>
      <c r="G5807">
        <f t="shared" si="181"/>
        <v>4</v>
      </c>
      <c r="H5807" t="str">
        <f>IF(ISNUMBER(FIND(",", E5807)), TRIM(MID(E5807, FIND(",", E5807) + 1, LEN(E5807))), E5807)</f>
        <v>off the east coast of the South Island of New Zealand</v>
      </c>
    </row>
    <row r="5808" spans="1:8" x14ac:dyDescent="0.25">
      <c r="A5808" s="2">
        <v>23842</v>
      </c>
      <c r="B5808">
        <v>-13.468999999999999</v>
      </c>
      <c r="C5808">
        <v>170.37700000000001</v>
      </c>
      <c r="D5808" t="s">
        <v>14</v>
      </c>
      <c r="E5808" t="s">
        <v>281</v>
      </c>
      <c r="F5808">
        <f t="shared" si="180"/>
        <v>1965</v>
      </c>
      <c r="G5808">
        <f t="shared" si="181"/>
        <v>4</v>
      </c>
      <c r="H5808" t="str">
        <f>IF(ISNUMBER(FIND(",", E5808)), TRIM(MID(E5808, FIND(",", E5808) + 1, LEN(E5808))), E5808)</f>
        <v>Vanuatu region</v>
      </c>
    </row>
    <row r="5809" spans="1:8" x14ac:dyDescent="0.25">
      <c r="A5809" s="2">
        <v>23842</v>
      </c>
      <c r="B5809">
        <v>-17.887</v>
      </c>
      <c r="C5809">
        <v>-178.696</v>
      </c>
      <c r="D5809" t="s">
        <v>14</v>
      </c>
      <c r="E5809" t="s">
        <v>53</v>
      </c>
      <c r="F5809">
        <f t="shared" si="180"/>
        <v>1965</v>
      </c>
      <c r="G5809">
        <f t="shared" si="181"/>
        <v>4</v>
      </c>
      <c r="H5809" t="str">
        <f>IF(ISNUMBER(FIND(",", E5809)), TRIM(MID(E5809, FIND(",", E5809) + 1, LEN(E5809))), E5809)</f>
        <v>Fiji region</v>
      </c>
    </row>
    <row r="5810" spans="1:8" x14ac:dyDescent="0.25">
      <c r="A5810" s="2">
        <v>23840</v>
      </c>
      <c r="B5810">
        <v>-57.569000000000003</v>
      </c>
      <c r="C5810">
        <v>-28.888000000000002</v>
      </c>
      <c r="D5810" t="s">
        <v>13</v>
      </c>
      <c r="E5810" t="s">
        <v>260</v>
      </c>
      <c r="F5810">
        <f t="shared" si="180"/>
        <v>1965</v>
      </c>
      <c r="G5810">
        <f t="shared" si="181"/>
        <v>4</v>
      </c>
      <c r="H5810" t="str">
        <f>IF(ISNUMBER(FIND(",", E5810)), TRIM(MID(E5810, FIND(",", E5810) + 1, LEN(E5810))), E5810)</f>
        <v>South Sandwich Islands region</v>
      </c>
    </row>
    <row r="5811" spans="1:8" x14ac:dyDescent="0.25">
      <c r="A5811" s="2">
        <v>23838</v>
      </c>
      <c r="B5811">
        <v>-0.499</v>
      </c>
      <c r="C5811">
        <v>119.919</v>
      </c>
      <c r="D5811" t="s">
        <v>17</v>
      </c>
      <c r="E5811" t="s">
        <v>263</v>
      </c>
      <c r="F5811">
        <f t="shared" si="180"/>
        <v>1965</v>
      </c>
      <c r="G5811">
        <f t="shared" si="181"/>
        <v>4</v>
      </c>
      <c r="H5811" t="str">
        <f>IF(ISNUMBER(FIND(",", E5811)), TRIM(MID(E5811, FIND(",", E5811) + 1, LEN(E5811))), E5811)</f>
        <v>Sulawesi, Indonesia</v>
      </c>
    </row>
    <row r="5812" spans="1:8" x14ac:dyDescent="0.25">
      <c r="A5812" s="2">
        <v>23836</v>
      </c>
      <c r="B5812">
        <v>-26.901</v>
      </c>
      <c r="C5812">
        <v>-176.03700000000001</v>
      </c>
      <c r="D5812" t="s">
        <v>17</v>
      </c>
      <c r="E5812" t="s">
        <v>256</v>
      </c>
      <c r="F5812">
        <f t="shared" si="180"/>
        <v>1965</v>
      </c>
      <c r="G5812">
        <f t="shared" si="181"/>
        <v>4</v>
      </c>
      <c r="H5812" t="str">
        <f>IF(ISNUMBER(FIND(",", E5812)), TRIM(MID(E5812, FIND(",", E5812) + 1, LEN(E5812))), E5812)</f>
        <v>south of the Fiji Islands</v>
      </c>
    </row>
    <row r="5813" spans="1:8" x14ac:dyDescent="0.25">
      <c r="A5813" s="2">
        <v>23836</v>
      </c>
      <c r="B5813">
        <v>51.789000000000001</v>
      </c>
      <c r="C5813">
        <v>175.37299999999999</v>
      </c>
      <c r="D5813" t="s">
        <v>17</v>
      </c>
      <c r="E5813" t="s">
        <v>366</v>
      </c>
      <c r="F5813">
        <f t="shared" si="180"/>
        <v>1965</v>
      </c>
      <c r="G5813">
        <f t="shared" si="181"/>
        <v>4</v>
      </c>
      <c r="H5813" t="str">
        <f>IF(ISNUMBER(FIND(",", E5813)), TRIM(MID(E5813, FIND(",", E5813) + 1, LEN(E5813))), E5813)</f>
        <v>Aleutian Islands, Alaska</v>
      </c>
    </row>
    <row r="5814" spans="1:8" x14ac:dyDescent="0.25">
      <c r="A5814" s="2">
        <v>23835</v>
      </c>
      <c r="B5814">
        <v>16.024000000000001</v>
      </c>
      <c r="C5814">
        <v>-97.861000000000004</v>
      </c>
      <c r="D5814" t="s">
        <v>17</v>
      </c>
      <c r="E5814" t="s">
        <v>535</v>
      </c>
      <c r="F5814">
        <f t="shared" si="180"/>
        <v>1965</v>
      </c>
      <c r="G5814">
        <f t="shared" si="181"/>
        <v>4</v>
      </c>
      <c r="H5814" t="str">
        <f>IF(ISNUMBER(FIND(",", E5814)), TRIM(MID(E5814, FIND(",", E5814) + 1, LEN(E5814))), E5814)</f>
        <v>Mexico</v>
      </c>
    </row>
    <row r="5815" spans="1:8" x14ac:dyDescent="0.25">
      <c r="A5815" s="2">
        <v>23835</v>
      </c>
      <c r="B5815">
        <v>15.84</v>
      </c>
      <c r="C5815">
        <v>-97.980999999999995</v>
      </c>
      <c r="D5815" t="s">
        <v>17</v>
      </c>
      <c r="E5815" t="s">
        <v>535</v>
      </c>
      <c r="F5815">
        <f t="shared" si="180"/>
        <v>1965</v>
      </c>
      <c r="G5815">
        <f t="shared" si="181"/>
        <v>4</v>
      </c>
      <c r="H5815" t="str">
        <f>IF(ISNUMBER(FIND(",", E5815)), TRIM(MID(E5815, FIND(",", E5815) + 1, LEN(E5815))), E5815)</f>
        <v>Mexico</v>
      </c>
    </row>
    <row r="5816" spans="1:8" x14ac:dyDescent="0.25">
      <c r="A5816" s="2">
        <v>23832</v>
      </c>
      <c r="B5816">
        <v>38.341000000000001</v>
      </c>
      <c r="C5816">
        <v>22.291</v>
      </c>
      <c r="D5816" t="s">
        <v>13</v>
      </c>
      <c r="E5816" t="s">
        <v>478</v>
      </c>
      <c r="F5816">
        <f t="shared" si="180"/>
        <v>1965</v>
      </c>
      <c r="G5816">
        <f t="shared" si="181"/>
        <v>3</v>
      </c>
      <c r="H5816" t="str">
        <f>IF(ISNUMBER(FIND(",", E5816)), TRIM(MID(E5816, FIND(",", E5816) + 1, LEN(E5816))), E5816)</f>
        <v>Greece</v>
      </c>
    </row>
    <row r="5817" spans="1:8" x14ac:dyDescent="0.25">
      <c r="A5817" s="2">
        <v>23831</v>
      </c>
      <c r="B5817">
        <v>50.314</v>
      </c>
      <c r="C5817">
        <v>177.934</v>
      </c>
      <c r="D5817" t="s">
        <v>16</v>
      </c>
      <c r="E5817" t="s">
        <v>366</v>
      </c>
      <c r="F5817">
        <f t="shared" si="180"/>
        <v>1965</v>
      </c>
      <c r="G5817">
        <f t="shared" si="181"/>
        <v>3</v>
      </c>
      <c r="H5817" t="str">
        <f>IF(ISNUMBER(FIND(",", E5817)), TRIM(MID(E5817, FIND(",", E5817) + 1, LEN(E5817))), E5817)</f>
        <v>Aleutian Islands, Alaska</v>
      </c>
    </row>
    <row r="5818" spans="1:8" x14ac:dyDescent="0.25">
      <c r="A5818" s="2">
        <v>23830</v>
      </c>
      <c r="B5818">
        <v>40.765999999999998</v>
      </c>
      <c r="C5818">
        <v>142.87799999999999</v>
      </c>
      <c r="D5818" t="s">
        <v>13</v>
      </c>
      <c r="E5818" t="s">
        <v>227</v>
      </c>
      <c r="F5818">
        <f t="shared" si="180"/>
        <v>1965</v>
      </c>
      <c r="G5818">
        <f t="shared" si="181"/>
        <v>3</v>
      </c>
      <c r="H5818" t="str">
        <f>IF(ISNUMBER(FIND(",", E5818)), TRIM(MID(E5818, FIND(",", E5818) + 1, LEN(E5818))), E5818)</f>
        <v>Japan</v>
      </c>
    </row>
    <row r="5819" spans="1:8" x14ac:dyDescent="0.25">
      <c r="A5819" s="2">
        <v>23829</v>
      </c>
      <c r="B5819">
        <v>-32.49</v>
      </c>
      <c r="C5819">
        <v>-71.209999999999994</v>
      </c>
      <c r="D5819" t="s">
        <v>13</v>
      </c>
      <c r="E5819" t="s">
        <v>244</v>
      </c>
      <c r="F5819">
        <f t="shared" si="180"/>
        <v>1965</v>
      </c>
      <c r="G5819">
        <f t="shared" si="181"/>
        <v>3</v>
      </c>
      <c r="H5819" t="str">
        <f>IF(ISNUMBER(FIND(",", E5819)), TRIM(MID(E5819, FIND(",", E5819) + 1, LEN(E5819))), E5819)</f>
        <v>Chile</v>
      </c>
    </row>
    <row r="5820" spans="1:8" x14ac:dyDescent="0.25">
      <c r="A5820" s="2">
        <v>23824</v>
      </c>
      <c r="B5820">
        <v>-15.351000000000001</v>
      </c>
      <c r="C5820">
        <v>-173.08699999999999</v>
      </c>
      <c r="D5820" t="s">
        <v>17</v>
      </c>
      <c r="E5820" t="s">
        <v>239</v>
      </c>
      <c r="F5820">
        <f t="shared" si="180"/>
        <v>1965</v>
      </c>
      <c r="G5820">
        <f t="shared" si="181"/>
        <v>3</v>
      </c>
      <c r="H5820" t="str">
        <f>IF(ISNUMBER(FIND(",", E5820)), TRIM(MID(E5820, FIND(",", E5820) + 1, LEN(E5820))), E5820)</f>
        <v>Tonga</v>
      </c>
    </row>
    <row r="5821" spans="1:8" x14ac:dyDescent="0.25">
      <c r="A5821" s="2">
        <v>23823</v>
      </c>
      <c r="B5821">
        <v>-31.991</v>
      </c>
      <c r="C5821">
        <v>-71.528000000000006</v>
      </c>
      <c r="D5821" t="s">
        <v>17</v>
      </c>
      <c r="E5821" t="s">
        <v>442</v>
      </c>
      <c r="F5821">
        <f t="shared" si="180"/>
        <v>1965</v>
      </c>
      <c r="G5821">
        <f t="shared" si="181"/>
        <v>3</v>
      </c>
      <c r="H5821" t="str">
        <f>IF(ISNUMBER(FIND(",", E5821)), TRIM(MID(E5821, FIND(",", E5821) + 1, LEN(E5821))), E5821)</f>
        <v>Chile</v>
      </c>
    </row>
    <row r="5822" spans="1:8" x14ac:dyDescent="0.25">
      <c r="A5822" s="2">
        <v>23823</v>
      </c>
      <c r="B5822">
        <v>-15.337</v>
      </c>
      <c r="C5822">
        <v>-173.17699999999999</v>
      </c>
      <c r="D5822" t="s">
        <v>17</v>
      </c>
      <c r="E5822" t="s">
        <v>239</v>
      </c>
      <c r="F5822">
        <f t="shared" si="180"/>
        <v>1965</v>
      </c>
      <c r="G5822">
        <f t="shared" si="181"/>
        <v>3</v>
      </c>
      <c r="H5822" t="str">
        <f>IF(ISNUMBER(FIND(",", E5822)), TRIM(MID(E5822, FIND(",", E5822) + 1, LEN(E5822))), E5822)</f>
        <v>Tonga</v>
      </c>
    </row>
    <row r="5823" spans="1:8" x14ac:dyDescent="0.25">
      <c r="A5823" s="2">
        <v>23822</v>
      </c>
      <c r="B5823">
        <v>-1.494</v>
      </c>
      <c r="C5823">
        <v>126.48</v>
      </c>
      <c r="D5823" t="s">
        <v>17</v>
      </c>
      <c r="E5823" t="s">
        <v>429</v>
      </c>
      <c r="F5823">
        <f t="shared" si="180"/>
        <v>1965</v>
      </c>
      <c r="G5823">
        <f t="shared" si="181"/>
        <v>3</v>
      </c>
      <c r="H5823" t="str">
        <f>IF(ISNUMBER(FIND(",", E5823)), TRIM(MID(E5823, FIND(",", E5823) + 1, LEN(E5823))), E5823)</f>
        <v>Indonesia</v>
      </c>
    </row>
    <row r="5824" spans="1:8" x14ac:dyDescent="0.25">
      <c r="A5824" s="2">
        <v>23819</v>
      </c>
      <c r="B5824">
        <v>-19.920999999999999</v>
      </c>
      <c r="C5824">
        <v>-175.93899999999999</v>
      </c>
      <c r="D5824" t="s">
        <v>13</v>
      </c>
      <c r="E5824" t="s">
        <v>239</v>
      </c>
      <c r="F5824">
        <f t="shared" si="180"/>
        <v>1965</v>
      </c>
      <c r="G5824">
        <f t="shared" si="181"/>
        <v>3</v>
      </c>
      <c r="H5824" t="str">
        <f>IF(ISNUMBER(FIND(",", E5824)), TRIM(MID(E5824, FIND(",", E5824) + 1, LEN(E5824))), E5824)</f>
        <v>Tonga</v>
      </c>
    </row>
    <row r="5825" spans="1:8" x14ac:dyDescent="0.25">
      <c r="A5825" s="2">
        <v>23817</v>
      </c>
      <c r="B5825">
        <v>40.783999999999999</v>
      </c>
      <c r="C5825">
        <v>142.95500000000001</v>
      </c>
      <c r="D5825" t="s">
        <v>17</v>
      </c>
      <c r="E5825" t="s">
        <v>227</v>
      </c>
      <c r="F5825">
        <f t="shared" si="180"/>
        <v>1965</v>
      </c>
      <c r="G5825">
        <f t="shared" si="181"/>
        <v>3</v>
      </c>
      <c r="H5825" t="str">
        <f>IF(ISNUMBER(FIND(",", E5825)), TRIM(MID(E5825, FIND(",", E5825) + 1, LEN(E5825))), E5825)</f>
        <v>Japan</v>
      </c>
    </row>
    <row r="5826" spans="1:8" x14ac:dyDescent="0.25">
      <c r="A5826" s="2">
        <v>23815</v>
      </c>
      <c r="B5826">
        <v>36.401000000000003</v>
      </c>
      <c r="C5826">
        <v>70.712999999999994</v>
      </c>
      <c r="D5826" t="s">
        <v>13</v>
      </c>
      <c r="E5826" t="s">
        <v>314</v>
      </c>
      <c r="F5826">
        <f t="shared" ref="F5826:F5889" si="182">YEAR(A5826)</f>
        <v>1965</v>
      </c>
      <c r="G5826">
        <f t="shared" si="181"/>
        <v>3</v>
      </c>
      <c r="H5826" t="str">
        <f>IF(ISNUMBER(FIND(",", E5826)), TRIM(MID(E5826, FIND(",", E5826) + 1, LEN(E5826))), E5826)</f>
        <v>Afghanistan</v>
      </c>
    </row>
    <row r="5827" spans="1:8" x14ac:dyDescent="0.25">
      <c r="A5827" s="2">
        <v>23798</v>
      </c>
      <c r="B5827">
        <v>-5.3970000000000002</v>
      </c>
      <c r="C5827">
        <v>152.05099999999999</v>
      </c>
      <c r="D5827" t="s">
        <v>17</v>
      </c>
      <c r="E5827" t="s">
        <v>190</v>
      </c>
      <c r="F5827">
        <f t="shared" si="182"/>
        <v>1965</v>
      </c>
      <c r="G5827">
        <f t="shared" ref="G5827:G5890" si="183">MONTH(A5827)</f>
        <v>2</v>
      </c>
      <c r="H5827" t="str">
        <f>IF(ISNUMBER(FIND(",", E5827)), TRIM(MID(E5827, FIND(",", E5827) + 1, LEN(E5827))), E5827)</f>
        <v>Papua New Guinea</v>
      </c>
    </row>
    <row r="5828" spans="1:8" x14ac:dyDescent="0.25">
      <c r="A5828" s="2">
        <v>23796</v>
      </c>
      <c r="B5828">
        <v>-25.664999999999999</v>
      </c>
      <c r="C5828">
        <v>-70.707999999999998</v>
      </c>
      <c r="D5828" t="s">
        <v>14</v>
      </c>
      <c r="E5828" t="s">
        <v>413</v>
      </c>
      <c r="F5828">
        <f t="shared" si="182"/>
        <v>1965</v>
      </c>
      <c r="G5828">
        <f t="shared" si="183"/>
        <v>2</v>
      </c>
      <c r="H5828" t="str">
        <f>IF(ISNUMBER(FIND(",", E5828)), TRIM(MID(E5828, FIND(",", E5828) + 1, LEN(E5828))), E5828)</f>
        <v>Chile</v>
      </c>
    </row>
    <row r="5829" spans="1:8" x14ac:dyDescent="0.25">
      <c r="A5829" s="2">
        <v>23791</v>
      </c>
      <c r="B5829">
        <v>51.393000000000001</v>
      </c>
      <c r="C5829">
        <v>179.26599999999999</v>
      </c>
      <c r="D5829" t="s">
        <v>17</v>
      </c>
      <c r="E5829" t="s">
        <v>366</v>
      </c>
      <c r="F5829">
        <f t="shared" si="182"/>
        <v>1965</v>
      </c>
      <c r="G5829">
        <f t="shared" si="183"/>
        <v>2</v>
      </c>
      <c r="H5829" t="str">
        <f>IF(ISNUMBER(FIND(",", E5829)), TRIM(MID(E5829, FIND(",", E5829) + 1, LEN(E5829))), E5829)</f>
        <v>Aleutian Islands, Alaska</v>
      </c>
    </row>
    <row r="5830" spans="1:8" x14ac:dyDescent="0.25">
      <c r="A5830" s="2">
        <v>23790</v>
      </c>
      <c r="B5830">
        <v>51.56</v>
      </c>
      <c r="C5830">
        <v>176.62299999999999</v>
      </c>
      <c r="D5830" t="s">
        <v>17</v>
      </c>
      <c r="E5830" t="s">
        <v>366</v>
      </c>
      <c r="F5830">
        <f t="shared" si="182"/>
        <v>1965</v>
      </c>
      <c r="G5830">
        <f t="shared" si="183"/>
        <v>2</v>
      </c>
      <c r="H5830" t="str">
        <f>IF(ISNUMBER(FIND(",", E5830)), TRIM(MID(E5830, FIND(",", E5830) + 1, LEN(E5830))), E5830)</f>
        <v>Aleutian Islands, Alaska</v>
      </c>
    </row>
    <row r="5831" spans="1:8" x14ac:dyDescent="0.25">
      <c r="A5831" s="2">
        <v>23788</v>
      </c>
      <c r="B5831">
        <v>51.073</v>
      </c>
      <c r="C5831">
        <v>179.37299999999999</v>
      </c>
      <c r="D5831" t="s">
        <v>17</v>
      </c>
      <c r="E5831" t="s">
        <v>366</v>
      </c>
      <c r="F5831">
        <f t="shared" si="182"/>
        <v>1965</v>
      </c>
      <c r="G5831">
        <f t="shared" si="183"/>
        <v>2</v>
      </c>
      <c r="H5831" t="str">
        <f>IF(ISNUMBER(FIND(",", E5831)), TRIM(MID(E5831, FIND(",", E5831) + 1, LEN(E5831))), E5831)</f>
        <v>Aleutian Islands, Alaska</v>
      </c>
    </row>
    <row r="5832" spans="1:8" x14ac:dyDescent="0.25">
      <c r="A5832" s="2">
        <v>23785</v>
      </c>
      <c r="B5832">
        <v>52.195</v>
      </c>
      <c r="C5832">
        <v>172.84299999999999</v>
      </c>
      <c r="D5832" t="s">
        <v>17</v>
      </c>
      <c r="E5832" t="s">
        <v>184</v>
      </c>
      <c r="F5832">
        <f t="shared" si="182"/>
        <v>1965</v>
      </c>
      <c r="G5832">
        <f t="shared" si="183"/>
        <v>2</v>
      </c>
      <c r="H5832" t="str">
        <f>IF(ISNUMBER(FIND(",", E5832)), TRIM(MID(E5832, FIND(",", E5832) + 1, LEN(E5832))), E5832)</f>
        <v>Aleutian Islands, Alaska</v>
      </c>
    </row>
    <row r="5833" spans="1:8" x14ac:dyDescent="0.25">
      <c r="A5833" s="2">
        <v>23780</v>
      </c>
      <c r="B5833">
        <v>51.331000000000003</v>
      </c>
      <c r="C5833">
        <v>179.19900000000001</v>
      </c>
      <c r="D5833" t="s">
        <v>17</v>
      </c>
      <c r="E5833" t="s">
        <v>366</v>
      </c>
      <c r="F5833">
        <f t="shared" si="182"/>
        <v>1965</v>
      </c>
      <c r="G5833">
        <f t="shared" si="183"/>
        <v>2</v>
      </c>
      <c r="H5833" t="str">
        <f>IF(ISNUMBER(FIND(",", E5833)), TRIM(MID(E5833, FIND(",", E5833) + 1, LEN(E5833))), E5833)</f>
        <v>Aleutian Islands, Alaska</v>
      </c>
    </row>
    <row r="5834" spans="1:8" x14ac:dyDescent="0.25">
      <c r="A5834" s="2">
        <v>23779</v>
      </c>
      <c r="B5834">
        <v>53.156999999999996</v>
      </c>
      <c r="C5834">
        <v>-161.80500000000001</v>
      </c>
      <c r="D5834" t="s">
        <v>17</v>
      </c>
      <c r="E5834" t="s">
        <v>493</v>
      </c>
      <c r="F5834">
        <f t="shared" si="182"/>
        <v>1965</v>
      </c>
      <c r="G5834">
        <f t="shared" si="183"/>
        <v>2</v>
      </c>
      <c r="H5834" t="str">
        <f>IF(ISNUMBER(FIND(",", E5834)), TRIM(MID(E5834, FIND(",", E5834) + 1, LEN(E5834))), E5834)</f>
        <v>south of Alaska</v>
      </c>
    </row>
    <row r="5835" spans="1:8" x14ac:dyDescent="0.25">
      <c r="A5835" s="2">
        <v>23779</v>
      </c>
      <c r="B5835">
        <v>53.061</v>
      </c>
      <c r="C5835">
        <v>-161.94200000000001</v>
      </c>
      <c r="D5835" t="s">
        <v>17</v>
      </c>
      <c r="E5835" t="s">
        <v>493</v>
      </c>
      <c r="F5835">
        <f t="shared" si="182"/>
        <v>1965</v>
      </c>
      <c r="G5835">
        <f t="shared" si="183"/>
        <v>2</v>
      </c>
      <c r="H5835" t="str">
        <f>IF(ISNUMBER(FIND(",", E5835)), TRIM(MID(E5835, FIND(",", E5835) + 1, LEN(E5835))), E5835)</f>
        <v>south of Alaska</v>
      </c>
    </row>
    <row r="5836" spans="1:8" x14ac:dyDescent="0.25">
      <c r="A5836" s="2">
        <v>23778</v>
      </c>
      <c r="B5836">
        <v>52.347000000000001</v>
      </c>
      <c r="C5836">
        <v>174.345</v>
      </c>
      <c r="D5836" t="s">
        <v>17</v>
      </c>
      <c r="E5836" t="s">
        <v>184</v>
      </c>
      <c r="F5836">
        <f t="shared" si="182"/>
        <v>1965</v>
      </c>
      <c r="G5836">
        <f t="shared" si="183"/>
        <v>2</v>
      </c>
      <c r="H5836" t="str">
        <f>IF(ISNUMBER(FIND(",", E5836)), TRIM(MID(E5836, FIND(",", E5836) + 1, LEN(E5836))), E5836)</f>
        <v>Aleutian Islands, Alaska</v>
      </c>
    </row>
    <row r="5837" spans="1:8" x14ac:dyDescent="0.25">
      <c r="A5837" s="2">
        <v>23778</v>
      </c>
      <c r="B5837">
        <v>51.664000000000001</v>
      </c>
      <c r="C5837">
        <v>174.81700000000001</v>
      </c>
      <c r="D5837" t="s">
        <v>17</v>
      </c>
      <c r="E5837" t="s">
        <v>184</v>
      </c>
      <c r="F5837">
        <f t="shared" si="182"/>
        <v>1965</v>
      </c>
      <c r="G5837">
        <f t="shared" si="183"/>
        <v>2</v>
      </c>
      <c r="H5837" t="str">
        <f>IF(ISNUMBER(FIND(",", E5837)), TRIM(MID(E5837, FIND(",", E5837) + 1, LEN(E5837))), E5837)</f>
        <v>Aleutian Islands, Alaska</v>
      </c>
    </row>
    <row r="5838" spans="1:8" x14ac:dyDescent="0.25">
      <c r="A5838" s="2">
        <v>23777</v>
      </c>
      <c r="B5838">
        <v>53.036999999999999</v>
      </c>
      <c r="C5838">
        <v>170.83600000000001</v>
      </c>
      <c r="D5838" t="s">
        <v>17</v>
      </c>
      <c r="E5838" t="s">
        <v>184</v>
      </c>
      <c r="F5838">
        <f t="shared" si="182"/>
        <v>1965</v>
      </c>
      <c r="G5838">
        <f t="shared" si="183"/>
        <v>2</v>
      </c>
      <c r="H5838" t="str">
        <f>IF(ISNUMBER(FIND(",", E5838)), TRIM(MID(E5838, FIND(",", E5838) + 1, LEN(E5838))), E5838)</f>
        <v>Aleutian Islands, Alaska</v>
      </c>
    </row>
    <row r="5839" spans="1:8" x14ac:dyDescent="0.25">
      <c r="A5839" s="2">
        <v>23777</v>
      </c>
      <c r="B5839">
        <v>53.018999999999998</v>
      </c>
      <c r="C5839">
        <v>171.089</v>
      </c>
      <c r="D5839" t="s">
        <v>17</v>
      </c>
      <c r="E5839" t="s">
        <v>184</v>
      </c>
      <c r="F5839">
        <f t="shared" si="182"/>
        <v>1965</v>
      </c>
      <c r="G5839">
        <f t="shared" si="183"/>
        <v>2</v>
      </c>
      <c r="H5839" t="str">
        <f>IF(ISNUMBER(FIND(",", E5839)), TRIM(MID(E5839, FIND(",", E5839) + 1, LEN(E5839))), E5839)</f>
        <v>Aleutian Islands, Alaska</v>
      </c>
    </row>
    <row r="5840" spans="1:8" x14ac:dyDescent="0.25">
      <c r="A5840" s="2">
        <v>23777</v>
      </c>
      <c r="B5840">
        <v>52.784999999999997</v>
      </c>
      <c r="C5840">
        <v>172.029</v>
      </c>
      <c r="D5840" t="s">
        <v>17</v>
      </c>
      <c r="E5840" t="s">
        <v>184</v>
      </c>
      <c r="F5840">
        <f t="shared" si="182"/>
        <v>1965</v>
      </c>
      <c r="G5840">
        <f t="shared" si="183"/>
        <v>2</v>
      </c>
      <c r="H5840" t="str">
        <f>IF(ISNUMBER(FIND(",", E5840)), TRIM(MID(E5840, FIND(",", E5840) + 1, LEN(E5840))), E5840)</f>
        <v>Aleutian Islands, Alaska</v>
      </c>
    </row>
    <row r="5841" spans="1:8" x14ac:dyDescent="0.25">
      <c r="A5841" s="2">
        <v>23777</v>
      </c>
      <c r="B5841">
        <v>51.396000000000001</v>
      </c>
      <c r="C5841">
        <v>179.56100000000001</v>
      </c>
      <c r="D5841" t="s">
        <v>16</v>
      </c>
      <c r="E5841" t="s">
        <v>366</v>
      </c>
      <c r="F5841">
        <f t="shared" si="182"/>
        <v>1965</v>
      </c>
      <c r="G5841">
        <f t="shared" si="183"/>
        <v>2</v>
      </c>
      <c r="H5841" t="str">
        <f>IF(ISNUMBER(FIND(",", E5841)), TRIM(MID(E5841, FIND(",", E5841) + 1, LEN(E5841))), E5841)</f>
        <v>Aleutian Islands, Alaska</v>
      </c>
    </row>
    <row r="5842" spans="1:8" x14ac:dyDescent="0.25">
      <c r="A5842" s="2">
        <v>23777</v>
      </c>
      <c r="B5842">
        <v>51.683999999999997</v>
      </c>
      <c r="C5842">
        <v>175.05600000000001</v>
      </c>
      <c r="D5842" t="s">
        <v>17</v>
      </c>
      <c r="E5842" t="s">
        <v>366</v>
      </c>
      <c r="F5842">
        <f t="shared" si="182"/>
        <v>1965</v>
      </c>
      <c r="G5842">
        <f t="shared" si="183"/>
        <v>2</v>
      </c>
      <c r="H5842" t="str">
        <f>IF(ISNUMBER(FIND(",", E5842)), TRIM(MID(E5842, FIND(",", E5842) + 1, LEN(E5842))), E5842)</f>
        <v>Aleutian Islands, Alaska</v>
      </c>
    </row>
    <row r="5843" spans="1:8" x14ac:dyDescent="0.25">
      <c r="A5843" s="2">
        <v>23777</v>
      </c>
      <c r="B5843">
        <v>51.21</v>
      </c>
      <c r="C5843">
        <v>178.49799999999999</v>
      </c>
      <c r="D5843" t="s">
        <v>16</v>
      </c>
      <c r="E5843" t="s">
        <v>366</v>
      </c>
      <c r="F5843">
        <f t="shared" si="182"/>
        <v>1965</v>
      </c>
      <c r="G5843">
        <f t="shared" si="183"/>
        <v>2</v>
      </c>
      <c r="H5843" t="str">
        <f>IF(ISNUMBER(FIND(",", E5843)), TRIM(MID(E5843, FIND(",", E5843) + 1, LEN(E5843))), E5843)</f>
        <v>Aleutian Islands, Alaska</v>
      </c>
    </row>
    <row r="5844" spans="1:8" x14ac:dyDescent="0.25">
      <c r="A5844" s="2">
        <v>23766</v>
      </c>
      <c r="B5844">
        <v>-2.4529999999999998</v>
      </c>
      <c r="C5844">
        <v>125.96299999999999</v>
      </c>
      <c r="D5844" t="s">
        <v>16</v>
      </c>
      <c r="E5844" t="s">
        <v>429</v>
      </c>
      <c r="F5844">
        <f t="shared" si="182"/>
        <v>1965</v>
      </c>
      <c r="G5844">
        <f t="shared" si="183"/>
        <v>1</v>
      </c>
      <c r="H5844" t="str">
        <f>IF(ISNUMBER(FIND(",", E5844)), TRIM(MID(E5844, FIND(",", E5844) + 1, LEN(E5844))), E5844)</f>
        <v>Indonesia</v>
      </c>
    </row>
    <row r="5845" spans="1:8" x14ac:dyDescent="0.25">
      <c r="A5845" s="2">
        <v>23752</v>
      </c>
      <c r="B5845">
        <v>-13.503</v>
      </c>
      <c r="C5845">
        <v>166.64</v>
      </c>
      <c r="D5845" t="s">
        <v>17</v>
      </c>
      <c r="E5845" t="s">
        <v>181</v>
      </c>
      <c r="F5845">
        <f t="shared" si="182"/>
        <v>1965</v>
      </c>
      <c r="G5845">
        <f t="shared" si="183"/>
        <v>1</v>
      </c>
      <c r="H5845" t="str">
        <f>IF(ISNUMBER(FIND(",", E5845)), TRIM(MID(E5845, FIND(",", E5845) + 1, LEN(E5845))), E5845)</f>
        <v>Vanuatu</v>
      </c>
    </row>
    <row r="5846" spans="1:8" x14ac:dyDescent="0.25">
      <c r="A5846" s="2">
        <v>23747</v>
      </c>
      <c r="B5846">
        <v>-20.509</v>
      </c>
      <c r="C5846">
        <v>-173.911</v>
      </c>
      <c r="D5846" t="s">
        <v>17</v>
      </c>
      <c r="E5846" t="s">
        <v>239</v>
      </c>
      <c r="F5846">
        <f t="shared" si="182"/>
        <v>1965</v>
      </c>
      <c r="G5846">
        <f t="shared" si="183"/>
        <v>1</v>
      </c>
      <c r="H5846" t="str">
        <f>IF(ISNUMBER(FIND(",", E5846)), TRIM(MID(E5846, FIND(",", E5846) + 1, LEN(E5846))), E5846)</f>
        <v>Tonga</v>
      </c>
    </row>
    <row r="5847" spans="1:8" x14ac:dyDescent="0.25">
      <c r="A5847" s="2">
        <v>23739</v>
      </c>
      <c r="B5847">
        <v>-22.202000000000002</v>
      </c>
      <c r="C5847">
        <v>-179.57400000000001</v>
      </c>
      <c r="D5847" t="s">
        <v>14</v>
      </c>
      <c r="E5847" t="s">
        <v>256</v>
      </c>
      <c r="F5847">
        <f t="shared" si="182"/>
        <v>1964</v>
      </c>
      <c r="G5847">
        <f t="shared" si="183"/>
        <v>12</v>
      </c>
      <c r="H5847" t="str">
        <f>IF(ISNUMBER(FIND(",", E5847)), TRIM(MID(E5847, FIND(",", E5847) + 1, LEN(E5847))), E5847)</f>
        <v>south of the Fiji Islands</v>
      </c>
    </row>
    <row r="5848" spans="1:8" x14ac:dyDescent="0.25">
      <c r="A5848" s="2">
        <v>23724</v>
      </c>
      <c r="B5848">
        <v>64.831999999999994</v>
      </c>
      <c r="C5848">
        <v>-165.602</v>
      </c>
      <c r="D5848" t="s">
        <v>17</v>
      </c>
      <c r="E5848" t="s">
        <v>597</v>
      </c>
      <c r="F5848">
        <f t="shared" si="182"/>
        <v>1964</v>
      </c>
      <c r="G5848">
        <f t="shared" si="183"/>
        <v>12</v>
      </c>
      <c r="H5848" t="str">
        <f>IF(ISNUMBER(FIND(",", E5848)), TRIM(MID(E5848, FIND(",", E5848) + 1, LEN(E5848))), E5848)</f>
        <v>northern Alaska</v>
      </c>
    </row>
    <row r="5849" spans="1:8" x14ac:dyDescent="0.25">
      <c r="A5849" s="2">
        <v>23720</v>
      </c>
      <c r="B5849">
        <v>-27.488</v>
      </c>
      <c r="C5849">
        <v>-63.247</v>
      </c>
      <c r="D5849" t="s">
        <v>14</v>
      </c>
      <c r="E5849" t="s">
        <v>232</v>
      </c>
      <c r="F5849">
        <f t="shared" si="182"/>
        <v>1964</v>
      </c>
      <c r="G5849">
        <f t="shared" si="183"/>
        <v>12</v>
      </c>
      <c r="H5849" t="str">
        <f>IF(ISNUMBER(FIND(",", E5849)), TRIM(MID(E5849, FIND(",", E5849) + 1, LEN(E5849))), E5849)</f>
        <v>Argentina</v>
      </c>
    </row>
    <row r="5850" spans="1:8" x14ac:dyDescent="0.25">
      <c r="A5850" s="2">
        <v>23700</v>
      </c>
      <c r="B5850">
        <v>-5.9749999999999996</v>
      </c>
      <c r="C5850">
        <v>150.75399999999999</v>
      </c>
      <c r="D5850" t="s">
        <v>13</v>
      </c>
      <c r="E5850" t="s">
        <v>190</v>
      </c>
      <c r="F5850">
        <f t="shared" si="182"/>
        <v>1964</v>
      </c>
      <c r="G5850">
        <f t="shared" si="183"/>
        <v>11</v>
      </c>
      <c r="H5850" t="str">
        <f>IF(ISNUMBER(FIND(",", E5850)), TRIM(MID(E5850, FIND(",", E5850) + 1, LEN(E5850))), E5850)</f>
        <v>Papua New Guinea</v>
      </c>
    </row>
    <row r="5851" spans="1:8" x14ac:dyDescent="0.25">
      <c r="A5851" s="2">
        <v>23698</v>
      </c>
      <c r="B5851">
        <v>-5.7510000000000003</v>
      </c>
      <c r="C5851">
        <v>150.72900000000001</v>
      </c>
      <c r="D5851" t="s">
        <v>16</v>
      </c>
      <c r="E5851" t="s">
        <v>190</v>
      </c>
      <c r="F5851">
        <f t="shared" si="182"/>
        <v>1964</v>
      </c>
      <c r="G5851">
        <f t="shared" si="183"/>
        <v>11</v>
      </c>
      <c r="H5851" t="str">
        <f>IF(ISNUMBER(FIND(",", E5851)), TRIM(MID(E5851, FIND(",", E5851) + 1, LEN(E5851))), E5851)</f>
        <v>Papua New Guinea</v>
      </c>
    </row>
    <row r="5852" spans="1:8" x14ac:dyDescent="0.25">
      <c r="A5852" s="2">
        <v>23673</v>
      </c>
      <c r="B5852">
        <v>19.747</v>
      </c>
      <c r="C5852">
        <v>-56.03</v>
      </c>
      <c r="D5852" t="s">
        <v>13</v>
      </c>
      <c r="E5852" t="s">
        <v>481</v>
      </c>
      <c r="F5852">
        <f t="shared" si="182"/>
        <v>1964</v>
      </c>
      <c r="G5852">
        <f t="shared" si="183"/>
        <v>10</v>
      </c>
      <c r="H5852" t="str">
        <f>IF(ISNUMBER(FIND(",", E5852)), TRIM(MID(E5852, FIND(",", E5852) + 1, LEN(E5852))), E5852)</f>
        <v>North Atlantic Ocean</v>
      </c>
    </row>
    <row r="5853" spans="1:8" x14ac:dyDescent="0.25">
      <c r="A5853" s="2">
        <v>23671</v>
      </c>
      <c r="B5853">
        <v>28.038</v>
      </c>
      <c r="C5853">
        <v>93.745999999999995</v>
      </c>
      <c r="D5853" t="s">
        <v>13</v>
      </c>
      <c r="E5853" t="s">
        <v>675</v>
      </c>
      <c r="F5853">
        <f t="shared" si="182"/>
        <v>1964</v>
      </c>
      <c r="G5853">
        <f t="shared" si="183"/>
        <v>10</v>
      </c>
      <c r="H5853" t="str">
        <f>IF(ISNUMBER(FIND(",", E5853)), TRIM(MID(E5853, FIND(",", E5853) + 1, LEN(E5853))), E5853)</f>
        <v>eastern Xizang-India border region</v>
      </c>
    </row>
    <row r="5854" spans="1:8" x14ac:dyDescent="0.25">
      <c r="A5854" s="2">
        <v>23668</v>
      </c>
      <c r="B5854">
        <v>-7.1829999999999998</v>
      </c>
      <c r="C5854">
        <v>123.80800000000001</v>
      </c>
      <c r="D5854" t="s">
        <v>14</v>
      </c>
      <c r="E5854" t="s">
        <v>187</v>
      </c>
      <c r="F5854">
        <f t="shared" si="182"/>
        <v>1964</v>
      </c>
      <c r="G5854">
        <f t="shared" si="183"/>
        <v>10</v>
      </c>
      <c r="H5854" t="str">
        <f>IF(ISNUMBER(FIND(",", E5854)), TRIM(MID(E5854, FIND(",", E5854) + 1, LEN(E5854))), E5854)</f>
        <v>Banda Sea</v>
      </c>
    </row>
    <row r="5855" spans="1:8" x14ac:dyDescent="0.25">
      <c r="A5855" s="2">
        <v>23656</v>
      </c>
      <c r="B5855">
        <v>40.25</v>
      </c>
      <c r="C5855">
        <v>28.206</v>
      </c>
      <c r="D5855" t="s">
        <v>13</v>
      </c>
      <c r="E5855" t="s">
        <v>494</v>
      </c>
      <c r="F5855">
        <f t="shared" si="182"/>
        <v>1964</v>
      </c>
      <c r="G5855">
        <f t="shared" si="183"/>
        <v>10</v>
      </c>
      <c r="H5855" t="str">
        <f>IF(ISNUMBER(FIND(",", E5855)), TRIM(MID(E5855, FIND(",", E5855) + 1, LEN(E5855))), E5855)</f>
        <v>western Turkey</v>
      </c>
    </row>
    <row r="5856" spans="1:8" x14ac:dyDescent="0.25">
      <c r="A5856" s="2">
        <v>23635</v>
      </c>
      <c r="B5856">
        <v>8.8490000000000002</v>
      </c>
      <c r="C5856">
        <v>93.006</v>
      </c>
      <c r="D5856" t="s">
        <v>13</v>
      </c>
      <c r="E5856" t="s">
        <v>322</v>
      </c>
      <c r="F5856">
        <f t="shared" si="182"/>
        <v>1964</v>
      </c>
      <c r="G5856">
        <f t="shared" si="183"/>
        <v>9</v>
      </c>
      <c r="H5856" t="str">
        <f>IF(ISNUMBER(FIND(",", E5856)), TRIM(MID(E5856, FIND(",", E5856) + 1, LEN(E5856))), E5856)</f>
        <v>India region</v>
      </c>
    </row>
    <row r="5857" spans="1:8" x14ac:dyDescent="0.25">
      <c r="A5857" s="2">
        <v>23632</v>
      </c>
      <c r="B5857">
        <v>-49.075000000000003</v>
      </c>
      <c r="C5857">
        <v>164.39500000000001</v>
      </c>
      <c r="D5857" t="s">
        <v>14</v>
      </c>
      <c r="E5857" t="s">
        <v>404</v>
      </c>
      <c r="F5857">
        <f t="shared" si="182"/>
        <v>1964</v>
      </c>
      <c r="G5857">
        <f t="shared" si="183"/>
        <v>9</v>
      </c>
      <c r="H5857" t="str">
        <f>IF(ISNUMBER(FIND(",", E5857)), TRIM(MID(E5857, FIND(",", E5857) + 1, LEN(E5857))), E5857)</f>
        <v>New Zealand region</v>
      </c>
    </row>
    <row r="5858" spans="1:8" x14ac:dyDescent="0.25">
      <c r="A5858" s="2">
        <v>23632</v>
      </c>
      <c r="B5858">
        <v>-4.4290000000000003</v>
      </c>
      <c r="C5858">
        <v>144.12</v>
      </c>
      <c r="D5858" t="s">
        <v>13</v>
      </c>
      <c r="E5858" t="s">
        <v>216</v>
      </c>
      <c r="F5858">
        <f t="shared" si="182"/>
        <v>1964</v>
      </c>
      <c r="G5858">
        <f t="shared" si="183"/>
        <v>9</v>
      </c>
      <c r="H5858" t="str">
        <f>IF(ISNUMBER(FIND(",", E5858)), TRIM(MID(E5858, FIND(",", E5858) + 1, LEN(E5858))), E5858)</f>
        <v>Papua New Guinea</v>
      </c>
    </row>
    <row r="5859" spans="1:8" x14ac:dyDescent="0.25">
      <c r="A5859" s="2">
        <v>23614</v>
      </c>
      <c r="B5859">
        <v>78.103999999999999</v>
      </c>
      <c r="C5859">
        <v>126.77200000000001</v>
      </c>
      <c r="D5859" t="s">
        <v>13</v>
      </c>
      <c r="E5859" t="s">
        <v>676</v>
      </c>
      <c r="F5859">
        <f t="shared" si="182"/>
        <v>1964</v>
      </c>
      <c r="G5859">
        <f t="shared" si="183"/>
        <v>8</v>
      </c>
      <c r="H5859" t="str">
        <f>IF(ISNUMBER(FIND(",", E5859)), TRIM(MID(E5859, FIND(",", E5859) + 1, LEN(E5859))), E5859)</f>
        <v>east of Severnaya Zemlya</v>
      </c>
    </row>
    <row r="5860" spans="1:8" x14ac:dyDescent="0.25">
      <c r="A5860" s="2">
        <v>23607</v>
      </c>
      <c r="B5860">
        <v>-26.385999999999999</v>
      </c>
      <c r="C5860">
        <v>-71.662000000000006</v>
      </c>
      <c r="D5860" t="s">
        <v>13</v>
      </c>
      <c r="E5860" t="s">
        <v>677</v>
      </c>
      <c r="F5860">
        <f t="shared" si="182"/>
        <v>1964</v>
      </c>
      <c r="G5860">
        <f t="shared" si="183"/>
        <v>8</v>
      </c>
      <c r="H5860" t="str">
        <f>IF(ISNUMBER(FIND(",", E5860)), TRIM(MID(E5860, FIND(",", E5860) + 1, LEN(E5860))), E5860)</f>
        <v>Chile</v>
      </c>
    </row>
    <row r="5861" spans="1:8" x14ac:dyDescent="0.25">
      <c r="A5861" s="2">
        <v>23602</v>
      </c>
      <c r="B5861">
        <v>-5.492</v>
      </c>
      <c r="C5861">
        <v>154.27699999999999</v>
      </c>
      <c r="D5861" t="s">
        <v>14</v>
      </c>
      <c r="E5861" t="s">
        <v>290</v>
      </c>
      <c r="F5861">
        <f t="shared" si="182"/>
        <v>1964</v>
      </c>
      <c r="G5861">
        <f t="shared" si="183"/>
        <v>8</v>
      </c>
      <c r="H5861" t="str">
        <f>IF(ISNUMBER(FIND(",", E5861)), TRIM(MID(E5861, FIND(",", E5861) + 1, LEN(E5861))), E5861)</f>
        <v>Papua New Guinea</v>
      </c>
    </row>
    <row r="5862" spans="1:8" x14ac:dyDescent="0.25">
      <c r="A5862" s="2">
        <v>23594</v>
      </c>
      <c r="B5862">
        <v>-41.170999999999999</v>
      </c>
      <c r="C5862">
        <v>-75.022999999999996</v>
      </c>
      <c r="D5862" t="s">
        <v>13</v>
      </c>
      <c r="E5862" t="s">
        <v>522</v>
      </c>
      <c r="F5862">
        <f t="shared" si="182"/>
        <v>1964</v>
      </c>
      <c r="G5862">
        <f t="shared" si="183"/>
        <v>8</v>
      </c>
      <c r="H5862" t="str">
        <f>IF(ISNUMBER(FIND(",", E5862)), TRIM(MID(E5862, FIND(",", E5862) + 1, LEN(E5862))), E5862)</f>
        <v>Chile</v>
      </c>
    </row>
    <row r="5863" spans="1:8" x14ac:dyDescent="0.25">
      <c r="A5863" s="2">
        <v>23591</v>
      </c>
      <c r="B5863">
        <v>56.097000000000001</v>
      </c>
      <c r="C5863">
        <v>-150.059</v>
      </c>
      <c r="D5863" t="s">
        <v>17</v>
      </c>
      <c r="E5863" t="s">
        <v>195</v>
      </c>
      <c r="F5863">
        <f t="shared" si="182"/>
        <v>1964</v>
      </c>
      <c r="G5863">
        <f t="shared" si="183"/>
        <v>8</v>
      </c>
      <c r="H5863" t="str">
        <f>IF(ISNUMBER(FIND(",", E5863)), TRIM(MID(E5863, FIND(",", E5863) + 1, LEN(E5863))), E5863)</f>
        <v>Gulf of Alaska</v>
      </c>
    </row>
    <row r="5864" spans="1:8" x14ac:dyDescent="0.25">
      <c r="A5864" s="2">
        <v>23583</v>
      </c>
      <c r="B5864">
        <v>-27.873000000000001</v>
      </c>
      <c r="C5864">
        <v>-71.105999999999995</v>
      </c>
      <c r="D5864" t="s">
        <v>13</v>
      </c>
      <c r="E5864" t="s">
        <v>264</v>
      </c>
      <c r="F5864">
        <f t="shared" si="182"/>
        <v>1964</v>
      </c>
      <c r="G5864">
        <f t="shared" si="183"/>
        <v>7</v>
      </c>
      <c r="H5864" t="str">
        <f>IF(ISNUMBER(FIND(",", E5864)), TRIM(MID(E5864, FIND(",", E5864) + 1, LEN(E5864))), E5864)</f>
        <v>Chile</v>
      </c>
    </row>
    <row r="5865" spans="1:8" x14ac:dyDescent="0.25">
      <c r="A5865" s="2">
        <v>23582</v>
      </c>
      <c r="B5865">
        <v>47.16</v>
      </c>
      <c r="C5865">
        <v>153.87200000000001</v>
      </c>
      <c r="D5865" t="s">
        <v>14</v>
      </c>
      <c r="E5865" t="s">
        <v>191</v>
      </c>
      <c r="F5865">
        <f t="shared" si="182"/>
        <v>1964</v>
      </c>
      <c r="G5865">
        <f t="shared" si="183"/>
        <v>7</v>
      </c>
      <c r="H5865" t="str">
        <f>IF(ISNUMBER(FIND(",", E5865)), TRIM(MID(E5865, FIND(",", E5865) + 1, LEN(E5865))), E5865)</f>
        <v>Kuril Islands</v>
      </c>
    </row>
    <row r="5866" spans="1:8" x14ac:dyDescent="0.25">
      <c r="A5866" s="2">
        <v>23567</v>
      </c>
      <c r="B5866">
        <v>-15.579000000000001</v>
      </c>
      <c r="C5866">
        <v>167.74700000000001</v>
      </c>
      <c r="D5866" t="s">
        <v>13</v>
      </c>
      <c r="E5866" t="s">
        <v>181</v>
      </c>
      <c r="F5866">
        <f t="shared" si="182"/>
        <v>1964</v>
      </c>
      <c r="G5866">
        <f t="shared" si="183"/>
        <v>7</v>
      </c>
      <c r="H5866" t="str">
        <f>IF(ISNUMBER(FIND(",", E5866)), TRIM(MID(E5866, FIND(",", E5866) + 1, LEN(E5866))), E5866)</f>
        <v>Vanuatu</v>
      </c>
    </row>
    <row r="5867" spans="1:8" x14ac:dyDescent="0.25">
      <c r="A5867" s="2">
        <v>23566</v>
      </c>
      <c r="B5867">
        <v>-5.5960000000000001</v>
      </c>
      <c r="C5867">
        <v>129.74199999999999</v>
      </c>
      <c r="D5867" t="s">
        <v>13</v>
      </c>
      <c r="E5867" t="s">
        <v>187</v>
      </c>
      <c r="F5867">
        <f t="shared" si="182"/>
        <v>1964</v>
      </c>
      <c r="G5867">
        <f t="shared" si="183"/>
        <v>7</v>
      </c>
      <c r="H5867" t="str">
        <f>IF(ISNUMBER(FIND(",", E5867)), TRIM(MID(E5867, FIND(",", E5867) + 1, LEN(E5867))), E5867)</f>
        <v>Banda Sea</v>
      </c>
    </row>
    <row r="5868" spans="1:8" x14ac:dyDescent="0.25">
      <c r="A5868" s="2">
        <v>23564</v>
      </c>
      <c r="B5868">
        <v>18.193000000000001</v>
      </c>
      <c r="C5868">
        <v>-100.509</v>
      </c>
      <c r="D5868" t="s">
        <v>13</v>
      </c>
      <c r="E5868" t="s">
        <v>192</v>
      </c>
      <c r="F5868">
        <f t="shared" si="182"/>
        <v>1964</v>
      </c>
      <c r="G5868">
        <f t="shared" si="183"/>
        <v>7</v>
      </c>
      <c r="H5868" t="str">
        <f>IF(ISNUMBER(FIND(",", E5868)), TRIM(MID(E5868, FIND(",", E5868) + 1, LEN(E5868))), E5868)</f>
        <v>Mexico</v>
      </c>
    </row>
    <row r="5869" spans="1:8" x14ac:dyDescent="0.25">
      <c r="A5869" s="2">
        <v>23562</v>
      </c>
      <c r="B5869">
        <v>11.717000000000001</v>
      </c>
      <c r="C5869">
        <v>144.63800000000001</v>
      </c>
      <c r="D5869" t="s">
        <v>13</v>
      </c>
      <c r="E5869" t="s">
        <v>321</v>
      </c>
      <c r="F5869">
        <f t="shared" si="182"/>
        <v>1964</v>
      </c>
      <c r="G5869">
        <f t="shared" si="183"/>
        <v>7</v>
      </c>
      <c r="H5869" t="str">
        <f>IF(ISNUMBER(FIND(",", E5869)), TRIM(MID(E5869, FIND(",", E5869) + 1, LEN(E5869))), E5869)</f>
        <v>south of the Mariana Islands</v>
      </c>
    </row>
    <row r="5870" spans="1:8" x14ac:dyDescent="0.25">
      <c r="A5870" s="2">
        <v>23551</v>
      </c>
      <c r="B5870">
        <v>43.271000000000001</v>
      </c>
      <c r="C5870">
        <v>146.15100000000001</v>
      </c>
      <c r="D5870" t="s">
        <v>13</v>
      </c>
      <c r="E5870" t="s">
        <v>191</v>
      </c>
      <c r="F5870">
        <f t="shared" si="182"/>
        <v>1964</v>
      </c>
      <c r="G5870">
        <f t="shared" si="183"/>
        <v>6</v>
      </c>
      <c r="H5870" t="str">
        <f>IF(ISNUMBER(FIND(",", E5870)), TRIM(MID(E5870, FIND(",", E5870) + 1, LEN(E5870))), E5870)</f>
        <v>Kuril Islands</v>
      </c>
    </row>
    <row r="5871" spans="1:8" x14ac:dyDescent="0.25">
      <c r="A5871" s="2">
        <v>23544</v>
      </c>
      <c r="B5871">
        <v>38.438000000000002</v>
      </c>
      <c r="C5871">
        <v>139.22499999999999</v>
      </c>
      <c r="D5871" t="s">
        <v>16</v>
      </c>
      <c r="E5871" t="s">
        <v>298</v>
      </c>
      <c r="F5871">
        <f t="shared" si="182"/>
        <v>1964</v>
      </c>
      <c r="G5871">
        <f t="shared" si="183"/>
        <v>6</v>
      </c>
      <c r="H5871" t="str">
        <f>IF(ISNUMBER(FIND(",", E5871)), TRIM(MID(E5871, FIND(",", E5871) + 1, LEN(E5871))), E5871)</f>
        <v>Japan</v>
      </c>
    </row>
    <row r="5872" spans="1:8" x14ac:dyDescent="0.25">
      <c r="A5872" s="2">
        <v>23528</v>
      </c>
      <c r="B5872">
        <v>43.536000000000001</v>
      </c>
      <c r="C5872">
        <v>147.024</v>
      </c>
      <c r="D5872" t="s">
        <v>14</v>
      </c>
      <c r="E5872" t="s">
        <v>191</v>
      </c>
      <c r="F5872">
        <f t="shared" si="182"/>
        <v>1964</v>
      </c>
      <c r="G5872">
        <f t="shared" si="183"/>
        <v>5</v>
      </c>
      <c r="H5872" t="str">
        <f>IF(ISNUMBER(FIND(",", E5872)), TRIM(MID(E5872, FIND(",", E5872) + 1, LEN(E5872))), E5872)</f>
        <v>Kuril Islands</v>
      </c>
    </row>
    <row r="5873" spans="1:8" x14ac:dyDescent="0.25">
      <c r="A5873" s="2">
        <v>23526</v>
      </c>
      <c r="B5873">
        <v>-56.212000000000003</v>
      </c>
      <c r="C5873">
        <v>-27.669</v>
      </c>
      <c r="D5873" t="s">
        <v>13</v>
      </c>
      <c r="E5873" t="s">
        <v>260</v>
      </c>
      <c r="F5873">
        <f t="shared" si="182"/>
        <v>1964</v>
      </c>
      <c r="G5873">
        <f t="shared" si="183"/>
        <v>5</v>
      </c>
      <c r="H5873" t="str">
        <f>IF(ISNUMBER(FIND(",", E5873)), TRIM(MID(E5873, FIND(",", E5873) + 1, LEN(E5873))), E5873)</f>
        <v>South Sandwich Islands region</v>
      </c>
    </row>
    <row r="5874" spans="1:8" x14ac:dyDescent="0.25">
      <c r="A5874" s="2">
        <v>23523</v>
      </c>
      <c r="B5874">
        <v>-56.244999999999997</v>
      </c>
      <c r="C5874">
        <v>-27.631</v>
      </c>
      <c r="D5874" t="s">
        <v>13</v>
      </c>
      <c r="E5874" t="s">
        <v>260</v>
      </c>
      <c r="F5874">
        <f t="shared" si="182"/>
        <v>1964</v>
      </c>
      <c r="G5874">
        <f t="shared" si="183"/>
        <v>5</v>
      </c>
      <c r="H5874" t="str">
        <f>IF(ISNUMBER(FIND(",", E5874)), TRIM(MID(E5874, FIND(",", E5874) + 1, LEN(E5874))), E5874)</f>
        <v>South Sandwich Islands region</v>
      </c>
    </row>
    <row r="5875" spans="1:8" x14ac:dyDescent="0.25">
      <c r="A5875" s="2">
        <v>23517</v>
      </c>
      <c r="B5875">
        <v>-2.76</v>
      </c>
      <c r="C5875">
        <v>139.327</v>
      </c>
      <c r="D5875" t="s">
        <v>13</v>
      </c>
      <c r="E5875" t="s">
        <v>241</v>
      </c>
      <c r="F5875">
        <f t="shared" si="182"/>
        <v>1964</v>
      </c>
      <c r="G5875">
        <f t="shared" si="183"/>
        <v>5</v>
      </c>
      <c r="H5875" t="str">
        <f>IF(ISNUMBER(FIND(",", E5875)), TRIM(MID(E5875, FIND(",", E5875) + 1, LEN(E5875))), E5875)</f>
        <v>Indonesia</v>
      </c>
    </row>
    <row r="5876" spans="1:8" x14ac:dyDescent="0.25">
      <c r="A5876" s="2">
        <v>23504</v>
      </c>
      <c r="B5876">
        <v>40.569000000000003</v>
      </c>
      <c r="C5876">
        <v>139.16999999999999</v>
      </c>
      <c r="D5876" t="s">
        <v>13</v>
      </c>
      <c r="E5876" t="s">
        <v>298</v>
      </c>
      <c r="F5876">
        <f t="shared" si="182"/>
        <v>1964</v>
      </c>
      <c r="G5876">
        <f t="shared" si="183"/>
        <v>5</v>
      </c>
      <c r="H5876" t="str">
        <f>IF(ISNUMBER(FIND(",", E5876)), TRIM(MID(E5876, FIND(",", E5876) + 1, LEN(E5876))), E5876)</f>
        <v>Japan</v>
      </c>
    </row>
    <row r="5877" spans="1:8" x14ac:dyDescent="0.25">
      <c r="A5877" s="2">
        <v>23504</v>
      </c>
      <c r="B5877">
        <v>40.408000000000001</v>
      </c>
      <c r="C5877">
        <v>139.023</v>
      </c>
      <c r="D5877" t="s">
        <v>14</v>
      </c>
      <c r="E5877" t="s">
        <v>298</v>
      </c>
      <c r="F5877">
        <f t="shared" si="182"/>
        <v>1964</v>
      </c>
      <c r="G5877">
        <f t="shared" si="183"/>
        <v>5</v>
      </c>
      <c r="H5877" t="str">
        <f>IF(ISNUMBER(FIND(",", E5877)), TRIM(MID(E5877, FIND(",", E5877) + 1, LEN(E5877))), E5877)</f>
        <v>Japan</v>
      </c>
    </row>
    <row r="5878" spans="1:8" x14ac:dyDescent="0.25">
      <c r="A5878" s="2">
        <v>23504</v>
      </c>
      <c r="B5878">
        <v>-3.931</v>
      </c>
      <c r="C5878">
        <v>35.109000000000002</v>
      </c>
      <c r="D5878" t="s">
        <v>13</v>
      </c>
      <c r="E5878" t="s">
        <v>678</v>
      </c>
      <c r="F5878">
        <f t="shared" si="182"/>
        <v>1964</v>
      </c>
      <c r="G5878">
        <f t="shared" si="183"/>
        <v>5</v>
      </c>
      <c r="H5878" t="str">
        <f>IF(ISNUMBER(FIND(",", E5878)), TRIM(MID(E5878, FIND(",", E5878) + 1, LEN(E5878))), E5878)</f>
        <v>Tanzania</v>
      </c>
    </row>
    <row r="5879" spans="1:8" x14ac:dyDescent="0.25">
      <c r="A5879" s="2">
        <v>23491</v>
      </c>
      <c r="B5879">
        <v>-5.0679999999999996</v>
      </c>
      <c r="C5879">
        <v>144.274</v>
      </c>
      <c r="D5879" t="s">
        <v>13</v>
      </c>
      <c r="E5879" t="s">
        <v>253</v>
      </c>
      <c r="F5879">
        <f t="shared" si="182"/>
        <v>1964</v>
      </c>
      <c r="G5879">
        <f t="shared" si="183"/>
        <v>4</v>
      </c>
      <c r="H5879" t="str">
        <f>IF(ISNUMBER(FIND(",", E5879)), TRIM(MID(E5879, FIND(",", E5879) + 1, LEN(E5879))), E5879)</f>
        <v>Papua New Guinea</v>
      </c>
    </row>
    <row r="5880" spans="1:8" x14ac:dyDescent="0.25">
      <c r="A5880" s="2">
        <v>23490</v>
      </c>
      <c r="B5880">
        <v>-5.4210000000000003</v>
      </c>
      <c r="C5880">
        <v>133.93700000000001</v>
      </c>
      <c r="D5880" t="s">
        <v>16</v>
      </c>
      <c r="E5880" t="s">
        <v>313</v>
      </c>
      <c r="F5880">
        <f t="shared" si="182"/>
        <v>1964</v>
      </c>
      <c r="G5880">
        <f t="shared" si="183"/>
        <v>4</v>
      </c>
      <c r="H5880" t="str">
        <f>IF(ISNUMBER(FIND(",", E5880)), TRIM(MID(E5880, FIND(",", E5880) + 1, LEN(E5880))), E5880)</f>
        <v>Indonesia</v>
      </c>
    </row>
    <row r="5881" spans="1:8" x14ac:dyDescent="0.25">
      <c r="A5881" s="2">
        <v>23488</v>
      </c>
      <c r="B5881">
        <v>61.408999999999999</v>
      </c>
      <c r="C5881">
        <v>-147.46899999999999</v>
      </c>
      <c r="D5881" t="s">
        <v>17</v>
      </c>
      <c r="E5881" t="s">
        <v>497</v>
      </c>
      <c r="F5881">
        <f t="shared" si="182"/>
        <v>1964</v>
      </c>
      <c r="G5881">
        <f t="shared" si="183"/>
        <v>4</v>
      </c>
      <c r="H5881" t="str">
        <f>IF(ISNUMBER(FIND(",", E5881)), TRIM(MID(E5881, FIND(",", E5881) + 1, LEN(E5881))), E5881)</f>
        <v>Southern Alaska</v>
      </c>
    </row>
    <row r="5882" spans="1:8" x14ac:dyDescent="0.25">
      <c r="A5882" s="2">
        <v>23487</v>
      </c>
      <c r="B5882">
        <v>61.411999999999999</v>
      </c>
      <c r="C5882">
        <v>-147.32</v>
      </c>
      <c r="D5882" t="s">
        <v>17</v>
      </c>
      <c r="E5882" t="s">
        <v>497</v>
      </c>
      <c r="F5882">
        <f t="shared" si="182"/>
        <v>1964</v>
      </c>
      <c r="G5882">
        <f t="shared" si="183"/>
        <v>4</v>
      </c>
      <c r="H5882" t="str">
        <f>IF(ISNUMBER(FIND(",", E5882)), TRIM(MID(E5882, FIND(",", E5882) + 1, LEN(E5882))), E5882)</f>
        <v>Southern Alaska</v>
      </c>
    </row>
    <row r="5883" spans="1:8" x14ac:dyDescent="0.25">
      <c r="A5883" s="2">
        <v>23483</v>
      </c>
      <c r="B5883">
        <v>56.359000000000002</v>
      </c>
      <c r="C5883">
        <v>-153.00299999999999</v>
      </c>
      <c r="D5883" t="s">
        <v>17</v>
      </c>
      <c r="E5883" t="s">
        <v>374</v>
      </c>
      <c r="F5883">
        <f t="shared" si="182"/>
        <v>1964</v>
      </c>
      <c r="G5883">
        <f t="shared" si="183"/>
        <v>4</v>
      </c>
      <c r="H5883" t="str">
        <f>IF(ISNUMBER(FIND(",", E5883)), TRIM(MID(E5883, FIND(",", E5883) + 1, LEN(E5883))), E5883)</f>
        <v>Alaska</v>
      </c>
    </row>
    <row r="5884" spans="1:8" x14ac:dyDescent="0.25">
      <c r="A5884" s="2">
        <v>23479</v>
      </c>
      <c r="B5884">
        <v>56.524000000000001</v>
      </c>
      <c r="C5884">
        <v>-152.30500000000001</v>
      </c>
      <c r="D5884" t="s">
        <v>17</v>
      </c>
      <c r="E5884" t="s">
        <v>374</v>
      </c>
      <c r="F5884">
        <f t="shared" si="182"/>
        <v>1964</v>
      </c>
      <c r="G5884">
        <f t="shared" si="183"/>
        <v>4</v>
      </c>
      <c r="H5884" t="str">
        <f>IF(ISNUMBER(FIND(",", E5884)), TRIM(MID(E5884, FIND(",", E5884) + 1, LEN(E5884))), E5884)</f>
        <v>Alaska</v>
      </c>
    </row>
    <row r="5885" spans="1:8" x14ac:dyDescent="0.25">
      <c r="A5885" s="2">
        <v>23472</v>
      </c>
      <c r="B5885">
        <v>56.19</v>
      </c>
      <c r="C5885">
        <v>-153.44800000000001</v>
      </c>
      <c r="D5885" t="s">
        <v>17</v>
      </c>
      <c r="E5885" t="s">
        <v>374</v>
      </c>
      <c r="F5885">
        <f t="shared" si="182"/>
        <v>1964</v>
      </c>
      <c r="G5885">
        <f t="shared" si="183"/>
        <v>4</v>
      </c>
      <c r="H5885" t="str">
        <f>IF(ISNUMBER(FIND(",", E5885)), TRIM(MID(E5885, FIND(",", E5885) + 1, LEN(E5885))), E5885)</f>
        <v>Alaska</v>
      </c>
    </row>
    <row r="5886" spans="1:8" x14ac:dyDescent="0.25">
      <c r="A5886" s="2">
        <v>23471</v>
      </c>
      <c r="B5886">
        <v>56.392000000000003</v>
      </c>
      <c r="C5886">
        <v>-154.47300000000001</v>
      </c>
      <c r="D5886" t="s">
        <v>17</v>
      </c>
      <c r="E5886" t="s">
        <v>374</v>
      </c>
      <c r="F5886">
        <f t="shared" si="182"/>
        <v>1964</v>
      </c>
      <c r="G5886">
        <f t="shared" si="183"/>
        <v>4</v>
      </c>
      <c r="H5886" t="str">
        <f>IF(ISNUMBER(FIND(",", E5886)), TRIM(MID(E5886, FIND(",", E5886) + 1, LEN(E5886))), E5886)</f>
        <v>Alaska</v>
      </c>
    </row>
    <row r="5887" spans="1:8" x14ac:dyDescent="0.25">
      <c r="A5887" s="2">
        <v>23471</v>
      </c>
      <c r="B5887">
        <v>56.228000000000002</v>
      </c>
      <c r="C5887">
        <v>-154.41800000000001</v>
      </c>
      <c r="D5887" t="s">
        <v>17</v>
      </c>
      <c r="E5887" t="s">
        <v>374</v>
      </c>
      <c r="F5887">
        <f t="shared" si="182"/>
        <v>1964</v>
      </c>
      <c r="G5887">
        <f t="shared" si="183"/>
        <v>4</v>
      </c>
      <c r="H5887" t="str">
        <f>IF(ISNUMBER(FIND(",", E5887)), TRIM(MID(E5887, FIND(",", E5887) + 1, LEN(E5887))), E5887)</f>
        <v>Alaska</v>
      </c>
    </row>
    <row r="5888" spans="1:8" x14ac:dyDescent="0.25">
      <c r="A5888" s="2">
        <v>23470</v>
      </c>
      <c r="B5888">
        <v>61.578000000000003</v>
      </c>
      <c r="C5888">
        <v>-147.637</v>
      </c>
      <c r="D5888" t="s">
        <v>17</v>
      </c>
      <c r="E5888" t="s">
        <v>497</v>
      </c>
      <c r="F5888">
        <f t="shared" si="182"/>
        <v>1964</v>
      </c>
      <c r="G5888">
        <f t="shared" si="183"/>
        <v>4</v>
      </c>
      <c r="H5888" t="str">
        <f>IF(ISNUMBER(FIND(",", E5888)), TRIM(MID(E5888, FIND(",", E5888) + 1, LEN(E5888))), E5888)</f>
        <v>Southern Alaska</v>
      </c>
    </row>
    <row r="5889" spans="1:8" x14ac:dyDescent="0.25">
      <c r="A5889" s="2">
        <v>23466</v>
      </c>
      <c r="B5889">
        <v>59.834000000000003</v>
      </c>
      <c r="C5889">
        <v>-145.768</v>
      </c>
      <c r="D5889" t="s">
        <v>17</v>
      </c>
      <c r="E5889" t="s">
        <v>195</v>
      </c>
      <c r="F5889">
        <f t="shared" si="182"/>
        <v>1964</v>
      </c>
      <c r="G5889">
        <f t="shared" si="183"/>
        <v>3</v>
      </c>
      <c r="H5889" t="str">
        <f>IF(ISNUMBER(FIND(",", E5889)), TRIM(MID(E5889, FIND(",", E5889) + 1, LEN(E5889))), E5889)</f>
        <v>Gulf of Alaska</v>
      </c>
    </row>
    <row r="5890" spans="1:8" x14ac:dyDescent="0.25">
      <c r="A5890" s="2">
        <v>23466</v>
      </c>
      <c r="B5890">
        <v>56.502000000000002</v>
      </c>
      <c r="C5890">
        <v>-153.05799999999999</v>
      </c>
      <c r="D5890" t="s">
        <v>17</v>
      </c>
      <c r="E5890" t="s">
        <v>374</v>
      </c>
      <c r="F5890">
        <f t="shared" ref="F5890:F5953" si="184">YEAR(A5890)</f>
        <v>1964</v>
      </c>
      <c r="G5890">
        <f t="shared" si="183"/>
        <v>3</v>
      </c>
      <c r="H5890" t="str">
        <f>IF(ISNUMBER(FIND(",", E5890)), TRIM(MID(E5890, FIND(",", E5890) + 1, LEN(E5890))), E5890)</f>
        <v>Alaska</v>
      </c>
    </row>
    <row r="5891" spans="1:8" x14ac:dyDescent="0.25">
      <c r="A5891" s="2">
        <v>23464</v>
      </c>
      <c r="B5891">
        <v>59.735999999999997</v>
      </c>
      <c r="C5891">
        <v>-148.78100000000001</v>
      </c>
      <c r="D5891" t="s">
        <v>17</v>
      </c>
      <c r="E5891" t="s">
        <v>679</v>
      </c>
      <c r="F5891">
        <f t="shared" si="184"/>
        <v>1964</v>
      </c>
      <c r="G5891">
        <f t="shared" ref="G5891:G5954" si="185">MONTH(A5891)</f>
        <v>3</v>
      </c>
      <c r="H5891" t="str">
        <f>IF(ISNUMBER(FIND(",", E5891)), TRIM(MID(E5891, FIND(",", E5891) + 1, LEN(E5891))), E5891)</f>
        <v>Alaska</v>
      </c>
    </row>
    <row r="5892" spans="1:8" x14ac:dyDescent="0.25">
      <c r="A5892" s="2">
        <v>23464</v>
      </c>
      <c r="B5892">
        <v>60.404000000000003</v>
      </c>
      <c r="C5892">
        <v>-146.982</v>
      </c>
      <c r="D5892" t="s">
        <v>17</v>
      </c>
      <c r="E5892" t="s">
        <v>497</v>
      </c>
      <c r="F5892">
        <f t="shared" si="184"/>
        <v>1964</v>
      </c>
      <c r="G5892">
        <f t="shared" si="185"/>
        <v>3</v>
      </c>
      <c r="H5892" t="str">
        <f>IF(ISNUMBER(FIND(",", E5892)), TRIM(MID(E5892, FIND(",", E5892) + 1, LEN(E5892))), E5892)</f>
        <v>Southern Alaska</v>
      </c>
    </row>
    <row r="5893" spans="1:8" x14ac:dyDescent="0.25">
      <c r="A5893" s="2">
        <v>23464</v>
      </c>
      <c r="B5893">
        <v>60.296999999999997</v>
      </c>
      <c r="C5893">
        <v>-146.73099999999999</v>
      </c>
      <c r="D5893" t="s">
        <v>17</v>
      </c>
      <c r="E5893" t="s">
        <v>497</v>
      </c>
      <c r="F5893">
        <f t="shared" si="184"/>
        <v>1964</v>
      </c>
      <c r="G5893">
        <f t="shared" si="185"/>
        <v>3</v>
      </c>
      <c r="H5893" t="str">
        <f>IF(ISNUMBER(FIND(",", E5893)), TRIM(MID(E5893, FIND(",", E5893) + 1, LEN(E5893))), E5893)</f>
        <v>Southern Alaska</v>
      </c>
    </row>
    <row r="5894" spans="1:8" x14ac:dyDescent="0.25">
      <c r="A5894" s="2">
        <v>23464</v>
      </c>
      <c r="B5894">
        <v>56.396000000000001</v>
      </c>
      <c r="C5894">
        <v>-154.00700000000001</v>
      </c>
      <c r="D5894" t="s">
        <v>17</v>
      </c>
      <c r="E5894" t="s">
        <v>374</v>
      </c>
      <c r="F5894">
        <f t="shared" si="184"/>
        <v>1964</v>
      </c>
      <c r="G5894">
        <f t="shared" si="185"/>
        <v>3</v>
      </c>
      <c r="H5894" t="str">
        <f>IF(ISNUMBER(FIND(",", E5894)), TRIM(MID(E5894, FIND(",", E5894) + 1, LEN(E5894))), E5894)</f>
        <v>Alaska</v>
      </c>
    </row>
    <row r="5895" spans="1:8" x14ac:dyDescent="0.25">
      <c r="A5895" s="2">
        <v>23464</v>
      </c>
      <c r="B5895">
        <v>0.378</v>
      </c>
      <c r="C5895">
        <v>122.069</v>
      </c>
      <c r="D5895" t="s">
        <v>13</v>
      </c>
      <c r="E5895" t="s">
        <v>263</v>
      </c>
      <c r="F5895">
        <f t="shared" si="184"/>
        <v>1964</v>
      </c>
      <c r="G5895">
        <f t="shared" si="185"/>
        <v>3</v>
      </c>
      <c r="H5895" t="str">
        <f>IF(ISNUMBER(FIND(",", E5895)), TRIM(MID(E5895, FIND(",", E5895) + 1, LEN(E5895))), E5895)</f>
        <v>Sulawesi, Indonesia</v>
      </c>
    </row>
    <row r="5896" spans="1:8" x14ac:dyDescent="0.25">
      <c r="A5896" s="2">
        <v>23464</v>
      </c>
      <c r="B5896">
        <v>57.101999999999997</v>
      </c>
      <c r="C5896">
        <v>-152.51</v>
      </c>
      <c r="D5896" t="s">
        <v>17</v>
      </c>
      <c r="E5896" t="s">
        <v>374</v>
      </c>
      <c r="F5896">
        <f t="shared" si="184"/>
        <v>1964</v>
      </c>
      <c r="G5896">
        <f t="shared" si="185"/>
        <v>3</v>
      </c>
      <c r="H5896" t="str">
        <f>IF(ISNUMBER(FIND(",", E5896)), TRIM(MID(E5896, FIND(",", E5896) + 1, LEN(E5896))), E5896)</f>
        <v>Alaska</v>
      </c>
    </row>
    <row r="5897" spans="1:8" x14ac:dyDescent="0.25">
      <c r="A5897" s="2">
        <v>23464</v>
      </c>
      <c r="B5897">
        <v>59.667999999999999</v>
      </c>
      <c r="C5897">
        <v>-146.58500000000001</v>
      </c>
      <c r="D5897" t="s">
        <v>17</v>
      </c>
      <c r="E5897" t="s">
        <v>195</v>
      </c>
      <c r="F5897">
        <f t="shared" si="184"/>
        <v>1964</v>
      </c>
      <c r="G5897">
        <f t="shared" si="185"/>
        <v>3</v>
      </c>
      <c r="H5897" t="str">
        <f>IF(ISNUMBER(FIND(",", E5897)), TRIM(MID(E5897, FIND(",", E5897) + 1, LEN(E5897))), E5897)</f>
        <v>Gulf of Alaska</v>
      </c>
    </row>
    <row r="5898" spans="1:8" x14ac:dyDescent="0.25">
      <c r="A5898" s="2">
        <v>23464</v>
      </c>
      <c r="B5898">
        <v>56.39</v>
      </c>
      <c r="C5898">
        <v>-152.089</v>
      </c>
      <c r="D5898" t="s">
        <v>17</v>
      </c>
      <c r="E5898" t="s">
        <v>374</v>
      </c>
      <c r="F5898">
        <f t="shared" si="184"/>
        <v>1964</v>
      </c>
      <c r="G5898">
        <f t="shared" si="185"/>
        <v>3</v>
      </c>
      <c r="H5898" t="str">
        <f>IF(ISNUMBER(FIND(",", E5898)), TRIM(MID(E5898, FIND(",", E5898) + 1, LEN(E5898))), E5898)</f>
        <v>Alaska</v>
      </c>
    </row>
    <row r="5899" spans="1:8" x14ac:dyDescent="0.25">
      <c r="A5899" s="2">
        <v>23464</v>
      </c>
      <c r="B5899">
        <v>58.031999999999996</v>
      </c>
      <c r="C5899">
        <v>-151.125</v>
      </c>
      <c r="D5899" t="s">
        <v>17</v>
      </c>
      <c r="E5899" t="s">
        <v>374</v>
      </c>
      <c r="F5899">
        <f t="shared" si="184"/>
        <v>1964</v>
      </c>
      <c r="G5899">
        <f t="shared" si="185"/>
        <v>3</v>
      </c>
      <c r="H5899" t="str">
        <f>IF(ISNUMBER(FIND(",", E5899)), TRIM(MID(E5899, FIND(",", E5899) + 1, LEN(E5899))), E5899)</f>
        <v>Alaska</v>
      </c>
    </row>
    <row r="5900" spans="1:8" x14ac:dyDescent="0.25">
      <c r="A5900" s="2">
        <v>23464</v>
      </c>
      <c r="B5900">
        <v>58.720999999999997</v>
      </c>
      <c r="C5900">
        <v>-149.50800000000001</v>
      </c>
      <c r="D5900" t="s">
        <v>17</v>
      </c>
      <c r="E5900" t="s">
        <v>195</v>
      </c>
      <c r="F5900">
        <f t="shared" si="184"/>
        <v>1964</v>
      </c>
      <c r="G5900">
        <f t="shared" si="185"/>
        <v>3</v>
      </c>
      <c r="H5900" t="str">
        <f>IF(ISNUMBER(FIND(",", E5900)), TRIM(MID(E5900, FIND(",", E5900) + 1, LEN(E5900))), E5900)</f>
        <v>Gulf of Alaska</v>
      </c>
    </row>
    <row r="5901" spans="1:8" x14ac:dyDescent="0.25">
      <c r="A5901" s="2">
        <v>23464</v>
      </c>
      <c r="B5901">
        <v>58.206000000000003</v>
      </c>
      <c r="C5901">
        <v>-151.28</v>
      </c>
      <c r="D5901" t="s">
        <v>13</v>
      </c>
      <c r="E5901" t="s">
        <v>374</v>
      </c>
      <c r="F5901">
        <f t="shared" si="184"/>
        <v>1964</v>
      </c>
      <c r="G5901">
        <f t="shared" si="185"/>
        <v>3</v>
      </c>
      <c r="H5901" t="str">
        <f>IF(ISNUMBER(FIND(",", E5901)), TRIM(MID(E5901, FIND(",", E5901) + 1, LEN(E5901))), E5901)</f>
        <v>Alaska</v>
      </c>
    </row>
    <row r="5902" spans="1:8" x14ac:dyDescent="0.25">
      <c r="A5902" s="2">
        <v>23464</v>
      </c>
      <c r="B5902">
        <v>59.698999999999998</v>
      </c>
      <c r="C5902">
        <v>-149.416</v>
      </c>
      <c r="D5902" t="s">
        <v>13</v>
      </c>
      <c r="E5902" t="s">
        <v>679</v>
      </c>
      <c r="F5902">
        <f t="shared" si="184"/>
        <v>1964</v>
      </c>
      <c r="G5902">
        <f t="shared" si="185"/>
        <v>3</v>
      </c>
      <c r="H5902" t="str">
        <f>IF(ISNUMBER(FIND(",", E5902)), TRIM(MID(E5902, FIND(",", E5902) + 1, LEN(E5902))), E5902)</f>
        <v>Alaska</v>
      </c>
    </row>
    <row r="5903" spans="1:8" x14ac:dyDescent="0.25">
      <c r="A5903" s="2">
        <v>23464</v>
      </c>
      <c r="B5903">
        <v>61.018999999999998</v>
      </c>
      <c r="C5903">
        <v>-147.626</v>
      </c>
      <c r="D5903" t="s">
        <v>16</v>
      </c>
      <c r="E5903" t="s">
        <v>497</v>
      </c>
      <c r="F5903">
        <f t="shared" si="184"/>
        <v>1964</v>
      </c>
      <c r="G5903">
        <f t="shared" si="185"/>
        <v>3</v>
      </c>
      <c r="H5903" t="str">
        <f>IF(ISNUMBER(FIND(",", E5903)), TRIM(MID(E5903, FIND(",", E5903) + 1, LEN(E5903))), E5903)</f>
        <v>Southern Alaska</v>
      </c>
    </row>
    <row r="5904" spans="1:8" x14ac:dyDescent="0.25">
      <c r="A5904" s="2">
        <v>23457</v>
      </c>
      <c r="B5904">
        <v>-6.4779999999999998</v>
      </c>
      <c r="C5904">
        <v>127.919</v>
      </c>
      <c r="D5904" t="s">
        <v>14</v>
      </c>
      <c r="E5904" t="s">
        <v>187</v>
      </c>
      <c r="F5904">
        <f t="shared" si="184"/>
        <v>1964</v>
      </c>
      <c r="G5904">
        <f t="shared" si="185"/>
        <v>3</v>
      </c>
      <c r="H5904" t="str">
        <f>IF(ISNUMBER(FIND(",", E5904)), TRIM(MID(E5904, FIND(",", E5904) + 1, LEN(E5904))), E5904)</f>
        <v>Banda Sea</v>
      </c>
    </row>
    <row r="5905" spans="1:8" x14ac:dyDescent="0.25">
      <c r="A5905" s="2">
        <v>23454</v>
      </c>
      <c r="B5905">
        <v>52.515000000000001</v>
      </c>
      <c r="C5905">
        <v>153.64500000000001</v>
      </c>
      <c r="D5905" t="s">
        <v>14</v>
      </c>
      <c r="E5905" t="s">
        <v>485</v>
      </c>
      <c r="F5905">
        <f t="shared" si="184"/>
        <v>1964</v>
      </c>
      <c r="G5905">
        <f t="shared" si="185"/>
        <v>3</v>
      </c>
      <c r="H5905" t="str">
        <f>IF(ISNUMBER(FIND(",", E5905)), TRIM(MID(E5905, FIND(",", E5905) + 1, LEN(E5905))), E5905)</f>
        <v>northwest of the Kuril Islands</v>
      </c>
    </row>
    <row r="5906" spans="1:8" x14ac:dyDescent="0.25">
      <c r="A5906" s="2">
        <v>23451</v>
      </c>
      <c r="B5906">
        <v>36.154000000000003</v>
      </c>
      <c r="C5906">
        <v>-7.6440000000000001</v>
      </c>
      <c r="D5906" t="s">
        <v>16</v>
      </c>
      <c r="E5906" t="s">
        <v>332</v>
      </c>
      <c r="F5906">
        <f t="shared" si="184"/>
        <v>1964</v>
      </c>
      <c r="G5906">
        <f t="shared" si="185"/>
        <v>3</v>
      </c>
      <c r="H5906" t="str">
        <f>IF(ISNUMBER(FIND(",", E5906)), TRIM(MID(E5906, FIND(",", E5906) + 1, LEN(E5906))), E5906)</f>
        <v>Strait of Gibraltar</v>
      </c>
    </row>
    <row r="5907" spans="1:8" x14ac:dyDescent="0.25">
      <c r="A5907" s="2">
        <v>23432</v>
      </c>
      <c r="B5907">
        <v>-44.664000000000001</v>
      </c>
      <c r="C5907">
        <v>37.268000000000001</v>
      </c>
      <c r="D5907" t="s">
        <v>13</v>
      </c>
      <c r="E5907" t="s">
        <v>369</v>
      </c>
      <c r="F5907">
        <f t="shared" si="184"/>
        <v>1964</v>
      </c>
      <c r="G5907">
        <f t="shared" si="185"/>
        <v>2</v>
      </c>
      <c r="H5907" t="str">
        <f>IF(ISNUMBER(FIND(",", E5907)), TRIM(MID(E5907, FIND(",", E5907) + 1, LEN(E5907))), E5907)</f>
        <v>Prince Edward Islands region</v>
      </c>
    </row>
    <row r="5908" spans="1:8" x14ac:dyDescent="0.25">
      <c r="A5908" s="2">
        <v>23421</v>
      </c>
      <c r="B5908">
        <v>-5.1920000000000002</v>
      </c>
      <c r="C5908">
        <v>151.81100000000001</v>
      </c>
      <c r="D5908" t="s">
        <v>13</v>
      </c>
      <c r="E5908" t="s">
        <v>190</v>
      </c>
      <c r="F5908">
        <f t="shared" si="184"/>
        <v>1964</v>
      </c>
      <c r="G5908">
        <f t="shared" si="185"/>
        <v>2</v>
      </c>
      <c r="H5908" t="str">
        <f>IF(ISNUMBER(FIND(",", E5908)), TRIM(MID(E5908, FIND(",", E5908) + 1, LEN(E5908))), E5908)</f>
        <v>Papua New Guinea</v>
      </c>
    </row>
    <row r="5909" spans="1:8" x14ac:dyDescent="0.25">
      <c r="A5909" s="2">
        <v>23413</v>
      </c>
      <c r="B5909">
        <v>55.640999999999998</v>
      </c>
      <c r="C5909">
        <v>-156.07</v>
      </c>
      <c r="D5909" t="s">
        <v>16</v>
      </c>
      <c r="E5909" t="s">
        <v>493</v>
      </c>
      <c r="F5909">
        <f t="shared" si="184"/>
        <v>1964</v>
      </c>
      <c r="G5909">
        <f t="shared" si="185"/>
        <v>2</v>
      </c>
      <c r="H5909" t="str">
        <f>IF(ISNUMBER(FIND(",", E5909)), TRIM(MID(E5909, FIND(",", E5909) + 1, LEN(E5909))), E5909)</f>
        <v>south of Alaska</v>
      </c>
    </row>
    <row r="5910" spans="1:8" x14ac:dyDescent="0.25">
      <c r="A5910" s="2">
        <v>23404</v>
      </c>
      <c r="B5910">
        <v>36.447000000000003</v>
      </c>
      <c r="C5910">
        <v>70.938000000000002</v>
      </c>
      <c r="D5910" t="s">
        <v>13</v>
      </c>
      <c r="E5910" t="s">
        <v>314</v>
      </c>
      <c r="F5910">
        <f t="shared" si="184"/>
        <v>1964</v>
      </c>
      <c r="G5910">
        <f t="shared" si="185"/>
        <v>1</v>
      </c>
      <c r="H5910" t="str">
        <f>IF(ISNUMBER(FIND(",", E5910)), TRIM(MID(E5910, FIND(",", E5910) + 1, LEN(E5910))), E5910)</f>
        <v>Afghanistan</v>
      </c>
    </row>
    <row r="5911" spans="1:8" x14ac:dyDescent="0.25">
      <c r="A5911" s="2">
        <v>23402</v>
      </c>
      <c r="B5911">
        <v>-16.318999999999999</v>
      </c>
      <c r="C5911">
        <v>-71.534999999999997</v>
      </c>
      <c r="D5911" t="s">
        <v>13</v>
      </c>
      <c r="E5911" t="s">
        <v>229</v>
      </c>
      <c r="F5911">
        <f t="shared" si="184"/>
        <v>1964</v>
      </c>
      <c r="G5911">
        <f t="shared" si="185"/>
        <v>1</v>
      </c>
      <c r="H5911" t="str">
        <f>IF(ISNUMBER(FIND(",", E5911)), TRIM(MID(E5911, FIND(",", E5911) + 1, LEN(E5911))), E5911)</f>
        <v>southern Peru</v>
      </c>
    </row>
    <row r="5912" spans="1:8" x14ac:dyDescent="0.25">
      <c r="A5912" s="2">
        <v>23398</v>
      </c>
      <c r="B5912">
        <v>-13.599</v>
      </c>
      <c r="C5912">
        <v>165.989</v>
      </c>
      <c r="D5912" t="s">
        <v>13</v>
      </c>
      <c r="E5912" t="s">
        <v>181</v>
      </c>
      <c r="F5912">
        <f t="shared" si="184"/>
        <v>1964</v>
      </c>
      <c r="G5912">
        <f t="shared" si="185"/>
        <v>1</v>
      </c>
      <c r="H5912" t="str">
        <f>IF(ISNUMBER(FIND(",", E5912)), TRIM(MID(E5912, FIND(",", E5912) + 1, LEN(E5912))), E5912)</f>
        <v>Vanuatu</v>
      </c>
    </row>
    <row r="5913" spans="1:8" x14ac:dyDescent="0.25">
      <c r="A5913" s="2">
        <v>23398</v>
      </c>
      <c r="B5913">
        <v>22.286999999999999</v>
      </c>
      <c r="C5913">
        <v>93.533000000000001</v>
      </c>
      <c r="D5913" t="s">
        <v>13</v>
      </c>
      <c r="E5913" t="s">
        <v>303</v>
      </c>
      <c r="F5913">
        <f t="shared" si="184"/>
        <v>1964</v>
      </c>
      <c r="G5913">
        <f t="shared" si="185"/>
        <v>1</v>
      </c>
      <c r="H5913" t="str">
        <f>IF(ISNUMBER(FIND(",", E5913)), TRIM(MID(E5913, FIND(",", E5913) + 1, LEN(E5913))), E5913)</f>
        <v>Myanmar-India border region</v>
      </c>
    </row>
    <row r="5914" spans="1:8" x14ac:dyDescent="0.25">
      <c r="A5914" s="2">
        <v>23396</v>
      </c>
      <c r="B5914">
        <v>-20.751000000000001</v>
      </c>
      <c r="C5914">
        <v>169.988</v>
      </c>
      <c r="D5914" t="s">
        <v>13</v>
      </c>
      <c r="E5914" t="s">
        <v>181</v>
      </c>
      <c r="F5914">
        <f t="shared" si="184"/>
        <v>1964</v>
      </c>
      <c r="G5914">
        <f t="shared" si="185"/>
        <v>1</v>
      </c>
      <c r="H5914" t="str">
        <f>IF(ISNUMBER(FIND(",", E5914)), TRIM(MID(E5914, FIND(",", E5914) + 1, LEN(E5914))), E5914)</f>
        <v>Vanuatu</v>
      </c>
    </row>
    <row r="5915" spans="1:8" x14ac:dyDescent="0.25">
      <c r="A5915" s="2">
        <v>23394</v>
      </c>
      <c r="B5915">
        <v>23.149000000000001</v>
      </c>
      <c r="C5915">
        <v>120.655</v>
      </c>
      <c r="D5915" t="s">
        <v>13</v>
      </c>
      <c r="E5915" t="s">
        <v>336</v>
      </c>
      <c r="F5915">
        <f t="shared" si="184"/>
        <v>1964</v>
      </c>
      <c r="G5915">
        <f t="shared" si="185"/>
        <v>1</v>
      </c>
      <c r="H5915" t="str">
        <f>IF(ISNUMBER(FIND(",", E5915)), TRIM(MID(E5915, FIND(",", E5915) + 1, LEN(E5915))), E5915)</f>
        <v>Taiwan</v>
      </c>
    </row>
    <row r="5916" spans="1:8" x14ac:dyDescent="0.25">
      <c r="A5916" s="2">
        <v>23391</v>
      </c>
      <c r="B5916">
        <v>29.126000000000001</v>
      </c>
      <c r="C5916">
        <v>140.93600000000001</v>
      </c>
      <c r="D5916" t="s">
        <v>13</v>
      </c>
      <c r="E5916" t="s">
        <v>88</v>
      </c>
      <c r="F5916">
        <f t="shared" si="184"/>
        <v>1964</v>
      </c>
      <c r="G5916">
        <f t="shared" si="185"/>
        <v>1</v>
      </c>
      <c r="H5916" t="str">
        <f>IF(ISNUMBER(FIND(",", E5916)), TRIM(MID(E5916, FIND(",", E5916) + 1, LEN(E5916))), E5916)</f>
        <v>Japan region</v>
      </c>
    </row>
    <row r="5917" spans="1:8" x14ac:dyDescent="0.25">
      <c r="A5917" s="2">
        <v>23381</v>
      </c>
      <c r="B5917">
        <v>-52.173999999999999</v>
      </c>
      <c r="C5917">
        <v>28.234000000000002</v>
      </c>
      <c r="D5917" t="s">
        <v>13</v>
      </c>
      <c r="E5917" t="s">
        <v>465</v>
      </c>
      <c r="F5917">
        <f t="shared" si="184"/>
        <v>1964</v>
      </c>
      <c r="G5917">
        <f t="shared" si="185"/>
        <v>1</v>
      </c>
      <c r="H5917" t="str">
        <f>IF(ISNUMBER(FIND(",", E5917)), TRIM(MID(E5917, FIND(",", E5917) + 1, LEN(E5917))), E5917)</f>
        <v>south of Africa</v>
      </c>
    </row>
    <row r="5918" spans="1:8" x14ac:dyDescent="0.25">
      <c r="A5918" s="2">
        <v>23376</v>
      </c>
      <c r="B5918">
        <v>-56.411999999999999</v>
      </c>
      <c r="C5918">
        <v>-25.829000000000001</v>
      </c>
      <c r="D5918" t="s">
        <v>14</v>
      </c>
      <c r="E5918" t="s">
        <v>260</v>
      </c>
      <c r="F5918">
        <f t="shared" si="184"/>
        <v>1963</v>
      </c>
      <c r="G5918">
        <f t="shared" si="185"/>
        <v>12</v>
      </c>
      <c r="H5918" t="str">
        <f>IF(ISNUMBER(FIND(",", E5918)), TRIM(MID(E5918, FIND(",", E5918) + 1, LEN(E5918))), E5918)</f>
        <v>South Sandwich Islands region</v>
      </c>
    </row>
    <row r="5919" spans="1:8" x14ac:dyDescent="0.25">
      <c r="A5919" s="2">
        <v>23363</v>
      </c>
      <c r="B5919">
        <v>-24.777000000000001</v>
      </c>
      <c r="C5919">
        <v>-176.51</v>
      </c>
      <c r="D5919" t="s">
        <v>16</v>
      </c>
      <c r="E5919" t="s">
        <v>256</v>
      </c>
      <c r="F5919">
        <f t="shared" si="184"/>
        <v>1963</v>
      </c>
      <c r="G5919">
        <f t="shared" si="185"/>
        <v>12</v>
      </c>
      <c r="H5919" t="str">
        <f>IF(ISNUMBER(FIND(",", E5919)), TRIM(MID(E5919, FIND(",", E5919) + 1, LEN(E5919))), E5919)</f>
        <v>south of the Fiji Islands</v>
      </c>
    </row>
    <row r="5920" spans="1:8" x14ac:dyDescent="0.25">
      <c r="A5920" s="2">
        <v>23360</v>
      </c>
      <c r="B5920">
        <v>-4.7679999999999998</v>
      </c>
      <c r="C5920">
        <v>108.056</v>
      </c>
      <c r="D5920" t="s">
        <v>14</v>
      </c>
      <c r="E5920" t="s">
        <v>556</v>
      </c>
      <c r="F5920">
        <f t="shared" si="184"/>
        <v>1963</v>
      </c>
      <c r="G5920">
        <f t="shared" si="185"/>
        <v>12</v>
      </c>
      <c r="H5920" t="str">
        <f>IF(ISNUMBER(FIND(",", E5920)), TRIM(MID(E5920, FIND(",", E5920) + 1, LEN(E5920))), E5920)</f>
        <v>Java Sea</v>
      </c>
    </row>
    <row r="5921" spans="1:8" x14ac:dyDescent="0.25">
      <c r="A5921" s="2">
        <v>23325</v>
      </c>
      <c r="B5921">
        <v>-9.0350000000000001</v>
      </c>
      <c r="C5921">
        <v>-71.361999999999995</v>
      </c>
      <c r="D5921" t="s">
        <v>17</v>
      </c>
      <c r="E5921" t="s">
        <v>557</v>
      </c>
      <c r="F5921">
        <f t="shared" si="184"/>
        <v>1963</v>
      </c>
      <c r="G5921">
        <f t="shared" si="185"/>
        <v>11</v>
      </c>
      <c r="H5921" t="str">
        <f>IF(ISNUMBER(FIND(",", E5921)), TRIM(MID(E5921, FIND(",", E5921) + 1, LEN(E5921))), E5921)</f>
        <v>Peru-Brazil border region</v>
      </c>
    </row>
    <row r="5922" spans="1:8" x14ac:dyDescent="0.25">
      <c r="A5922" s="2">
        <v>23324</v>
      </c>
      <c r="B5922">
        <v>-8.9830000000000005</v>
      </c>
      <c r="C5922">
        <v>-71.539000000000001</v>
      </c>
      <c r="D5922" t="s">
        <v>14</v>
      </c>
      <c r="E5922" t="s">
        <v>326</v>
      </c>
      <c r="F5922">
        <f t="shared" si="184"/>
        <v>1963</v>
      </c>
      <c r="G5922">
        <f t="shared" si="185"/>
        <v>11</v>
      </c>
      <c r="H5922" t="str">
        <f>IF(ISNUMBER(FIND(",", E5922)), TRIM(MID(E5922, FIND(",", E5922) + 1, LEN(E5922))), E5922)</f>
        <v>Brazil</v>
      </c>
    </row>
    <row r="5923" spans="1:8" x14ac:dyDescent="0.25">
      <c r="A5923" s="2">
        <v>23321</v>
      </c>
      <c r="B5923">
        <v>-2.746</v>
      </c>
      <c r="C5923">
        <v>138.261</v>
      </c>
      <c r="D5923" t="s">
        <v>14</v>
      </c>
      <c r="E5923" t="s">
        <v>210</v>
      </c>
      <c r="F5923">
        <f t="shared" si="184"/>
        <v>1963</v>
      </c>
      <c r="G5923">
        <f t="shared" si="185"/>
        <v>11</v>
      </c>
      <c r="H5923" t="str">
        <f>IF(ISNUMBER(FIND(",", E5923)), TRIM(MID(E5923, FIND(",", E5923) + 1, LEN(E5923))), E5923)</f>
        <v>Indonesia</v>
      </c>
    </row>
    <row r="5924" spans="1:8" x14ac:dyDescent="0.25">
      <c r="A5924" s="2">
        <v>23319</v>
      </c>
      <c r="B5924">
        <v>-6.7350000000000003</v>
      </c>
      <c r="C5924">
        <v>129.685</v>
      </c>
      <c r="D5924" t="s">
        <v>13</v>
      </c>
      <c r="E5924" t="s">
        <v>187</v>
      </c>
      <c r="F5924">
        <f t="shared" si="184"/>
        <v>1963</v>
      </c>
      <c r="G5924">
        <f t="shared" si="185"/>
        <v>11</v>
      </c>
      <c r="H5924" t="str">
        <f>IF(ISNUMBER(FIND(",", E5924)), TRIM(MID(E5924, FIND(",", E5924) + 1, LEN(E5924))), E5924)</f>
        <v>Banda Sea</v>
      </c>
    </row>
    <row r="5925" spans="1:8" x14ac:dyDescent="0.25">
      <c r="A5925" s="2">
        <v>23304</v>
      </c>
      <c r="B5925">
        <v>44.764000000000003</v>
      </c>
      <c r="C5925">
        <v>150.56700000000001</v>
      </c>
      <c r="D5925" t="s">
        <v>16</v>
      </c>
      <c r="E5925" t="s">
        <v>317</v>
      </c>
      <c r="F5925">
        <f t="shared" si="184"/>
        <v>1963</v>
      </c>
      <c r="G5925">
        <f t="shared" si="185"/>
        <v>10</v>
      </c>
      <c r="H5925" t="str">
        <f>IF(ISNUMBER(FIND(",", E5925)), TRIM(MID(E5925, FIND(",", E5925) + 1, LEN(E5925))), E5925)</f>
        <v>east of the Kuril Islands</v>
      </c>
    </row>
    <row r="5926" spans="1:8" x14ac:dyDescent="0.25">
      <c r="A5926" s="2">
        <v>23297</v>
      </c>
      <c r="B5926">
        <v>44.762999999999998</v>
      </c>
      <c r="C5926">
        <v>149.80099999999999</v>
      </c>
      <c r="D5926" t="s">
        <v>16</v>
      </c>
      <c r="E5926" t="s">
        <v>191</v>
      </c>
      <c r="F5926">
        <f t="shared" si="184"/>
        <v>1963</v>
      </c>
      <c r="G5926">
        <f t="shared" si="185"/>
        <v>10</v>
      </c>
      <c r="H5926" t="str">
        <f>IF(ISNUMBER(FIND(",", E5926)), TRIM(MID(E5926, FIND(",", E5926) + 1, LEN(E5926))), E5926)</f>
        <v>Kuril Islands</v>
      </c>
    </row>
    <row r="5927" spans="1:8" x14ac:dyDescent="0.25">
      <c r="A5927" s="2">
        <v>23296</v>
      </c>
      <c r="B5927">
        <v>44.429000000000002</v>
      </c>
      <c r="C5927">
        <v>149.273</v>
      </c>
      <c r="D5927" t="s">
        <v>16</v>
      </c>
      <c r="E5927" t="s">
        <v>191</v>
      </c>
      <c r="F5927">
        <f t="shared" si="184"/>
        <v>1963</v>
      </c>
      <c r="G5927">
        <f t="shared" si="185"/>
        <v>10</v>
      </c>
      <c r="H5927" t="str">
        <f>IF(ISNUMBER(FIND(",", E5927)), TRIM(MID(E5927, FIND(",", E5927) + 1, LEN(E5927))), E5927)</f>
        <v>Kuril Islands</v>
      </c>
    </row>
    <row r="5928" spans="1:8" x14ac:dyDescent="0.25">
      <c r="A5928" s="2">
        <v>23278</v>
      </c>
      <c r="B5928">
        <v>-10.696</v>
      </c>
      <c r="C5928">
        <v>-78.222999999999999</v>
      </c>
      <c r="D5928" t="s">
        <v>13</v>
      </c>
      <c r="E5928" t="s">
        <v>258</v>
      </c>
      <c r="F5928">
        <f t="shared" si="184"/>
        <v>1963</v>
      </c>
      <c r="G5928">
        <f t="shared" si="185"/>
        <v>9</v>
      </c>
      <c r="H5928" t="str">
        <f>IF(ISNUMBER(FIND(",", E5928)), TRIM(MID(E5928, FIND(",", E5928) + 1, LEN(E5928))), E5928)</f>
        <v>near the coast of central Peru</v>
      </c>
    </row>
    <row r="5929" spans="1:8" x14ac:dyDescent="0.25">
      <c r="A5929" s="2">
        <v>23271</v>
      </c>
      <c r="B5929">
        <v>-10.282999999999999</v>
      </c>
      <c r="C5929">
        <v>165.41399999999999</v>
      </c>
      <c r="D5929" t="s">
        <v>16</v>
      </c>
      <c r="E5929" t="s">
        <v>211</v>
      </c>
      <c r="F5929">
        <f t="shared" si="184"/>
        <v>1963</v>
      </c>
      <c r="G5929">
        <f t="shared" si="185"/>
        <v>9</v>
      </c>
      <c r="H5929" t="str">
        <f>IF(ISNUMBER(FIND(",", E5929)), TRIM(MID(E5929, FIND(",", E5929) + 1, LEN(E5929))), E5929)</f>
        <v>Santa Cruz Islands</v>
      </c>
    </row>
    <row r="5930" spans="1:8" x14ac:dyDescent="0.25">
      <c r="A5930" s="2">
        <v>23271</v>
      </c>
      <c r="B5930">
        <v>-10.688000000000001</v>
      </c>
      <c r="C5930">
        <v>-78.143000000000001</v>
      </c>
      <c r="D5930" t="s">
        <v>17</v>
      </c>
      <c r="E5930" t="s">
        <v>258</v>
      </c>
      <c r="F5930">
        <f t="shared" si="184"/>
        <v>1963</v>
      </c>
      <c r="G5930">
        <f t="shared" si="185"/>
        <v>9</v>
      </c>
      <c r="H5930" t="str">
        <f>IF(ISNUMBER(FIND(",", E5930)), TRIM(MID(E5930, FIND(",", E5930) + 1, LEN(E5930))), E5930)</f>
        <v>near the coast of central Peru</v>
      </c>
    </row>
    <row r="5931" spans="1:8" x14ac:dyDescent="0.25">
      <c r="A5931" s="2">
        <v>23269</v>
      </c>
      <c r="B5931">
        <v>-10.473000000000001</v>
      </c>
      <c r="C5931">
        <v>165.76400000000001</v>
      </c>
      <c r="D5931" t="s">
        <v>16</v>
      </c>
      <c r="E5931" t="s">
        <v>211</v>
      </c>
      <c r="F5931">
        <f t="shared" si="184"/>
        <v>1963</v>
      </c>
      <c r="G5931">
        <f t="shared" si="185"/>
        <v>9</v>
      </c>
      <c r="H5931" t="str">
        <f>IF(ISNUMBER(FIND(",", E5931)), TRIM(MID(E5931, FIND(",", E5931) + 1, LEN(E5931))), E5931)</f>
        <v>Santa Cruz Islands</v>
      </c>
    </row>
    <row r="5932" spans="1:8" x14ac:dyDescent="0.25">
      <c r="A5932" s="2">
        <v>23258</v>
      </c>
      <c r="B5932">
        <v>71.233999999999995</v>
      </c>
      <c r="C5932">
        <v>-72.998000000000005</v>
      </c>
      <c r="D5932" t="s">
        <v>17</v>
      </c>
      <c r="E5932" t="s">
        <v>680</v>
      </c>
      <c r="F5932">
        <f t="shared" si="184"/>
        <v>1963</v>
      </c>
      <c r="G5932">
        <f t="shared" si="185"/>
        <v>9</v>
      </c>
      <c r="H5932" t="str">
        <f>IF(ISNUMBER(FIND(",", E5932)), TRIM(MID(E5932, FIND(",", E5932) + 1, LEN(E5932))), E5932)</f>
        <v>Nunavut, Canada</v>
      </c>
    </row>
    <row r="5933" spans="1:8" x14ac:dyDescent="0.25">
      <c r="A5933" s="2">
        <v>23248</v>
      </c>
      <c r="B5933">
        <v>-17.7</v>
      </c>
      <c r="C5933">
        <v>-178.53700000000001</v>
      </c>
      <c r="D5933" t="s">
        <v>14</v>
      </c>
      <c r="E5933" t="s">
        <v>53</v>
      </c>
      <c r="F5933">
        <f t="shared" si="184"/>
        <v>1963</v>
      </c>
      <c r="G5933">
        <f t="shared" si="185"/>
        <v>8</v>
      </c>
      <c r="H5933" t="str">
        <f>IF(ISNUMBER(FIND(",", E5933)), TRIM(MID(E5933, FIND(",", E5933) + 1, LEN(E5933))), E5933)</f>
        <v>Fiji region</v>
      </c>
    </row>
    <row r="5934" spans="1:8" x14ac:dyDescent="0.25">
      <c r="A5934" s="2">
        <v>23245</v>
      </c>
      <c r="B5934">
        <v>-9.5210000000000008</v>
      </c>
      <c r="C5934">
        <v>158.29599999999999</v>
      </c>
      <c r="D5934" t="s">
        <v>14</v>
      </c>
      <c r="E5934" t="s">
        <v>221</v>
      </c>
      <c r="F5934">
        <f t="shared" si="184"/>
        <v>1963</v>
      </c>
      <c r="G5934">
        <f t="shared" si="185"/>
        <v>8</v>
      </c>
      <c r="H5934" t="str">
        <f>IF(ISNUMBER(FIND(",", E5934)), TRIM(MID(E5934, FIND(",", E5934) + 1, LEN(E5934))), E5934)</f>
        <v>Solomon Islands</v>
      </c>
    </row>
    <row r="5935" spans="1:8" x14ac:dyDescent="0.25">
      <c r="A5935" s="2">
        <v>23238</v>
      </c>
      <c r="B5935">
        <v>-13.717000000000001</v>
      </c>
      <c r="C5935">
        <v>-69.320999999999998</v>
      </c>
      <c r="D5935" t="s">
        <v>14</v>
      </c>
      <c r="E5935" t="s">
        <v>229</v>
      </c>
      <c r="F5935">
        <f t="shared" si="184"/>
        <v>1963</v>
      </c>
      <c r="G5935">
        <f t="shared" si="185"/>
        <v>8</v>
      </c>
      <c r="H5935" t="str">
        <f>IF(ISNUMBER(FIND(",", E5935)), TRIM(MID(E5935, FIND(",", E5935) + 1, LEN(E5935))), E5935)</f>
        <v>southern Peru</v>
      </c>
    </row>
    <row r="5936" spans="1:8" x14ac:dyDescent="0.25">
      <c r="A5936" s="2">
        <v>23226</v>
      </c>
      <c r="B5936">
        <v>7.2430000000000003</v>
      </c>
      <c r="C5936">
        <v>-35.825000000000003</v>
      </c>
      <c r="D5936" t="s">
        <v>17</v>
      </c>
      <c r="E5936" t="s">
        <v>291</v>
      </c>
      <c r="F5936">
        <f t="shared" si="184"/>
        <v>1963</v>
      </c>
      <c r="G5936">
        <f t="shared" si="185"/>
        <v>8</v>
      </c>
      <c r="H5936" t="str">
        <f>IF(ISNUMBER(FIND(",", E5936)), TRIM(MID(E5936, FIND(",", E5936) + 1, LEN(E5936))), E5936)</f>
        <v>central Mid-Atlantic Ridge</v>
      </c>
    </row>
    <row r="5937" spans="1:8" x14ac:dyDescent="0.25">
      <c r="A5937" s="2">
        <v>23222</v>
      </c>
      <c r="B5937">
        <v>-29.963000000000001</v>
      </c>
      <c r="C5937">
        <v>-177.077</v>
      </c>
      <c r="D5937" t="s">
        <v>17</v>
      </c>
      <c r="E5937" t="s">
        <v>288</v>
      </c>
      <c r="F5937">
        <f t="shared" si="184"/>
        <v>1963</v>
      </c>
      <c r="G5937">
        <f t="shared" si="185"/>
        <v>7</v>
      </c>
      <c r="H5937" t="str">
        <f>IF(ISNUMBER(FIND(",", E5937)), TRIM(MID(E5937, FIND(",", E5937) + 1, LEN(E5937))), E5937)</f>
        <v>New Zealand</v>
      </c>
    </row>
    <row r="5938" spans="1:8" x14ac:dyDescent="0.25">
      <c r="A5938" s="2">
        <v>23208</v>
      </c>
      <c r="B5938">
        <v>43.237000000000002</v>
      </c>
      <c r="C5938">
        <v>41.593000000000004</v>
      </c>
      <c r="D5938" t="s">
        <v>14</v>
      </c>
      <c r="E5938" t="s">
        <v>681</v>
      </c>
      <c r="F5938">
        <f t="shared" si="184"/>
        <v>1963</v>
      </c>
      <c r="G5938">
        <f t="shared" si="185"/>
        <v>7</v>
      </c>
      <c r="H5938" t="str">
        <f>IF(ISNUMBER(FIND(",", E5938)), TRIM(MID(E5938, FIND(",", E5938) + 1, LEN(E5938))), E5938)</f>
        <v>Russia-Georgia border region</v>
      </c>
    </row>
    <row r="5939" spans="1:8" x14ac:dyDescent="0.25">
      <c r="A5939" s="2">
        <v>23196</v>
      </c>
      <c r="B5939">
        <v>-26.518999999999998</v>
      </c>
      <c r="C5939">
        <v>-177.56700000000001</v>
      </c>
      <c r="D5939" t="s">
        <v>13</v>
      </c>
      <c r="E5939" t="s">
        <v>256</v>
      </c>
      <c r="F5939">
        <f t="shared" si="184"/>
        <v>1963</v>
      </c>
      <c r="G5939">
        <f t="shared" si="185"/>
        <v>7</v>
      </c>
      <c r="H5939" t="str">
        <f>IF(ISNUMBER(FIND(",", E5939)), TRIM(MID(E5939, FIND(",", E5939) + 1, LEN(E5939))), E5939)</f>
        <v>south of the Fiji Islands</v>
      </c>
    </row>
    <row r="5940" spans="1:8" x14ac:dyDescent="0.25">
      <c r="A5940" s="2">
        <v>23190</v>
      </c>
      <c r="B5940">
        <v>46.478999999999999</v>
      </c>
      <c r="C5940">
        <v>153.501</v>
      </c>
      <c r="D5940" t="s">
        <v>14</v>
      </c>
      <c r="E5940" t="s">
        <v>191</v>
      </c>
      <c r="F5940">
        <f t="shared" si="184"/>
        <v>1963</v>
      </c>
      <c r="G5940">
        <f t="shared" si="185"/>
        <v>6</v>
      </c>
      <c r="H5940" t="str">
        <f>IF(ISNUMBER(FIND(",", E5940)), TRIM(MID(E5940, FIND(",", E5940) + 1, LEN(E5940))), E5940)</f>
        <v>Kuril Islands</v>
      </c>
    </row>
    <row r="5941" spans="1:8" x14ac:dyDescent="0.25">
      <c r="A5941" s="2">
        <v>23186</v>
      </c>
      <c r="B5941">
        <v>59.332999999999998</v>
      </c>
      <c r="C5941">
        <v>-152.124</v>
      </c>
      <c r="D5941" t="s">
        <v>14</v>
      </c>
      <c r="E5941" t="s">
        <v>497</v>
      </c>
      <c r="F5941">
        <f t="shared" si="184"/>
        <v>1963</v>
      </c>
      <c r="G5941">
        <f t="shared" si="185"/>
        <v>6</v>
      </c>
      <c r="H5941" t="str">
        <f>IF(ISNUMBER(FIND(",", E5941)), TRIM(MID(E5941, FIND(",", E5941) + 1, LEN(E5941))), E5941)</f>
        <v>Southern Alaska</v>
      </c>
    </row>
    <row r="5942" spans="1:8" x14ac:dyDescent="0.25">
      <c r="A5942" s="2">
        <v>23153</v>
      </c>
      <c r="B5942">
        <v>48.639000000000003</v>
      </c>
      <c r="C5942">
        <v>154.804</v>
      </c>
      <c r="D5942" t="s">
        <v>17</v>
      </c>
      <c r="E5942" t="s">
        <v>191</v>
      </c>
      <c r="F5942">
        <f t="shared" si="184"/>
        <v>1963</v>
      </c>
      <c r="G5942">
        <f t="shared" si="185"/>
        <v>5</v>
      </c>
      <c r="H5942" t="str">
        <f>IF(ISNUMBER(FIND(",", E5942)), TRIM(MID(E5942, FIND(",", E5942) + 1, LEN(E5942))), E5942)</f>
        <v>Kuril Islands</v>
      </c>
    </row>
    <row r="5943" spans="1:8" x14ac:dyDescent="0.25">
      <c r="A5943" s="2">
        <v>23151</v>
      </c>
      <c r="B5943">
        <v>-30.891999999999999</v>
      </c>
      <c r="C5943">
        <v>-178.096</v>
      </c>
      <c r="D5943" t="s">
        <v>14</v>
      </c>
      <c r="E5943" t="s">
        <v>288</v>
      </c>
      <c r="F5943">
        <f t="shared" si="184"/>
        <v>1963</v>
      </c>
      <c r="G5943">
        <f t="shared" si="185"/>
        <v>5</v>
      </c>
      <c r="H5943" t="str">
        <f>IF(ISNUMBER(FIND(",", E5943)), TRIM(MID(E5943, FIND(",", E5943) + 1, LEN(E5943))), E5943)</f>
        <v>New Zealand</v>
      </c>
    </row>
    <row r="5944" spans="1:8" x14ac:dyDescent="0.25">
      <c r="A5944" s="2">
        <v>23150</v>
      </c>
      <c r="B5944">
        <v>23.797000000000001</v>
      </c>
      <c r="C5944">
        <v>-45.947000000000003</v>
      </c>
      <c r="D5944" t="s">
        <v>17</v>
      </c>
      <c r="E5944" t="s">
        <v>325</v>
      </c>
      <c r="F5944">
        <f t="shared" si="184"/>
        <v>1963</v>
      </c>
      <c r="G5944">
        <f t="shared" si="185"/>
        <v>5</v>
      </c>
      <c r="H5944" t="str">
        <f>IF(ISNUMBER(FIND(",", E5944)), TRIM(MID(E5944, FIND(",", E5944) + 1, LEN(E5944))), E5944)</f>
        <v>northern Mid-Atlantic Ridge</v>
      </c>
    </row>
    <row r="5945" spans="1:8" x14ac:dyDescent="0.25">
      <c r="A5945" s="2">
        <v>23150</v>
      </c>
      <c r="B5945">
        <v>-46.526000000000003</v>
      </c>
      <c r="C5945">
        <v>-75.397999999999996</v>
      </c>
      <c r="D5945" t="s">
        <v>14</v>
      </c>
      <c r="E5945" t="s">
        <v>682</v>
      </c>
      <c r="F5945">
        <f t="shared" si="184"/>
        <v>1963</v>
      </c>
      <c r="G5945">
        <f t="shared" si="185"/>
        <v>5</v>
      </c>
      <c r="H5945" t="str">
        <f>IF(ISNUMBER(FIND(",", E5945)), TRIM(MID(E5945, FIND(",", E5945) + 1, LEN(E5945))), E5945)</f>
        <v>Chile</v>
      </c>
    </row>
    <row r="5946" spans="1:8" x14ac:dyDescent="0.25">
      <c r="A5946" s="2">
        <v>23132</v>
      </c>
      <c r="B5946">
        <v>-19.056999999999999</v>
      </c>
      <c r="C5946">
        <v>169.06800000000001</v>
      </c>
      <c r="D5946" t="s">
        <v>13</v>
      </c>
      <c r="E5946" t="s">
        <v>181</v>
      </c>
      <c r="F5946">
        <f t="shared" si="184"/>
        <v>1963</v>
      </c>
      <c r="G5946">
        <f t="shared" si="185"/>
        <v>5</v>
      </c>
      <c r="H5946" t="str">
        <f>IF(ISNUMBER(FIND(",", E5946)), TRIM(MID(E5946, FIND(",", E5946) + 1, LEN(E5946))), E5946)</f>
        <v>Vanuatu</v>
      </c>
    </row>
    <row r="5947" spans="1:8" x14ac:dyDescent="0.25">
      <c r="A5947" s="2">
        <v>23120</v>
      </c>
      <c r="B5947">
        <v>35.631</v>
      </c>
      <c r="C5947">
        <v>96.96</v>
      </c>
      <c r="D5947" t="s">
        <v>14</v>
      </c>
      <c r="E5947" t="s">
        <v>331</v>
      </c>
      <c r="F5947">
        <f t="shared" si="184"/>
        <v>1963</v>
      </c>
      <c r="G5947">
        <f t="shared" si="185"/>
        <v>4</v>
      </c>
      <c r="H5947" t="str">
        <f>IF(ISNUMBER(FIND(",", E5947)), TRIM(MID(E5947, FIND(",", E5947) + 1, LEN(E5947))), E5947)</f>
        <v>China</v>
      </c>
    </row>
    <row r="5948" spans="1:8" x14ac:dyDescent="0.25">
      <c r="A5948" s="2">
        <v>23117</v>
      </c>
      <c r="B5948">
        <v>-1.1359999999999999</v>
      </c>
      <c r="C5948">
        <v>128.005</v>
      </c>
      <c r="D5948" t="s">
        <v>16</v>
      </c>
      <c r="E5948" t="s">
        <v>330</v>
      </c>
      <c r="F5948">
        <f t="shared" si="184"/>
        <v>1963</v>
      </c>
      <c r="G5948">
        <f t="shared" si="185"/>
        <v>4</v>
      </c>
      <c r="H5948" t="str">
        <f>IF(ISNUMBER(FIND(",", E5948)), TRIM(MID(E5948, FIND(",", E5948) + 1, LEN(E5948))), E5948)</f>
        <v>Indonesia</v>
      </c>
    </row>
    <row r="5949" spans="1:8" x14ac:dyDescent="0.25">
      <c r="A5949" s="2">
        <v>23114</v>
      </c>
      <c r="B5949">
        <v>-6.2930000000000001</v>
      </c>
      <c r="C5949">
        <v>-76.516999999999996</v>
      </c>
      <c r="D5949" t="s">
        <v>14</v>
      </c>
      <c r="E5949" t="s">
        <v>277</v>
      </c>
      <c r="F5949">
        <f t="shared" si="184"/>
        <v>1963</v>
      </c>
      <c r="G5949">
        <f t="shared" si="185"/>
        <v>4</v>
      </c>
      <c r="H5949" t="str">
        <f>IF(ISNUMBER(FIND(",", E5949)), TRIM(MID(E5949, FIND(",", E5949) + 1, LEN(E5949))), E5949)</f>
        <v>northern Peru</v>
      </c>
    </row>
    <row r="5950" spans="1:8" x14ac:dyDescent="0.25">
      <c r="A5950" s="2">
        <v>23102</v>
      </c>
      <c r="B5950">
        <v>44.61</v>
      </c>
      <c r="C5950">
        <v>141.42500000000001</v>
      </c>
      <c r="D5950" t="s">
        <v>14</v>
      </c>
      <c r="E5950" t="s">
        <v>265</v>
      </c>
      <c r="F5950">
        <f t="shared" si="184"/>
        <v>1963</v>
      </c>
      <c r="G5950">
        <f t="shared" si="185"/>
        <v>4</v>
      </c>
      <c r="H5950" t="str">
        <f>IF(ISNUMBER(FIND(",", E5950)), TRIM(MID(E5950, FIND(",", E5950) + 1, LEN(E5950))), E5950)</f>
        <v>Japan region</v>
      </c>
    </row>
    <row r="5951" spans="1:8" x14ac:dyDescent="0.25">
      <c r="A5951" s="2">
        <v>23098</v>
      </c>
      <c r="B5951">
        <v>66.283000000000001</v>
      </c>
      <c r="C5951">
        <v>-19.882000000000001</v>
      </c>
      <c r="D5951" t="s">
        <v>14</v>
      </c>
      <c r="E5951" t="s">
        <v>640</v>
      </c>
      <c r="F5951">
        <f t="shared" si="184"/>
        <v>1963</v>
      </c>
      <c r="G5951">
        <f t="shared" si="185"/>
        <v>3</v>
      </c>
      <c r="H5951" t="str">
        <f>IF(ISNUMBER(FIND(",", E5951)), TRIM(MID(E5951, FIND(",", E5951) + 1, LEN(E5951))), E5951)</f>
        <v>Iceland region</v>
      </c>
    </row>
    <row r="5952" spans="1:8" x14ac:dyDescent="0.25">
      <c r="A5952" s="2">
        <v>23096</v>
      </c>
      <c r="B5952">
        <v>-30.045000000000002</v>
      </c>
      <c r="C5952">
        <v>-177.70500000000001</v>
      </c>
      <c r="D5952" t="s">
        <v>14</v>
      </c>
      <c r="E5952" t="s">
        <v>288</v>
      </c>
      <c r="F5952">
        <f t="shared" si="184"/>
        <v>1963</v>
      </c>
      <c r="G5952">
        <f t="shared" si="185"/>
        <v>3</v>
      </c>
      <c r="H5952" t="str">
        <f>IF(ISNUMBER(FIND(",", E5952)), TRIM(MID(E5952, FIND(",", E5952) + 1, LEN(E5952))), E5952)</f>
        <v>New Zealand</v>
      </c>
    </row>
    <row r="5953" spans="1:8" x14ac:dyDescent="0.25">
      <c r="A5953" s="2">
        <v>23096</v>
      </c>
      <c r="B5953">
        <v>-30.113</v>
      </c>
      <c r="C5953">
        <v>-177.535</v>
      </c>
      <c r="D5953" t="s">
        <v>16</v>
      </c>
      <c r="E5953" t="s">
        <v>288</v>
      </c>
      <c r="F5953">
        <f t="shared" si="184"/>
        <v>1963</v>
      </c>
      <c r="G5953">
        <f t="shared" si="185"/>
        <v>3</v>
      </c>
      <c r="H5953" t="str">
        <f>IF(ISNUMBER(FIND(",", E5953)), TRIM(MID(E5953, FIND(",", E5953) + 1, LEN(E5953))), E5953)</f>
        <v>New Zealand</v>
      </c>
    </row>
    <row r="5954" spans="1:8" x14ac:dyDescent="0.25">
      <c r="A5954" s="2">
        <v>23086</v>
      </c>
      <c r="B5954">
        <v>46.616999999999997</v>
      </c>
      <c r="C5954">
        <v>154.893</v>
      </c>
      <c r="D5954" t="s">
        <v>16</v>
      </c>
      <c r="E5954" t="s">
        <v>317</v>
      </c>
      <c r="F5954">
        <f t="shared" ref="F5954:F6017" si="186">YEAR(A5954)</f>
        <v>1963</v>
      </c>
      <c r="G5954">
        <f t="shared" si="185"/>
        <v>3</v>
      </c>
      <c r="H5954" t="str">
        <f>IF(ISNUMBER(FIND(",", E5954)), TRIM(MID(E5954, FIND(",", E5954) + 1, LEN(E5954))), E5954)</f>
        <v>east of the Kuril Islands</v>
      </c>
    </row>
    <row r="5955" spans="1:8" x14ac:dyDescent="0.25">
      <c r="A5955" s="2">
        <v>23068</v>
      </c>
      <c r="B5955">
        <v>-7.5750000000000002</v>
      </c>
      <c r="C5955">
        <v>146.21899999999999</v>
      </c>
      <c r="D5955" t="s">
        <v>13</v>
      </c>
      <c r="E5955" t="s">
        <v>243</v>
      </c>
      <c r="F5955">
        <f t="shared" si="186"/>
        <v>1963</v>
      </c>
      <c r="G5955">
        <f t="shared" ref="G5955:G6018" si="187">MONTH(A5955)</f>
        <v>2</v>
      </c>
      <c r="H5955" t="str">
        <f>IF(ISNUMBER(FIND(",", E5955)), TRIM(MID(E5955, FIND(",", E5955) + 1, LEN(E5955))), E5955)</f>
        <v>Papua New Guinea</v>
      </c>
    </row>
    <row r="5956" spans="1:8" x14ac:dyDescent="0.25">
      <c r="A5956" s="2">
        <v>23056</v>
      </c>
      <c r="B5956">
        <v>-4.8840000000000003</v>
      </c>
      <c r="C5956">
        <v>144.59399999999999</v>
      </c>
      <c r="D5956" t="s">
        <v>17</v>
      </c>
      <c r="E5956" t="s">
        <v>216</v>
      </c>
      <c r="F5956">
        <f t="shared" si="186"/>
        <v>1963</v>
      </c>
      <c r="G5956">
        <f t="shared" si="187"/>
        <v>2</v>
      </c>
      <c r="H5956" t="str">
        <f>IF(ISNUMBER(FIND(",", E5956)), TRIM(MID(E5956, FIND(",", E5956) + 1, LEN(E5956))), E5956)</f>
        <v>Papua New Guinea</v>
      </c>
    </row>
    <row r="5957" spans="1:8" x14ac:dyDescent="0.25">
      <c r="A5957" s="2">
        <v>23055</v>
      </c>
      <c r="B5957">
        <v>-9.9359999999999999</v>
      </c>
      <c r="C5957">
        <v>160.893</v>
      </c>
      <c r="D5957" t="s">
        <v>14</v>
      </c>
      <c r="E5957" t="s">
        <v>221</v>
      </c>
      <c r="F5957">
        <f t="shared" si="186"/>
        <v>1963</v>
      </c>
      <c r="G5957">
        <f t="shared" si="187"/>
        <v>2</v>
      </c>
      <c r="H5957" t="str">
        <f>IF(ISNUMBER(FIND(",", E5957)), TRIM(MID(E5957, FIND(",", E5957) + 1, LEN(E5957))), E5957)</f>
        <v>Solomon Islands</v>
      </c>
    </row>
    <row r="5958" spans="1:8" x14ac:dyDescent="0.25">
      <c r="A5958" s="2">
        <v>23055</v>
      </c>
      <c r="B5958">
        <v>24.355</v>
      </c>
      <c r="C5958">
        <v>122.05500000000001</v>
      </c>
      <c r="D5958" t="s">
        <v>16</v>
      </c>
      <c r="E5958" t="s">
        <v>363</v>
      </c>
      <c r="F5958">
        <f t="shared" si="186"/>
        <v>1963</v>
      </c>
      <c r="G5958">
        <f t="shared" si="187"/>
        <v>2</v>
      </c>
      <c r="H5958" t="str">
        <f>IF(ISNUMBER(FIND(",", E5958)), TRIM(MID(E5958, FIND(",", E5958) + 1, LEN(E5958))), E5958)</f>
        <v>Taiwan region</v>
      </c>
    </row>
    <row r="5959" spans="1:8" x14ac:dyDescent="0.25">
      <c r="A5959" s="2">
        <v>23041</v>
      </c>
      <c r="B5959">
        <v>-55.606999999999999</v>
      </c>
      <c r="C5959">
        <v>-28.231999999999999</v>
      </c>
      <c r="D5959" t="s">
        <v>14</v>
      </c>
      <c r="E5959" t="s">
        <v>260</v>
      </c>
      <c r="F5959">
        <f t="shared" si="186"/>
        <v>1963</v>
      </c>
      <c r="G5959">
        <f t="shared" si="187"/>
        <v>1</v>
      </c>
      <c r="H5959" t="str">
        <f>IF(ISNUMBER(FIND(",", E5959)), TRIM(MID(E5959, FIND(",", E5959) + 1, LEN(E5959))), E5959)</f>
        <v>South Sandwich Islands region</v>
      </c>
    </row>
    <row r="5960" spans="1:8" x14ac:dyDescent="0.25">
      <c r="A5960" s="2">
        <v>23039</v>
      </c>
      <c r="B5960">
        <v>54.591999999999999</v>
      </c>
      <c r="C5960">
        <v>-161.61799999999999</v>
      </c>
      <c r="D5960" t="s">
        <v>14</v>
      </c>
      <c r="E5960" t="s">
        <v>285</v>
      </c>
      <c r="F5960">
        <f t="shared" si="186"/>
        <v>1963</v>
      </c>
      <c r="G5960">
        <f t="shared" si="187"/>
        <v>1</v>
      </c>
      <c r="H5960" t="str">
        <f>IF(ISNUMBER(FIND(",", E5960)), TRIM(MID(E5960, FIND(",", E5960) + 1, LEN(E5960))), E5960)</f>
        <v>Alaska Peninsula</v>
      </c>
    </row>
    <row r="5961" spans="1:8" x14ac:dyDescent="0.25">
      <c r="A5961" s="2">
        <v>22988</v>
      </c>
      <c r="B5961">
        <v>-25.817</v>
      </c>
      <c r="C5961">
        <v>-63.277000000000001</v>
      </c>
      <c r="D5961" t="s">
        <v>14</v>
      </c>
      <c r="E5961" t="s">
        <v>232</v>
      </c>
      <c r="F5961">
        <f t="shared" si="186"/>
        <v>1962</v>
      </c>
      <c r="G5961">
        <f t="shared" si="187"/>
        <v>12</v>
      </c>
      <c r="H5961" t="str">
        <f>IF(ISNUMBER(FIND(",", E5961)), TRIM(MID(E5961, FIND(",", E5961) + 1, LEN(E5961))), E5961)</f>
        <v>Argentina</v>
      </c>
    </row>
    <row r="5962" spans="1:8" x14ac:dyDescent="0.25">
      <c r="A5962" s="2">
        <v>22987</v>
      </c>
      <c r="B5962">
        <v>29.221</v>
      </c>
      <c r="C5962">
        <v>139.404</v>
      </c>
      <c r="D5962" t="s">
        <v>14</v>
      </c>
      <c r="E5962" t="s">
        <v>88</v>
      </c>
      <c r="F5962">
        <f t="shared" si="186"/>
        <v>1962</v>
      </c>
      <c r="G5962">
        <f t="shared" si="187"/>
        <v>12</v>
      </c>
      <c r="H5962" t="str">
        <f>IF(ISNUMBER(FIND(",", E5962)), TRIM(MID(E5962, FIND(",", E5962) + 1, LEN(E5962))), E5962)</f>
        <v>Japan region</v>
      </c>
    </row>
    <row r="5963" spans="1:8" x14ac:dyDescent="0.25">
      <c r="A5963" s="2">
        <v>22966</v>
      </c>
      <c r="B5963">
        <v>13.305999999999999</v>
      </c>
      <c r="C5963">
        <v>93.013999999999996</v>
      </c>
      <c r="D5963" t="s">
        <v>14</v>
      </c>
      <c r="E5963" t="s">
        <v>323</v>
      </c>
      <c r="F5963">
        <f t="shared" si="186"/>
        <v>1962</v>
      </c>
      <c r="G5963">
        <f t="shared" si="187"/>
        <v>11</v>
      </c>
      <c r="H5963" t="str">
        <f>IF(ISNUMBER(FIND(",", E5963)), TRIM(MID(E5963, FIND(",", E5963) + 1, LEN(E5963))), E5963)</f>
        <v>India region</v>
      </c>
    </row>
    <row r="5964" spans="1:8" x14ac:dyDescent="0.25">
      <c r="A5964" s="2">
        <v>22961</v>
      </c>
      <c r="B5964">
        <v>-43.219000000000001</v>
      </c>
      <c r="C5964">
        <v>-76.097999999999999</v>
      </c>
      <c r="D5964" t="s">
        <v>17</v>
      </c>
      <c r="E5964" t="s">
        <v>508</v>
      </c>
      <c r="F5964">
        <f t="shared" si="186"/>
        <v>1962</v>
      </c>
      <c r="G5964">
        <f t="shared" si="187"/>
        <v>11</v>
      </c>
      <c r="H5964" t="str">
        <f>IF(ISNUMBER(FIND(",", E5964)), TRIM(MID(E5964, FIND(",", E5964) + 1, LEN(E5964))), E5964)</f>
        <v>Chile</v>
      </c>
    </row>
    <row r="5965" spans="1:8" x14ac:dyDescent="0.25">
      <c r="A5965" s="2">
        <v>22960</v>
      </c>
      <c r="B5965">
        <v>43.35</v>
      </c>
      <c r="C5965">
        <v>147.42099999999999</v>
      </c>
      <c r="D5965" t="s">
        <v>14</v>
      </c>
      <c r="E5965" t="s">
        <v>191</v>
      </c>
      <c r="F5965">
        <f t="shared" si="186"/>
        <v>1962</v>
      </c>
      <c r="G5965">
        <f t="shared" si="187"/>
        <v>11</v>
      </c>
      <c r="H5965" t="str">
        <f>IF(ISNUMBER(FIND(",", E5965)), TRIM(MID(E5965, FIND(",", E5965) + 1, LEN(E5965))), E5965)</f>
        <v>Kuril Islands</v>
      </c>
    </row>
    <row r="5966" spans="1:8" x14ac:dyDescent="0.25">
      <c r="A5966" s="2">
        <v>22950</v>
      </c>
      <c r="B5966">
        <v>5.3929999999999998</v>
      </c>
      <c r="C5966">
        <v>-82.587000000000003</v>
      </c>
      <c r="D5966" t="s">
        <v>17</v>
      </c>
      <c r="E5966" t="s">
        <v>231</v>
      </c>
      <c r="F5966">
        <f t="shared" si="186"/>
        <v>1962</v>
      </c>
      <c r="G5966">
        <f t="shared" si="187"/>
        <v>10</v>
      </c>
      <c r="H5966" t="str">
        <f>IF(ISNUMBER(FIND(",", E5966)), TRIM(MID(E5966, FIND(",", E5966) + 1, LEN(E5966))), E5966)</f>
        <v>south of Panama</v>
      </c>
    </row>
    <row r="5967" spans="1:8" x14ac:dyDescent="0.25">
      <c r="A5967" s="2">
        <v>22907</v>
      </c>
      <c r="B5967">
        <v>7.5350000000000001</v>
      </c>
      <c r="C5967">
        <v>-82.332999999999998</v>
      </c>
      <c r="D5967" t="s">
        <v>14</v>
      </c>
      <c r="E5967" t="s">
        <v>231</v>
      </c>
      <c r="F5967">
        <f t="shared" si="186"/>
        <v>1962</v>
      </c>
      <c r="G5967">
        <f t="shared" si="187"/>
        <v>9</v>
      </c>
      <c r="H5967" t="str">
        <f>IF(ISNUMBER(FIND(",", E5967)), TRIM(MID(E5967, FIND(",", E5967) + 1, LEN(E5967))), E5967)</f>
        <v>south of Panama</v>
      </c>
    </row>
    <row r="5968" spans="1:8" x14ac:dyDescent="0.25">
      <c r="A5968" s="2">
        <v>22899</v>
      </c>
      <c r="B5968">
        <v>-21.358000000000001</v>
      </c>
      <c r="C5968">
        <v>-178.99799999999999</v>
      </c>
      <c r="D5968" t="s">
        <v>14</v>
      </c>
      <c r="E5968" t="s">
        <v>53</v>
      </c>
      <c r="F5968">
        <f t="shared" si="186"/>
        <v>1962</v>
      </c>
      <c r="G5968">
        <f t="shared" si="187"/>
        <v>9</v>
      </c>
      <c r="H5968" t="str">
        <f>IF(ISNUMBER(FIND(",", E5968)), TRIM(MID(E5968, FIND(",", E5968) + 1, LEN(E5968))), E5968)</f>
        <v>Fiji region</v>
      </c>
    </row>
    <row r="5969" spans="1:8" x14ac:dyDescent="0.25">
      <c r="A5969" s="2">
        <v>22890</v>
      </c>
      <c r="B5969">
        <v>35.563000000000002</v>
      </c>
      <c r="C5969">
        <v>49.817</v>
      </c>
      <c r="D5969" t="s">
        <v>14</v>
      </c>
      <c r="E5969" t="s">
        <v>444</v>
      </c>
      <c r="F5969">
        <f t="shared" si="186"/>
        <v>1962</v>
      </c>
      <c r="G5969">
        <f t="shared" si="187"/>
        <v>9</v>
      </c>
      <c r="H5969" t="str">
        <f>IF(ISNUMBER(FIND(",", E5969)), TRIM(MID(E5969, FIND(",", E5969) + 1, LEN(E5969))), E5969)</f>
        <v>western Iran</v>
      </c>
    </row>
    <row r="5970" spans="1:8" x14ac:dyDescent="0.25">
      <c r="A5970" s="2">
        <v>22890</v>
      </c>
      <c r="B5970">
        <v>51.215000000000003</v>
      </c>
      <c r="C5970">
        <v>-179.792</v>
      </c>
      <c r="D5970" t="s">
        <v>17</v>
      </c>
      <c r="E5970" t="s">
        <v>207</v>
      </c>
      <c r="F5970">
        <f t="shared" si="186"/>
        <v>1962</v>
      </c>
      <c r="G5970">
        <f t="shared" si="187"/>
        <v>9</v>
      </c>
      <c r="H5970" t="str">
        <f>IF(ISNUMBER(FIND(",", E5970)), TRIM(MID(E5970, FIND(",", E5970) + 1, LEN(E5970))), E5970)</f>
        <v>Aleutian Islands, Alaska</v>
      </c>
    </row>
    <row r="5971" spans="1:8" x14ac:dyDescent="0.25">
      <c r="A5971" s="2">
        <v>22890</v>
      </c>
      <c r="B5971">
        <v>51.246000000000002</v>
      </c>
      <c r="C5971">
        <v>-179.65600000000001</v>
      </c>
      <c r="D5971" t="s">
        <v>17</v>
      </c>
      <c r="E5971" t="s">
        <v>207</v>
      </c>
      <c r="F5971">
        <f t="shared" si="186"/>
        <v>1962</v>
      </c>
      <c r="G5971">
        <f t="shared" si="187"/>
        <v>9</v>
      </c>
      <c r="H5971" t="str">
        <f>IF(ISNUMBER(FIND(",", E5971)), TRIM(MID(E5971, FIND(",", E5971) + 1, LEN(E5971))), E5971)</f>
        <v>Aleutian Islands, Alaska</v>
      </c>
    </row>
    <row r="5972" spans="1:8" x14ac:dyDescent="0.25">
      <c r="A5972" s="2">
        <v>22886</v>
      </c>
      <c r="B5972">
        <v>37.520000000000003</v>
      </c>
      <c r="C5972">
        <v>22.725999999999999</v>
      </c>
      <c r="D5972" t="s">
        <v>14</v>
      </c>
      <c r="E5972" t="s">
        <v>398</v>
      </c>
      <c r="F5972">
        <f t="shared" si="186"/>
        <v>1962</v>
      </c>
      <c r="G5972">
        <f t="shared" si="187"/>
        <v>8</v>
      </c>
      <c r="H5972" t="str">
        <f>IF(ISNUMBER(FIND(",", E5972)), TRIM(MID(E5972, FIND(",", E5972) + 1, LEN(E5972))), E5972)</f>
        <v>southern Greece</v>
      </c>
    </row>
    <row r="5973" spans="1:8" x14ac:dyDescent="0.25">
      <c r="A5973" s="2">
        <v>22861</v>
      </c>
      <c r="B5973">
        <v>-23.286999999999999</v>
      </c>
      <c r="C5973">
        <v>-68.012</v>
      </c>
      <c r="D5973" t="s">
        <v>13</v>
      </c>
      <c r="E5973" t="s">
        <v>289</v>
      </c>
      <c r="F5973">
        <f t="shared" si="186"/>
        <v>1962</v>
      </c>
      <c r="G5973">
        <f t="shared" si="187"/>
        <v>8</v>
      </c>
      <c r="H5973" t="str">
        <f>IF(ISNUMBER(FIND(",", E5973)), TRIM(MID(E5973, FIND(",", E5973) + 1, LEN(E5973))), E5973)</f>
        <v>Chile</v>
      </c>
    </row>
    <row r="5974" spans="1:8" x14ac:dyDescent="0.25">
      <c r="A5974" s="2">
        <v>22859</v>
      </c>
      <c r="B5974">
        <v>-3.2770000000000001</v>
      </c>
      <c r="C5974">
        <v>143.77000000000001</v>
      </c>
      <c r="D5974" t="s">
        <v>14</v>
      </c>
      <c r="E5974" t="s">
        <v>216</v>
      </c>
      <c r="F5974">
        <f t="shared" si="186"/>
        <v>1962</v>
      </c>
      <c r="G5974">
        <f t="shared" si="187"/>
        <v>8</v>
      </c>
      <c r="H5974" t="str">
        <f>IF(ISNUMBER(FIND(",", E5974)), TRIM(MID(E5974, FIND(",", E5974) + 1, LEN(E5974))), E5974)</f>
        <v>Papua New Guinea</v>
      </c>
    </row>
    <row r="5975" spans="1:8" x14ac:dyDescent="0.25">
      <c r="A5975" s="2">
        <v>22857</v>
      </c>
      <c r="B5975">
        <v>5.2229999999999999</v>
      </c>
      <c r="C5975">
        <v>-76.405000000000001</v>
      </c>
      <c r="D5975" t="s">
        <v>14</v>
      </c>
      <c r="E5975" t="s">
        <v>206</v>
      </c>
      <c r="F5975">
        <f t="shared" si="186"/>
        <v>1962</v>
      </c>
      <c r="G5975">
        <f t="shared" si="187"/>
        <v>7</v>
      </c>
      <c r="H5975" t="str">
        <f>IF(ISNUMBER(FIND(",", E5975)), TRIM(MID(E5975, FIND(",", E5975) + 1, LEN(E5975))), E5975)</f>
        <v>Colombia</v>
      </c>
    </row>
    <row r="5976" spans="1:8" x14ac:dyDescent="0.25">
      <c r="A5976" s="2">
        <v>22857</v>
      </c>
      <c r="B5976">
        <v>-3.3069999999999999</v>
      </c>
      <c r="C5976">
        <v>143.94</v>
      </c>
      <c r="D5976" t="s">
        <v>14</v>
      </c>
      <c r="E5976" t="s">
        <v>216</v>
      </c>
      <c r="F5976">
        <f t="shared" si="186"/>
        <v>1962</v>
      </c>
      <c r="G5976">
        <f t="shared" si="187"/>
        <v>7</v>
      </c>
      <c r="H5976" t="str">
        <f>IF(ISNUMBER(FIND(",", E5976)), TRIM(MID(E5976, FIND(",", E5976) + 1, LEN(E5976))), E5976)</f>
        <v>Papua New Guinea</v>
      </c>
    </row>
    <row r="5977" spans="1:8" x14ac:dyDescent="0.25">
      <c r="A5977" s="2">
        <v>22853</v>
      </c>
      <c r="B5977">
        <v>7.4939999999999998</v>
      </c>
      <c r="C5977">
        <v>-82.78</v>
      </c>
      <c r="D5977" t="s">
        <v>16</v>
      </c>
      <c r="E5977" t="s">
        <v>231</v>
      </c>
      <c r="F5977">
        <f t="shared" si="186"/>
        <v>1962</v>
      </c>
      <c r="G5977">
        <f t="shared" si="187"/>
        <v>7</v>
      </c>
      <c r="H5977" t="str">
        <f>IF(ISNUMBER(FIND(",", E5977)), TRIM(MID(E5977, FIND(",", E5977) + 1, LEN(E5977))), E5977)</f>
        <v>south of Panama</v>
      </c>
    </row>
    <row r="5978" spans="1:8" x14ac:dyDescent="0.25">
      <c r="A5978" s="2">
        <v>22844</v>
      </c>
      <c r="B5978">
        <v>-43.06</v>
      </c>
      <c r="C5978">
        <v>-75.491</v>
      </c>
      <c r="D5978" t="s">
        <v>17</v>
      </c>
      <c r="E5978" t="s">
        <v>522</v>
      </c>
      <c r="F5978">
        <f t="shared" si="186"/>
        <v>1962</v>
      </c>
      <c r="G5978">
        <f t="shared" si="187"/>
        <v>7</v>
      </c>
      <c r="H5978" t="str">
        <f>IF(ISNUMBER(FIND(",", E5978)), TRIM(MID(E5978, FIND(",", E5978) + 1, LEN(E5978))), E5978)</f>
        <v>Chile</v>
      </c>
    </row>
    <row r="5979" spans="1:8" x14ac:dyDescent="0.25">
      <c r="A5979" s="2">
        <v>22833</v>
      </c>
      <c r="B5979">
        <v>36.557000000000002</v>
      </c>
      <c r="C5979">
        <v>70.376000000000005</v>
      </c>
      <c r="D5979" t="s">
        <v>14</v>
      </c>
      <c r="E5979" t="s">
        <v>314</v>
      </c>
      <c r="F5979">
        <f t="shared" si="186"/>
        <v>1962</v>
      </c>
      <c r="G5979">
        <f t="shared" si="187"/>
        <v>7</v>
      </c>
      <c r="H5979" t="str">
        <f>IF(ISNUMBER(FIND(",", E5979)), TRIM(MID(E5979, FIND(",", E5979) + 1, LEN(E5979))), E5979)</f>
        <v>Afghanistan</v>
      </c>
    </row>
    <row r="5980" spans="1:8" x14ac:dyDescent="0.25">
      <c r="A5980" s="2">
        <v>22829</v>
      </c>
      <c r="B5980">
        <v>-10.67</v>
      </c>
      <c r="C5980">
        <v>166.065</v>
      </c>
      <c r="D5980" t="s">
        <v>17</v>
      </c>
      <c r="E5980" t="s">
        <v>211</v>
      </c>
      <c r="F5980">
        <f t="shared" si="186"/>
        <v>1962</v>
      </c>
      <c r="G5980">
        <f t="shared" si="187"/>
        <v>7</v>
      </c>
      <c r="H5980" t="str">
        <f>IF(ISNUMBER(FIND(",", E5980)), TRIM(MID(E5980, FIND(",", E5980) + 1, LEN(E5980))), E5980)</f>
        <v>Santa Cruz Islands</v>
      </c>
    </row>
    <row r="5981" spans="1:8" x14ac:dyDescent="0.25">
      <c r="A5981" s="2">
        <v>22788</v>
      </c>
      <c r="B5981">
        <v>-5.4409999999999998</v>
      </c>
      <c r="C5981">
        <v>151.76</v>
      </c>
      <c r="D5981" t="s">
        <v>14</v>
      </c>
      <c r="E5981" t="s">
        <v>190</v>
      </c>
      <c r="F5981">
        <f t="shared" si="186"/>
        <v>1962</v>
      </c>
      <c r="G5981">
        <f t="shared" si="187"/>
        <v>5</v>
      </c>
      <c r="H5981" t="str">
        <f>IF(ISNUMBER(FIND(",", E5981)), TRIM(MID(E5981, FIND(",", E5981) + 1, LEN(E5981))), E5981)</f>
        <v>Papua New Guinea</v>
      </c>
    </row>
    <row r="5982" spans="1:8" x14ac:dyDescent="0.25">
      <c r="A5982" s="2">
        <v>22788</v>
      </c>
      <c r="B5982">
        <v>-12.272</v>
      </c>
      <c r="C5982">
        <v>166.636</v>
      </c>
      <c r="D5982" t="s">
        <v>14</v>
      </c>
      <c r="E5982" t="s">
        <v>211</v>
      </c>
      <c r="F5982">
        <f t="shared" si="186"/>
        <v>1962</v>
      </c>
      <c r="G5982">
        <f t="shared" si="187"/>
        <v>5</v>
      </c>
      <c r="H5982" t="str">
        <f>IF(ISNUMBER(FIND(",", E5982)), TRIM(MID(E5982, FIND(",", E5982) + 1, LEN(E5982))), E5982)</f>
        <v>Santa Cruz Islands</v>
      </c>
    </row>
    <row r="5983" spans="1:8" x14ac:dyDescent="0.25">
      <c r="A5983" s="2">
        <v>22787</v>
      </c>
      <c r="B5983">
        <v>-20.004000000000001</v>
      </c>
      <c r="C5983">
        <v>-177.37799999999999</v>
      </c>
      <c r="D5983" t="s">
        <v>14</v>
      </c>
      <c r="E5983" t="s">
        <v>53</v>
      </c>
      <c r="F5983">
        <f t="shared" si="186"/>
        <v>1962</v>
      </c>
      <c r="G5983">
        <f t="shared" si="187"/>
        <v>5</v>
      </c>
      <c r="H5983" t="str">
        <f>IF(ISNUMBER(FIND(",", E5983)), TRIM(MID(E5983, FIND(",", E5983) + 1, LEN(E5983))), E5983)</f>
        <v>Fiji region</v>
      </c>
    </row>
    <row r="5984" spans="1:8" x14ac:dyDescent="0.25">
      <c r="A5984" s="2">
        <v>22787</v>
      </c>
      <c r="B5984">
        <v>37.006</v>
      </c>
      <c r="C5984">
        <v>95.876000000000005</v>
      </c>
      <c r="D5984" t="s">
        <v>14</v>
      </c>
      <c r="E5984" t="s">
        <v>359</v>
      </c>
      <c r="F5984">
        <f t="shared" si="186"/>
        <v>1962</v>
      </c>
      <c r="G5984">
        <f t="shared" si="187"/>
        <v>5</v>
      </c>
      <c r="H5984" t="str">
        <f>IF(ISNUMBER(FIND(",", E5984)), TRIM(MID(E5984, FIND(",", E5984) + 1, LEN(E5984))), E5984)</f>
        <v>China</v>
      </c>
    </row>
    <row r="5985" spans="1:8" x14ac:dyDescent="0.25">
      <c r="A5985" s="2">
        <v>22785</v>
      </c>
      <c r="B5985">
        <v>17.009</v>
      </c>
      <c r="C5985">
        <v>-99.763000000000005</v>
      </c>
      <c r="D5985" t="s">
        <v>14</v>
      </c>
      <c r="E5985" t="s">
        <v>192</v>
      </c>
      <c r="F5985">
        <f t="shared" si="186"/>
        <v>1962</v>
      </c>
      <c r="G5985">
        <f t="shared" si="187"/>
        <v>5</v>
      </c>
      <c r="H5985" t="str">
        <f>IF(ISNUMBER(FIND(",", E5985)), TRIM(MID(E5985, FIND(",", E5985) + 1, LEN(E5985))), E5985)</f>
        <v>Mexico</v>
      </c>
    </row>
    <row r="5986" spans="1:8" x14ac:dyDescent="0.25">
      <c r="A5986" s="2">
        <v>22781</v>
      </c>
      <c r="B5986">
        <v>-7.4989999999999997</v>
      </c>
      <c r="C5986">
        <v>128.08500000000001</v>
      </c>
      <c r="D5986" t="s">
        <v>14</v>
      </c>
      <c r="E5986" t="s">
        <v>49</v>
      </c>
      <c r="F5986">
        <f t="shared" si="186"/>
        <v>1962</v>
      </c>
      <c r="G5986">
        <f t="shared" si="187"/>
        <v>5</v>
      </c>
      <c r="H5986" t="str">
        <f>IF(ISNUMBER(FIND(",", E5986)), TRIM(MID(E5986, FIND(",", E5986) + 1, LEN(E5986))), E5986)</f>
        <v>Indonesia</v>
      </c>
    </row>
    <row r="5987" spans="1:8" x14ac:dyDescent="0.25">
      <c r="A5987" s="2">
        <v>22777</v>
      </c>
      <c r="B5987">
        <v>17.18</v>
      </c>
      <c r="C5987">
        <v>-99.641999999999996</v>
      </c>
      <c r="D5987" t="s">
        <v>16</v>
      </c>
      <c r="E5987" t="s">
        <v>192</v>
      </c>
      <c r="F5987">
        <f t="shared" si="186"/>
        <v>1962</v>
      </c>
      <c r="G5987">
        <f t="shared" si="187"/>
        <v>5</v>
      </c>
      <c r="H5987" t="str">
        <f>IF(ISNUMBER(FIND(",", E5987)), TRIM(MID(E5987, FIND(",", E5987) + 1, LEN(E5987))), E5987)</f>
        <v>Mexico</v>
      </c>
    </row>
    <row r="5988" spans="1:8" x14ac:dyDescent="0.25">
      <c r="A5988" s="2">
        <v>22773</v>
      </c>
      <c r="B5988">
        <v>45.22</v>
      </c>
      <c r="C5988">
        <v>146.93700000000001</v>
      </c>
      <c r="D5988" t="s">
        <v>14</v>
      </c>
      <c r="E5988" t="s">
        <v>191</v>
      </c>
      <c r="F5988">
        <f t="shared" si="186"/>
        <v>1962</v>
      </c>
      <c r="G5988">
        <f t="shared" si="187"/>
        <v>5</v>
      </c>
      <c r="H5988" t="str">
        <f>IF(ISNUMBER(FIND(",", E5988)), TRIM(MID(E5988, FIND(",", E5988) + 1, LEN(E5988))), E5988)</f>
        <v>Kuril Islands</v>
      </c>
    </row>
    <row r="5989" spans="1:8" x14ac:dyDescent="0.25">
      <c r="A5989" s="2">
        <v>22772</v>
      </c>
      <c r="B5989">
        <v>-60.121000000000002</v>
      </c>
      <c r="C5989">
        <v>-33.738</v>
      </c>
      <c r="D5989" t="s">
        <v>14</v>
      </c>
      <c r="E5989" t="s">
        <v>56</v>
      </c>
      <c r="F5989">
        <f t="shared" si="186"/>
        <v>1962</v>
      </c>
      <c r="G5989">
        <f t="shared" si="187"/>
        <v>5</v>
      </c>
      <c r="H5989" t="str">
        <f>IF(ISNUMBER(FIND(",", E5989)), TRIM(MID(E5989, FIND(",", E5989) + 1, LEN(E5989))), E5989)</f>
        <v>Scotia Sea</v>
      </c>
    </row>
    <row r="5990" spans="1:8" x14ac:dyDescent="0.25">
      <c r="A5990" s="2">
        <v>22766</v>
      </c>
      <c r="B5990">
        <v>-18.334</v>
      </c>
      <c r="C5990">
        <v>-175.84399999999999</v>
      </c>
      <c r="D5990" t="s">
        <v>17</v>
      </c>
      <c r="E5990" t="s">
        <v>239</v>
      </c>
      <c r="F5990">
        <f t="shared" si="186"/>
        <v>1962</v>
      </c>
      <c r="G5990">
        <f t="shared" si="187"/>
        <v>4</v>
      </c>
      <c r="H5990" t="str">
        <f>IF(ISNUMBER(FIND(",", E5990)), TRIM(MID(E5990, FIND(",", E5990) + 1, LEN(E5990))), E5990)</f>
        <v>Tonga</v>
      </c>
    </row>
    <row r="5991" spans="1:8" x14ac:dyDescent="0.25">
      <c r="A5991" s="2">
        <v>22762</v>
      </c>
      <c r="B5991">
        <v>-17.864000000000001</v>
      </c>
      <c r="C5991">
        <v>-178.69399999999999</v>
      </c>
      <c r="D5991" t="s">
        <v>17</v>
      </c>
      <c r="E5991" t="s">
        <v>53</v>
      </c>
      <c r="F5991">
        <f t="shared" si="186"/>
        <v>1962</v>
      </c>
      <c r="G5991">
        <f t="shared" si="187"/>
        <v>4</v>
      </c>
      <c r="H5991" t="str">
        <f>IF(ISNUMBER(FIND(",", E5991)), TRIM(MID(E5991, FIND(",", E5991) + 1, LEN(E5991))), E5991)</f>
        <v>Fiji region</v>
      </c>
    </row>
    <row r="5992" spans="1:8" x14ac:dyDescent="0.25">
      <c r="A5992" s="2">
        <v>22759</v>
      </c>
      <c r="B5992">
        <v>42.518999999999998</v>
      </c>
      <c r="C5992">
        <v>144.08699999999999</v>
      </c>
      <c r="D5992" t="s">
        <v>14</v>
      </c>
      <c r="E5992" t="s">
        <v>265</v>
      </c>
      <c r="F5992">
        <f t="shared" si="186"/>
        <v>1962</v>
      </c>
      <c r="G5992">
        <f t="shared" si="187"/>
        <v>4</v>
      </c>
      <c r="H5992" t="str">
        <f>IF(ISNUMBER(FIND(",", E5992)), TRIM(MID(E5992, FIND(",", E5992) + 1, LEN(E5992))), E5992)</f>
        <v>Japan region</v>
      </c>
    </row>
    <row r="5993" spans="1:8" x14ac:dyDescent="0.25">
      <c r="A5993" s="2">
        <v>22756</v>
      </c>
      <c r="B5993">
        <v>20.390999999999998</v>
      </c>
      <c r="C5993">
        <v>-72.084999999999994</v>
      </c>
      <c r="D5993" t="s">
        <v>14</v>
      </c>
      <c r="E5993" t="s">
        <v>342</v>
      </c>
      <c r="F5993">
        <f t="shared" si="186"/>
        <v>1962</v>
      </c>
      <c r="G5993">
        <f t="shared" si="187"/>
        <v>4</v>
      </c>
      <c r="H5993" t="str">
        <f>IF(ISNUMBER(FIND(",", E5993)), TRIM(MID(E5993, FIND(",", E5993) + 1, LEN(E5993))), E5993)</f>
        <v>Haiti region</v>
      </c>
    </row>
    <row r="5994" spans="1:8" x14ac:dyDescent="0.25">
      <c r="A5994" s="2">
        <v>22748</v>
      </c>
      <c r="B5994">
        <v>38.076000000000001</v>
      </c>
      <c r="C5994">
        <v>142.74</v>
      </c>
      <c r="D5994" t="s">
        <v>16</v>
      </c>
      <c r="E5994" t="s">
        <v>227</v>
      </c>
      <c r="F5994">
        <f t="shared" si="186"/>
        <v>1962</v>
      </c>
      <c r="G5994">
        <f t="shared" si="187"/>
        <v>4</v>
      </c>
      <c r="H5994" t="str">
        <f>IF(ISNUMBER(FIND(",", E5994)), TRIM(MID(E5994, FIND(",", E5994) + 1, LEN(E5994))), E5994)</f>
        <v>Japan</v>
      </c>
    </row>
    <row r="5995" spans="1:8" x14ac:dyDescent="0.25">
      <c r="A5995" s="2">
        <v>22729</v>
      </c>
      <c r="B5995">
        <v>-5.742</v>
      </c>
      <c r="C5995">
        <v>145.26499999999999</v>
      </c>
      <c r="D5995" t="s">
        <v>14</v>
      </c>
      <c r="E5995" t="s">
        <v>243</v>
      </c>
      <c r="F5995">
        <f t="shared" si="186"/>
        <v>1962</v>
      </c>
      <c r="G5995">
        <f t="shared" si="187"/>
        <v>3</v>
      </c>
      <c r="H5995" t="str">
        <f>IF(ISNUMBER(FIND(",", E5995)), TRIM(MID(E5995, FIND(",", E5995) + 1, LEN(E5995))), E5995)</f>
        <v>Papua New Guinea</v>
      </c>
    </row>
    <row r="5996" spans="1:8" x14ac:dyDescent="0.25">
      <c r="A5996" s="2">
        <v>22727</v>
      </c>
      <c r="B5996">
        <v>-3.2170000000000001</v>
      </c>
      <c r="C5996">
        <v>142.53</v>
      </c>
      <c r="D5996" t="s">
        <v>14</v>
      </c>
      <c r="E5996" t="s">
        <v>216</v>
      </c>
      <c r="F5996">
        <f t="shared" si="186"/>
        <v>1962</v>
      </c>
      <c r="G5996">
        <f t="shared" si="187"/>
        <v>3</v>
      </c>
      <c r="H5996" t="str">
        <f>IF(ISNUMBER(FIND(",", E5996)), TRIM(MID(E5996, FIND(",", E5996) + 1, LEN(E5996))), E5996)</f>
        <v>Papua New Guinea</v>
      </c>
    </row>
    <row r="5997" spans="1:8" x14ac:dyDescent="0.25">
      <c r="A5997" s="2">
        <v>22722</v>
      </c>
      <c r="B5997">
        <v>10.808999999999999</v>
      </c>
      <c r="C5997">
        <v>-43.308</v>
      </c>
      <c r="D5997" t="s">
        <v>13</v>
      </c>
      <c r="E5997" t="s">
        <v>325</v>
      </c>
      <c r="F5997">
        <f t="shared" si="186"/>
        <v>1962</v>
      </c>
      <c r="G5997">
        <f t="shared" si="187"/>
        <v>3</v>
      </c>
      <c r="H5997" t="str">
        <f>IF(ISNUMBER(FIND(",", E5997)), TRIM(MID(E5997, FIND(",", E5997) + 1, LEN(E5997))), E5997)</f>
        <v>northern Mid-Atlantic Ridge</v>
      </c>
    </row>
    <row r="5998" spans="1:8" x14ac:dyDescent="0.25">
      <c r="A5998" s="2">
        <v>22717</v>
      </c>
      <c r="B5998">
        <v>8.1059999999999999</v>
      </c>
      <c r="C5998">
        <v>-82.674000000000007</v>
      </c>
      <c r="D5998" t="s">
        <v>14</v>
      </c>
      <c r="E5998" t="s">
        <v>379</v>
      </c>
      <c r="F5998">
        <f t="shared" si="186"/>
        <v>1962</v>
      </c>
      <c r="G5998">
        <f t="shared" si="187"/>
        <v>3</v>
      </c>
      <c r="H5998" t="str">
        <f>IF(ISNUMBER(FIND(",", E5998)), TRIM(MID(E5998, FIND(",", E5998) + 1, LEN(E5998))), E5998)</f>
        <v>Panama-Costa Rica border region</v>
      </c>
    </row>
    <row r="5999" spans="1:8" x14ac:dyDescent="0.25">
      <c r="A5999" s="2">
        <v>22712</v>
      </c>
      <c r="B5999">
        <v>19.103999999999999</v>
      </c>
      <c r="C5999">
        <v>145.23699999999999</v>
      </c>
      <c r="D5999" t="s">
        <v>14</v>
      </c>
      <c r="E5999" t="s">
        <v>335</v>
      </c>
      <c r="F5999">
        <f t="shared" si="186"/>
        <v>1962</v>
      </c>
      <c r="G5999">
        <f t="shared" si="187"/>
        <v>3</v>
      </c>
      <c r="H5999" t="str">
        <f>IF(ISNUMBER(FIND(",", E5999)), TRIM(MID(E5999, FIND(",", E5999) + 1, LEN(E5999))), E5999)</f>
        <v>Northern Mariana Islands</v>
      </c>
    </row>
    <row r="6000" spans="1:8" x14ac:dyDescent="0.25">
      <c r="A6000" s="2">
        <v>22691</v>
      </c>
      <c r="B6000">
        <v>-38.090000000000003</v>
      </c>
      <c r="C6000">
        <v>-73</v>
      </c>
      <c r="D6000" t="s">
        <v>13</v>
      </c>
      <c r="E6000" t="s">
        <v>309</v>
      </c>
      <c r="F6000">
        <f t="shared" si="186"/>
        <v>1962</v>
      </c>
      <c r="G6000">
        <f t="shared" si="187"/>
        <v>2</v>
      </c>
      <c r="H6000" t="str">
        <f>IF(ISNUMBER(FIND(",", E6000)), TRIM(MID(E6000, FIND(",", E6000) + 1, LEN(E6000))), E6000)</f>
        <v>Chile</v>
      </c>
    </row>
    <row r="6001" spans="1:8" x14ac:dyDescent="0.25">
      <c r="A6001" s="2">
        <v>22654</v>
      </c>
      <c r="B6001">
        <v>18.289000000000001</v>
      </c>
      <c r="C6001">
        <v>-70.457999999999998</v>
      </c>
      <c r="D6001" t="s">
        <v>14</v>
      </c>
      <c r="E6001" t="s">
        <v>477</v>
      </c>
      <c r="F6001">
        <f t="shared" si="186"/>
        <v>1962</v>
      </c>
      <c r="G6001">
        <f t="shared" si="187"/>
        <v>1</v>
      </c>
      <c r="H6001" t="str">
        <f>IF(ISNUMBER(FIND(",", E6001)), TRIM(MID(E6001, FIND(",", E6001) + 1, LEN(E6001))), E6001)</f>
        <v>Dominican Republic</v>
      </c>
    </row>
    <row r="6002" spans="1:8" x14ac:dyDescent="0.25">
      <c r="A6002" s="2">
        <v>22645</v>
      </c>
      <c r="B6002">
        <v>52.103999999999999</v>
      </c>
      <c r="C6002">
        <v>177.892</v>
      </c>
      <c r="D6002" t="s">
        <v>14</v>
      </c>
      <c r="E6002" t="s">
        <v>366</v>
      </c>
      <c r="F6002">
        <f t="shared" si="186"/>
        <v>1961</v>
      </c>
      <c r="G6002">
        <f t="shared" si="187"/>
        <v>12</v>
      </c>
      <c r="H6002" t="str">
        <f>IF(ISNUMBER(FIND(",", E6002)), TRIM(MID(E6002, FIND(",", E6002) + 1, LEN(E6002))), E6002)</f>
        <v>Aleutian Islands, Alaska</v>
      </c>
    </row>
    <row r="6003" spans="1:8" x14ac:dyDescent="0.25">
      <c r="A6003" s="2">
        <v>22642</v>
      </c>
      <c r="B6003">
        <v>-41.261000000000003</v>
      </c>
      <c r="C6003">
        <v>175.84299999999999</v>
      </c>
      <c r="D6003" t="s">
        <v>17</v>
      </c>
      <c r="E6003" t="s">
        <v>188</v>
      </c>
      <c r="F6003">
        <f t="shared" si="186"/>
        <v>1961</v>
      </c>
      <c r="G6003">
        <f t="shared" si="187"/>
        <v>12</v>
      </c>
      <c r="H6003" t="str">
        <f>IF(ISNUMBER(FIND(",", E6003)), TRIM(MID(E6003, FIND(",", E6003) + 1, LEN(E6003))), E6003)</f>
        <v>North Island of New Zealand</v>
      </c>
    </row>
    <row r="6004" spans="1:8" x14ac:dyDescent="0.25">
      <c r="A6004" s="2">
        <v>22635</v>
      </c>
      <c r="B6004">
        <v>4.585</v>
      </c>
      <c r="C6004">
        <v>-75.537999999999997</v>
      </c>
      <c r="D6004" t="s">
        <v>14</v>
      </c>
      <c r="E6004" t="s">
        <v>206</v>
      </c>
      <c r="F6004">
        <f t="shared" si="186"/>
        <v>1961</v>
      </c>
      <c r="G6004">
        <f t="shared" si="187"/>
        <v>12</v>
      </c>
      <c r="H6004" t="str">
        <f>IF(ISNUMBER(FIND(",", E6004)), TRIM(MID(E6004, FIND(",", E6004) + 1, LEN(E6004))), E6004)</f>
        <v>Colombia</v>
      </c>
    </row>
    <row r="6005" spans="1:8" x14ac:dyDescent="0.25">
      <c r="A6005" s="2">
        <v>22624</v>
      </c>
      <c r="B6005">
        <v>-43.694000000000003</v>
      </c>
      <c r="C6005">
        <v>-75.751999999999995</v>
      </c>
      <c r="D6005" t="s">
        <v>14</v>
      </c>
      <c r="E6005" t="s">
        <v>508</v>
      </c>
      <c r="F6005">
        <f t="shared" si="186"/>
        <v>1961</v>
      </c>
      <c r="G6005">
        <f t="shared" si="187"/>
        <v>12</v>
      </c>
      <c r="H6005" t="str">
        <f>IF(ISNUMBER(FIND(",", E6005)), TRIM(MID(E6005, FIND(",", E6005) + 1, LEN(E6005))), E6005)</f>
        <v>Chile</v>
      </c>
    </row>
    <row r="6006" spans="1:8" x14ac:dyDescent="0.25">
      <c r="A6006" s="2">
        <v>22604</v>
      </c>
      <c r="B6006">
        <v>0.61699999999999999</v>
      </c>
      <c r="C6006">
        <v>124.172</v>
      </c>
      <c r="D6006" t="s">
        <v>14</v>
      </c>
      <c r="E6006" t="s">
        <v>263</v>
      </c>
      <c r="F6006">
        <f t="shared" si="186"/>
        <v>1961</v>
      </c>
      <c r="G6006">
        <f t="shared" si="187"/>
        <v>11</v>
      </c>
      <c r="H6006" t="str">
        <f>IF(ISNUMBER(FIND(",", E6006)), TRIM(MID(E6006, FIND(",", E6006) + 1, LEN(E6006))), E6006)</f>
        <v>Sulawesi, Indonesia</v>
      </c>
    </row>
    <row r="6007" spans="1:8" x14ac:dyDescent="0.25">
      <c r="A6007" s="2">
        <v>22600</v>
      </c>
      <c r="B6007">
        <v>42.698999999999998</v>
      </c>
      <c r="C6007">
        <v>145.38200000000001</v>
      </c>
      <c r="D6007" t="s">
        <v>14</v>
      </c>
      <c r="E6007" t="s">
        <v>265</v>
      </c>
      <c r="F6007">
        <f t="shared" si="186"/>
        <v>1961</v>
      </c>
      <c r="G6007">
        <f t="shared" si="187"/>
        <v>11</v>
      </c>
      <c r="H6007" t="str">
        <f>IF(ISNUMBER(FIND(",", E6007)), TRIM(MID(E6007, FIND(",", E6007) + 1, LEN(E6007))), E6007)</f>
        <v>Japan region</v>
      </c>
    </row>
    <row r="6008" spans="1:8" x14ac:dyDescent="0.25">
      <c r="A6008" s="2">
        <v>22572</v>
      </c>
      <c r="B6008">
        <v>-36.762999999999998</v>
      </c>
      <c r="C6008">
        <v>-73.403000000000006</v>
      </c>
      <c r="D6008" t="s">
        <v>14</v>
      </c>
      <c r="E6008" t="s">
        <v>259</v>
      </c>
      <c r="F6008">
        <f t="shared" si="186"/>
        <v>1961</v>
      </c>
      <c r="G6008">
        <f t="shared" si="187"/>
        <v>10</v>
      </c>
      <c r="H6008" t="str">
        <f>IF(ISNUMBER(FIND(",", E6008)), TRIM(MID(E6008, FIND(",", E6008) + 1, LEN(E6008))), E6008)</f>
        <v>Chile</v>
      </c>
    </row>
    <row r="6009" spans="1:8" x14ac:dyDescent="0.25">
      <c r="A6009" s="2">
        <v>22543</v>
      </c>
      <c r="B6009">
        <v>-20.446999999999999</v>
      </c>
      <c r="C6009">
        <v>-63.063000000000002</v>
      </c>
      <c r="D6009" t="s">
        <v>17</v>
      </c>
      <c r="E6009" t="s">
        <v>683</v>
      </c>
      <c r="F6009">
        <f t="shared" si="186"/>
        <v>1961</v>
      </c>
      <c r="G6009">
        <f t="shared" si="187"/>
        <v>9</v>
      </c>
      <c r="H6009" t="str">
        <f>IF(ISNUMBER(FIND(",", E6009)), TRIM(MID(E6009, FIND(",", E6009) + 1, LEN(E6009))), E6009)</f>
        <v>Bolivia</v>
      </c>
    </row>
    <row r="6010" spans="1:8" x14ac:dyDescent="0.25">
      <c r="A6010" s="2">
        <v>22532</v>
      </c>
      <c r="B6010">
        <v>-56.253999999999998</v>
      </c>
      <c r="C6010">
        <v>-27.277999999999999</v>
      </c>
      <c r="D6010" t="s">
        <v>13</v>
      </c>
      <c r="E6010" t="s">
        <v>260</v>
      </c>
      <c r="F6010">
        <f t="shared" si="186"/>
        <v>1961</v>
      </c>
      <c r="G6010">
        <f t="shared" si="187"/>
        <v>9</v>
      </c>
      <c r="H6010" t="str">
        <f>IF(ISNUMBER(FIND(",", E6010)), TRIM(MID(E6010, FIND(",", E6010) + 1, LEN(E6010))), E6010)</f>
        <v>South Sandwich Islands region</v>
      </c>
    </row>
    <row r="6011" spans="1:8" x14ac:dyDescent="0.25">
      <c r="A6011" s="2">
        <v>22525</v>
      </c>
      <c r="B6011">
        <v>13.817</v>
      </c>
      <c r="C6011">
        <v>-92.33</v>
      </c>
      <c r="D6011" t="s">
        <v>17</v>
      </c>
      <c r="E6011" t="s">
        <v>196</v>
      </c>
      <c r="F6011">
        <f t="shared" si="186"/>
        <v>1961</v>
      </c>
      <c r="G6011">
        <f t="shared" si="187"/>
        <v>9</v>
      </c>
      <c r="H6011" t="str">
        <f>IF(ISNUMBER(FIND(",", E6011)), TRIM(MID(E6011, FIND(",", E6011) + 1, LEN(E6011))), E6011)</f>
        <v>offshore Guatemala</v>
      </c>
    </row>
    <row r="6012" spans="1:8" x14ac:dyDescent="0.25">
      <c r="A6012" s="2">
        <v>22525</v>
      </c>
      <c r="B6012">
        <v>-59.26</v>
      </c>
      <c r="C6012">
        <v>-26.582000000000001</v>
      </c>
      <c r="D6012" t="s">
        <v>13</v>
      </c>
      <c r="E6012" t="s">
        <v>260</v>
      </c>
      <c r="F6012">
        <f t="shared" si="186"/>
        <v>1961</v>
      </c>
      <c r="G6012">
        <f t="shared" si="187"/>
        <v>9</v>
      </c>
      <c r="H6012" t="str">
        <f>IF(ISNUMBER(FIND(",", E6012)), TRIM(MID(E6012, FIND(",", E6012) + 1, LEN(E6012))), E6012)</f>
        <v>South Sandwich Islands region</v>
      </c>
    </row>
    <row r="6013" spans="1:8" x14ac:dyDescent="0.25">
      <c r="A6013" s="2">
        <v>22524</v>
      </c>
      <c r="B6013">
        <v>-10.339</v>
      </c>
      <c r="C6013">
        <v>-70.997</v>
      </c>
      <c r="D6013" t="s">
        <v>13</v>
      </c>
      <c r="E6013" t="s">
        <v>557</v>
      </c>
      <c r="F6013">
        <f t="shared" si="186"/>
        <v>1961</v>
      </c>
      <c r="G6013">
        <f t="shared" si="187"/>
        <v>8</v>
      </c>
      <c r="H6013" t="str">
        <f>IF(ISNUMBER(FIND(",", E6013)), TRIM(MID(E6013, FIND(",", E6013) + 1, LEN(E6013))), E6013)</f>
        <v>Peru-Brazil border region</v>
      </c>
    </row>
    <row r="6014" spans="1:8" x14ac:dyDescent="0.25">
      <c r="A6014" s="2">
        <v>22524</v>
      </c>
      <c r="B6014">
        <v>-10.699</v>
      </c>
      <c r="C6014">
        <v>-70.900999999999996</v>
      </c>
      <c r="D6014" t="s">
        <v>13</v>
      </c>
      <c r="E6014" t="s">
        <v>557</v>
      </c>
      <c r="F6014">
        <f t="shared" si="186"/>
        <v>1961</v>
      </c>
      <c r="G6014">
        <f t="shared" si="187"/>
        <v>8</v>
      </c>
      <c r="H6014" t="str">
        <f>IF(ISNUMBER(FIND(",", E6014)), TRIM(MID(E6014, FIND(",", E6014) + 1, LEN(E6014))), E6014)</f>
        <v>Peru-Brazil border region</v>
      </c>
    </row>
    <row r="6015" spans="1:8" x14ac:dyDescent="0.25">
      <c r="A6015" s="2">
        <v>22512</v>
      </c>
      <c r="B6015">
        <v>36.064999999999998</v>
      </c>
      <c r="C6015">
        <v>136.71299999999999</v>
      </c>
      <c r="D6015" t="s">
        <v>14</v>
      </c>
      <c r="E6015" t="s">
        <v>298</v>
      </c>
      <c r="F6015">
        <f t="shared" si="186"/>
        <v>1961</v>
      </c>
      <c r="G6015">
        <f t="shared" si="187"/>
        <v>8</v>
      </c>
      <c r="H6015" t="str">
        <f>IF(ISNUMBER(FIND(",", E6015)), TRIM(MID(E6015, FIND(",", E6015) + 1, LEN(E6015))), E6015)</f>
        <v>Japan</v>
      </c>
    </row>
    <row r="6016" spans="1:8" x14ac:dyDescent="0.25">
      <c r="A6016" s="2">
        <v>22512</v>
      </c>
      <c r="B6016">
        <v>-10.833</v>
      </c>
      <c r="C6016">
        <v>-70.837999999999994</v>
      </c>
      <c r="D6016" t="s">
        <v>13</v>
      </c>
      <c r="E6016" t="s">
        <v>557</v>
      </c>
      <c r="F6016">
        <f t="shared" si="186"/>
        <v>1961</v>
      </c>
      <c r="G6016">
        <f t="shared" si="187"/>
        <v>8</v>
      </c>
      <c r="H6016" t="str">
        <f>IF(ISNUMBER(FIND(",", E6016)), TRIM(MID(E6016, FIND(",", E6016) + 1, LEN(E6016))), E6016)</f>
        <v>Peru-Brazil border region</v>
      </c>
    </row>
    <row r="6017" spans="1:8" x14ac:dyDescent="0.25">
      <c r="A6017" s="2">
        <v>22510</v>
      </c>
      <c r="B6017">
        <v>46.331000000000003</v>
      </c>
      <c r="C6017">
        <v>149.55099999999999</v>
      </c>
      <c r="D6017" t="s">
        <v>14</v>
      </c>
      <c r="E6017" t="s">
        <v>191</v>
      </c>
      <c r="F6017">
        <f t="shared" si="186"/>
        <v>1961</v>
      </c>
      <c r="G6017">
        <f t="shared" si="187"/>
        <v>8</v>
      </c>
      <c r="H6017" t="str">
        <f>IF(ISNUMBER(FIND(",", E6017)), TRIM(MID(E6017, FIND(",", E6017) + 1, LEN(E6017))), E6017)</f>
        <v>Kuril Islands</v>
      </c>
    </row>
    <row r="6018" spans="1:8" x14ac:dyDescent="0.25">
      <c r="A6018" s="2">
        <v>22504</v>
      </c>
      <c r="B6018">
        <v>42.878999999999998</v>
      </c>
      <c r="C6018">
        <v>145.33099999999999</v>
      </c>
      <c r="D6018" t="s">
        <v>16</v>
      </c>
      <c r="E6018" t="s">
        <v>265</v>
      </c>
      <c r="F6018">
        <f t="shared" ref="F6018:F6081" si="188">YEAR(A6018)</f>
        <v>1961</v>
      </c>
      <c r="G6018">
        <f t="shared" si="187"/>
        <v>8</v>
      </c>
      <c r="H6018" t="str">
        <f>IF(ISNUMBER(FIND(",", E6018)), TRIM(MID(E6018, FIND(",", E6018) + 1, LEN(E6018))), E6018)</f>
        <v>Japan region</v>
      </c>
    </row>
    <row r="6019" spans="1:8" x14ac:dyDescent="0.25">
      <c r="A6019" s="2">
        <v>22485</v>
      </c>
      <c r="B6019">
        <v>-18.417999999999999</v>
      </c>
      <c r="C6019">
        <v>168.40199999999999</v>
      </c>
      <c r="D6019" t="s">
        <v>16</v>
      </c>
      <c r="E6019" t="s">
        <v>181</v>
      </c>
      <c r="F6019">
        <f t="shared" si="188"/>
        <v>1961</v>
      </c>
      <c r="G6019">
        <f t="shared" ref="G6019:G6082" si="189">MONTH(A6019)</f>
        <v>7</v>
      </c>
      <c r="H6019" t="str">
        <f>IF(ISNUMBER(FIND(",", E6019)), TRIM(MID(E6019, FIND(",", E6019) + 1, LEN(E6019))), E6019)</f>
        <v>Vanuatu</v>
      </c>
    </row>
    <row r="6020" spans="1:8" x14ac:dyDescent="0.25">
      <c r="A6020" s="2">
        <v>22480</v>
      </c>
      <c r="B6020">
        <v>29.664999999999999</v>
      </c>
      <c r="C6020">
        <v>131.74100000000001</v>
      </c>
      <c r="D6020" t="s">
        <v>14</v>
      </c>
      <c r="E6020" t="s">
        <v>324</v>
      </c>
      <c r="F6020">
        <f t="shared" si="188"/>
        <v>1961</v>
      </c>
      <c r="G6020">
        <f t="shared" si="189"/>
        <v>7</v>
      </c>
      <c r="H6020" t="str">
        <f>IF(ISNUMBER(FIND(",", E6020)), TRIM(MID(E6020, FIND(",", E6020) + 1, LEN(E6020))), E6020)</f>
        <v>Japan</v>
      </c>
    </row>
    <row r="6021" spans="1:8" x14ac:dyDescent="0.25">
      <c r="A6021" s="2">
        <v>22469</v>
      </c>
      <c r="B6021">
        <v>-5.952</v>
      </c>
      <c r="C6021">
        <v>149.72900000000001</v>
      </c>
      <c r="D6021" t="s">
        <v>14</v>
      </c>
      <c r="E6021" t="s">
        <v>190</v>
      </c>
      <c r="F6021">
        <f t="shared" si="188"/>
        <v>1961</v>
      </c>
      <c r="G6021">
        <f t="shared" si="189"/>
        <v>7</v>
      </c>
      <c r="H6021" t="str">
        <f>IF(ISNUMBER(FIND(",", E6021)), TRIM(MID(E6021, FIND(",", E6021) + 1, LEN(E6021))), E6021)</f>
        <v>Papua New Guinea</v>
      </c>
    </row>
    <row r="6022" spans="1:8" x14ac:dyDescent="0.25">
      <c r="A6022" s="2">
        <v>22468</v>
      </c>
      <c r="B6022">
        <v>-20.67</v>
      </c>
      <c r="C6022">
        <v>169.44399999999999</v>
      </c>
      <c r="D6022" t="s">
        <v>14</v>
      </c>
      <c r="E6022" t="s">
        <v>181</v>
      </c>
      <c r="F6022">
        <f t="shared" si="188"/>
        <v>1961</v>
      </c>
      <c r="G6022">
        <f t="shared" si="189"/>
        <v>7</v>
      </c>
      <c r="H6022" t="str">
        <f>IF(ISNUMBER(FIND(",", E6022)), TRIM(MID(E6022, FIND(",", E6022) + 1, LEN(E6022))), E6022)</f>
        <v>Vanuatu</v>
      </c>
    </row>
    <row r="6023" spans="1:8" x14ac:dyDescent="0.25">
      <c r="A6023" s="2">
        <v>22443</v>
      </c>
      <c r="B6023">
        <v>27.814</v>
      </c>
      <c r="C6023">
        <v>54.566000000000003</v>
      </c>
      <c r="D6023" t="s">
        <v>14</v>
      </c>
      <c r="E6023" t="s">
        <v>390</v>
      </c>
      <c r="F6023">
        <f t="shared" si="188"/>
        <v>1961</v>
      </c>
      <c r="G6023">
        <f t="shared" si="189"/>
        <v>6</v>
      </c>
      <c r="H6023" t="str">
        <f>IF(ISNUMBER(FIND(",", E6023)), TRIM(MID(E6023, FIND(",", E6023) + 1, LEN(E6023))), E6023)</f>
        <v>southern Iran</v>
      </c>
    </row>
    <row r="6024" spans="1:8" x14ac:dyDescent="0.25">
      <c r="A6024" s="2">
        <v>22433</v>
      </c>
      <c r="B6024">
        <v>10.446999999999999</v>
      </c>
      <c r="C6024">
        <v>39.853000000000002</v>
      </c>
      <c r="D6024" t="s">
        <v>17</v>
      </c>
      <c r="E6024" t="s">
        <v>580</v>
      </c>
      <c r="F6024">
        <f t="shared" si="188"/>
        <v>1961</v>
      </c>
      <c r="G6024">
        <f t="shared" si="189"/>
        <v>6</v>
      </c>
      <c r="H6024" t="str">
        <f>IF(ISNUMBER(FIND(",", E6024)), TRIM(MID(E6024, FIND(",", E6024) + 1, LEN(E6024))), E6024)</f>
        <v>Ethiopia</v>
      </c>
    </row>
    <row r="6025" spans="1:8" x14ac:dyDescent="0.25">
      <c r="A6025" s="2">
        <v>22384</v>
      </c>
      <c r="B6025">
        <v>39.74</v>
      </c>
      <c r="C6025">
        <v>77.63</v>
      </c>
      <c r="D6025" t="s">
        <v>14</v>
      </c>
      <c r="E6025" t="s">
        <v>482</v>
      </c>
      <c r="F6025">
        <f t="shared" si="188"/>
        <v>1961</v>
      </c>
      <c r="G6025">
        <f t="shared" si="189"/>
        <v>4</v>
      </c>
      <c r="H6025" t="str">
        <f>IF(ISNUMBER(FIND(",", E6025)), TRIM(MID(E6025, FIND(",", E6025) + 1, LEN(E6025))), E6025)</f>
        <v>China</v>
      </c>
    </row>
    <row r="6026" spans="1:8" x14ac:dyDescent="0.25">
      <c r="A6026" s="2">
        <v>22372</v>
      </c>
      <c r="B6026">
        <v>39.83</v>
      </c>
      <c r="C6026">
        <v>77.695999999999998</v>
      </c>
      <c r="D6026" t="s">
        <v>14</v>
      </c>
      <c r="E6026" t="s">
        <v>482</v>
      </c>
      <c r="F6026">
        <f t="shared" si="188"/>
        <v>1961</v>
      </c>
      <c r="G6026">
        <f t="shared" si="189"/>
        <v>4</v>
      </c>
      <c r="H6026" t="str">
        <f>IF(ISNUMBER(FIND(",", E6026)), TRIM(MID(E6026, FIND(",", E6026) + 1, LEN(E6026))), E6026)</f>
        <v>China</v>
      </c>
    </row>
    <row r="6027" spans="1:8" x14ac:dyDescent="0.25">
      <c r="A6027" s="2">
        <v>22368</v>
      </c>
      <c r="B6027">
        <v>5.3999999999999999E-2</v>
      </c>
      <c r="C6027">
        <v>123.631</v>
      </c>
      <c r="D6027" t="s">
        <v>13</v>
      </c>
      <c r="E6027" t="s">
        <v>263</v>
      </c>
      <c r="F6027">
        <f t="shared" si="188"/>
        <v>1961</v>
      </c>
      <c r="G6027">
        <f t="shared" si="189"/>
        <v>3</v>
      </c>
      <c r="H6027" t="str">
        <f>IF(ISNUMBER(FIND(",", E6027)), TRIM(MID(E6027, FIND(",", E6027) + 1, LEN(E6027))), E6027)</f>
        <v>Sulawesi, Indonesia</v>
      </c>
    </row>
    <row r="6028" spans="1:8" x14ac:dyDescent="0.25">
      <c r="A6028" s="2">
        <v>22358</v>
      </c>
      <c r="B6028">
        <v>-49.637</v>
      </c>
      <c r="C6028">
        <v>163.51400000000001</v>
      </c>
      <c r="D6028" t="s">
        <v>14</v>
      </c>
      <c r="E6028" t="s">
        <v>404</v>
      </c>
      <c r="F6028">
        <f t="shared" si="188"/>
        <v>1961</v>
      </c>
      <c r="G6028">
        <f t="shared" si="189"/>
        <v>3</v>
      </c>
      <c r="H6028" t="str">
        <f>IF(ISNUMBER(FIND(",", E6028)), TRIM(MID(E6028, FIND(",", E6028) + 1, LEN(E6028))), E6028)</f>
        <v>New Zealand region</v>
      </c>
    </row>
    <row r="6029" spans="1:8" x14ac:dyDescent="0.25">
      <c r="A6029" s="2">
        <v>22351</v>
      </c>
      <c r="B6029">
        <v>48.816000000000003</v>
      </c>
      <c r="C6029">
        <v>155.04499999999999</v>
      </c>
      <c r="D6029" t="s">
        <v>17</v>
      </c>
      <c r="E6029" t="s">
        <v>191</v>
      </c>
      <c r="F6029">
        <f t="shared" si="188"/>
        <v>1961</v>
      </c>
      <c r="G6029">
        <f t="shared" si="189"/>
        <v>3</v>
      </c>
      <c r="H6029" t="str">
        <f>IF(ISNUMBER(FIND(",", E6029)), TRIM(MID(E6029, FIND(",", E6029) + 1, LEN(E6029))), E6029)</f>
        <v>Kuril Islands</v>
      </c>
    </row>
    <row r="6030" spans="1:8" x14ac:dyDescent="0.25">
      <c r="A6030" s="2">
        <v>22347</v>
      </c>
      <c r="B6030">
        <v>-29.26</v>
      </c>
      <c r="C6030">
        <v>-175.26499999999999</v>
      </c>
      <c r="D6030" t="s">
        <v>16</v>
      </c>
      <c r="E6030" t="s">
        <v>240</v>
      </c>
      <c r="F6030">
        <f t="shared" si="188"/>
        <v>1961</v>
      </c>
      <c r="G6030">
        <f t="shared" si="189"/>
        <v>3</v>
      </c>
      <c r="H6030" t="str">
        <f>IF(ISNUMBER(FIND(",", E6030)), TRIM(MID(E6030, FIND(",", E6030) + 1, LEN(E6030))), E6030)</f>
        <v>Kermadec Islands region</v>
      </c>
    </row>
    <row r="6031" spans="1:8" x14ac:dyDescent="0.25">
      <c r="A6031" s="2">
        <v>22338</v>
      </c>
      <c r="B6031">
        <v>31.591999999999999</v>
      </c>
      <c r="C6031">
        <v>131.51300000000001</v>
      </c>
      <c r="D6031" t="s">
        <v>16</v>
      </c>
      <c r="E6031" t="s">
        <v>357</v>
      </c>
      <c r="F6031">
        <f t="shared" si="188"/>
        <v>1961</v>
      </c>
      <c r="G6031">
        <f t="shared" si="189"/>
        <v>2</v>
      </c>
      <c r="H6031" t="str">
        <f>IF(ISNUMBER(FIND(",", E6031)), TRIM(MID(E6031, FIND(",", E6031) + 1, LEN(E6031))), E6031)</f>
        <v>Japan</v>
      </c>
    </row>
    <row r="6032" spans="1:8" x14ac:dyDescent="0.25">
      <c r="A6032" s="2">
        <v>22324</v>
      </c>
      <c r="B6032">
        <v>43.67</v>
      </c>
      <c r="C6032">
        <v>147.80799999999999</v>
      </c>
      <c r="D6032" t="s">
        <v>14</v>
      </c>
      <c r="E6032" t="s">
        <v>191</v>
      </c>
      <c r="F6032">
        <f t="shared" si="188"/>
        <v>1961</v>
      </c>
      <c r="G6032">
        <f t="shared" si="189"/>
        <v>2</v>
      </c>
      <c r="H6032" t="str">
        <f>IF(ISNUMBER(FIND(",", E6032)), TRIM(MID(E6032, FIND(",", E6032) + 1, LEN(E6032))), E6032)</f>
        <v>Kuril Islands</v>
      </c>
    </row>
    <row r="6033" spans="1:8" x14ac:dyDescent="0.25">
      <c r="A6033" s="2">
        <v>22312</v>
      </c>
      <c r="B6033">
        <v>55.863</v>
      </c>
      <c r="C6033">
        <v>-153.70099999999999</v>
      </c>
      <c r="D6033" t="s">
        <v>17</v>
      </c>
      <c r="E6033" t="s">
        <v>493</v>
      </c>
      <c r="F6033">
        <f t="shared" si="188"/>
        <v>1961</v>
      </c>
      <c r="G6033">
        <f t="shared" si="189"/>
        <v>1</v>
      </c>
      <c r="H6033" t="str">
        <f>IF(ISNUMBER(FIND(",", E6033)), TRIM(MID(E6033, FIND(",", E6033) + 1, LEN(E6033))), E6033)</f>
        <v>south of Alaska</v>
      </c>
    </row>
    <row r="6034" spans="1:8" x14ac:dyDescent="0.25">
      <c r="A6034" s="2">
        <v>22303</v>
      </c>
      <c r="B6034">
        <v>-12.53</v>
      </c>
      <c r="C6034">
        <v>165.68799999999999</v>
      </c>
      <c r="D6034" t="s">
        <v>14</v>
      </c>
      <c r="E6034" t="s">
        <v>211</v>
      </c>
      <c r="F6034">
        <f t="shared" si="188"/>
        <v>1961</v>
      </c>
      <c r="G6034">
        <f t="shared" si="189"/>
        <v>1</v>
      </c>
      <c r="H6034" t="str">
        <f>IF(ISNUMBER(FIND(",", E6034)), TRIM(MID(E6034, FIND(",", E6034) + 1, LEN(E6034))), E6034)</f>
        <v>Santa Cruz Islands</v>
      </c>
    </row>
    <row r="6035" spans="1:8" x14ac:dyDescent="0.25">
      <c r="A6035" s="2">
        <v>22297</v>
      </c>
      <c r="B6035">
        <v>36.122999999999998</v>
      </c>
      <c r="C6035">
        <v>141.91</v>
      </c>
      <c r="D6035" t="s">
        <v>14</v>
      </c>
      <c r="E6035" t="s">
        <v>227</v>
      </c>
      <c r="F6035">
        <f t="shared" si="188"/>
        <v>1961</v>
      </c>
      <c r="G6035">
        <f t="shared" si="189"/>
        <v>1</v>
      </c>
      <c r="H6035" t="str">
        <f>IF(ISNUMBER(FIND(",", E6035)), TRIM(MID(E6035, FIND(",", E6035) + 1, LEN(E6035))), E6035)</f>
        <v>Japan</v>
      </c>
    </row>
    <row r="6036" spans="1:8" x14ac:dyDescent="0.25">
      <c r="A6036" s="2">
        <v>22286</v>
      </c>
      <c r="B6036">
        <v>-20.984999999999999</v>
      </c>
      <c r="C6036">
        <v>169.37799999999999</v>
      </c>
      <c r="D6036" t="s">
        <v>14</v>
      </c>
      <c r="E6036" t="s">
        <v>181</v>
      </c>
      <c r="F6036">
        <f t="shared" si="188"/>
        <v>1961</v>
      </c>
      <c r="G6036">
        <f t="shared" si="189"/>
        <v>1</v>
      </c>
      <c r="H6036" t="str">
        <f>IF(ISNUMBER(FIND(",", E6036)), TRIM(MID(E6036, FIND(",", E6036) + 1, LEN(E6036))), E6036)</f>
        <v>Vanuatu</v>
      </c>
    </row>
    <row r="6037" spans="1:8" x14ac:dyDescent="0.25">
      <c r="A6037" s="2">
        <v>22286</v>
      </c>
      <c r="B6037">
        <v>-21.013000000000002</v>
      </c>
      <c r="C6037">
        <v>169.583</v>
      </c>
      <c r="D6037" t="s">
        <v>14</v>
      </c>
      <c r="E6037" t="s">
        <v>254</v>
      </c>
      <c r="F6037">
        <f t="shared" si="188"/>
        <v>1961</v>
      </c>
      <c r="G6037">
        <f t="shared" si="189"/>
        <v>1</v>
      </c>
      <c r="H6037" t="str">
        <f>IF(ISNUMBER(FIND(",", E6037)), TRIM(MID(E6037, FIND(",", E6037) + 1, LEN(E6037))), E6037)</f>
        <v>southeast of the Loyalty Islands</v>
      </c>
    </row>
    <row r="6038" spans="1:8" x14ac:dyDescent="0.25">
      <c r="A6038" s="2">
        <v>22286</v>
      </c>
      <c r="B6038">
        <v>-4.226</v>
      </c>
      <c r="C6038">
        <v>143.20599999999999</v>
      </c>
      <c r="D6038" t="s">
        <v>13</v>
      </c>
      <c r="E6038" t="s">
        <v>253</v>
      </c>
      <c r="F6038">
        <f t="shared" si="188"/>
        <v>1961</v>
      </c>
      <c r="G6038">
        <f t="shared" si="189"/>
        <v>1</v>
      </c>
      <c r="H6038" t="str">
        <f>IF(ISNUMBER(FIND(",", E6038)), TRIM(MID(E6038, FIND(",", E6038) + 1, LEN(E6038))), E6038)</f>
        <v>Papua New Guinea</v>
      </c>
    </row>
    <row r="6039" spans="1:8" x14ac:dyDescent="0.25">
      <c r="A6039" s="2">
        <v>22286</v>
      </c>
      <c r="B6039">
        <v>51.747999999999998</v>
      </c>
      <c r="C6039">
        <v>-175.863</v>
      </c>
      <c r="D6039" t="s">
        <v>14</v>
      </c>
      <c r="E6039" t="s">
        <v>207</v>
      </c>
      <c r="F6039">
        <f t="shared" si="188"/>
        <v>1961</v>
      </c>
      <c r="G6039">
        <f t="shared" si="189"/>
        <v>1</v>
      </c>
      <c r="H6039" t="str">
        <f>IF(ISNUMBER(FIND(",", E6039)), TRIM(MID(E6039, FIND(",", E6039) + 1, LEN(E6039))), E6039)</f>
        <v>Aleutian Islands, Alaska</v>
      </c>
    </row>
    <row r="6040" spans="1:8" x14ac:dyDescent="0.25">
      <c r="A6040" s="2">
        <v>22281</v>
      </c>
      <c r="B6040">
        <v>-44.122999999999998</v>
      </c>
      <c r="C6040">
        <v>-75.683000000000007</v>
      </c>
      <c r="D6040" t="s">
        <v>17</v>
      </c>
      <c r="E6040" t="s">
        <v>194</v>
      </c>
      <c r="F6040">
        <f t="shared" si="188"/>
        <v>1960</v>
      </c>
      <c r="G6040">
        <f t="shared" si="189"/>
        <v>12</v>
      </c>
      <c r="H6040" t="str">
        <f>IF(ISNUMBER(FIND(",", E6040)), TRIM(MID(E6040, FIND(",", E6040) + 1, LEN(E6040))), E6040)</f>
        <v>Chile</v>
      </c>
    </row>
    <row r="6041" spans="1:8" x14ac:dyDescent="0.25">
      <c r="A6041" s="2">
        <v>22279</v>
      </c>
      <c r="B6041">
        <v>-44.966999999999999</v>
      </c>
      <c r="C6041">
        <v>-75.888999999999996</v>
      </c>
      <c r="D6041" t="s">
        <v>17</v>
      </c>
      <c r="E6041" t="s">
        <v>194</v>
      </c>
      <c r="F6041">
        <f t="shared" si="188"/>
        <v>1960</v>
      </c>
      <c r="G6041">
        <f t="shared" si="189"/>
        <v>12</v>
      </c>
      <c r="H6041" t="str">
        <f>IF(ISNUMBER(FIND(",", E6041)), TRIM(MID(E6041, FIND(",", E6041) + 1, LEN(E6041))), E6041)</f>
        <v>Chile</v>
      </c>
    </row>
    <row r="6042" spans="1:8" x14ac:dyDescent="0.25">
      <c r="A6042" s="2">
        <v>22264</v>
      </c>
      <c r="B6042">
        <v>2.891</v>
      </c>
      <c r="C6042">
        <v>126.129</v>
      </c>
      <c r="D6042" t="s">
        <v>14</v>
      </c>
      <c r="E6042" t="s">
        <v>186</v>
      </c>
      <c r="F6042">
        <f t="shared" si="188"/>
        <v>1960</v>
      </c>
      <c r="G6042">
        <f t="shared" si="189"/>
        <v>12</v>
      </c>
      <c r="H6042" t="str">
        <f>IF(ISNUMBER(FIND(",", E6042)), TRIM(MID(E6042, FIND(",", E6042) + 1, LEN(E6042))), E6042)</f>
        <v>Molucca Sea</v>
      </c>
    </row>
    <row r="6043" spans="1:8" x14ac:dyDescent="0.25">
      <c r="A6043" s="2">
        <v>22263</v>
      </c>
      <c r="B6043">
        <v>-52.04</v>
      </c>
      <c r="C6043">
        <v>160.97999999999999</v>
      </c>
      <c r="D6043" t="s">
        <v>16</v>
      </c>
      <c r="E6043" t="s">
        <v>350</v>
      </c>
      <c r="F6043">
        <f t="shared" si="188"/>
        <v>1960</v>
      </c>
      <c r="G6043">
        <f t="shared" si="189"/>
        <v>12</v>
      </c>
      <c r="H6043" t="str">
        <f>IF(ISNUMBER(FIND(",", E6043)), TRIM(MID(E6043, FIND(",", E6043) + 1, LEN(E6043))), E6043)</f>
        <v>Macquarie Island region</v>
      </c>
    </row>
    <row r="6044" spans="1:8" x14ac:dyDescent="0.25">
      <c r="A6044" s="2">
        <v>22253</v>
      </c>
      <c r="B6044">
        <v>43.133000000000003</v>
      </c>
      <c r="C6044">
        <v>104.46899999999999</v>
      </c>
      <c r="D6044" t="s">
        <v>14</v>
      </c>
      <c r="E6044" t="s">
        <v>672</v>
      </c>
      <c r="F6044">
        <f t="shared" si="188"/>
        <v>1960</v>
      </c>
      <c r="G6044">
        <f t="shared" si="189"/>
        <v>12</v>
      </c>
      <c r="H6044" t="str">
        <f>IF(ISNUMBER(FIND(",", E6044)), TRIM(MID(E6044, FIND(",", E6044) + 1, LEN(E6044))), E6044)</f>
        <v>central Mongolia</v>
      </c>
    </row>
    <row r="6045" spans="1:8" x14ac:dyDescent="0.25">
      <c r="A6045" s="2">
        <v>22252</v>
      </c>
      <c r="B6045">
        <v>-24.669</v>
      </c>
      <c r="C6045">
        <v>-70.08</v>
      </c>
      <c r="D6045" t="s">
        <v>16</v>
      </c>
      <c r="E6045" t="s">
        <v>289</v>
      </c>
      <c r="F6045">
        <f t="shared" si="188"/>
        <v>1960</v>
      </c>
      <c r="G6045">
        <f t="shared" si="189"/>
        <v>12</v>
      </c>
      <c r="H6045" t="str">
        <f>IF(ISNUMBER(FIND(",", E6045)), TRIM(MID(E6045, FIND(",", E6045) + 1, LEN(E6045))), E6045)</f>
        <v>Chile</v>
      </c>
    </row>
    <row r="6046" spans="1:8" x14ac:dyDescent="0.25">
      <c r="A6046" s="2">
        <v>22244</v>
      </c>
      <c r="B6046">
        <v>-24.71</v>
      </c>
      <c r="C6046">
        <v>-176.37899999999999</v>
      </c>
      <c r="D6046" t="s">
        <v>16</v>
      </c>
      <c r="E6046" t="s">
        <v>256</v>
      </c>
      <c r="F6046">
        <f t="shared" si="188"/>
        <v>1960</v>
      </c>
      <c r="G6046">
        <f t="shared" si="189"/>
        <v>11</v>
      </c>
      <c r="H6046" t="str">
        <f>IF(ISNUMBER(FIND(",", E6046)), TRIM(MID(E6046, FIND(",", E6046) + 1, LEN(E6046))), E6046)</f>
        <v>south of the Fiji Islands</v>
      </c>
    </row>
    <row r="6047" spans="1:8" x14ac:dyDescent="0.25">
      <c r="A6047" s="2">
        <v>22243</v>
      </c>
      <c r="B6047">
        <v>-24.492000000000001</v>
      </c>
      <c r="C6047">
        <v>-176.119</v>
      </c>
      <c r="D6047" t="s">
        <v>14</v>
      </c>
      <c r="E6047" t="s">
        <v>256</v>
      </c>
      <c r="F6047">
        <f t="shared" si="188"/>
        <v>1960</v>
      </c>
      <c r="G6047">
        <f t="shared" si="189"/>
        <v>11</v>
      </c>
      <c r="H6047" t="str">
        <f>IF(ISNUMBER(FIND(",", E6047)), TRIM(MID(E6047, FIND(",", E6047) + 1, LEN(E6047))), E6047)</f>
        <v>south of the Fiji Islands</v>
      </c>
    </row>
    <row r="6048" spans="1:8" x14ac:dyDescent="0.25">
      <c r="A6048" s="2">
        <v>22242</v>
      </c>
      <c r="B6048">
        <v>-36.341999999999999</v>
      </c>
      <c r="C6048">
        <v>52.527999999999999</v>
      </c>
      <c r="D6048" t="s">
        <v>17</v>
      </c>
      <c r="E6048" t="s">
        <v>94</v>
      </c>
      <c r="F6048">
        <f t="shared" si="188"/>
        <v>1960</v>
      </c>
      <c r="G6048">
        <f t="shared" si="189"/>
        <v>11</v>
      </c>
      <c r="H6048" t="str">
        <f>IF(ISNUMBER(FIND(",", E6048)), TRIM(MID(E6048, FIND(",", E6048) + 1, LEN(E6048))), E6048)</f>
        <v>Southwest Indian Ridge</v>
      </c>
    </row>
    <row r="6049" spans="1:8" x14ac:dyDescent="0.25">
      <c r="A6049" s="2">
        <v>22240</v>
      </c>
      <c r="B6049">
        <v>-6.7039999999999997</v>
      </c>
      <c r="C6049">
        <v>-80.62</v>
      </c>
      <c r="D6049" t="s">
        <v>16</v>
      </c>
      <c r="E6049" t="s">
        <v>376</v>
      </c>
      <c r="F6049">
        <f t="shared" si="188"/>
        <v>1960</v>
      </c>
      <c r="G6049">
        <f t="shared" si="189"/>
        <v>11</v>
      </c>
      <c r="H6049" t="str">
        <f>IF(ISNUMBER(FIND(",", E6049)), TRIM(MID(E6049, FIND(",", E6049) + 1, LEN(E6049))), E6049)</f>
        <v>near the coast of northern Peru</v>
      </c>
    </row>
    <row r="6050" spans="1:8" x14ac:dyDescent="0.25">
      <c r="A6050" s="2">
        <v>22233</v>
      </c>
      <c r="B6050">
        <v>51.298000000000002</v>
      </c>
      <c r="C6050">
        <v>-168.745</v>
      </c>
      <c r="D6050" t="s">
        <v>14</v>
      </c>
      <c r="E6050" t="s">
        <v>219</v>
      </c>
      <c r="F6050">
        <f t="shared" si="188"/>
        <v>1960</v>
      </c>
      <c r="G6050">
        <f t="shared" si="189"/>
        <v>11</v>
      </c>
      <c r="H6050" t="str">
        <f>IF(ISNUMBER(FIND(",", E6050)), TRIM(MID(E6050, FIND(",", E6050) + 1, LEN(E6050))), E6050)</f>
        <v>Aleutian Islands, Alaska</v>
      </c>
    </row>
    <row r="6051" spans="1:8" x14ac:dyDescent="0.25">
      <c r="A6051" s="2">
        <v>22226</v>
      </c>
      <c r="B6051">
        <v>-31.233000000000001</v>
      </c>
      <c r="C6051">
        <v>-177.535</v>
      </c>
      <c r="D6051" t="s">
        <v>17</v>
      </c>
      <c r="E6051" t="s">
        <v>240</v>
      </c>
      <c r="F6051">
        <f t="shared" si="188"/>
        <v>1960</v>
      </c>
      <c r="G6051">
        <f t="shared" si="189"/>
        <v>11</v>
      </c>
      <c r="H6051" t="str">
        <f>IF(ISNUMBER(FIND(",", E6051)), TRIM(MID(E6051, FIND(",", E6051) + 1, LEN(E6051))), E6051)</f>
        <v>Kermadec Islands region</v>
      </c>
    </row>
    <row r="6052" spans="1:8" x14ac:dyDescent="0.25">
      <c r="A6052" s="2">
        <v>22221</v>
      </c>
      <c r="B6052">
        <v>-38.390999999999998</v>
      </c>
      <c r="C6052">
        <v>-74.861999999999995</v>
      </c>
      <c r="D6052" t="s">
        <v>14</v>
      </c>
      <c r="E6052" t="s">
        <v>684</v>
      </c>
      <c r="F6052">
        <f t="shared" si="188"/>
        <v>1960</v>
      </c>
      <c r="G6052">
        <f t="shared" si="189"/>
        <v>11</v>
      </c>
      <c r="H6052" t="str">
        <f>IF(ISNUMBER(FIND(",", E6052)), TRIM(MID(E6052, FIND(",", E6052) + 1, LEN(E6052))), E6052)</f>
        <v>Chile</v>
      </c>
    </row>
    <row r="6053" spans="1:8" x14ac:dyDescent="0.25">
      <c r="A6053" s="2">
        <v>22217</v>
      </c>
      <c r="B6053">
        <v>52.069000000000003</v>
      </c>
      <c r="C6053">
        <v>157.68100000000001</v>
      </c>
      <c r="D6053" t="s">
        <v>13</v>
      </c>
      <c r="E6053" t="s">
        <v>424</v>
      </c>
      <c r="F6053">
        <f t="shared" si="188"/>
        <v>1960</v>
      </c>
      <c r="G6053">
        <f t="shared" si="189"/>
        <v>10</v>
      </c>
      <c r="H6053" t="str">
        <f>IF(ISNUMBER(FIND(",", E6053)), TRIM(MID(E6053, FIND(",", E6053) + 1, LEN(E6053))), E6053)</f>
        <v>Russia</v>
      </c>
    </row>
    <row r="6054" spans="1:8" x14ac:dyDescent="0.25">
      <c r="A6054" s="2">
        <v>22217</v>
      </c>
      <c r="B6054">
        <v>71.414000000000001</v>
      </c>
      <c r="C6054">
        <v>-9.0830000000000002</v>
      </c>
      <c r="D6054" t="s">
        <v>17</v>
      </c>
      <c r="E6054" t="s">
        <v>214</v>
      </c>
      <c r="F6054">
        <f t="shared" si="188"/>
        <v>1960</v>
      </c>
      <c r="G6054">
        <f t="shared" si="189"/>
        <v>10</v>
      </c>
      <c r="H6054" t="str">
        <f>IF(ISNUMBER(FIND(",", E6054)), TRIM(MID(E6054, FIND(",", E6054) + 1, LEN(E6054))), E6054)</f>
        <v>Jan Mayen Island region</v>
      </c>
    </row>
    <row r="6055" spans="1:8" x14ac:dyDescent="0.25">
      <c r="A6055" s="2">
        <v>22197</v>
      </c>
      <c r="B6055">
        <v>40.106999999999999</v>
      </c>
      <c r="C6055">
        <v>130.09899999999999</v>
      </c>
      <c r="D6055" t="s">
        <v>14</v>
      </c>
      <c r="E6055" t="s">
        <v>420</v>
      </c>
      <c r="F6055">
        <f t="shared" si="188"/>
        <v>1960</v>
      </c>
      <c r="G6055">
        <f t="shared" si="189"/>
        <v>10</v>
      </c>
      <c r="H6055" t="str">
        <f>IF(ISNUMBER(FIND(",", E6055)), TRIM(MID(E6055, FIND(",", E6055) + 1, LEN(E6055))), E6055)</f>
        <v>Sea of Japan</v>
      </c>
    </row>
    <row r="6056" spans="1:8" x14ac:dyDescent="0.25">
      <c r="A6056" s="2">
        <v>22196</v>
      </c>
      <c r="B6056">
        <v>-7.6159999999999997</v>
      </c>
      <c r="C6056">
        <v>130.74199999999999</v>
      </c>
      <c r="D6056" t="s">
        <v>14</v>
      </c>
      <c r="E6056" t="s">
        <v>411</v>
      </c>
      <c r="F6056">
        <f t="shared" si="188"/>
        <v>1960</v>
      </c>
      <c r="G6056">
        <f t="shared" si="189"/>
        <v>10</v>
      </c>
      <c r="H6056" t="str">
        <f>IF(ISNUMBER(FIND(",", E6056)), TRIM(MID(E6056, FIND(",", E6056) + 1, LEN(E6056))), E6056)</f>
        <v>Indonesia</v>
      </c>
    </row>
    <row r="6057" spans="1:8" x14ac:dyDescent="0.25">
      <c r="A6057" s="2">
        <v>22190</v>
      </c>
      <c r="B6057">
        <v>51.305999999999997</v>
      </c>
      <c r="C6057">
        <v>-172.464</v>
      </c>
      <c r="D6057" t="s">
        <v>17</v>
      </c>
      <c r="E6057" t="s">
        <v>207</v>
      </c>
      <c r="F6057">
        <f t="shared" si="188"/>
        <v>1960</v>
      </c>
      <c r="G6057">
        <f t="shared" si="189"/>
        <v>10</v>
      </c>
      <c r="H6057" t="str">
        <f>IF(ISNUMBER(FIND(",", E6057)), TRIM(MID(E6057, FIND(",", E6057) + 1, LEN(E6057))), E6057)</f>
        <v>Aleutian Islands, Alaska</v>
      </c>
    </row>
    <row r="6058" spans="1:8" x14ac:dyDescent="0.25">
      <c r="A6058" s="2">
        <v>22141</v>
      </c>
      <c r="B6058">
        <v>-39.914999999999999</v>
      </c>
      <c r="C6058">
        <v>-74.734999999999999</v>
      </c>
      <c r="D6058" t="s">
        <v>14</v>
      </c>
      <c r="E6058" t="s">
        <v>522</v>
      </c>
      <c r="F6058">
        <f t="shared" si="188"/>
        <v>1960</v>
      </c>
      <c r="G6058">
        <f t="shared" si="189"/>
        <v>8</v>
      </c>
      <c r="H6058" t="str">
        <f>IF(ISNUMBER(FIND(",", E6058)), TRIM(MID(E6058, FIND(",", E6058) + 1, LEN(E6058))), E6058)</f>
        <v>Chile</v>
      </c>
    </row>
    <row r="6059" spans="1:8" x14ac:dyDescent="0.25">
      <c r="A6059" s="2">
        <v>22130</v>
      </c>
      <c r="B6059">
        <v>-22.114999999999998</v>
      </c>
      <c r="C6059">
        <v>171.386</v>
      </c>
      <c r="D6059" t="s">
        <v>17</v>
      </c>
      <c r="E6059" t="s">
        <v>254</v>
      </c>
      <c r="F6059">
        <f t="shared" si="188"/>
        <v>1960</v>
      </c>
      <c r="G6059">
        <f t="shared" si="189"/>
        <v>8</v>
      </c>
      <c r="H6059" t="str">
        <f>IF(ISNUMBER(FIND(",", E6059)), TRIM(MID(E6059, FIND(",", E6059) + 1, LEN(E6059))), E6059)</f>
        <v>southeast of the Loyalty Islands</v>
      </c>
    </row>
    <row r="6060" spans="1:8" x14ac:dyDescent="0.25">
      <c r="A6060" s="2">
        <v>22128</v>
      </c>
      <c r="B6060">
        <v>-6.0019999999999998</v>
      </c>
      <c r="C6060">
        <v>150.06200000000001</v>
      </c>
      <c r="D6060" t="s">
        <v>17</v>
      </c>
      <c r="E6060" t="s">
        <v>190</v>
      </c>
      <c r="F6060">
        <f t="shared" si="188"/>
        <v>1960</v>
      </c>
      <c r="G6060">
        <f t="shared" si="189"/>
        <v>7</v>
      </c>
      <c r="H6060" t="str">
        <f>IF(ISNUMBER(FIND(",", E6060)), TRIM(MID(E6060, FIND(",", E6060) + 1, LEN(E6060))), E6060)</f>
        <v>Papua New Guinea</v>
      </c>
    </row>
    <row r="6061" spans="1:8" x14ac:dyDescent="0.25">
      <c r="A6061" s="2">
        <v>22128</v>
      </c>
      <c r="B6061">
        <v>-6.194</v>
      </c>
      <c r="C6061">
        <v>150.012</v>
      </c>
      <c r="D6061" t="s">
        <v>14</v>
      </c>
      <c r="E6061" t="s">
        <v>190</v>
      </c>
      <c r="F6061">
        <f t="shared" si="188"/>
        <v>1960</v>
      </c>
      <c r="G6061">
        <f t="shared" si="189"/>
        <v>7</v>
      </c>
      <c r="H6061" t="str">
        <f>IF(ISNUMBER(FIND(",", E6061)), TRIM(MID(E6061, FIND(",", E6061) + 1, LEN(E6061))), E6061)</f>
        <v>Papua New Guinea</v>
      </c>
    </row>
    <row r="6062" spans="1:8" x14ac:dyDescent="0.25">
      <c r="A6062" s="2">
        <v>22126</v>
      </c>
      <c r="B6062">
        <v>40.359000000000002</v>
      </c>
      <c r="C6062">
        <v>142.447</v>
      </c>
      <c r="D6062" t="s">
        <v>14</v>
      </c>
      <c r="E6062" t="s">
        <v>227</v>
      </c>
      <c r="F6062">
        <f t="shared" si="188"/>
        <v>1960</v>
      </c>
      <c r="G6062">
        <f t="shared" si="189"/>
        <v>7</v>
      </c>
      <c r="H6062" t="str">
        <f>IF(ISNUMBER(FIND(",", E6062)), TRIM(MID(E6062, FIND(",", E6062) + 1, LEN(E6062))), E6062)</f>
        <v>Japan</v>
      </c>
    </row>
    <row r="6063" spans="1:8" x14ac:dyDescent="0.25">
      <c r="A6063" s="2">
        <v>22122</v>
      </c>
      <c r="B6063">
        <v>53.646000000000001</v>
      </c>
      <c r="C6063">
        <v>158.887</v>
      </c>
      <c r="D6063" t="s">
        <v>13</v>
      </c>
      <c r="E6063" t="s">
        <v>225</v>
      </c>
      <c r="F6063">
        <f t="shared" si="188"/>
        <v>1960</v>
      </c>
      <c r="G6063">
        <f t="shared" si="189"/>
        <v>7</v>
      </c>
      <c r="H6063" t="str">
        <f>IF(ISNUMBER(FIND(",", E6063)), TRIM(MID(E6063, FIND(",", E6063) + 1, LEN(E6063))), E6063)</f>
        <v>Russia</v>
      </c>
    </row>
    <row r="6064" spans="1:8" x14ac:dyDescent="0.25">
      <c r="A6064" s="2">
        <v>22101</v>
      </c>
      <c r="B6064">
        <v>51.81</v>
      </c>
      <c r="C6064">
        <v>-131.26400000000001</v>
      </c>
      <c r="D6064" t="s">
        <v>14</v>
      </c>
      <c r="E6064" t="s">
        <v>409</v>
      </c>
      <c r="F6064">
        <f t="shared" si="188"/>
        <v>1960</v>
      </c>
      <c r="G6064">
        <f t="shared" si="189"/>
        <v>7</v>
      </c>
      <c r="H6064" t="str">
        <f>IF(ISNUMBER(FIND(",", E6064)), TRIM(MID(E6064, FIND(",", E6064) + 1, LEN(E6064))), E6064)</f>
        <v>Canada</v>
      </c>
    </row>
    <row r="6065" spans="1:8" x14ac:dyDescent="0.25">
      <c r="A6065" s="2">
        <v>22087</v>
      </c>
      <c r="B6065">
        <v>-39.212000000000003</v>
      </c>
      <c r="C6065">
        <v>-73.322000000000003</v>
      </c>
      <c r="D6065" t="s">
        <v>16</v>
      </c>
      <c r="E6065" t="s">
        <v>593</v>
      </c>
      <c r="F6065">
        <f t="shared" si="188"/>
        <v>1960</v>
      </c>
      <c r="G6065">
        <f t="shared" si="189"/>
        <v>6</v>
      </c>
      <c r="H6065" t="str">
        <f>IF(ISNUMBER(FIND(",", E6065)), TRIM(MID(E6065, FIND(",", E6065) + 1, LEN(E6065))), E6065)</f>
        <v>Chile</v>
      </c>
    </row>
    <row r="6066" spans="1:8" x14ac:dyDescent="0.25">
      <c r="A6066" s="2">
        <v>22087</v>
      </c>
      <c r="B6066">
        <v>-38.265000000000001</v>
      </c>
      <c r="C6066">
        <v>-73.323999999999998</v>
      </c>
      <c r="D6066" t="s">
        <v>16</v>
      </c>
      <c r="E6066" t="s">
        <v>302</v>
      </c>
      <c r="F6066">
        <f t="shared" si="188"/>
        <v>1960</v>
      </c>
      <c r="G6066">
        <f t="shared" si="189"/>
        <v>6</v>
      </c>
      <c r="H6066" t="str">
        <f>IF(ISNUMBER(FIND(",", E6066)), TRIM(MID(E6066, FIND(",", E6066) + 1, LEN(E6066))), E6066)</f>
        <v>Chile</v>
      </c>
    </row>
    <row r="6067" spans="1:8" x14ac:dyDescent="0.25">
      <c r="A6067" s="2">
        <v>22073</v>
      </c>
      <c r="B6067">
        <v>-45.7</v>
      </c>
      <c r="C6067">
        <v>-73.501999999999995</v>
      </c>
      <c r="D6067" t="s">
        <v>16</v>
      </c>
      <c r="E6067" t="s">
        <v>426</v>
      </c>
      <c r="F6067">
        <f t="shared" si="188"/>
        <v>1960</v>
      </c>
      <c r="G6067">
        <f t="shared" si="189"/>
        <v>6</v>
      </c>
      <c r="H6067" t="str">
        <f>IF(ISNUMBER(FIND(",", E6067)), TRIM(MID(E6067, FIND(",", E6067) + 1, LEN(E6067))), E6067)</f>
        <v>Chile</v>
      </c>
    </row>
    <row r="6068" spans="1:8" x14ac:dyDescent="0.25">
      <c r="A6068" s="2">
        <v>22069</v>
      </c>
      <c r="B6068">
        <v>-46.335000000000001</v>
      </c>
      <c r="C6068">
        <v>-74.251999999999995</v>
      </c>
      <c r="D6068" t="s">
        <v>17</v>
      </c>
      <c r="E6068" t="s">
        <v>426</v>
      </c>
      <c r="F6068">
        <f t="shared" si="188"/>
        <v>1960</v>
      </c>
      <c r="G6068">
        <f t="shared" si="189"/>
        <v>6</v>
      </c>
      <c r="H6068" t="str">
        <f>IF(ISNUMBER(FIND(",", E6068)), TRIM(MID(E6068, FIND(",", E6068) + 1, LEN(E6068))), E6068)</f>
        <v>Chile</v>
      </c>
    </row>
    <row r="6069" spans="1:8" x14ac:dyDescent="0.25">
      <c r="A6069" s="2">
        <v>22067</v>
      </c>
      <c r="B6069">
        <v>17.79</v>
      </c>
      <c r="C6069">
        <v>-61.65</v>
      </c>
      <c r="D6069" t="s">
        <v>17</v>
      </c>
      <c r="E6069" t="s">
        <v>651</v>
      </c>
      <c r="F6069">
        <f t="shared" si="188"/>
        <v>1960</v>
      </c>
      <c r="G6069">
        <f t="shared" si="189"/>
        <v>5</v>
      </c>
      <c r="H6069" t="str">
        <f>IF(ISNUMBER(FIND(",", E6069)), TRIM(MID(E6069, FIND(",", E6069) + 1, LEN(E6069))), E6069)</f>
        <v>Leeward Islands</v>
      </c>
    </row>
    <row r="6070" spans="1:8" x14ac:dyDescent="0.25">
      <c r="A6070" s="2">
        <v>22067</v>
      </c>
      <c r="B6070">
        <v>-39.659999999999997</v>
      </c>
      <c r="C6070">
        <v>-75.53</v>
      </c>
      <c r="D6070" t="s">
        <v>17</v>
      </c>
      <c r="E6070" t="s">
        <v>508</v>
      </c>
      <c r="F6070">
        <f t="shared" si="188"/>
        <v>1960</v>
      </c>
      <c r="G6070">
        <f t="shared" si="189"/>
        <v>5</v>
      </c>
      <c r="H6070" t="str">
        <f>IF(ISNUMBER(FIND(",", E6070)), TRIM(MID(E6070, FIND(",", E6070) + 1, LEN(E6070))), E6070)</f>
        <v>Chile</v>
      </c>
    </row>
    <row r="6071" spans="1:8" x14ac:dyDescent="0.25">
      <c r="A6071" s="2">
        <v>22061</v>
      </c>
      <c r="B6071">
        <v>-44.822000000000003</v>
      </c>
      <c r="C6071">
        <v>-75.742000000000004</v>
      </c>
      <c r="D6071" t="s">
        <v>14</v>
      </c>
      <c r="E6071" t="s">
        <v>194</v>
      </c>
      <c r="F6071">
        <f t="shared" si="188"/>
        <v>1960</v>
      </c>
      <c r="G6071">
        <f t="shared" si="189"/>
        <v>5</v>
      </c>
      <c r="H6071" t="str">
        <f>IF(ISNUMBER(FIND(",", E6071)), TRIM(MID(E6071, FIND(",", E6071) + 1, LEN(E6071))), E6071)</f>
        <v>Chile</v>
      </c>
    </row>
    <row r="6072" spans="1:8" x14ac:dyDescent="0.25">
      <c r="A6072" s="2">
        <v>22060</v>
      </c>
      <c r="B6072">
        <v>-43.896999999999998</v>
      </c>
      <c r="C6072">
        <v>167.845</v>
      </c>
      <c r="D6072" t="s">
        <v>14</v>
      </c>
      <c r="E6072" t="s">
        <v>361</v>
      </c>
      <c r="F6072">
        <f t="shared" si="188"/>
        <v>1960</v>
      </c>
      <c r="G6072">
        <f t="shared" si="189"/>
        <v>5</v>
      </c>
      <c r="H6072" t="str">
        <f>IF(ISNUMBER(FIND(",", E6072)), TRIM(MID(E6072, FIND(",", E6072) + 1, LEN(E6072))), E6072)</f>
        <v>off the west coast of the South Island of New Zealand</v>
      </c>
    </row>
    <row r="6073" spans="1:8" x14ac:dyDescent="0.25">
      <c r="A6073" s="2">
        <v>22058</v>
      </c>
      <c r="B6073">
        <v>-38.293999999999997</v>
      </c>
      <c r="C6073">
        <v>-73.054000000000002</v>
      </c>
      <c r="D6073" t="s">
        <v>16</v>
      </c>
      <c r="E6073" t="s">
        <v>309</v>
      </c>
      <c r="F6073">
        <f t="shared" si="188"/>
        <v>1960</v>
      </c>
      <c r="G6073">
        <f t="shared" si="189"/>
        <v>5</v>
      </c>
      <c r="H6073" t="str">
        <f>IF(ISNUMBER(FIND(",", E6073)), TRIM(MID(E6073, FIND(",", E6073) + 1, LEN(E6073))), E6073)</f>
        <v>Chile</v>
      </c>
    </row>
    <row r="6074" spans="1:8" x14ac:dyDescent="0.25">
      <c r="A6074" s="2">
        <v>22058</v>
      </c>
      <c r="B6074">
        <v>-38.146000000000001</v>
      </c>
      <c r="C6074">
        <v>-72.983999999999995</v>
      </c>
      <c r="D6074" t="s">
        <v>16</v>
      </c>
      <c r="E6074" t="s">
        <v>309</v>
      </c>
      <c r="F6074">
        <f t="shared" si="188"/>
        <v>1960</v>
      </c>
      <c r="G6074">
        <f t="shared" si="189"/>
        <v>5</v>
      </c>
      <c r="H6074" t="str">
        <f>IF(ISNUMBER(FIND(",", E6074)), TRIM(MID(E6074, FIND(",", E6074) + 1, LEN(E6074))), E6074)</f>
        <v>Chile</v>
      </c>
    </row>
    <row r="6075" spans="1:8" x14ac:dyDescent="0.25">
      <c r="A6075" s="2">
        <v>22058</v>
      </c>
      <c r="B6075">
        <v>-37.994</v>
      </c>
      <c r="C6075">
        <v>-73.471999999999994</v>
      </c>
      <c r="D6075" t="s">
        <v>16</v>
      </c>
      <c r="E6075" t="s">
        <v>302</v>
      </c>
      <c r="F6075">
        <f t="shared" si="188"/>
        <v>1960</v>
      </c>
      <c r="G6075">
        <f t="shared" si="189"/>
        <v>5</v>
      </c>
      <c r="H6075" t="str">
        <f>IF(ISNUMBER(FIND(",", E6075)), TRIM(MID(E6075, FIND(",", E6075) + 1, LEN(E6075))), E6075)</f>
        <v>Chile</v>
      </c>
    </row>
    <row r="6076" spans="1:8" x14ac:dyDescent="0.25">
      <c r="A6076" s="2">
        <v>22058</v>
      </c>
      <c r="B6076">
        <v>-37.960999999999999</v>
      </c>
      <c r="C6076">
        <v>-73.17</v>
      </c>
      <c r="D6076" t="s">
        <v>16</v>
      </c>
      <c r="E6076" t="s">
        <v>302</v>
      </c>
      <c r="F6076">
        <f t="shared" si="188"/>
        <v>1960</v>
      </c>
      <c r="G6076">
        <f t="shared" si="189"/>
        <v>5</v>
      </c>
      <c r="H6076" t="str">
        <f>IF(ISNUMBER(FIND(",", E6076)), TRIM(MID(E6076, FIND(",", E6076) + 1, LEN(E6076))), E6076)</f>
        <v>Chile</v>
      </c>
    </row>
    <row r="6077" spans="1:8" x14ac:dyDescent="0.25">
      <c r="A6077" s="2">
        <v>22057</v>
      </c>
      <c r="B6077">
        <v>-37.064999999999998</v>
      </c>
      <c r="C6077">
        <v>-72.323999999999998</v>
      </c>
      <c r="D6077" t="s">
        <v>14</v>
      </c>
      <c r="E6077" t="s">
        <v>302</v>
      </c>
      <c r="F6077">
        <f t="shared" si="188"/>
        <v>1960</v>
      </c>
      <c r="G6077">
        <f t="shared" si="189"/>
        <v>5</v>
      </c>
      <c r="H6077" t="str">
        <f>IF(ISNUMBER(FIND(",", E6077)), TRIM(MID(E6077, FIND(",", E6077) + 1, LEN(E6077))), E6077)</f>
        <v>Chile</v>
      </c>
    </row>
    <row r="6078" spans="1:8" x14ac:dyDescent="0.25">
      <c r="A6078" s="2">
        <v>22057</v>
      </c>
      <c r="B6078">
        <v>-37.825000000000003</v>
      </c>
      <c r="C6078">
        <v>-73.379000000000005</v>
      </c>
      <c r="D6078" t="s">
        <v>16</v>
      </c>
      <c r="E6078" t="s">
        <v>302</v>
      </c>
      <c r="F6078">
        <f t="shared" si="188"/>
        <v>1960</v>
      </c>
      <c r="G6078">
        <f t="shared" si="189"/>
        <v>5</v>
      </c>
      <c r="H6078" t="str">
        <f>IF(ISNUMBER(FIND(",", E6078)), TRIM(MID(E6078, FIND(",", E6078) + 1, LEN(E6078))), E6078)</f>
        <v>Chile</v>
      </c>
    </row>
    <row r="6079" spans="1:8" x14ac:dyDescent="0.25">
      <c r="A6079" s="2">
        <v>22054</v>
      </c>
      <c r="B6079">
        <v>29.135999999999999</v>
      </c>
      <c r="C6079">
        <v>129.95699999999999</v>
      </c>
      <c r="D6079" t="s">
        <v>14</v>
      </c>
      <c r="E6079" t="s">
        <v>340</v>
      </c>
      <c r="F6079">
        <f t="shared" si="188"/>
        <v>1960</v>
      </c>
      <c r="G6079">
        <f t="shared" si="189"/>
        <v>5</v>
      </c>
      <c r="H6079" t="str">
        <f>IF(ISNUMBER(FIND(",", E6079)), TRIM(MID(E6079, FIND(",", E6079) + 1, LEN(E6079))), E6079)</f>
        <v>Japan</v>
      </c>
    </row>
    <row r="6080" spans="1:8" x14ac:dyDescent="0.25">
      <c r="A6080" s="2">
        <v>22021</v>
      </c>
      <c r="B6080">
        <v>-13.66</v>
      </c>
      <c r="C6080">
        <v>165.88</v>
      </c>
      <c r="D6080" t="s">
        <v>17</v>
      </c>
      <c r="E6080" t="s">
        <v>181</v>
      </c>
      <c r="F6080">
        <f t="shared" si="188"/>
        <v>1960</v>
      </c>
      <c r="G6080">
        <f t="shared" si="189"/>
        <v>4</v>
      </c>
      <c r="H6080" t="str">
        <f>IF(ISNUMBER(FIND(",", E6080)), TRIM(MID(E6080, FIND(",", E6080) + 1, LEN(E6080))), E6080)</f>
        <v>Vanuatu</v>
      </c>
    </row>
    <row r="6081" spans="1:8" x14ac:dyDescent="0.25">
      <c r="A6081" s="2">
        <v>22021</v>
      </c>
      <c r="B6081">
        <v>-26.96</v>
      </c>
      <c r="C6081">
        <v>-113.43</v>
      </c>
      <c r="D6081" t="s">
        <v>17</v>
      </c>
      <c r="E6081" t="s">
        <v>59</v>
      </c>
      <c r="F6081">
        <f t="shared" si="188"/>
        <v>1960</v>
      </c>
      <c r="G6081">
        <f t="shared" si="189"/>
        <v>4</v>
      </c>
      <c r="H6081" t="str">
        <f>IF(ISNUMBER(FIND(",", E6081)), TRIM(MID(E6081, FIND(",", E6081) + 1, LEN(E6081))), E6081)</f>
        <v>Easter Island region</v>
      </c>
    </row>
    <row r="6082" spans="1:8" x14ac:dyDescent="0.25">
      <c r="A6082" s="2">
        <v>22004</v>
      </c>
      <c r="B6082">
        <v>-16.829000000000001</v>
      </c>
      <c r="C6082">
        <v>167.32599999999999</v>
      </c>
      <c r="D6082" t="s">
        <v>14</v>
      </c>
      <c r="E6082" t="s">
        <v>181</v>
      </c>
      <c r="F6082">
        <f t="shared" ref="F6082:F6145" si="190">YEAR(A6082)</f>
        <v>1960</v>
      </c>
      <c r="G6082">
        <f t="shared" si="189"/>
        <v>3</v>
      </c>
      <c r="H6082" t="str">
        <f>IF(ISNUMBER(FIND(",", E6082)), TRIM(MID(E6082, FIND(",", E6082) + 1, LEN(E6082))), E6082)</f>
        <v>Vanuatu</v>
      </c>
    </row>
    <row r="6083" spans="1:8" x14ac:dyDescent="0.25">
      <c r="A6083" s="2">
        <v>22002</v>
      </c>
      <c r="B6083">
        <v>-13.297000000000001</v>
      </c>
      <c r="C6083">
        <v>165.90600000000001</v>
      </c>
      <c r="D6083" t="s">
        <v>17</v>
      </c>
      <c r="E6083" t="s">
        <v>181</v>
      </c>
      <c r="F6083">
        <f t="shared" si="190"/>
        <v>1960</v>
      </c>
      <c r="G6083">
        <f t="shared" ref="G6083:G6146" si="191">MONTH(A6083)</f>
        <v>3</v>
      </c>
      <c r="H6083" t="str">
        <f>IF(ISNUMBER(FIND(",", E6083)), TRIM(MID(E6083, FIND(",", E6083) + 1, LEN(E6083))), E6083)</f>
        <v>Vanuatu</v>
      </c>
    </row>
    <row r="6084" spans="1:8" x14ac:dyDescent="0.25">
      <c r="A6084" s="2">
        <v>21995</v>
      </c>
      <c r="B6084">
        <v>39.853999999999999</v>
      </c>
      <c r="C6084">
        <v>143.398</v>
      </c>
      <c r="D6084" t="s">
        <v>16</v>
      </c>
      <c r="E6084" t="s">
        <v>189</v>
      </c>
      <c r="F6084">
        <f t="shared" si="190"/>
        <v>1960</v>
      </c>
      <c r="G6084">
        <f t="shared" si="191"/>
        <v>3</v>
      </c>
      <c r="H6084" t="str">
        <f>IF(ISNUMBER(FIND(",", E6084)), TRIM(MID(E6084, FIND(",", E6084) + 1, LEN(E6084))), E6084)</f>
        <v>Japan</v>
      </c>
    </row>
    <row r="6085" spans="1:8" x14ac:dyDescent="0.25">
      <c r="A6085" s="2">
        <v>21987</v>
      </c>
      <c r="B6085">
        <v>-6.14</v>
      </c>
      <c r="C6085">
        <v>152.26</v>
      </c>
      <c r="D6085" t="s">
        <v>17</v>
      </c>
      <c r="E6085" t="s">
        <v>190</v>
      </c>
      <c r="F6085">
        <f t="shared" si="190"/>
        <v>1960</v>
      </c>
      <c r="G6085">
        <f t="shared" si="191"/>
        <v>3</v>
      </c>
      <c r="H6085" t="str">
        <f>IF(ISNUMBER(FIND(",", E6085)), TRIM(MID(E6085, FIND(",", E6085) + 1, LEN(E6085))), E6085)</f>
        <v>Papua New Guinea</v>
      </c>
    </row>
    <row r="6086" spans="1:8" x14ac:dyDescent="0.25">
      <c r="A6086" s="2">
        <v>21983</v>
      </c>
      <c r="B6086">
        <v>-17.015000000000001</v>
      </c>
      <c r="C6086">
        <v>168.70599999999999</v>
      </c>
      <c r="D6086" t="s">
        <v>13</v>
      </c>
      <c r="E6086" t="s">
        <v>181</v>
      </c>
      <c r="F6086">
        <f t="shared" si="190"/>
        <v>1960</v>
      </c>
      <c r="G6086">
        <f t="shared" si="191"/>
        <v>3</v>
      </c>
      <c r="H6086" t="str">
        <f>IF(ISNUMBER(FIND(",", E6086)), TRIM(MID(E6086, FIND(",", E6086) + 1, LEN(E6086))), E6086)</f>
        <v>Vanuatu</v>
      </c>
    </row>
    <row r="6087" spans="1:8" x14ac:dyDescent="0.25">
      <c r="A6087" s="2">
        <v>21980</v>
      </c>
      <c r="B6087">
        <v>0.71199999999999997</v>
      </c>
      <c r="C6087">
        <v>128.84100000000001</v>
      </c>
      <c r="D6087" t="s">
        <v>14</v>
      </c>
      <c r="E6087" t="s">
        <v>311</v>
      </c>
      <c r="F6087">
        <f t="shared" si="190"/>
        <v>1960</v>
      </c>
      <c r="G6087">
        <f t="shared" si="191"/>
        <v>3</v>
      </c>
      <c r="H6087" t="str">
        <f>IF(ISNUMBER(FIND(",", E6087)), TRIM(MID(E6087, FIND(",", E6087) + 1, LEN(E6087))), E6087)</f>
        <v>Indonesia</v>
      </c>
    </row>
    <row r="6088" spans="1:8" x14ac:dyDescent="0.25">
      <c r="A6088" s="2">
        <v>21963</v>
      </c>
      <c r="B6088">
        <v>-29.85</v>
      </c>
      <c r="C6088">
        <v>-111.9</v>
      </c>
      <c r="D6088" t="s">
        <v>17</v>
      </c>
      <c r="E6088" t="s">
        <v>59</v>
      </c>
      <c r="F6088">
        <f t="shared" si="190"/>
        <v>1960</v>
      </c>
      <c r="G6088">
        <f t="shared" si="191"/>
        <v>2</v>
      </c>
      <c r="H6088" t="str">
        <f>IF(ISNUMBER(FIND(",", E6088)), TRIM(MID(E6088, FIND(",", E6088) + 1, LEN(E6088))), E6088)</f>
        <v>Easter Island region</v>
      </c>
    </row>
    <row r="6089" spans="1:8" x14ac:dyDescent="0.25">
      <c r="A6089" s="2">
        <v>21955</v>
      </c>
      <c r="B6089">
        <v>-4.0449999999999999</v>
      </c>
      <c r="C6089">
        <v>127.732</v>
      </c>
      <c r="D6089" t="s">
        <v>14</v>
      </c>
      <c r="E6089" t="s">
        <v>187</v>
      </c>
      <c r="F6089">
        <f t="shared" si="190"/>
        <v>1960</v>
      </c>
      <c r="G6089">
        <f t="shared" si="191"/>
        <v>2</v>
      </c>
      <c r="H6089" t="str">
        <f>IF(ISNUMBER(FIND(",", E6089)), TRIM(MID(E6089, FIND(",", E6089) + 1, LEN(E6089))), E6089)</f>
        <v>Banda Sea</v>
      </c>
    </row>
    <row r="6090" spans="1:8" x14ac:dyDescent="0.25">
      <c r="A6090" s="2">
        <v>21938</v>
      </c>
      <c r="B6090">
        <v>-4.16</v>
      </c>
      <c r="C6090">
        <v>127.48</v>
      </c>
      <c r="D6090" t="s">
        <v>17</v>
      </c>
      <c r="E6090" t="s">
        <v>187</v>
      </c>
      <c r="F6090">
        <f t="shared" si="190"/>
        <v>1960</v>
      </c>
      <c r="G6090">
        <f t="shared" si="191"/>
        <v>1</v>
      </c>
      <c r="H6090" t="str">
        <f>IF(ISNUMBER(FIND(",", E6090)), TRIM(MID(E6090, FIND(",", E6090) + 1, LEN(E6090))), E6090)</f>
        <v>Banda Sea</v>
      </c>
    </row>
    <row r="6091" spans="1:8" x14ac:dyDescent="0.25">
      <c r="A6091" s="2">
        <v>21930</v>
      </c>
      <c r="B6091">
        <v>-15.082000000000001</v>
      </c>
      <c r="C6091">
        <v>-75.382999999999996</v>
      </c>
      <c r="D6091" t="s">
        <v>13</v>
      </c>
      <c r="E6091" t="s">
        <v>258</v>
      </c>
      <c r="F6091">
        <f t="shared" si="190"/>
        <v>1960</v>
      </c>
      <c r="G6091">
        <f t="shared" si="191"/>
        <v>1</v>
      </c>
      <c r="H6091" t="str">
        <f>IF(ISNUMBER(FIND(",", E6091)), TRIM(MID(E6091, FIND(",", E6091) + 1, LEN(E6091))), E6091)</f>
        <v>near the coast of central Peru</v>
      </c>
    </row>
    <row r="6092" spans="1:8" x14ac:dyDescent="0.25">
      <c r="A6092" s="2">
        <v>21928</v>
      </c>
      <c r="B6092">
        <v>-15.877000000000001</v>
      </c>
      <c r="C6092">
        <v>-73.058999999999997</v>
      </c>
      <c r="D6092" t="s">
        <v>13</v>
      </c>
      <c r="E6092" t="s">
        <v>229</v>
      </c>
      <c r="F6092">
        <f t="shared" si="190"/>
        <v>1960</v>
      </c>
      <c r="G6092">
        <f t="shared" si="191"/>
        <v>1</v>
      </c>
      <c r="H6092" t="str">
        <f>IF(ISNUMBER(FIND(",", E6092)), TRIM(MID(E6092, FIND(",", E6092) + 1, LEN(E6092))), E6092)</f>
        <v>southern Peru</v>
      </c>
    </row>
    <row r="6093" spans="1:8" x14ac:dyDescent="0.25">
      <c r="A6093" s="2">
        <v>21924</v>
      </c>
      <c r="B6093">
        <v>36.475000000000001</v>
      </c>
      <c r="C6093">
        <v>70.14</v>
      </c>
      <c r="D6093" t="s">
        <v>14</v>
      </c>
      <c r="E6093" t="s">
        <v>314</v>
      </c>
      <c r="F6093">
        <f t="shared" si="190"/>
        <v>1960</v>
      </c>
      <c r="G6093">
        <f t="shared" si="191"/>
        <v>1</v>
      </c>
      <c r="H6093" t="str">
        <f>IF(ISNUMBER(FIND(",", E6093)), TRIM(MID(E6093, FIND(",", E6093) + 1, LEN(E6093))), E6093)</f>
        <v>Afghanistan</v>
      </c>
    </row>
    <row r="6094" spans="1:8" x14ac:dyDescent="0.25">
      <c r="A6094" s="2">
        <v>21911</v>
      </c>
      <c r="B6094">
        <v>55.978000000000002</v>
      </c>
      <c r="C6094">
        <v>162.87799999999999</v>
      </c>
      <c r="D6094" t="s">
        <v>14</v>
      </c>
      <c r="E6094" t="s">
        <v>225</v>
      </c>
      <c r="F6094">
        <f t="shared" si="190"/>
        <v>1959</v>
      </c>
      <c r="G6094">
        <f t="shared" si="191"/>
        <v>12</v>
      </c>
      <c r="H6094" t="str">
        <f>IF(ISNUMBER(FIND(",", E6094)), TRIM(MID(E6094, FIND(",", E6094) + 1, LEN(E6094))), E6094)</f>
        <v>Russia</v>
      </c>
    </row>
    <row r="6095" spans="1:8" x14ac:dyDescent="0.25">
      <c r="A6095" s="2">
        <v>21910</v>
      </c>
      <c r="B6095">
        <v>52.218000000000004</v>
      </c>
      <c r="C6095">
        <v>160.24100000000001</v>
      </c>
      <c r="D6095" t="s">
        <v>14</v>
      </c>
      <c r="E6095" t="s">
        <v>318</v>
      </c>
      <c r="F6095">
        <f t="shared" si="190"/>
        <v>1959</v>
      </c>
      <c r="G6095">
        <f t="shared" si="191"/>
        <v>12</v>
      </c>
      <c r="H6095" t="str">
        <f>IF(ISNUMBER(FIND(",", E6095)), TRIM(MID(E6095, FIND(",", E6095) + 1, LEN(E6095))), E6095)</f>
        <v>Russia</v>
      </c>
    </row>
    <row r="6096" spans="1:8" x14ac:dyDescent="0.25">
      <c r="A6096" s="2">
        <v>21905</v>
      </c>
      <c r="B6096">
        <v>13.923</v>
      </c>
      <c r="C6096">
        <v>51.622999999999998</v>
      </c>
      <c r="D6096" t="s">
        <v>14</v>
      </c>
      <c r="E6096" t="s">
        <v>434</v>
      </c>
      <c r="F6096">
        <f t="shared" si="190"/>
        <v>1959</v>
      </c>
      <c r="G6096">
        <f t="shared" si="191"/>
        <v>12</v>
      </c>
      <c r="H6096" t="str">
        <f>IF(ISNUMBER(FIND(",", E6096)), TRIM(MID(E6096, FIND(",", E6096) + 1, LEN(E6096))), E6096)</f>
        <v>Gulf of Aden</v>
      </c>
    </row>
    <row r="6097" spans="1:8" x14ac:dyDescent="0.25">
      <c r="A6097" s="2">
        <v>21898</v>
      </c>
      <c r="B6097">
        <v>-59.902999999999999</v>
      </c>
      <c r="C6097">
        <v>-25.939</v>
      </c>
      <c r="D6097" t="s">
        <v>14</v>
      </c>
      <c r="E6097" t="s">
        <v>260</v>
      </c>
      <c r="F6097">
        <f t="shared" si="190"/>
        <v>1959</v>
      </c>
      <c r="G6097">
        <f t="shared" si="191"/>
        <v>12</v>
      </c>
      <c r="H6097" t="str">
        <f>IF(ISNUMBER(FIND(",", E6097)), TRIM(MID(E6097, FIND(",", E6097) + 1, LEN(E6097))), E6097)</f>
        <v>South Sandwich Islands region</v>
      </c>
    </row>
    <row r="6098" spans="1:8" x14ac:dyDescent="0.25">
      <c r="A6098" s="2">
        <v>21880</v>
      </c>
      <c r="B6098">
        <v>-5.423</v>
      </c>
      <c r="C6098">
        <v>102.80500000000001</v>
      </c>
      <c r="D6098" t="s">
        <v>14</v>
      </c>
      <c r="E6098" t="s">
        <v>308</v>
      </c>
      <c r="F6098">
        <f t="shared" si="190"/>
        <v>1959</v>
      </c>
      <c r="G6098">
        <f t="shared" si="191"/>
        <v>11</v>
      </c>
      <c r="H6098" t="str">
        <f>IF(ISNUMBER(FIND(",", E6098)), TRIM(MID(E6098, FIND(",", E6098) + 1, LEN(E6098))), E6098)</f>
        <v>Indonesia</v>
      </c>
    </row>
    <row r="6099" spans="1:8" x14ac:dyDescent="0.25">
      <c r="A6099" s="2">
        <v>21873</v>
      </c>
      <c r="B6099">
        <v>-5.91</v>
      </c>
      <c r="C6099">
        <v>146.49299999999999</v>
      </c>
      <c r="D6099" t="s">
        <v>13</v>
      </c>
      <c r="E6099" t="s">
        <v>243</v>
      </c>
      <c r="F6099">
        <f t="shared" si="190"/>
        <v>1959</v>
      </c>
      <c r="G6099">
        <f t="shared" si="191"/>
        <v>11</v>
      </c>
      <c r="H6099" t="str">
        <f>IF(ISNUMBER(FIND(",", E6099)), TRIM(MID(E6099, FIND(",", E6099) + 1, LEN(E6099))), E6099)</f>
        <v>Papua New Guinea</v>
      </c>
    </row>
    <row r="6100" spans="1:8" x14ac:dyDescent="0.25">
      <c r="A6100" s="2">
        <v>21869</v>
      </c>
      <c r="B6100">
        <v>37.753999999999998</v>
      </c>
      <c r="C6100">
        <v>20.512</v>
      </c>
      <c r="D6100" t="s">
        <v>14</v>
      </c>
      <c r="E6100" t="s">
        <v>533</v>
      </c>
      <c r="F6100">
        <f t="shared" si="190"/>
        <v>1959</v>
      </c>
      <c r="G6100">
        <f t="shared" si="191"/>
        <v>11</v>
      </c>
      <c r="H6100" t="str">
        <f>IF(ISNUMBER(FIND(",", E6100)), TRIM(MID(E6100, FIND(",", E6100) + 1, LEN(E6100))), E6100)</f>
        <v>Ionian Sea</v>
      </c>
    </row>
    <row r="6101" spans="1:8" x14ac:dyDescent="0.25">
      <c r="A6101" s="2">
        <v>21849</v>
      </c>
      <c r="B6101">
        <v>37.530999999999999</v>
      </c>
      <c r="C6101">
        <v>143.05799999999999</v>
      </c>
      <c r="D6101" t="s">
        <v>14</v>
      </c>
      <c r="E6101" t="s">
        <v>189</v>
      </c>
      <c r="F6101">
        <f t="shared" si="190"/>
        <v>1959</v>
      </c>
      <c r="G6101">
        <f t="shared" si="191"/>
        <v>10</v>
      </c>
      <c r="H6101" t="str">
        <f>IF(ISNUMBER(FIND(",", E6101)), TRIM(MID(E6101, FIND(",", E6101) + 1, LEN(E6101))), E6101)</f>
        <v>Japan</v>
      </c>
    </row>
    <row r="6102" spans="1:8" x14ac:dyDescent="0.25">
      <c r="A6102" s="2">
        <v>21838</v>
      </c>
      <c r="B6102">
        <v>7.0000000000000001E-3</v>
      </c>
      <c r="C6102">
        <v>119.99</v>
      </c>
      <c r="D6102" t="s">
        <v>14</v>
      </c>
      <c r="E6102" t="s">
        <v>263</v>
      </c>
      <c r="F6102">
        <f t="shared" si="190"/>
        <v>1959</v>
      </c>
      <c r="G6102">
        <f t="shared" si="191"/>
        <v>10</v>
      </c>
      <c r="H6102" t="str">
        <f>IF(ISNUMBER(FIND(",", E6102)), TRIM(MID(E6102, FIND(",", E6102) + 1, LEN(E6102))), E6102)</f>
        <v>Sulawesi, Indonesia</v>
      </c>
    </row>
    <row r="6103" spans="1:8" x14ac:dyDescent="0.25">
      <c r="A6103" s="2">
        <v>21818</v>
      </c>
      <c r="B6103">
        <v>21.875</v>
      </c>
      <c r="C6103">
        <v>121.249</v>
      </c>
      <c r="D6103" t="s">
        <v>14</v>
      </c>
      <c r="E6103" t="s">
        <v>363</v>
      </c>
      <c r="F6103">
        <f t="shared" si="190"/>
        <v>1959</v>
      </c>
      <c r="G6103">
        <f t="shared" si="191"/>
        <v>9</v>
      </c>
      <c r="H6103" t="str">
        <f>IF(ISNUMBER(FIND(",", E6103)), TRIM(MID(E6103, FIND(",", E6103) + 1, LEN(E6103))), E6103)</f>
        <v>Taiwan region</v>
      </c>
    </row>
    <row r="6104" spans="1:8" x14ac:dyDescent="0.25">
      <c r="A6104" s="2">
        <v>21808</v>
      </c>
      <c r="B6104">
        <v>-22.053000000000001</v>
      </c>
      <c r="C6104">
        <v>-179.32300000000001</v>
      </c>
      <c r="D6104" t="s">
        <v>14</v>
      </c>
      <c r="E6104" t="s">
        <v>256</v>
      </c>
      <c r="F6104">
        <f t="shared" si="190"/>
        <v>1959</v>
      </c>
      <c r="G6104">
        <f t="shared" si="191"/>
        <v>9</v>
      </c>
      <c r="H6104" t="str">
        <f>IF(ISNUMBER(FIND(",", E6104)), TRIM(MID(E6104, FIND(",", E6104) + 1, LEN(E6104))), E6104)</f>
        <v>south of the Fiji Islands</v>
      </c>
    </row>
    <row r="6105" spans="1:8" x14ac:dyDescent="0.25">
      <c r="A6105" s="2">
        <v>21808</v>
      </c>
      <c r="B6105">
        <v>-28.664999999999999</v>
      </c>
      <c r="C6105">
        <v>-176.68100000000001</v>
      </c>
      <c r="D6105" t="s">
        <v>14</v>
      </c>
      <c r="E6105" t="s">
        <v>240</v>
      </c>
      <c r="F6105">
        <f t="shared" si="190"/>
        <v>1959</v>
      </c>
      <c r="G6105">
        <f t="shared" si="191"/>
        <v>9</v>
      </c>
      <c r="H6105" t="str">
        <f>IF(ISNUMBER(FIND(",", E6105)), TRIM(MID(E6105, FIND(",", E6105) + 1, LEN(E6105))), E6105)</f>
        <v>Kermadec Islands region</v>
      </c>
    </row>
    <row r="6106" spans="1:8" x14ac:dyDescent="0.25">
      <c r="A6106" s="2">
        <v>21807</v>
      </c>
      <c r="B6106">
        <v>-28.73</v>
      </c>
      <c r="C6106">
        <v>-177.09</v>
      </c>
      <c r="D6106" t="s">
        <v>17</v>
      </c>
      <c r="E6106" t="s">
        <v>240</v>
      </c>
      <c r="F6106">
        <f t="shared" si="190"/>
        <v>1959</v>
      </c>
      <c r="G6106">
        <f t="shared" si="191"/>
        <v>9</v>
      </c>
      <c r="H6106" t="str">
        <f>IF(ISNUMBER(FIND(",", E6106)), TRIM(MID(E6106, FIND(",", E6106) + 1, LEN(E6106))), E6106)</f>
        <v>Kermadec Islands region</v>
      </c>
    </row>
    <row r="6107" spans="1:8" x14ac:dyDescent="0.25">
      <c r="A6107" s="2">
        <v>21807</v>
      </c>
      <c r="B6107">
        <v>-28.725000000000001</v>
      </c>
      <c r="C6107">
        <v>-177.07499999999999</v>
      </c>
      <c r="D6107" t="s">
        <v>16</v>
      </c>
      <c r="E6107" t="s">
        <v>240</v>
      </c>
      <c r="F6107">
        <f t="shared" si="190"/>
        <v>1959</v>
      </c>
      <c r="G6107">
        <f t="shared" si="191"/>
        <v>9</v>
      </c>
      <c r="H6107" t="str">
        <f>IF(ISNUMBER(FIND(",", E6107)), TRIM(MID(E6107, FIND(",", E6107) + 1, LEN(E6107))), E6107)</f>
        <v>Kermadec Islands region</v>
      </c>
    </row>
    <row r="6108" spans="1:8" x14ac:dyDescent="0.25">
      <c r="A6108" s="2">
        <v>21788</v>
      </c>
      <c r="B6108">
        <v>18.16</v>
      </c>
      <c r="C6108">
        <v>-94.41</v>
      </c>
      <c r="D6108" t="s">
        <v>14</v>
      </c>
      <c r="E6108" t="s">
        <v>685</v>
      </c>
      <c r="F6108">
        <f t="shared" si="190"/>
        <v>1959</v>
      </c>
      <c r="G6108">
        <f t="shared" si="191"/>
        <v>8</v>
      </c>
      <c r="H6108" t="str">
        <f>IF(ISNUMBER(FIND(",", E6108)), TRIM(MID(E6108, FIND(",", E6108) + 1, LEN(E6108))), E6108)</f>
        <v>Mexico</v>
      </c>
    </row>
    <row r="6109" spans="1:8" x14ac:dyDescent="0.25">
      <c r="A6109" s="2">
        <v>21786</v>
      </c>
      <c r="B6109">
        <v>-10.506</v>
      </c>
      <c r="C6109">
        <v>161.33600000000001</v>
      </c>
      <c r="D6109" t="s">
        <v>14</v>
      </c>
      <c r="E6109" t="s">
        <v>221</v>
      </c>
      <c r="F6109">
        <f t="shared" si="190"/>
        <v>1959</v>
      </c>
      <c r="G6109">
        <f t="shared" si="191"/>
        <v>8</v>
      </c>
      <c r="H6109" t="str">
        <f>IF(ISNUMBER(FIND(",", E6109)), TRIM(MID(E6109, FIND(",", E6109) + 1, LEN(E6109))), E6109)</f>
        <v>Solomon Islands</v>
      </c>
    </row>
    <row r="6110" spans="1:8" x14ac:dyDescent="0.25">
      <c r="A6110" s="2">
        <v>21780</v>
      </c>
      <c r="B6110">
        <v>44.566000000000003</v>
      </c>
      <c r="C6110">
        <v>-110.655</v>
      </c>
      <c r="D6110" t="s">
        <v>16</v>
      </c>
      <c r="E6110" t="s">
        <v>686</v>
      </c>
      <c r="F6110">
        <f t="shared" si="190"/>
        <v>1959</v>
      </c>
      <c r="G6110">
        <f t="shared" si="191"/>
        <v>8</v>
      </c>
      <c r="H6110" t="str">
        <f>IF(ISNUMBER(FIND(",", E6110)), TRIM(MID(E6110, FIND(",", E6110) + 1, LEN(E6110))), E6110)</f>
        <v>Wyoming</v>
      </c>
    </row>
    <row r="6111" spans="1:8" x14ac:dyDescent="0.25">
      <c r="A6111" s="2">
        <v>21780</v>
      </c>
      <c r="B6111">
        <v>21.986999999999998</v>
      </c>
      <c r="C6111">
        <v>121.533</v>
      </c>
      <c r="D6111" t="s">
        <v>14</v>
      </c>
      <c r="E6111" t="s">
        <v>363</v>
      </c>
      <c r="F6111">
        <f t="shared" si="190"/>
        <v>1959</v>
      </c>
      <c r="G6111">
        <f t="shared" si="191"/>
        <v>8</v>
      </c>
      <c r="H6111" t="str">
        <f>IF(ISNUMBER(FIND(",", E6111)), TRIM(MID(E6111, FIND(",", E6111) + 1, LEN(E6111))), E6111)</f>
        <v>Taiwan region</v>
      </c>
    </row>
    <row r="6112" spans="1:8" x14ac:dyDescent="0.25">
      <c r="A6112" s="2">
        <v>21779</v>
      </c>
      <c r="B6112">
        <v>-7.8929999999999998</v>
      </c>
      <c r="C6112">
        <v>156.34100000000001</v>
      </c>
      <c r="D6112" t="s">
        <v>16</v>
      </c>
      <c r="E6112" t="s">
        <v>221</v>
      </c>
      <c r="F6112">
        <f t="shared" si="190"/>
        <v>1959</v>
      </c>
      <c r="G6112">
        <f t="shared" si="191"/>
        <v>8</v>
      </c>
      <c r="H6112" t="str">
        <f>IF(ISNUMBER(FIND(",", E6112)), TRIM(MID(E6112, FIND(",", E6112) + 1, LEN(E6112))), E6112)</f>
        <v>Solomon Islands</v>
      </c>
    </row>
    <row r="6113" spans="1:8" x14ac:dyDescent="0.25">
      <c r="A6113" s="2">
        <v>21777</v>
      </c>
      <c r="B6113">
        <v>21.978000000000002</v>
      </c>
      <c r="C6113">
        <v>120.95</v>
      </c>
      <c r="D6113" t="s">
        <v>16</v>
      </c>
      <c r="E6113" t="s">
        <v>363</v>
      </c>
      <c r="F6113">
        <f t="shared" si="190"/>
        <v>1959</v>
      </c>
      <c r="G6113">
        <f t="shared" si="191"/>
        <v>8</v>
      </c>
      <c r="H6113" t="str">
        <f>IF(ISNUMBER(FIND(",", E6113)), TRIM(MID(E6113, FIND(",", E6113) + 1, LEN(E6113))), E6113)</f>
        <v>Taiwan region</v>
      </c>
    </row>
    <row r="6114" spans="1:8" x14ac:dyDescent="0.25">
      <c r="A6114" s="2">
        <v>21750</v>
      </c>
      <c r="B6114">
        <v>-15.087</v>
      </c>
      <c r="C6114">
        <v>-70.331000000000003</v>
      </c>
      <c r="D6114" t="s">
        <v>13</v>
      </c>
      <c r="E6114" t="s">
        <v>229</v>
      </c>
      <c r="F6114">
        <f t="shared" si="190"/>
        <v>1959</v>
      </c>
      <c r="G6114">
        <f t="shared" si="191"/>
        <v>7</v>
      </c>
      <c r="H6114" t="str">
        <f>IF(ISNUMBER(FIND(",", E6114)), TRIM(MID(E6114, FIND(",", E6114) + 1, LEN(E6114))), E6114)</f>
        <v>southern Peru</v>
      </c>
    </row>
    <row r="6115" spans="1:8" x14ac:dyDescent="0.25">
      <c r="A6115" s="2">
        <v>21749</v>
      </c>
      <c r="B6115">
        <v>15.753</v>
      </c>
      <c r="C6115">
        <v>120.575</v>
      </c>
      <c r="D6115" t="s">
        <v>14</v>
      </c>
      <c r="E6115" t="s">
        <v>297</v>
      </c>
      <c r="F6115">
        <f t="shared" si="190"/>
        <v>1959</v>
      </c>
      <c r="G6115">
        <f t="shared" si="191"/>
        <v>7</v>
      </c>
      <c r="H6115" t="str">
        <f>IF(ISNUMBER(FIND(",", E6115)), TRIM(MID(E6115, FIND(",", E6115) + 1, LEN(E6115))), E6115)</f>
        <v>Philippines</v>
      </c>
    </row>
    <row r="6116" spans="1:8" x14ac:dyDescent="0.25">
      <c r="A6116" s="2">
        <v>21734</v>
      </c>
      <c r="B6116">
        <v>-16.292000000000002</v>
      </c>
      <c r="C6116">
        <v>173.03700000000001</v>
      </c>
      <c r="D6116" t="s">
        <v>14</v>
      </c>
      <c r="E6116" t="s">
        <v>53</v>
      </c>
      <c r="F6116">
        <f t="shared" si="190"/>
        <v>1959</v>
      </c>
      <c r="G6116">
        <f t="shared" si="191"/>
        <v>7</v>
      </c>
      <c r="H6116" t="str">
        <f>IF(ISNUMBER(FIND(",", E6116)), TRIM(MID(E6116, FIND(",", E6116) + 1, LEN(E6116))), E6116)</f>
        <v>Fiji region</v>
      </c>
    </row>
    <row r="6117" spans="1:8" x14ac:dyDescent="0.25">
      <c r="A6117" s="2">
        <v>21728</v>
      </c>
      <c r="B6117">
        <v>41.796999999999997</v>
      </c>
      <c r="C6117">
        <v>79.953999999999994</v>
      </c>
      <c r="D6117" t="s">
        <v>14</v>
      </c>
      <c r="E6117" t="s">
        <v>454</v>
      </c>
      <c r="F6117">
        <f t="shared" si="190"/>
        <v>1959</v>
      </c>
      <c r="G6117">
        <f t="shared" si="191"/>
        <v>6</v>
      </c>
      <c r="H6117" t="str">
        <f>IF(ISNUMBER(FIND(",", E6117)), TRIM(MID(E6117, FIND(",", E6117) + 1, LEN(E6117))), E6117)</f>
        <v>Kyrgyzstan-Xinjiang border region</v>
      </c>
    </row>
    <row r="6118" spans="1:8" x14ac:dyDescent="0.25">
      <c r="A6118" s="2">
        <v>21728</v>
      </c>
      <c r="B6118">
        <v>-33.715000000000003</v>
      </c>
      <c r="C6118">
        <v>179.922</v>
      </c>
      <c r="D6118" t="s">
        <v>14</v>
      </c>
      <c r="E6118" t="s">
        <v>262</v>
      </c>
      <c r="F6118">
        <f t="shared" si="190"/>
        <v>1959</v>
      </c>
      <c r="G6118">
        <f t="shared" si="191"/>
        <v>6</v>
      </c>
      <c r="H6118" t="str">
        <f>IF(ISNUMBER(FIND(",", E6118)), TRIM(MID(E6118, FIND(",", E6118) + 1, LEN(E6118))), E6118)</f>
        <v>south of the Kermadec Islands</v>
      </c>
    </row>
    <row r="6119" spans="1:8" x14ac:dyDescent="0.25">
      <c r="A6119" s="2">
        <v>21719</v>
      </c>
      <c r="B6119">
        <v>54.19</v>
      </c>
      <c r="C6119">
        <v>160.131</v>
      </c>
      <c r="D6119" t="s">
        <v>14</v>
      </c>
      <c r="E6119" t="s">
        <v>225</v>
      </c>
      <c r="F6119">
        <f t="shared" si="190"/>
        <v>1959</v>
      </c>
      <c r="G6119">
        <f t="shared" si="191"/>
        <v>6</v>
      </c>
      <c r="H6119" t="str">
        <f>IF(ISNUMBER(FIND(",", E6119)), TRIM(MID(E6119, FIND(",", E6119) + 1, LEN(E6119))), E6119)</f>
        <v>Russia</v>
      </c>
    </row>
    <row r="6120" spans="1:8" x14ac:dyDescent="0.25">
      <c r="A6120" s="2">
        <v>21715</v>
      </c>
      <c r="B6120">
        <v>-20.274999999999999</v>
      </c>
      <c r="C6120">
        <v>-68.826999999999998</v>
      </c>
      <c r="D6120" t="s">
        <v>13</v>
      </c>
      <c r="E6120" t="s">
        <v>237</v>
      </c>
      <c r="F6120">
        <f t="shared" si="190"/>
        <v>1959</v>
      </c>
      <c r="G6120">
        <f t="shared" si="191"/>
        <v>6</v>
      </c>
      <c r="H6120" t="str">
        <f>IF(ISNUMBER(FIND(",", E6120)), TRIM(MID(E6120, FIND(",", E6120) + 1, LEN(E6120))), E6120)</f>
        <v>Chile</v>
      </c>
    </row>
    <row r="6121" spans="1:8" x14ac:dyDescent="0.25">
      <c r="A6121" s="2">
        <v>21694</v>
      </c>
      <c r="B6121">
        <v>17.456</v>
      </c>
      <c r="C6121">
        <v>-97.179000000000002</v>
      </c>
      <c r="D6121" t="s">
        <v>13</v>
      </c>
      <c r="E6121" t="s">
        <v>251</v>
      </c>
      <c r="F6121">
        <f t="shared" si="190"/>
        <v>1959</v>
      </c>
      <c r="G6121">
        <f t="shared" si="191"/>
        <v>5</v>
      </c>
      <c r="H6121" t="str">
        <f>IF(ISNUMBER(FIND(",", E6121)), TRIM(MID(E6121, FIND(",", E6121) + 1, LEN(E6121))), E6121)</f>
        <v>Mexico</v>
      </c>
    </row>
    <row r="6122" spans="1:8" x14ac:dyDescent="0.25">
      <c r="A6122" s="2">
        <v>21682</v>
      </c>
      <c r="B6122">
        <v>-23.146999999999998</v>
      </c>
      <c r="C6122">
        <v>-64.936999999999998</v>
      </c>
      <c r="D6122" t="s">
        <v>14</v>
      </c>
      <c r="E6122" t="s">
        <v>337</v>
      </c>
      <c r="F6122">
        <f t="shared" si="190"/>
        <v>1959</v>
      </c>
      <c r="G6122">
        <f t="shared" si="191"/>
        <v>5</v>
      </c>
      <c r="H6122" t="str">
        <f>IF(ISNUMBER(FIND(",", E6122)), TRIM(MID(E6122, FIND(",", E6122) + 1, LEN(E6122))), E6122)</f>
        <v>Argentina</v>
      </c>
    </row>
    <row r="6123" spans="1:8" x14ac:dyDescent="0.25">
      <c r="A6123" s="2">
        <v>21674</v>
      </c>
      <c r="B6123">
        <v>53.37</v>
      </c>
      <c r="C6123">
        <v>159.66300000000001</v>
      </c>
      <c r="D6123" t="s">
        <v>16</v>
      </c>
      <c r="E6123" t="s">
        <v>225</v>
      </c>
      <c r="F6123">
        <f t="shared" si="190"/>
        <v>1959</v>
      </c>
      <c r="G6123">
        <f t="shared" si="191"/>
        <v>5</v>
      </c>
      <c r="H6123" t="str">
        <f>IF(ISNUMBER(FIND(",", E6123)), TRIM(MID(E6123, FIND(",", E6123) + 1, LEN(E6123))), E6123)</f>
        <v>Russia</v>
      </c>
    </row>
    <row r="6124" spans="1:8" x14ac:dyDescent="0.25">
      <c r="A6124" s="2">
        <v>21666</v>
      </c>
      <c r="B6124">
        <v>24.681999999999999</v>
      </c>
      <c r="C6124">
        <v>122.76600000000001</v>
      </c>
      <c r="D6124" t="s">
        <v>13</v>
      </c>
      <c r="E6124" t="s">
        <v>363</v>
      </c>
      <c r="F6124">
        <f t="shared" si="190"/>
        <v>1959</v>
      </c>
      <c r="G6124">
        <f t="shared" si="191"/>
        <v>4</v>
      </c>
      <c r="H6124" t="str">
        <f>IF(ISNUMBER(FIND(",", E6124)), TRIM(MID(E6124, FIND(",", E6124) + 1, LEN(E6124))), E6124)</f>
        <v>Taiwan region</v>
      </c>
    </row>
    <row r="6125" spans="1:8" x14ac:dyDescent="0.25">
      <c r="A6125" s="2">
        <v>21610</v>
      </c>
      <c r="B6125">
        <v>-0.99</v>
      </c>
      <c r="C6125">
        <v>134.172</v>
      </c>
      <c r="D6125" t="s">
        <v>13</v>
      </c>
      <c r="E6125" t="s">
        <v>241</v>
      </c>
      <c r="F6125">
        <f t="shared" si="190"/>
        <v>1959</v>
      </c>
      <c r="G6125">
        <f t="shared" si="191"/>
        <v>3</v>
      </c>
      <c r="H6125" t="str">
        <f>IF(ISNUMBER(FIND(",", E6125)), TRIM(MID(E6125, FIND(",", E6125) + 1, LEN(E6125))), E6125)</f>
        <v>Indonesia</v>
      </c>
    </row>
    <row r="6126" spans="1:8" x14ac:dyDescent="0.25">
      <c r="A6126" s="2">
        <v>21596</v>
      </c>
      <c r="B6126">
        <v>-59.758000000000003</v>
      </c>
      <c r="C6126">
        <v>-25.802</v>
      </c>
      <c r="D6126" t="s">
        <v>14</v>
      </c>
      <c r="E6126" t="s">
        <v>260</v>
      </c>
      <c r="F6126">
        <f t="shared" si="190"/>
        <v>1959</v>
      </c>
      <c r="G6126">
        <f t="shared" si="191"/>
        <v>2</v>
      </c>
      <c r="H6126" t="str">
        <f>IF(ISNUMBER(FIND(",", E6126)), TRIM(MID(E6126, FIND(",", E6126) + 1, LEN(E6126))), E6126)</f>
        <v>South Sandwich Islands region</v>
      </c>
    </row>
    <row r="6127" spans="1:8" x14ac:dyDescent="0.25">
      <c r="A6127" s="2">
        <v>21588</v>
      </c>
      <c r="B6127">
        <v>-3.786</v>
      </c>
      <c r="C6127">
        <v>-81.683000000000007</v>
      </c>
      <c r="D6127" t="s">
        <v>14</v>
      </c>
      <c r="E6127" t="s">
        <v>376</v>
      </c>
      <c r="F6127">
        <f t="shared" si="190"/>
        <v>1959</v>
      </c>
      <c r="G6127">
        <f t="shared" si="191"/>
        <v>2</v>
      </c>
      <c r="H6127" t="str">
        <f>IF(ISNUMBER(FIND(",", E6127)), TRIM(MID(E6127, FIND(",", E6127) + 1, LEN(E6127))), E6127)</f>
        <v>near the coast of northern Peru</v>
      </c>
    </row>
    <row r="6128" spans="1:8" x14ac:dyDescent="0.25">
      <c r="A6128" s="2">
        <v>21580</v>
      </c>
      <c r="B6128">
        <v>-9.84</v>
      </c>
      <c r="C6128">
        <v>160.93</v>
      </c>
      <c r="D6128" t="s">
        <v>17</v>
      </c>
      <c r="E6128" t="s">
        <v>221</v>
      </c>
      <c r="F6128">
        <f t="shared" si="190"/>
        <v>1959</v>
      </c>
      <c r="G6128">
        <f t="shared" si="191"/>
        <v>1</v>
      </c>
      <c r="H6128" t="str">
        <f>IF(ISNUMBER(FIND(",", E6128)), TRIM(MID(E6128, FIND(",", E6128) + 1, LEN(E6128))), E6128)</f>
        <v>Solomon Islands</v>
      </c>
    </row>
    <row r="6129" spans="1:8" x14ac:dyDescent="0.25">
      <c r="A6129" s="2">
        <v>21572</v>
      </c>
      <c r="B6129">
        <v>37.557000000000002</v>
      </c>
      <c r="C6129">
        <v>142.47999999999999</v>
      </c>
      <c r="D6129" t="s">
        <v>16</v>
      </c>
      <c r="E6129" t="s">
        <v>189</v>
      </c>
      <c r="F6129">
        <f t="shared" si="190"/>
        <v>1959</v>
      </c>
      <c r="G6129">
        <f t="shared" si="191"/>
        <v>1</v>
      </c>
      <c r="H6129" t="str">
        <f>IF(ISNUMBER(FIND(",", E6129)), TRIM(MID(E6129, FIND(",", E6129) + 1, LEN(E6129))), E6129)</f>
        <v>Japan</v>
      </c>
    </row>
    <row r="6130" spans="1:8" x14ac:dyDescent="0.25">
      <c r="A6130" s="2">
        <v>21563</v>
      </c>
      <c r="B6130">
        <v>13.43</v>
      </c>
      <c r="C6130">
        <v>146.09</v>
      </c>
      <c r="D6130" t="s">
        <v>17</v>
      </c>
      <c r="E6130" t="s">
        <v>72</v>
      </c>
      <c r="F6130">
        <f t="shared" si="190"/>
        <v>1959</v>
      </c>
      <c r="G6130">
        <f t="shared" si="191"/>
        <v>1</v>
      </c>
      <c r="H6130" t="str">
        <f>IF(ISNUMBER(FIND(",", E6130)), TRIM(MID(E6130, FIND(",", E6130) + 1, LEN(E6130))), E6130)</f>
        <v>Mariana Islands region</v>
      </c>
    </row>
    <row r="6131" spans="1:8" x14ac:dyDescent="0.25">
      <c r="A6131" s="2">
        <v>21529</v>
      </c>
      <c r="B6131">
        <v>-36.92</v>
      </c>
      <c r="C6131">
        <v>177.02</v>
      </c>
      <c r="D6131" t="s">
        <v>17</v>
      </c>
      <c r="E6131" t="s">
        <v>410</v>
      </c>
      <c r="F6131">
        <f t="shared" si="190"/>
        <v>1958</v>
      </c>
      <c r="G6131">
        <f t="shared" si="191"/>
        <v>12</v>
      </c>
      <c r="H6131" t="str">
        <f>IF(ISNUMBER(FIND(",", E6131)), TRIM(MID(E6131, FIND(",", E6131) + 1, LEN(E6131))), E6131)</f>
        <v>off the east coast of the North Island of New Zealand</v>
      </c>
    </row>
    <row r="6132" spans="1:8" x14ac:dyDescent="0.25">
      <c r="A6132" s="2">
        <v>21501</v>
      </c>
      <c r="B6132">
        <v>44.046999999999997</v>
      </c>
      <c r="C6132">
        <v>148.81800000000001</v>
      </c>
      <c r="D6132" t="s">
        <v>16</v>
      </c>
      <c r="E6132" t="s">
        <v>191</v>
      </c>
      <c r="F6132">
        <f t="shared" si="190"/>
        <v>1958</v>
      </c>
      <c r="G6132">
        <f t="shared" si="191"/>
        <v>11</v>
      </c>
      <c r="H6132" t="str">
        <f>IF(ISNUMBER(FIND(",", E6132)), TRIM(MID(E6132, FIND(",", E6132) + 1, LEN(E6132))), E6132)</f>
        <v>Kuril Islands</v>
      </c>
    </row>
    <row r="6133" spans="1:8" x14ac:dyDescent="0.25">
      <c r="A6133" s="2">
        <v>21497</v>
      </c>
      <c r="B6133">
        <v>51.811</v>
      </c>
      <c r="C6133">
        <v>159.76900000000001</v>
      </c>
      <c r="D6133" t="s">
        <v>14</v>
      </c>
      <c r="E6133" t="s">
        <v>318</v>
      </c>
      <c r="F6133">
        <f t="shared" si="190"/>
        <v>1958</v>
      </c>
      <c r="G6133">
        <f t="shared" si="191"/>
        <v>11</v>
      </c>
      <c r="H6133" t="str">
        <f>IF(ISNUMBER(FIND(",", E6133)), TRIM(MID(E6133, FIND(",", E6133) + 1, LEN(E6133))), E6133)</f>
        <v>Russia</v>
      </c>
    </row>
    <row r="6134" spans="1:8" x14ac:dyDescent="0.25">
      <c r="A6134" s="2">
        <v>21495</v>
      </c>
      <c r="B6134">
        <v>44.311</v>
      </c>
      <c r="C6134">
        <v>148.65</v>
      </c>
      <c r="D6134" t="s">
        <v>16</v>
      </c>
      <c r="E6134" t="s">
        <v>191</v>
      </c>
      <c r="F6134">
        <f t="shared" si="190"/>
        <v>1958</v>
      </c>
      <c r="G6134">
        <f t="shared" si="191"/>
        <v>11</v>
      </c>
      <c r="H6134" t="str">
        <f>IF(ISNUMBER(FIND(",", E6134)), TRIM(MID(E6134, FIND(",", E6134) + 1, LEN(E6134))), E6134)</f>
        <v>Kuril Islands</v>
      </c>
    </row>
    <row r="6135" spans="1:8" x14ac:dyDescent="0.25">
      <c r="A6135" s="2">
        <v>21453</v>
      </c>
      <c r="B6135">
        <v>7.9390000000000001</v>
      </c>
      <c r="C6135">
        <v>-39.353000000000002</v>
      </c>
      <c r="D6135" t="s">
        <v>14</v>
      </c>
      <c r="E6135" t="s">
        <v>291</v>
      </c>
      <c r="F6135">
        <f t="shared" si="190"/>
        <v>1958</v>
      </c>
      <c r="G6135">
        <f t="shared" si="191"/>
        <v>9</v>
      </c>
      <c r="H6135" t="str">
        <f>IF(ISNUMBER(FIND(",", E6135)), TRIM(MID(E6135, FIND(",", E6135) + 1, LEN(E6135))), E6135)</f>
        <v>central Mid-Atlantic Ridge</v>
      </c>
    </row>
    <row r="6136" spans="1:8" x14ac:dyDescent="0.25">
      <c r="A6136" s="2">
        <v>21432</v>
      </c>
      <c r="B6136">
        <v>-33.826000000000001</v>
      </c>
      <c r="C6136">
        <v>-70.14</v>
      </c>
      <c r="D6136" t="s">
        <v>14</v>
      </c>
      <c r="E6136" t="s">
        <v>515</v>
      </c>
      <c r="F6136">
        <f t="shared" si="190"/>
        <v>1958</v>
      </c>
      <c r="G6136">
        <f t="shared" si="191"/>
        <v>9</v>
      </c>
      <c r="H6136" t="str">
        <f>IF(ISNUMBER(FIND(",", E6136)), TRIM(MID(E6136, FIND(",", E6136) + 1, LEN(E6136))), E6136)</f>
        <v>Chile</v>
      </c>
    </row>
    <row r="6137" spans="1:8" x14ac:dyDescent="0.25">
      <c r="A6137" s="2">
        <v>21413</v>
      </c>
      <c r="B6137">
        <v>34.255000000000003</v>
      </c>
      <c r="C6137">
        <v>47.875</v>
      </c>
      <c r="D6137" t="s">
        <v>14</v>
      </c>
      <c r="E6137" t="s">
        <v>444</v>
      </c>
      <c r="F6137">
        <f t="shared" si="190"/>
        <v>1958</v>
      </c>
      <c r="G6137">
        <f t="shared" si="191"/>
        <v>8</v>
      </c>
      <c r="H6137" t="str">
        <f>IF(ISNUMBER(FIND(",", E6137)), TRIM(MID(E6137, FIND(",", E6137) + 1, LEN(E6137))), E6137)</f>
        <v>western Iran</v>
      </c>
    </row>
    <row r="6138" spans="1:8" x14ac:dyDescent="0.25">
      <c r="A6138" s="2">
        <v>21412</v>
      </c>
      <c r="B6138">
        <v>1.556</v>
      </c>
      <c r="C6138">
        <v>124.94</v>
      </c>
      <c r="D6138" t="s">
        <v>13</v>
      </c>
      <c r="E6138" t="s">
        <v>263</v>
      </c>
      <c r="F6138">
        <f t="shared" si="190"/>
        <v>1958</v>
      </c>
      <c r="G6138">
        <f t="shared" si="191"/>
        <v>8</v>
      </c>
      <c r="H6138" t="str">
        <f>IF(ISNUMBER(FIND(",", E6138)), TRIM(MID(E6138, FIND(",", E6138) + 1, LEN(E6138))), E6138)</f>
        <v>Sulawesi, Indonesia</v>
      </c>
    </row>
    <row r="6139" spans="1:8" x14ac:dyDescent="0.25">
      <c r="A6139" s="2">
        <v>21412</v>
      </c>
      <c r="B6139">
        <v>53.515999999999998</v>
      </c>
      <c r="C6139">
        <v>160.227</v>
      </c>
      <c r="D6139" t="s">
        <v>14</v>
      </c>
      <c r="E6139" t="s">
        <v>225</v>
      </c>
      <c r="F6139">
        <f t="shared" si="190"/>
        <v>1958</v>
      </c>
      <c r="G6139">
        <f t="shared" si="191"/>
        <v>8</v>
      </c>
      <c r="H6139" t="str">
        <f>IF(ISNUMBER(FIND(",", E6139)), TRIM(MID(E6139, FIND(",", E6139) + 1, LEN(E6139))), E6139)</f>
        <v>Russia</v>
      </c>
    </row>
    <row r="6140" spans="1:8" x14ac:dyDescent="0.25">
      <c r="A6140" s="2">
        <v>21403</v>
      </c>
      <c r="B6140">
        <v>-16.670000000000002</v>
      </c>
      <c r="C6140">
        <v>-173.06</v>
      </c>
      <c r="D6140" t="s">
        <v>17</v>
      </c>
      <c r="E6140" t="s">
        <v>239</v>
      </c>
      <c r="F6140">
        <f t="shared" si="190"/>
        <v>1958</v>
      </c>
      <c r="G6140">
        <f t="shared" si="191"/>
        <v>8</v>
      </c>
      <c r="H6140" t="str">
        <f>IF(ISNUMBER(FIND(",", E6140)), TRIM(MID(E6140, FIND(",", E6140) + 1, LEN(E6140))), E6140)</f>
        <v>Tonga</v>
      </c>
    </row>
    <row r="6141" spans="1:8" x14ac:dyDescent="0.25">
      <c r="A6141" s="2">
        <v>21392</v>
      </c>
      <c r="B6141">
        <v>-13.285</v>
      </c>
      <c r="C6141">
        <v>-69.41</v>
      </c>
      <c r="D6141" t="s">
        <v>13</v>
      </c>
      <c r="E6141" t="s">
        <v>229</v>
      </c>
      <c r="F6141">
        <f t="shared" si="190"/>
        <v>1958</v>
      </c>
      <c r="G6141">
        <f t="shared" si="191"/>
        <v>7</v>
      </c>
      <c r="H6141" t="str">
        <f>IF(ISNUMBER(FIND(",", E6141)), TRIM(MID(E6141, FIND(",", E6141) + 1, LEN(E6141))), E6141)</f>
        <v>southern Peru</v>
      </c>
    </row>
    <row r="6142" spans="1:8" x14ac:dyDescent="0.25">
      <c r="A6142" s="2">
        <v>21385</v>
      </c>
      <c r="B6142">
        <v>-0.71899999999999997</v>
      </c>
      <c r="C6142">
        <v>129.792</v>
      </c>
      <c r="D6142" t="s">
        <v>14</v>
      </c>
      <c r="E6142" t="s">
        <v>311</v>
      </c>
      <c r="F6142">
        <f t="shared" si="190"/>
        <v>1958</v>
      </c>
      <c r="G6142">
        <f t="shared" si="191"/>
        <v>7</v>
      </c>
      <c r="H6142" t="str">
        <f>IF(ISNUMBER(FIND(",", E6142)), TRIM(MID(E6142, FIND(",", E6142) + 1, LEN(E6142))), E6142)</f>
        <v>Indonesia</v>
      </c>
    </row>
    <row r="6143" spans="1:8" x14ac:dyDescent="0.25">
      <c r="A6143" s="2">
        <v>21376</v>
      </c>
      <c r="B6143">
        <v>58.475000000000001</v>
      </c>
      <c r="C6143">
        <v>-136.28299999999999</v>
      </c>
      <c r="D6143" t="s">
        <v>16</v>
      </c>
      <c r="E6143" t="s">
        <v>180</v>
      </c>
      <c r="F6143">
        <f t="shared" si="190"/>
        <v>1958</v>
      </c>
      <c r="G6143">
        <f t="shared" si="191"/>
        <v>7</v>
      </c>
      <c r="H6143" t="str">
        <f>IF(ISNUMBER(FIND(",", E6143)), TRIM(MID(E6143, FIND(",", E6143) + 1, LEN(E6143))), E6143)</f>
        <v>Southeastern Alaska</v>
      </c>
    </row>
    <row r="6144" spans="1:8" x14ac:dyDescent="0.25">
      <c r="A6144" s="2">
        <v>21365</v>
      </c>
      <c r="B6144">
        <v>-15.59</v>
      </c>
      <c r="C6144">
        <v>-71.33</v>
      </c>
      <c r="D6144" t="s">
        <v>17</v>
      </c>
      <c r="E6144" t="s">
        <v>229</v>
      </c>
      <c r="F6144">
        <f t="shared" si="190"/>
        <v>1958</v>
      </c>
      <c r="G6144">
        <f t="shared" si="191"/>
        <v>6</v>
      </c>
      <c r="H6144" t="str">
        <f>IF(ISNUMBER(FIND(",", E6144)), TRIM(MID(E6144, FIND(",", E6144) + 1, LEN(E6144))), E6144)</f>
        <v>southern Peru</v>
      </c>
    </row>
    <row r="6145" spans="1:8" x14ac:dyDescent="0.25">
      <c r="A6145" s="2">
        <v>21361</v>
      </c>
      <c r="B6145">
        <v>-3.5430000000000001</v>
      </c>
      <c r="C6145">
        <v>144.66999999999999</v>
      </c>
      <c r="D6145" t="s">
        <v>14</v>
      </c>
      <c r="E6145" t="s">
        <v>216</v>
      </c>
      <c r="F6145">
        <f t="shared" si="190"/>
        <v>1958</v>
      </c>
      <c r="G6145">
        <f t="shared" si="191"/>
        <v>6</v>
      </c>
      <c r="H6145" t="str">
        <f>IF(ISNUMBER(FIND(",", E6145)), TRIM(MID(E6145, FIND(",", E6145) + 1, LEN(E6145))), E6145)</f>
        <v>Papua New Guinea</v>
      </c>
    </row>
    <row r="6146" spans="1:8" x14ac:dyDescent="0.25">
      <c r="A6146" s="2">
        <v>21336</v>
      </c>
      <c r="B6146">
        <v>-15.324</v>
      </c>
      <c r="C6146">
        <v>168.54499999999999</v>
      </c>
      <c r="D6146" t="s">
        <v>16</v>
      </c>
      <c r="E6146" t="s">
        <v>181</v>
      </c>
      <c r="F6146">
        <f t="shared" ref="F6146:F6209" si="192">YEAR(A6146)</f>
        <v>1958</v>
      </c>
      <c r="G6146">
        <f t="shared" si="191"/>
        <v>5</v>
      </c>
      <c r="H6146" t="str">
        <f>IF(ISNUMBER(FIND(",", E6146)), TRIM(MID(E6146, FIND(",", E6146) + 1, LEN(E6146))), E6146)</f>
        <v>Vanuatu</v>
      </c>
    </row>
    <row r="6147" spans="1:8" x14ac:dyDescent="0.25">
      <c r="A6147" s="2">
        <v>21314</v>
      </c>
      <c r="B6147">
        <v>-30.5</v>
      </c>
      <c r="C6147">
        <v>-65</v>
      </c>
      <c r="D6147" t="s">
        <v>17</v>
      </c>
      <c r="E6147" t="s">
        <v>687</v>
      </c>
      <c r="F6147">
        <f t="shared" si="192"/>
        <v>1958</v>
      </c>
      <c r="G6147">
        <f t="shared" ref="G6147:G6210" si="193">MONTH(A6147)</f>
        <v>5</v>
      </c>
      <c r="H6147" t="str">
        <f>IF(ISNUMBER(FIND(",", E6147)), TRIM(MID(E6147, FIND(",", E6147) + 1, LEN(E6147))), E6147)</f>
        <v>Argentina</v>
      </c>
    </row>
    <row r="6148" spans="1:8" x14ac:dyDescent="0.25">
      <c r="A6148" s="2">
        <v>21289</v>
      </c>
      <c r="B6148">
        <v>0.70599999999999996</v>
      </c>
      <c r="C6148">
        <v>-79.575000000000003</v>
      </c>
      <c r="D6148" t="s">
        <v>14</v>
      </c>
      <c r="E6148" t="s">
        <v>457</v>
      </c>
      <c r="F6148">
        <f t="shared" si="192"/>
        <v>1958</v>
      </c>
      <c r="G6148">
        <f t="shared" si="193"/>
        <v>4</v>
      </c>
      <c r="H6148" t="str">
        <f>IF(ISNUMBER(FIND(",", E6148)), TRIM(MID(E6148, FIND(",", E6148) + 1, LEN(E6148))), E6148)</f>
        <v>near the coast of Ecuador</v>
      </c>
    </row>
    <row r="6149" spans="1:8" x14ac:dyDescent="0.25">
      <c r="A6149" s="2">
        <v>21288</v>
      </c>
      <c r="B6149">
        <v>52.933999999999997</v>
      </c>
      <c r="C6149">
        <v>160.85</v>
      </c>
      <c r="D6149" t="s">
        <v>14</v>
      </c>
      <c r="E6149" t="s">
        <v>318</v>
      </c>
      <c r="F6149">
        <f t="shared" si="192"/>
        <v>1958</v>
      </c>
      <c r="G6149">
        <f t="shared" si="193"/>
        <v>4</v>
      </c>
      <c r="H6149" t="str">
        <f>IF(ISNUMBER(FIND(",", E6149)), TRIM(MID(E6149, FIND(",", E6149) + 1, LEN(E6149))), E6149)</f>
        <v>Russia</v>
      </c>
    </row>
    <row r="6150" spans="1:8" x14ac:dyDescent="0.25">
      <c r="A6150" s="2">
        <v>21282</v>
      </c>
      <c r="B6150">
        <v>45.253</v>
      </c>
      <c r="C6150">
        <v>98.519000000000005</v>
      </c>
      <c r="D6150" t="s">
        <v>14</v>
      </c>
      <c r="E6150" t="s">
        <v>672</v>
      </c>
      <c r="F6150">
        <f t="shared" si="192"/>
        <v>1958</v>
      </c>
      <c r="G6150">
        <f t="shared" si="193"/>
        <v>4</v>
      </c>
      <c r="H6150" t="str">
        <f>IF(ISNUMBER(FIND(",", E6150)), TRIM(MID(E6150, FIND(",", E6150) + 1, LEN(E6150))), E6150)</f>
        <v>central Mongolia</v>
      </c>
    </row>
    <row r="6151" spans="1:8" x14ac:dyDescent="0.25">
      <c r="A6151" s="2">
        <v>21282</v>
      </c>
      <c r="B6151">
        <v>38.381999999999998</v>
      </c>
      <c r="C6151">
        <v>143.33199999999999</v>
      </c>
      <c r="D6151" t="s">
        <v>14</v>
      </c>
      <c r="E6151" t="s">
        <v>189</v>
      </c>
      <c r="F6151">
        <f t="shared" si="192"/>
        <v>1958</v>
      </c>
      <c r="G6151">
        <f t="shared" si="193"/>
        <v>4</v>
      </c>
      <c r="H6151" t="str">
        <f>IF(ISNUMBER(FIND(",", E6151)), TRIM(MID(E6151, FIND(",", E6151) + 1, LEN(E6151))), E6151)</f>
        <v>Japan</v>
      </c>
    </row>
    <row r="6152" spans="1:8" x14ac:dyDescent="0.25">
      <c r="A6152" s="2">
        <v>21282</v>
      </c>
      <c r="B6152">
        <v>65.894999999999996</v>
      </c>
      <c r="C6152">
        <v>-156.34299999999999</v>
      </c>
      <c r="D6152" t="s">
        <v>16</v>
      </c>
      <c r="E6152" t="s">
        <v>597</v>
      </c>
      <c r="F6152">
        <f t="shared" si="192"/>
        <v>1958</v>
      </c>
      <c r="G6152">
        <f t="shared" si="193"/>
        <v>4</v>
      </c>
      <c r="H6152" t="str">
        <f>IF(ISNUMBER(FIND(",", E6152)), TRIM(MID(E6152, FIND(",", E6152) + 1, LEN(E6152))), E6152)</f>
        <v>northern Alaska</v>
      </c>
    </row>
    <row r="6153" spans="1:8" x14ac:dyDescent="0.25">
      <c r="A6153" s="2">
        <v>21272</v>
      </c>
      <c r="B6153">
        <v>36.557000000000002</v>
      </c>
      <c r="C6153">
        <v>70.986000000000004</v>
      </c>
      <c r="D6153" t="s">
        <v>14</v>
      </c>
      <c r="E6153" t="s">
        <v>314</v>
      </c>
      <c r="F6153">
        <f t="shared" si="192"/>
        <v>1958</v>
      </c>
      <c r="G6153">
        <f t="shared" si="193"/>
        <v>3</v>
      </c>
      <c r="H6153" t="str">
        <f>IF(ISNUMBER(FIND(",", E6153)), TRIM(MID(E6153, FIND(",", E6153) + 1, LEN(E6153))), E6153)</f>
        <v>Afghanistan</v>
      </c>
    </row>
    <row r="6154" spans="1:8" x14ac:dyDescent="0.25">
      <c r="A6154" s="2">
        <v>21255</v>
      </c>
      <c r="B6154">
        <v>23.812000000000001</v>
      </c>
      <c r="C6154">
        <v>124.163</v>
      </c>
      <c r="D6154" t="s">
        <v>13</v>
      </c>
      <c r="E6154" t="s">
        <v>312</v>
      </c>
      <c r="F6154">
        <f t="shared" si="192"/>
        <v>1958</v>
      </c>
      <c r="G6154">
        <f t="shared" si="193"/>
        <v>3</v>
      </c>
      <c r="H6154" t="str">
        <f>IF(ISNUMBER(FIND(",", E6154)), TRIM(MID(E6154, FIND(",", E6154) + 1, LEN(E6154))), E6154)</f>
        <v>Japan</v>
      </c>
    </row>
    <row r="6155" spans="1:8" x14ac:dyDescent="0.25">
      <c r="A6155" s="2">
        <v>21238</v>
      </c>
      <c r="B6155">
        <v>50.125999999999998</v>
      </c>
      <c r="C6155">
        <v>-175.5</v>
      </c>
      <c r="D6155" t="s">
        <v>14</v>
      </c>
      <c r="E6155" t="s">
        <v>207</v>
      </c>
      <c r="F6155">
        <f t="shared" si="192"/>
        <v>1958</v>
      </c>
      <c r="G6155">
        <f t="shared" si="193"/>
        <v>2</v>
      </c>
      <c r="H6155" t="str">
        <f>IF(ISNUMBER(FIND(",", E6155)), TRIM(MID(E6155, FIND(",", E6155) + 1, LEN(E6155))), E6155)</f>
        <v>Aleutian Islands, Alaska</v>
      </c>
    </row>
    <row r="6156" spans="1:8" x14ac:dyDescent="0.25">
      <c r="A6156" s="2">
        <v>21223</v>
      </c>
      <c r="B6156">
        <v>31.573</v>
      </c>
      <c r="C6156">
        <v>103.923</v>
      </c>
      <c r="D6156" t="s">
        <v>14</v>
      </c>
      <c r="E6156" t="s">
        <v>402</v>
      </c>
      <c r="F6156">
        <f t="shared" si="192"/>
        <v>1958</v>
      </c>
      <c r="G6156">
        <f t="shared" si="193"/>
        <v>2</v>
      </c>
      <c r="H6156" t="str">
        <f>IF(ISNUMBER(FIND(",", E6156)), TRIM(MID(E6156, FIND(",", E6156) + 1, LEN(E6156))), E6156)</f>
        <v>China</v>
      </c>
    </row>
    <row r="6157" spans="1:8" x14ac:dyDescent="0.25">
      <c r="A6157" s="2">
        <v>21217</v>
      </c>
      <c r="B6157">
        <v>1.458</v>
      </c>
      <c r="C6157">
        <v>-79.554000000000002</v>
      </c>
      <c r="D6157" t="s">
        <v>14</v>
      </c>
      <c r="E6157" t="s">
        <v>457</v>
      </c>
      <c r="F6157">
        <f t="shared" si="192"/>
        <v>1958</v>
      </c>
      <c r="G6157">
        <f t="shared" si="193"/>
        <v>2</v>
      </c>
      <c r="H6157" t="str">
        <f>IF(ISNUMBER(FIND(",", E6157)), TRIM(MID(E6157, FIND(",", E6157) + 1, LEN(E6157))), E6157)</f>
        <v>near the coast of Ecuador</v>
      </c>
    </row>
    <row r="6158" spans="1:8" x14ac:dyDescent="0.25">
      <c r="A6158" s="2">
        <v>21212</v>
      </c>
      <c r="B6158">
        <v>-14.99</v>
      </c>
      <c r="C6158">
        <v>-174.1</v>
      </c>
      <c r="D6158" t="s">
        <v>17</v>
      </c>
      <c r="E6158" t="s">
        <v>352</v>
      </c>
      <c r="F6158">
        <f t="shared" si="192"/>
        <v>1958</v>
      </c>
      <c r="G6158">
        <f t="shared" si="193"/>
        <v>1</v>
      </c>
      <c r="H6158" t="str">
        <f>IF(ISNUMBER(FIND(",", E6158)), TRIM(MID(E6158, FIND(",", E6158) + 1, LEN(E6158))), E6158)</f>
        <v>Samoa Islands region</v>
      </c>
    </row>
    <row r="6159" spans="1:8" x14ac:dyDescent="0.25">
      <c r="A6159" s="2">
        <v>21204</v>
      </c>
      <c r="B6159">
        <v>1.1819999999999999</v>
      </c>
      <c r="C6159">
        <v>-79.585999999999999</v>
      </c>
      <c r="D6159" t="s">
        <v>14</v>
      </c>
      <c r="E6159" t="s">
        <v>457</v>
      </c>
      <c r="F6159">
        <f t="shared" si="192"/>
        <v>1958</v>
      </c>
      <c r="G6159">
        <f t="shared" si="193"/>
        <v>1</v>
      </c>
      <c r="H6159" t="str">
        <f>IF(ISNUMBER(FIND(",", E6159)), TRIM(MID(E6159, FIND(",", E6159) + 1, LEN(E6159))), E6159)</f>
        <v>near the coast of Ecuador</v>
      </c>
    </row>
    <row r="6160" spans="1:8" x14ac:dyDescent="0.25">
      <c r="A6160" s="2">
        <v>21204</v>
      </c>
      <c r="B6160">
        <v>0.98499999999999999</v>
      </c>
      <c r="C6160">
        <v>-79.492000000000004</v>
      </c>
      <c r="D6160" t="s">
        <v>16</v>
      </c>
      <c r="E6160" t="s">
        <v>457</v>
      </c>
      <c r="F6160">
        <f t="shared" si="192"/>
        <v>1958</v>
      </c>
      <c r="G6160">
        <f t="shared" si="193"/>
        <v>1</v>
      </c>
      <c r="H6160" t="str">
        <f>IF(ISNUMBER(FIND(",", E6160)), TRIM(MID(E6160, FIND(",", E6160) + 1, LEN(E6160))), E6160)</f>
        <v>near the coast of Ecuador</v>
      </c>
    </row>
    <row r="6161" spans="1:8" x14ac:dyDescent="0.25">
      <c r="A6161" s="2">
        <v>21200</v>
      </c>
      <c r="B6161">
        <v>-16.780999999999999</v>
      </c>
      <c r="C6161">
        <v>-72.492000000000004</v>
      </c>
      <c r="D6161" t="s">
        <v>13</v>
      </c>
      <c r="E6161" t="s">
        <v>499</v>
      </c>
      <c r="F6161">
        <f t="shared" si="192"/>
        <v>1958</v>
      </c>
      <c r="G6161">
        <f t="shared" si="193"/>
        <v>1</v>
      </c>
      <c r="H6161" t="str">
        <f>IF(ISNUMBER(FIND(",", E6161)), TRIM(MID(E6161, FIND(",", E6161) + 1, LEN(E6161))), E6161)</f>
        <v>near the coast of southern Peru</v>
      </c>
    </row>
    <row r="6162" spans="1:8" x14ac:dyDescent="0.25">
      <c r="A6162" s="2">
        <v>21171</v>
      </c>
      <c r="B6162">
        <v>-12.473000000000001</v>
      </c>
      <c r="C6162">
        <v>166.672</v>
      </c>
      <c r="D6162" t="s">
        <v>13</v>
      </c>
      <c r="E6162" t="s">
        <v>211</v>
      </c>
      <c r="F6162">
        <f t="shared" si="192"/>
        <v>1957</v>
      </c>
      <c r="G6162">
        <f t="shared" si="193"/>
        <v>12</v>
      </c>
      <c r="H6162" t="str">
        <f>IF(ISNUMBER(FIND(",", E6162)), TRIM(MID(E6162, FIND(",", E6162) + 1, LEN(E6162))), E6162)</f>
        <v>Santa Cruz Islands</v>
      </c>
    </row>
    <row r="6163" spans="1:8" x14ac:dyDescent="0.25">
      <c r="A6163" s="2">
        <v>21167</v>
      </c>
      <c r="B6163">
        <v>34.298000000000002</v>
      </c>
      <c r="C6163">
        <v>47.718000000000004</v>
      </c>
      <c r="D6163" t="s">
        <v>14</v>
      </c>
      <c r="E6163" t="s">
        <v>444</v>
      </c>
      <c r="F6163">
        <f t="shared" si="192"/>
        <v>1957</v>
      </c>
      <c r="G6163">
        <f t="shared" si="193"/>
        <v>12</v>
      </c>
      <c r="H6163" t="str">
        <f>IF(ISNUMBER(FIND(",", E6163)), TRIM(MID(E6163, FIND(",", E6163) + 1, LEN(E6163))), E6163)</f>
        <v>western Iran</v>
      </c>
    </row>
    <row r="6164" spans="1:8" x14ac:dyDescent="0.25">
      <c r="A6164" s="2">
        <v>21167</v>
      </c>
      <c r="B6164">
        <v>6.7770000000000001</v>
      </c>
      <c r="C6164">
        <v>-76.790999999999997</v>
      </c>
      <c r="D6164" t="s">
        <v>14</v>
      </c>
      <c r="E6164" t="s">
        <v>565</v>
      </c>
      <c r="F6164">
        <f t="shared" si="192"/>
        <v>1957</v>
      </c>
      <c r="G6164">
        <f t="shared" si="193"/>
        <v>12</v>
      </c>
      <c r="H6164" t="str">
        <f>IF(ISNUMBER(FIND(",", E6164)), TRIM(MID(E6164, FIND(",", E6164) + 1, LEN(E6164))), E6164)</f>
        <v>northern Colombia</v>
      </c>
    </row>
    <row r="6165" spans="1:8" x14ac:dyDescent="0.25">
      <c r="A6165" s="2">
        <v>21164</v>
      </c>
      <c r="B6165">
        <v>-6.5629999999999997</v>
      </c>
      <c r="C6165">
        <v>154.947</v>
      </c>
      <c r="D6165" t="s">
        <v>14</v>
      </c>
      <c r="E6165" t="s">
        <v>290</v>
      </c>
      <c r="F6165">
        <f t="shared" si="192"/>
        <v>1957</v>
      </c>
      <c r="G6165">
        <f t="shared" si="193"/>
        <v>12</v>
      </c>
      <c r="H6165" t="str">
        <f>IF(ISNUMBER(FIND(",", E6165)), TRIM(MID(E6165, FIND(",", E6165) + 1, LEN(E6165))), E6165)</f>
        <v>Papua New Guinea</v>
      </c>
    </row>
    <row r="6166" spans="1:8" x14ac:dyDescent="0.25">
      <c r="A6166" s="2">
        <v>21158</v>
      </c>
      <c r="B6166">
        <v>45.182000000000002</v>
      </c>
      <c r="C6166">
        <v>99.218999999999994</v>
      </c>
      <c r="D6166" t="s">
        <v>16</v>
      </c>
      <c r="E6166" t="s">
        <v>672</v>
      </c>
      <c r="F6166">
        <f t="shared" si="192"/>
        <v>1957</v>
      </c>
      <c r="G6166">
        <f t="shared" si="193"/>
        <v>12</v>
      </c>
      <c r="H6166" t="str">
        <f>IF(ISNUMBER(FIND(",", E6166)), TRIM(MID(E6166, FIND(",", E6166) + 1, LEN(E6166))), E6166)</f>
        <v>central Mongolia</v>
      </c>
    </row>
    <row r="6167" spans="1:8" x14ac:dyDescent="0.25">
      <c r="A6167" s="2">
        <v>21153</v>
      </c>
      <c r="B6167">
        <v>-20.536999999999999</v>
      </c>
      <c r="C6167">
        <v>-67.228999999999999</v>
      </c>
      <c r="D6167" t="s">
        <v>13</v>
      </c>
      <c r="E6167" t="s">
        <v>472</v>
      </c>
      <c r="F6167">
        <f t="shared" si="192"/>
        <v>1957</v>
      </c>
      <c r="G6167">
        <f t="shared" si="193"/>
        <v>11</v>
      </c>
      <c r="H6167" t="str">
        <f>IF(ISNUMBER(FIND(",", E6167)), TRIM(MID(E6167, FIND(",", E6167) + 1, LEN(E6167))), E6167)</f>
        <v>Bolivia</v>
      </c>
    </row>
    <row r="6168" spans="1:8" x14ac:dyDescent="0.25">
      <c r="A6168" s="2">
        <v>21118</v>
      </c>
      <c r="B6168">
        <v>50.52</v>
      </c>
      <c r="C6168">
        <v>156.54</v>
      </c>
      <c r="D6168" t="s">
        <v>17</v>
      </c>
      <c r="E6168" t="s">
        <v>191</v>
      </c>
      <c r="F6168">
        <f t="shared" si="192"/>
        <v>1957</v>
      </c>
      <c r="G6168">
        <f t="shared" si="193"/>
        <v>10</v>
      </c>
      <c r="H6168" t="str">
        <f>IF(ISNUMBER(FIND(",", E6168)), TRIM(MID(E6168, FIND(",", E6168) + 1, LEN(E6168))), E6168)</f>
        <v>Kuril Islands</v>
      </c>
    </row>
    <row r="6169" spans="1:8" x14ac:dyDescent="0.25">
      <c r="A6169" s="2">
        <v>21091</v>
      </c>
      <c r="B6169">
        <v>-20.693000000000001</v>
      </c>
      <c r="C6169">
        <v>-178.15700000000001</v>
      </c>
      <c r="D6169" t="s">
        <v>13</v>
      </c>
      <c r="E6169" t="s">
        <v>53</v>
      </c>
      <c r="F6169">
        <f t="shared" si="192"/>
        <v>1957</v>
      </c>
      <c r="G6169">
        <f t="shared" si="193"/>
        <v>9</v>
      </c>
      <c r="H6169" t="str">
        <f>IF(ISNUMBER(FIND(",", E6169)), TRIM(MID(E6169, FIND(",", E6169) + 1, LEN(E6169))), E6169)</f>
        <v>Fiji region</v>
      </c>
    </row>
    <row r="6170" spans="1:8" x14ac:dyDescent="0.25">
      <c r="A6170" s="2">
        <v>21087</v>
      </c>
      <c r="B6170">
        <v>5.2450000000000001</v>
      </c>
      <c r="C6170">
        <v>127.123</v>
      </c>
      <c r="D6170" t="s">
        <v>16</v>
      </c>
      <c r="E6170" t="s">
        <v>213</v>
      </c>
      <c r="F6170">
        <f t="shared" si="192"/>
        <v>1957</v>
      </c>
      <c r="G6170">
        <f t="shared" si="193"/>
        <v>9</v>
      </c>
      <c r="H6170" t="str">
        <f>IF(ISNUMBER(FIND(",", E6170)), TRIM(MID(E6170, FIND(",", E6170) + 1, LEN(E6170))), E6170)</f>
        <v>Philippine Islands region</v>
      </c>
    </row>
    <row r="6171" spans="1:8" x14ac:dyDescent="0.25">
      <c r="A6171" s="2">
        <v>21053</v>
      </c>
      <c r="B6171">
        <v>43.9</v>
      </c>
      <c r="C6171">
        <v>147</v>
      </c>
      <c r="D6171" t="s">
        <v>14</v>
      </c>
      <c r="E6171" t="s">
        <v>191</v>
      </c>
      <c r="F6171">
        <f t="shared" si="192"/>
        <v>1957</v>
      </c>
      <c r="G6171">
        <f t="shared" si="193"/>
        <v>8</v>
      </c>
      <c r="H6171" t="str">
        <f>IF(ISNUMBER(FIND(",", E6171)), TRIM(MID(E6171, FIND(",", E6171) + 1, LEN(E6171))), E6171)</f>
        <v>Kuril Islands</v>
      </c>
    </row>
    <row r="6172" spans="1:8" x14ac:dyDescent="0.25">
      <c r="A6172" s="2">
        <v>21043</v>
      </c>
      <c r="B6172">
        <v>-17.899999999999999</v>
      </c>
      <c r="C6172">
        <v>169.03</v>
      </c>
      <c r="D6172" t="s">
        <v>17</v>
      </c>
      <c r="E6172" t="s">
        <v>181</v>
      </c>
      <c r="F6172">
        <f t="shared" si="192"/>
        <v>1957</v>
      </c>
      <c r="G6172">
        <f t="shared" si="193"/>
        <v>8</v>
      </c>
      <c r="H6172" t="str">
        <f>IF(ISNUMBER(FIND(",", E6172)), TRIM(MID(E6172, FIND(",", E6172) + 1, LEN(E6172))), E6172)</f>
        <v>Vanuatu</v>
      </c>
    </row>
    <row r="6173" spans="1:8" x14ac:dyDescent="0.25">
      <c r="A6173" s="2">
        <v>21029</v>
      </c>
      <c r="B6173">
        <v>16.885999999999999</v>
      </c>
      <c r="C6173">
        <v>-99.287999999999997</v>
      </c>
      <c r="D6173" t="s">
        <v>16</v>
      </c>
      <c r="E6173" t="s">
        <v>192</v>
      </c>
      <c r="F6173">
        <f t="shared" si="192"/>
        <v>1957</v>
      </c>
      <c r="G6173">
        <f t="shared" si="193"/>
        <v>7</v>
      </c>
      <c r="H6173" t="str">
        <f>IF(ISNUMBER(FIND(",", E6173)), TRIM(MID(E6173, FIND(",", E6173) + 1, LEN(E6173))), E6173)</f>
        <v>Mexico</v>
      </c>
    </row>
    <row r="6174" spans="1:8" x14ac:dyDescent="0.25">
      <c r="A6174" s="2">
        <v>21015</v>
      </c>
      <c r="B6174">
        <v>-30.061</v>
      </c>
      <c r="C6174">
        <v>-177.589</v>
      </c>
      <c r="D6174" t="s">
        <v>14</v>
      </c>
      <c r="E6174" t="s">
        <v>288</v>
      </c>
      <c r="F6174">
        <f t="shared" si="192"/>
        <v>1957</v>
      </c>
      <c r="G6174">
        <f t="shared" si="193"/>
        <v>7</v>
      </c>
      <c r="H6174" t="str">
        <f>IF(ISNUMBER(FIND(",", E6174)), TRIM(MID(E6174, FIND(",", E6174) + 1, LEN(E6174))), E6174)</f>
        <v>New Zealand</v>
      </c>
    </row>
    <row r="6175" spans="1:8" x14ac:dyDescent="0.25">
      <c r="A6175" s="2">
        <v>21015</v>
      </c>
      <c r="B6175">
        <v>-27.138999999999999</v>
      </c>
      <c r="C6175">
        <v>-177.74100000000001</v>
      </c>
      <c r="D6175" t="s">
        <v>13</v>
      </c>
      <c r="E6175" t="s">
        <v>240</v>
      </c>
      <c r="F6175">
        <f t="shared" si="192"/>
        <v>1957</v>
      </c>
      <c r="G6175">
        <f t="shared" si="193"/>
        <v>7</v>
      </c>
      <c r="H6175" t="str">
        <f>IF(ISNUMBER(FIND(",", E6175)), TRIM(MID(E6175, FIND(",", E6175) + 1, LEN(E6175))), E6175)</f>
        <v>Kermadec Islands region</v>
      </c>
    </row>
    <row r="6176" spans="1:8" x14ac:dyDescent="0.25">
      <c r="A6176" s="2">
        <v>21011</v>
      </c>
      <c r="B6176">
        <v>7.524</v>
      </c>
      <c r="C6176">
        <v>-82.741</v>
      </c>
      <c r="D6176" t="s">
        <v>14</v>
      </c>
      <c r="E6176" t="s">
        <v>231</v>
      </c>
      <c r="F6176">
        <f t="shared" si="192"/>
        <v>1957</v>
      </c>
      <c r="G6176">
        <f t="shared" si="193"/>
        <v>7</v>
      </c>
      <c r="H6176" t="str">
        <f>IF(ISNUMBER(FIND(",", E6176)), TRIM(MID(E6176, FIND(",", E6176) + 1, LEN(E6176))), E6176)</f>
        <v>south of Panama</v>
      </c>
    </row>
    <row r="6177" spans="1:8" x14ac:dyDescent="0.25">
      <c r="A6177" s="2">
        <v>21003</v>
      </c>
      <c r="B6177">
        <v>36.069000000000003</v>
      </c>
      <c r="C6177">
        <v>52.695</v>
      </c>
      <c r="D6177" t="s">
        <v>16</v>
      </c>
      <c r="E6177" t="s">
        <v>470</v>
      </c>
      <c r="F6177">
        <f t="shared" si="192"/>
        <v>1957</v>
      </c>
      <c r="G6177">
        <f t="shared" si="193"/>
        <v>7</v>
      </c>
      <c r="H6177" t="str">
        <f>IF(ISNUMBER(FIND(",", E6177)), TRIM(MID(E6177, FIND(",", E6177) + 1, LEN(E6177))), E6177)</f>
        <v>northern Iran</v>
      </c>
    </row>
    <row r="6178" spans="1:8" x14ac:dyDescent="0.25">
      <c r="A6178" s="2">
        <v>21002</v>
      </c>
      <c r="B6178">
        <v>24.443999999999999</v>
      </c>
      <c r="C6178">
        <v>93.867999999999995</v>
      </c>
      <c r="D6178" t="s">
        <v>14</v>
      </c>
      <c r="E6178" t="s">
        <v>688</v>
      </c>
      <c r="F6178">
        <f t="shared" si="192"/>
        <v>1957</v>
      </c>
      <c r="G6178">
        <f t="shared" si="193"/>
        <v>7</v>
      </c>
      <c r="H6178" t="str">
        <f>IF(ISNUMBER(FIND(",", E6178)), TRIM(MID(E6178, FIND(",", E6178) + 1, LEN(E6178))), E6178)</f>
        <v>India region</v>
      </c>
    </row>
    <row r="6179" spans="1:8" x14ac:dyDescent="0.25">
      <c r="A6179" s="2">
        <v>20998</v>
      </c>
      <c r="B6179">
        <v>56.418999999999997</v>
      </c>
      <c r="C6179">
        <v>116.44</v>
      </c>
      <c r="D6179" t="s">
        <v>16</v>
      </c>
      <c r="E6179" t="s">
        <v>689</v>
      </c>
      <c r="F6179">
        <f t="shared" si="192"/>
        <v>1957</v>
      </c>
      <c r="G6179">
        <f t="shared" si="193"/>
        <v>6</v>
      </c>
      <c r="H6179" t="str">
        <f>IF(ISNUMBER(FIND(",", E6179)), TRIM(MID(E6179, FIND(",", E6179) + 1, LEN(E6179))), E6179)</f>
        <v>Russia</v>
      </c>
    </row>
    <row r="6180" spans="1:8" x14ac:dyDescent="0.25">
      <c r="A6180" s="2">
        <v>20993</v>
      </c>
      <c r="B6180">
        <v>-2.0089999999999999</v>
      </c>
      <c r="C6180">
        <v>136.684</v>
      </c>
      <c r="D6180" t="s">
        <v>16</v>
      </c>
      <c r="E6180" t="s">
        <v>241</v>
      </c>
      <c r="F6180">
        <f t="shared" si="192"/>
        <v>1957</v>
      </c>
      <c r="G6180">
        <f t="shared" si="193"/>
        <v>6</v>
      </c>
      <c r="H6180" t="str">
        <f>IF(ISNUMBER(FIND(",", E6180)), TRIM(MID(E6180, FIND(",", E6180) + 1, LEN(E6180))), E6180)</f>
        <v>Indonesia</v>
      </c>
    </row>
    <row r="6181" spans="1:8" x14ac:dyDescent="0.25">
      <c r="A6181" s="2">
        <v>20990</v>
      </c>
      <c r="B6181">
        <v>-16.388000000000002</v>
      </c>
      <c r="C6181">
        <v>176.83799999999999</v>
      </c>
      <c r="D6181" t="s">
        <v>14</v>
      </c>
      <c r="E6181" t="s">
        <v>53</v>
      </c>
      <c r="F6181">
        <f t="shared" si="192"/>
        <v>1957</v>
      </c>
      <c r="G6181">
        <f t="shared" si="193"/>
        <v>6</v>
      </c>
      <c r="H6181" t="str">
        <f>IF(ISNUMBER(FIND(",", E6181)), TRIM(MID(E6181, FIND(",", E6181) + 1, LEN(E6181))), E6181)</f>
        <v>Fiji region</v>
      </c>
    </row>
    <row r="6182" spans="1:8" x14ac:dyDescent="0.25">
      <c r="A6182" s="2">
        <v>20989</v>
      </c>
      <c r="B6182">
        <v>-25.606000000000002</v>
      </c>
      <c r="C6182">
        <v>170.071</v>
      </c>
      <c r="D6182" t="s">
        <v>14</v>
      </c>
      <c r="E6182" t="s">
        <v>254</v>
      </c>
      <c r="F6182">
        <f t="shared" si="192"/>
        <v>1957</v>
      </c>
      <c r="G6182">
        <f t="shared" si="193"/>
        <v>6</v>
      </c>
      <c r="H6182" t="str">
        <f>IF(ISNUMBER(FIND(",", E6182)), TRIM(MID(E6182, FIND(",", E6182) + 1, LEN(E6182))), E6182)</f>
        <v>southeast of the Loyalty Islands</v>
      </c>
    </row>
    <row r="6183" spans="1:8" x14ac:dyDescent="0.25">
      <c r="A6183" s="2">
        <v>20989</v>
      </c>
      <c r="B6183">
        <v>14.471</v>
      </c>
      <c r="C6183">
        <v>95.679000000000002</v>
      </c>
      <c r="D6183" t="s">
        <v>14</v>
      </c>
      <c r="E6183" t="s">
        <v>323</v>
      </c>
      <c r="F6183">
        <f t="shared" si="192"/>
        <v>1957</v>
      </c>
      <c r="G6183">
        <f t="shared" si="193"/>
        <v>6</v>
      </c>
      <c r="H6183" t="str">
        <f>IF(ISNUMBER(FIND(",", E6183)), TRIM(MID(E6183, FIND(",", E6183) + 1, LEN(E6183))), E6183)</f>
        <v>India region</v>
      </c>
    </row>
    <row r="6184" spans="1:8" x14ac:dyDescent="0.25">
      <c r="A6184" s="2">
        <v>20984</v>
      </c>
      <c r="B6184">
        <v>51.518000000000001</v>
      </c>
      <c r="C6184">
        <v>-175.15600000000001</v>
      </c>
      <c r="D6184" t="s">
        <v>14</v>
      </c>
      <c r="E6184" t="s">
        <v>207</v>
      </c>
      <c r="F6184">
        <f t="shared" si="192"/>
        <v>1957</v>
      </c>
      <c r="G6184">
        <f t="shared" si="193"/>
        <v>6</v>
      </c>
      <c r="H6184" t="str">
        <f>IF(ISNUMBER(FIND(",", E6184)), TRIM(MID(E6184, FIND(",", E6184) + 1, LEN(E6184))), E6184)</f>
        <v>Aleutian Islands, Alaska</v>
      </c>
    </row>
    <row r="6185" spans="1:8" x14ac:dyDescent="0.25">
      <c r="A6185" s="2">
        <v>20982</v>
      </c>
      <c r="B6185">
        <v>17.885000000000002</v>
      </c>
      <c r="C6185">
        <v>120.20399999999999</v>
      </c>
      <c r="D6185" t="s">
        <v>14</v>
      </c>
      <c r="E6185" t="s">
        <v>297</v>
      </c>
      <c r="F6185">
        <f t="shared" si="192"/>
        <v>1957</v>
      </c>
      <c r="G6185">
        <f t="shared" si="193"/>
        <v>6</v>
      </c>
      <c r="H6185" t="str">
        <f>IF(ISNUMBER(FIND(",", E6185)), TRIM(MID(E6185, FIND(",", E6185) + 1, LEN(E6185))), E6185)</f>
        <v>Philippines</v>
      </c>
    </row>
    <row r="6186" spans="1:8" x14ac:dyDescent="0.25">
      <c r="A6186" s="2">
        <v>20982</v>
      </c>
      <c r="B6186">
        <v>-30.802</v>
      </c>
      <c r="C6186">
        <v>-177.947</v>
      </c>
      <c r="D6186" t="s">
        <v>13</v>
      </c>
      <c r="E6186" t="s">
        <v>288</v>
      </c>
      <c r="F6186">
        <f t="shared" si="192"/>
        <v>1957</v>
      </c>
      <c r="G6186">
        <f t="shared" si="193"/>
        <v>6</v>
      </c>
      <c r="H6186" t="str">
        <f>IF(ISNUMBER(FIND(",", E6186)), TRIM(MID(E6186, FIND(",", E6186) + 1, LEN(E6186))), E6186)</f>
        <v>New Zealand</v>
      </c>
    </row>
    <row r="6187" spans="1:8" x14ac:dyDescent="0.25">
      <c r="A6187" s="2">
        <v>20981</v>
      </c>
      <c r="B6187">
        <v>13.09</v>
      </c>
      <c r="C6187">
        <v>143.91</v>
      </c>
      <c r="D6187" t="s">
        <v>17</v>
      </c>
      <c r="E6187" t="s">
        <v>403</v>
      </c>
      <c r="F6187">
        <f t="shared" si="192"/>
        <v>1957</v>
      </c>
      <c r="G6187">
        <f t="shared" si="193"/>
        <v>6</v>
      </c>
      <c r="H6187" t="str">
        <f>IF(ISNUMBER(FIND(",", E6187)), TRIM(MID(E6187, FIND(",", E6187) + 1, LEN(E6187))), E6187)</f>
        <v>Guam region</v>
      </c>
    </row>
    <row r="6188" spans="1:8" x14ac:dyDescent="0.25">
      <c r="A6188" s="2">
        <v>20981</v>
      </c>
      <c r="B6188">
        <v>-8.9480000000000004</v>
      </c>
      <c r="C6188">
        <v>117.892</v>
      </c>
      <c r="D6188" t="s">
        <v>14</v>
      </c>
      <c r="E6188" t="s">
        <v>349</v>
      </c>
      <c r="F6188">
        <f t="shared" si="192"/>
        <v>1957</v>
      </c>
      <c r="G6188">
        <f t="shared" si="193"/>
        <v>6</v>
      </c>
      <c r="H6188" t="str">
        <f>IF(ISNUMBER(FIND(",", E6188)), TRIM(MID(E6188, FIND(",", E6188) + 1, LEN(E6188))), E6188)</f>
        <v>Indonesia</v>
      </c>
    </row>
    <row r="6189" spans="1:8" x14ac:dyDescent="0.25">
      <c r="A6189" s="2">
        <v>20966</v>
      </c>
      <c r="B6189">
        <v>40.668999999999997</v>
      </c>
      <c r="C6189">
        <v>31.038</v>
      </c>
      <c r="D6189" t="s">
        <v>16</v>
      </c>
      <c r="E6189" t="s">
        <v>494</v>
      </c>
      <c r="F6189">
        <f t="shared" si="192"/>
        <v>1957</v>
      </c>
      <c r="G6189">
        <f t="shared" si="193"/>
        <v>5</v>
      </c>
      <c r="H6189" t="str">
        <f>IF(ISNUMBER(FIND(",", E6189)), TRIM(MID(E6189, FIND(",", E6189) + 1, LEN(E6189))), E6189)</f>
        <v>western Turkey</v>
      </c>
    </row>
    <row r="6190" spans="1:8" x14ac:dyDescent="0.25">
      <c r="A6190" s="2">
        <v>20961</v>
      </c>
      <c r="B6190">
        <v>21.759</v>
      </c>
      <c r="C6190">
        <v>144.28100000000001</v>
      </c>
      <c r="D6190" t="s">
        <v>13</v>
      </c>
      <c r="E6190" t="s">
        <v>72</v>
      </c>
      <c r="F6190">
        <f t="shared" si="192"/>
        <v>1957</v>
      </c>
      <c r="G6190">
        <f t="shared" si="193"/>
        <v>5</v>
      </c>
      <c r="H6190" t="str">
        <f>IF(ISNUMBER(FIND(",", E6190)), TRIM(MID(E6190, FIND(",", E6190) + 1, LEN(E6190))), E6190)</f>
        <v>Mariana Islands region</v>
      </c>
    </row>
    <row r="6191" spans="1:8" x14ac:dyDescent="0.25">
      <c r="A6191" s="2">
        <v>20952</v>
      </c>
      <c r="B6191">
        <v>-9.01</v>
      </c>
      <c r="C6191">
        <v>107.24</v>
      </c>
      <c r="D6191" t="s">
        <v>14</v>
      </c>
      <c r="E6191" t="s">
        <v>212</v>
      </c>
      <c r="F6191">
        <f t="shared" si="192"/>
        <v>1957</v>
      </c>
      <c r="G6191">
        <f t="shared" si="193"/>
        <v>5</v>
      </c>
      <c r="H6191" t="str">
        <f>IF(ISNUMBER(FIND(",", E6191)), TRIM(MID(E6191, FIND(",", E6191) + 1, LEN(E6191))), E6191)</f>
        <v>Indonesia</v>
      </c>
    </row>
    <row r="6192" spans="1:8" x14ac:dyDescent="0.25">
      <c r="A6192" s="2">
        <v>20935</v>
      </c>
      <c r="B6192">
        <v>36.354999999999997</v>
      </c>
      <c r="C6192">
        <v>28.698</v>
      </c>
      <c r="D6192" t="s">
        <v>16</v>
      </c>
      <c r="E6192" t="s">
        <v>228</v>
      </c>
      <c r="F6192">
        <f t="shared" si="192"/>
        <v>1957</v>
      </c>
      <c r="G6192">
        <f t="shared" si="193"/>
        <v>4</v>
      </c>
      <c r="H6192" t="str">
        <f>IF(ISNUMBER(FIND(",", E6192)), TRIM(MID(E6192, FIND(",", E6192) + 1, LEN(E6192))), E6192)</f>
        <v>Greece</v>
      </c>
    </row>
    <row r="6193" spans="1:8" x14ac:dyDescent="0.25">
      <c r="A6193" s="2">
        <v>20934</v>
      </c>
      <c r="B6193">
        <v>36.319000000000003</v>
      </c>
      <c r="C6193">
        <v>28.733000000000001</v>
      </c>
      <c r="D6193" t="s">
        <v>14</v>
      </c>
      <c r="E6193" t="s">
        <v>228</v>
      </c>
      <c r="F6193">
        <f t="shared" si="192"/>
        <v>1957</v>
      </c>
      <c r="G6193">
        <f t="shared" si="193"/>
        <v>4</v>
      </c>
      <c r="H6193" t="str">
        <f>IF(ISNUMBER(FIND(",", E6193)), TRIM(MID(E6193, FIND(",", E6193) + 1, LEN(E6193))), E6193)</f>
        <v>Greece</v>
      </c>
    </row>
    <row r="6194" spans="1:8" x14ac:dyDescent="0.25">
      <c r="A6194" s="2">
        <v>20931</v>
      </c>
      <c r="B6194">
        <v>6.9130000000000003</v>
      </c>
      <c r="C6194">
        <v>-72.052999999999997</v>
      </c>
      <c r="D6194" t="s">
        <v>14</v>
      </c>
      <c r="E6194" t="s">
        <v>565</v>
      </c>
      <c r="F6194">
        <f t="shared" si="192"/>
        <v>1957</v>
      </c>
      <c r="G6194">
        <f t="shared" si="193"/>
        <v>4</v>
      </c>
      <c r="H6194" t="str">
        <f>IF(ISNUMBER(FIND(",", E6194)), TRIM(MID(E6194, FIND(",", E6194) + 1, LEN(E6194))), E6194)</f>
        <v>northern Colombia</v>
      </c>
    </row>
    <row r="6195" spans="1:8" x14ac:dyDescent="0.25">
      <c r="A6195" s="2">
        <v>20929</v>
      </c>
      <c r="B6195">
        <v>52.094000000000001</v>
      </c>
      <c r="C6195">
        <v>-166.23500000000001</v>
      </c>
      <c r="D6195" t="s">
        <v>14</v>
      </c>
      <c r="E6195" t="s">
        <v>219</v>
      </c>
      <c r="F6195">
        <f t="shared" si="192"/>
        <v>1957</v>
      </c>
      <c r="G6195">
        <f t="shared" si="193"/>
        <v>4</v>
      </c>
      <c r="H6195" t="str">
        <f>IF(ISNUMBER(FIND(",", E6195)), TRIM(MID(E6195, FIND(",", E6195) + 1, LEN(E6195))), E6195)</f>
        <v>Aleutian Islands, Alaska</v>
      </c>
    </row>
    <row r="6196" spans="1:8" x14ac:dyDescent="0.25">
      <c r="A6196" s="2">
        <v>20929</v>
      </c>
      <c r="B6196">
        <v>51.170999999999999</v>
      </c>
      <c r="C6196">
        <v>-168.25299999999999</v>
      </c>
      <c r="D6196" t="s">
        <v>14</v>
      </c>
      <c r="E6196" t="s">
        <v>219</v>
      </c>
      <c r="F6196">
        <f t="shared" si="192"/>
        <v>1957</v>
      </c>
      <c r="G6196">
        <f t="shared" si="193"/>
        <v>4</v>
      </c>
      <c r="H6196" t="str">
        <f>IF(ISNUMBER(FIND(",", E6196)), TRIM(MID(E6196, FIND(",", E6196) + 1, LEN(E6196))), E6196)</f>
        <v>Aleutian Islands, Alaska</v>
      </c>
    </row>
    <row r="6197" spans="1:8" x14ac:dyDescent="0.25">
      <c r="A6197" s="2">
        <v>20926</v>
      </c>
      <c r="B6197">
        <v>-4.5140000000000002</v>
      </c>
      <c r="C6197">
        <v>107.274</v>
      </c>
      <c r="D6197" t="s">
        <v>13</v>
      </c>
      <c r="E6197" t="s">
        <v>556</v>
      </c>
      <c r="F6197">
        <f t="shared" si="192"/>
        <v>1957</v>
      </c>
      <c r="G6197">
        <f t="shared" si="193"/>
        <v>4</v>
      </c>
      <c r="H6197" t="str">
        <f>IF(ISNUMBER(FIND(",", E6197)), TRIM(MID(E6197, FIND(",", E6197) + 1, LEN(E6197))), E6197)</f>
        <v>Java Sea</v>
      </c>
    </row>
    <row r="6198" spans="1:8" x14ac:dyDescent="0.25">
      <c r="A6198" s="2">
        <v>20924</v>
      </c>
      <c r="B6198">
        <v>-15.397</v>
      </c>
      <c r="C6198">
        <v>-173.13800000000001</v>
      </c>
      <c r="D6198" t="s">
        <v>16</v>
      </c>
      <c r="E6198" t="s">
        <v>239</v>
      </c>
      <c r="F6198">
        <f t="shared" si="192"/>
        <v>1957</v>
      </c>
      <c r="G6198">
        <f t="shared" si="193"/>
        <v>4</v>
      </c>
      <c r="H6198" t="str">
        <f>IF(ISNUMBER(FIND(",", E6198)), TRIM(MID(E6198, FIND(",", E6198) + 1, LEN(E6198))), E6198)</f>
        <v>Tonga</v>
      </c>
    </row>
    <row r="6199" spans="1:8" x14ac:dyDescent="0.25">
      <c r="A6199" s="2">
        <v>20920</v>
      </c>
      <c r="B6199">
        <v>55.793999999999997</v>
      </c>
      <c r="C6199">
        <v>-153.82300000000001</v>
      </c>
      <c r="D6199" t="s">
        <v>14</v>
      </c>
      <c r="E6199" t="s">
        <v>493</v>
      </c>
      <c r="F6199">
        <f t="shared" si="192"/>
        <v>1957</v>
      </c>
      <c r="G6199">
        <f t="shared" si="193"/>
        <v>4</v>
      </c>
      <c r="H6199" t="str">
        <f>IF(ISNUMBER(FIND(",", E6199)), TRIM(MID(E6199, FIND(",", E6199) + 1, LEN(E6199))), E6199)</f>
        <v>south of Alaska</v>
      </c>
    </row>
    <row r="6200" spans="1:8" x14ac:dyDescent="0.25">
      <c r="A6200" s="2">
        <v>20919</v>
      </c>
      <c r="B6200">
        <v>30.565999999999999</v>
      </c>
      <c r="C6200">
        <v>138.39400000000001</v>
      </c>
      <c r="D6200" t="s">
        <v>14</v>
      </c>
      <c r="E6200" t="s">
        <v>88</v>
      </c>
      <c r="F6200">
        <f t="shared" si="192"/>
        <v>1957</v>
      </c>
      <c r="G6200">
        <f t="shared" si="193"/>
        <v>4</v>
      </c>
      <c r="H6200" t="str">
        <f>IF(ISNUMBER(FIND(",", E6200)), TRIM(MID(E6200, FIND(",", E6200) + 1, LEN(E6200))), E6200)</f>
        <v>Japan region</v>
      </c>
    </row>
    <row r="6201" spans="1:8" x14ac:dyDescent="0.25">
      <c r="A6201" s="2">
        <v>20915</v>
      </c>
      <c r="B6201">
        <v>-26.623000000000001</v>
      </c>
      <c r="C6201">
        <v>-177.078</v>
      </c>
      <c r="D6201" t="s">
        <v>14</v>
      </c>
      <c r="E6201" t="s">
        <v>256</v>
      </c>
      <c r="F6201">
        <f t="shared" si="192"/>
        <v>1957</v>
      </c>
      <c r="G6201">
        <f t="shared" si="193"/>
        <v>4</v>
      </c>
      <c r="H6201" t="str">
        <f>IF(ISNUMBER(FIND(",", E6201)), TRIM(MID(E6201, FIND(",", E6201) + 1, LEN(E6201))), E6201)</f>
        <v>south of the Fiji Islands</v>
      </c>
    </row>
    <row r="6202" spans="1:8" x14ac:dyDescent="0.25">
      <c r="A6202" s="2">
        <v>20908</v>
      </c>
      <c r="B6202">
        <v>53.331000000000003</v>
      </c>
      <c r="C6202">
        <v>-166.892</v>
      </c>
      <c r="D6202" t="s">
        <v>14</v>
      </c>
      <c r="E6202" t="s">
        <v>219</v>
      </c>
      <c r="F6202">
        <f t="shared" si="192"/>
        <v>1957</v>
      </c>
      <c r="G6202">
        <f t="shared" si="193"/>
        <v>3</v>
      </c>
      <c r="H6202" t="str">
        <f>IF(ISNUMBER(FIND(",", E6202)), TRIM(MID(E6202, FIND(",", E6202) + 1, LEN(E6202))), E6202)</f>
        <v>Aleutian Islands, Alaska</v>
      </c>
    </row>
    <row r="6203" spans="1:8" x14ac:dyDescent="0.25">
      <c r="A6203" s="2">
        <v>20902</v>
      </c>
      <c r="B6203">
        <v>-5.492</v>
      </c>
      <c r="C6203">
        <v>130.91300000000001</v>
      </c>
      <c r="D6203" t="s">
        <v>13</v>
      </c>
      <c r="E6203" t="s">
        <v>187</v>
      </c>
      <c r="F6203">
        <f t="shared" si="192"/>
        <v>1957</v>
      </c>
      <c r="G6203">
        <f t="shared" si="193"/>
        <v>3</v>
      </c>
      <c r="H6203" t="str">
        <f>IF(ISNUMBER(FIND(",", E6203)), TRIM(MID(E6203, FIND(",", E6203) + 1, LEN(E6203))), E6203)</f>
        <v>Banda Sea</v>
      </c>
    </row>
    <row r="6204" spans="1:8" x14ac:dyDescent="0.25">
      <c r="A6204" s="2">
        <v>20901</v>
      </c>
      <c r="B6204">
        <v>53.695</v>
      </c>
      <c r="C6204">
        <v>-165.691</v>
      </c>
      <c r="D6204" t="s">
        <v>16</v>
      </c>
      <c r="E6204" t="s">
        <v>219</v>
      </c>
      <c r="F6204">
        <f t="shared" si="192"/>
        <v>1957</v>
      </c>
      <c r="G6204">
        <f t="shared" si="193"/>
        <v>3</v>
      </c>
      <c r="H6204" t="str">
        <f>IF(ISNUMBER(FIND(",", E6204)), TRIM(MID(E6204, FIND(",", E6204) + 1, LEN(E6204))), E6204)</f>
        <v>Aleutian Islands, Alaska</v>
      </c>
    </row>
    <row r="6205" spans="1:8" x14ac:dyDescent="0.25">
      <c r="A6205" s="2">
        <v>20898</v>
      </c>
      <c r="B6205">
        <v>51.820999999999998</v>
      </c>
      <c r="C6205">
        <v>-174.63399999999999</v>
      </c>
      <c r="D6205" t="s">
        <v>14</v>
      </c>
      <c r="E6205" t="s">
        <v>207</v>
      </c>
      <c r="F6205">
        <f t="shared" si="192"/>
        <v>1957</v>
      </c>
      <c r="G6205">
        <f t="shared" si="193"/>
        <v>3</v>
      </c>
      <c r="H6205" t="str">
        <f>IF(ISNUMBER(FIND(",", E6205)), TRIM(MID(E6205, FIND(",", E6205) + 1, LEN(E6205))), E6205)</f>
        <v>Aleutian Islands, Alaska</v>
      </c>
    </row>
    <row r="6206" spans="1:8" x14ac:dyDescent="0.25">
      <c r="A6206" s="2">
        <v>20895</v>
      </c>
      <c r="B6206">
        <v>51.515999999999998</v>
      </c>
      <c r="C6206">
        <v>-178.78200000000001</v>
      </c>
      <c r="D6206" t="s">
        <v>16</v>
      </c>
      <c r="E6206" t="s">
        <v>207</v>
      </c>
      <c r="F6206">
        <f t="shared" si="192"/>
        <v>1957</v>
      </c>
      <c r="G6206">
        <f t="shared" si="193"/>
        <v>3</v>
      </c>
      <c r="H6206" t="str">
        <f>IF(ISNUMBER(FIND(",", E6206)), TRIM(MID(E6206, FIND(",", E6206) + 1, LEN(E6206))), E6206)</f>
        <v>Aleutian Islands, Alaska</v>
      </c>
    </row>
    <row r="6207" spans="1:8" x14ac:dyDescent="0.25">
      <c r="A6207" s="2">
        <v>20893</v>
      </c>
      <c r="B6207">
        <v>51.332000000000001</v>
      </c>
      <c r="C6207">
        <v>-176.62</v>
      </c>
      <c r="D6207" t="s">
        <v>16</v>
      </c>
      <c r="E6207" t="s">
        <v>207</v>
      </c>
      <c r="F6207">
        <f t="shared" si="192"/>
        <v>1957</v>
      </c>
      <c r="G6207">
        <f t="shared" si="193"/>
        <v>3</v>
      </c>
      <c r="H6207" t="str">
        <f>IF(ISNUMBER(FIND(",", E6207)), TRIM(MID(E6207, FIND(",", E6207) + 1, LEN(E6207))), E6207)</f>
        <v>Aleutian Islands, Alaska</v>
      </c>
    </row>
    <row r="6208" spans="1:8" x14ac:dyDescent="0.25">
      <c r="A6208" s="2">
        <v>20892</v>
      </c>
      <c r="B6208">
        <v>51.463000000000001</v>
      </c>
      <c r="C6208">
        <v>-178.559</v>
      </c>
      <c r="D6208" t="s">
        <v>14</v>
      </c>
      <c r="E6208" t="s">
        <v>207</v>
      </c>
      <c r="F6208">
        <f t="shared" si="192"/>
        <v>1957</v>
      </c>
      <c r="G6208">
        <f t="shared" si="193"/>
        <v>3</v>
      </c>
      <c r="H6208" t="str">
        <f>IF(ISNUMBER(FIND(",", E6208)), TRIM(MID(E6208, FIND(",", E6208) + 1, LEN(E6208))), E6208)</f>
        <v>Aleutian Islands, Alaska</v>
      </c>
    </row>
    <row r="6209" spans="1:8" x14ac:dyDescent="0.25">
      <c r="A6209" s="2">
        <v>20891</v>
      </c>
      <c r="B6209">
        <v>51.74</v>
      </c>
      <c r="C6209">
        <v>-176.66499999999999</v>
      </c>
      <c r="D6209" t="s">
        <v>16</v>
      </c>
      <c r="E6209" t="s">
        <v>207</v>
      </c>
      <c r="F6209">
        <f t="shared" si="192"/>
        <v>1957</v>
      </c>
      <c r="G6209">
        <f t="shared" si="193"/>
        <v>3</v>
      </c>
      <c r="H6209" t="str">
        <f>IF(ISNUMBER(FIND(",", E6209)), TRIM(MID(E6209, FIND(",", E6209) + 1, LEN(E6209))), E6209)</f>
        <v>Aleutian Islands, Alaska</v>
      </c>
    </row>
    <row r="6210" spans="1:8" x14ac:dyDescent="0.25">
      <c r="A6210" s="2">
        <v>20890</v>
      </c>
      <c r="B6210">
        <v>51.406999999999996</v>
      </c>
      <c r="C6210">
        <v>-178.447</v>
      </c>
      <c r="D6210" t="s">
        <v>14</v>
      </c>
      <c r="E6210" t="s">
        <v>207</v>
      </c>
      <c r="F6210">
        <f t="shared" ref="F6210:F6273" si="194">YEAR(A6210)</f>
        <v>1957</v>
      </c>
      <c r="G6210">
        <f t="shared" si="193"/>
        <v>3</v>
      </c>
      <c r="H6210" t="str">
        <f>IF(ISNUMBER(FIND(",", E6210)), TRIM(MID(E6210, FIND(",", E6210) + 1, LEN(E6210))), E6210)</f>
        <v>Aleutian Islands, Alaska</v>
      </c>
    </row>
    <row r="6211" spans="1:8" x14ac:dyDescent="0.25">
      <c r="A6211" s="2">
        <v>20890</v>
      </c>
      <c r="B6211">
        <v>52.539000000000001</v>
      </c>
      <c r="C6211">
        <v>-168.89599999999999</v>
      </c>
      <c r="D6211" t="s">
        <v>16</v>
      </c>
      <c r="E6211" t="s">
        <v>219</v>
      </c>
      <c r="F6211">
        <f t="shared" si="194"/>
        <v>1957</v>
      </c>
      <c r="G6211">
        <f t="shared" ref="G6211:G6274" si="195">MONTH(A6211)</f>
        <v>3</v>
      </c>
      <c r="H6211" t="str">
        <f>IF(ISNUMBER(FIND(",", E6211)), TRIM(MID(E6211, FIND(",", E6211) + 1, LEN(E6211))), E6211)</f>
        <v>Aleutian Islands, Alaska</v>
      </c>
    </row>
    <row r="6212" spans="1:8" x14ac:dyDescent="0.25">
      <c r="A6212" s="2">
        <v>20890</v>
      </c>
      <c r="B6212">
        <v>51.058</v>
      </c>
      <c r="C6212">
        <v>-176.929</v>
      </c>
      <c r="D6212" t="s">
        <v>14</v>
      </c>
      <c r="E6212" t="s">
        <v>207</v>
      </c>
      <c r="F6212">
        <f t="shared" si="194"/>
        <v>1957</v>
      </c>
      <c r="G6212">
        <f t="shared" si="195"/>
        <v>3</v>
      </c>
      <c r="H6212" t="str">
        <f>IF(ISNUMBER(FIND(",", E6212)), TRIM(MID(E6212, FIND(",", E6212) + 1, LEN(E6212))), E6212)</f>
        <v>Aleutian Islands, Alaska</v>
      </c>
    </row>
    <row r="6213" spans="1:8" x14ac:dyDescent="0.25">
      <c r="A6213" s="2">
        <v>20889</v>
      </c>
      <c r="B6213">
        <v>51.98</v>
      </c>
      <c r="C6213">
        <v>-173.93600000000001</v>
      </c>
      <c r="D6213" t="s">
        <v>14</v>
      </c>
      <c r="E6213" t="s">
        <v>207</v>
      </c>
      <c r="F6213">
        <f t="shared" si="194"/>
        <v>1957</v>
      </c>
      <c r="G6213">
        <f t="shared" si="195"/>
        <v>3</v>
      </c>
      <c r="H6213" t="str">
        <f>IF(ISNUMBER(FIND(",", E6213)), TRIM(MID(E6213, FIND(",", E6213) + 1, LEN(E6213))), E6213)</f>
        <v>Aleutian Islands, Alaska</v>
      </c>
    </row>
    <row r="6214" spans="1:8" x14ac:dyDescent="0.25">
      <c r="A6214" s="2">
        <v>20888</v>
      </c>
      <c r="B6214">
        <v>52.473999999999997</v>
      </c>
      <c r="C6214">
        <v>-169.48400000000001</v>
      </c>
      <c r="D6214" t="s">
        <v>16</v>
      </c>
      <c r="E6214" t="s">
        <v>219</v>
      </c>
      <c r="F6214">
        <f t="shared" si="194"/>
        <v>1957</v>
      </c>
      <c r="G6214">
        <f t="shared" si="195"/>
        <v>3</v>
      </c>
      <c r="H6214" t="str">
        <f>IF(ISNUMBER(FIND(",", E6214)), TRIM(MID(E6214, FIND(",", E6214) + 1, LEN(E6214))), E6214)</f>
        <v>Aleutian Islands, Alaska</v>
      </c>
    </row>
    <row r="6215" spans="1:8" x14ac:dyDescent="0.25">
      <c r="A6215" s="2">
        <v>20888</v>
      </c>
      <c r="B6215">
        <v>51.587000000000003</v>
      </c>
      <c r="C6215">
        <v>-175.41900000000001</v>
      </c>
      <c r="D6215" t="s">
        <v>16</v>
      </c>
      <c r="E6215" t="s">
        <v>207</v>
      </c>
      <c r="F6215">
        <f t="shared" si="194"/>
        <v>1957</v>
      </c>
      <c r="G6215">
        <f t="shared" si="195"/>
        <v>3</v>
      </c>
      <c r="H6215" t="str">
        <f>IF(ISNUMBER(FIND(",", E6215)), TRIM(MID(E6215, FIND(",", E6215) + 1, LEN(E6215))), E6215)</f>
        <v>Aleutian Islands, Alaska</v>
      </c>
    </row>
    <row r="6216" spans="1:8" x14ac:dyDescent="0.25">
      <c r="A6216" s="2">
        <v>20887</v>
      </c>
      <c r="B6216">
        <v>39.311</v>
      </c>
      <c r="C6216">
        <v>22.713000000000001</v>
      </c>
      <c r="D6216" t="s">
        <v>14</v>
      </c>
      <c r="E6216" t="s">
        <v>478</v>
      </c>
      <c r="F6216">
        <f t="shared" si="194"/>
        <v>1957</v>
      </c>
      <c r="G6216">
        <f t="shared" si="195"/>
        <v>3</v>
      </c>
      <c r="H6216" t="str">
        <f>IF(ISNUMBER(FIND(",", E6216)), TRIM(MID(E6216, FIND(",", E6216) + 1, LEN(E6216))), E6216)</f>
        <v>Greece</v>
      </c>
    </row>
    <row r="6217" spans="1:8" x14ac:dyDescent="0.25">
      <c r="A6217" s="2">
        <v>20887</v>
      </c>
      <c r="B6217">
        <v>39.201000000000001</v>
      </c>
      <c r="C6217">
        <v>22.744</v>
      </c>
      <c r="D6217" t="s">
        <v>14</v>
      </c>
      <c r="E6217" t="s">
        <v>478</v>
      </c>
      <c r="F6217">
        <f t="shared" si="194"/>
        <v>1957</v>
      </c>
      <c r="G6217">
        <f t="shared" si="195"/>
        <v>3</v>
      </c>
      <c r="H6217" t="str">
        <f>IF(ISNUMBER(FIND(",", E6217)), TRIM(MID(E6217, FIND(",", E6217) + 1, LEN(E6217))), E6217)</f>
        <v>Greece</v>
      </c>
    </row>
    <row r="6218" spans="1:8" x14ac:dyDescent="0.25">
      <c r="A6218" s="2">
        <v>20874</v>
      </c>
      <c r="B6218">
        <v>23.866</v>
      </c>
      <c r="C6218">
        <v>121.49299999999999</v>
      </c>
      <c r="D6218" t="s">
        <v>16</v>
      </c>
      <c r="E6218" t="s">
        <v>336</v>
      </c>
      <c r="F6218">
        <f t="shared" si="194"/>
        <v>1957</v>
      </c>
      <c r="G6218">
        <f t="shared" si="195"/>
        <v>2</v>
      </c>
      <c r="H6218" t="str">
        <f>IF(ISNUMBER(FIND(",", E6218)), TRIM(MID(E6218, FIND(",", E6218) + 1, LEN(E6218))), E6218)</f>
        <v>Taiwan</v>
      </c>
    </row>
    <row r="6219" spans="1:8" x14ac:dyDescent="0.25">
      <c r="A6219" s="2">
        <v>20861</v>
      </c>
      <c r="B6219">
        <v>10.004</v>
      </c>
      <c r="C6219">
        <v>125.974</v>
      </c>
      <c r="D6219" t="s">
        <v>14</v>
      </c>
      <c r="E6219" t="s">
        <v>545</v>
      </c>
      <c r="F6219">
        <f t="shared" si="194"/>
        <v>1957</v>
      </c>
      <c r="G6219">
        <f t="shared" si="195"/>
        <v>2</v>
      </c>
      <c r="H6219" t="str">
        <f>IF(ISNUMBER(FIND(",", E6219)), TRIM(MID(E6219, FIND(",", E6219) + 1, LEN(E6219))), E6219)</f>
        <v>Philippines</v>
      </c>
    </row>
    <row r="6220" spans="1:8" x14ac:dyDescent="0.25">
      <c r="A6220" s="2">
        <v>20861</v>
      </c>
      <c r="B6220">
        <v>10.263</v>
      </c>
      <c r="C6220">
        <v>126.134</v>
      </c>
      <c r="D6220" t="s">
        <v>14</v>
      </c>
      <c r="E6220" t="s">
        <v>213</v>
      </c>
      <c r="F6220">
        <f t="shared" si="194"/>
        <v>1957</v>
      </c>
      <c r="G6220">
        <f t="shared" si="195"/>
        <v>2</v>
      </c>
      <c r="H6220" t="str">
        <f>IF(ISNUMBER(FIND(",", E6220)), TRIM(MID(E6220, FIND(",", E6220) + 1, LEN(E6220))), E6220)</f>
        <v>Philippine Islands region</v>
      </c>
    </row>
    <row r="6221" spans="1:8" x14ac:dyDescent="0.25">
      <c r="A6221" s="2">
        <v>20823</v>
      </c>
      <c r="B6221">
        <v>43.85</v>
      </c>
      <c r="C6221">
        <v>130.77099999999999</v>
      </c>
      <c r="D6221" t="s">
        <v>13</v>
      </c>
      <c r="E6221" t="s">
        <v>491</v>
      </c>
      <c r="F6221">
        <f t="shared" si="194"/>
        <v>1957</v>
      </c>
      <c r="G6221">
        <f t="shared" si="195"/>
        <v>1</v>
      </c>
      <c r="H6221" t="str">
        <f>IF(ISNUMBER(FIND(",", E6221)), TRIM(MID(E6221, FIND(",", E6221) + 1, LEN(E6221))), E6221)</f>
        <v>China</v>
      </c>
    </row>
    <row r="6222" spans="1:8" x14ac:dyDescent="0.25">
      <c r="A6222" s="2">
        <v>20822</v>
      </c>
      <c r="B6222">
        <v>52.47</v>
      </c>
      <c r="C6222">
        <v>-168.52500000000001</v>
      </c>
      <c r="D6222" t="s">
        <v>14</v>
      </c>
      <c r="E6222" t="s">
        <v>219</v>
      </c>
      <c r="F6222">
        <f t="shared" si="194"/>
        <v>1957</v>
      </c>
      <c r="G6222">
        <f t="shared" si="195"/>
        <v>1</v>
      </c>
      <c r="H6222" t="str">
        <f>IF(ISNUMBER(FIND(",", E6222)), TRIM(MID(E6222, FIND(",", E6222) + 1, LEN(E6222))), E6222)</f>
        <v>Aleutian Islands, Alaska</v>
      </c>
    </row>
    <row r="6223" spans="1:8" x14ac:dyDescent="0.25">
      <c r="A6223" s="2">
        <v>20822</v>
      </c>
      <c r="B6223">
        <v>52.75</v>
      </c>
      <c r="C6223">
        <v>-167.85499999999999</v>
      </c>
      <c r="D6223" t="s">
        <v>14</v>
      </c>
      <c r="E6223" t="s">
        <v>219</v>
      </c>
      <c r="F6223">
        <f t="shared" si="194"/>
        <v>1957</v>
      </c>
      <c r="G6223">
        <f t="shared" si="195"/>
        <v>1</v>
      </c>
      <c r="H6223" t="str">
        <f>IF(ISNUMBER(FIND(",", E6223)), TRIM(MID(E6223, FIND(",", E6223) + 1, LEN(E6223))), E6223)</f>
        <v>Aleutian Islands, Alaska</v>
      </c>
    </row>
    <row r="6224" spans="1:8" x14ac:dyDescent="0.25">
      <c r="A6224" s="2">
        <v>20822</v>
      </c>
      <c r="B6224">
        <v>52.448999999999998</v>
      </c>
      <c r="C6224">
        <v>-168.172</v>
      </c>
      <c r="D6224" t="s">
        <v>14</v>
      </c>
      <c r="E6224" t="s">
        <v>219</v>
      </c>
      <c r="F6224">
        <f t="shared" si="194"/>
        <v>1957</v>
      </c>
      <c r="G6224">
        <f t="shared" si="195"/>
        <v>1</v>
      </c>
      <c r="H6224" t="str">
        <f>IF(ISNUMBER(FIND(",", E6224)), TRIM(MID(E6224, FIND(",", E6224) + 1, LEN(E6224))), E6224)</f>
        <v>Aleutian Islands, Alaska</v>
      </c>
    </row>
    <row r="6225" spans="1:8" x14ac:dyDescent="0.25">
      <c r="A6225" s="2">
        <v>20816</v>
      </c>
      <c r="B6225">
        <v>-23.41</v>
      </c>
      <c r="C6225">
        <v>-176.88200000000001</v>
      </c>
      <c r="D6225" t="s">
        <v>13</v>
      </c>
      <c r="E6225" t="s">
        <v>256</v>
      </c>
      <c r="F6225">
        <f t="shared" si="194"/>
        <v>1956</v>
      </c>
      <c r="G6225">
        <f t="shared" si="195"/>
        <v>12</v>
      </c>
      <c r="H6225" t="str">
        <f>IF(ISNUMBER(FIND(",", E6225)), TRIM(MID(E6225, FIND(",", E6225) + 1, LEN(E6225))), E6225)</f>
        <v>south of the Fiji Islands</v>
      </c>
    </row>
    <row r="6226" spans="1:8" x14ac:dyDescent="0.25">
      <c r="A6226" s="2">
        <v>20810</v>
      </c>
      <c r="B6226">
        <v>51.386000000000003</v>
      </c>
      <c r="C6226">
        <v>-130.71899999999999</v>
      </c>
      <c r="D6226" t="s">
        <v>14</v>
      </c>
      <c r="E6226" t="s">
        <v>409</v>
      </c>
      <c r="F6226">
        <f t="shared" si="194"/>
        <v>1956</v>
      </c>
      <c r="G6226">
        <f t="shared" si="195"/>
        <v>12</v>
      </c>
      <c r="H6226" t="str">
        <f>IF(ISNUMBER(FIND(",", E6226)), TRIM(MID(E6226, FIND(",", E6226) + 1, LEN(E6226))), E6226)</f>
        <v>Canada</v>
      </c>
    </row>
    <row r="6227" spans="1:8" x14ac:dyDescent="0.25">
      <c r="A6227" s="2">
        <v>20807</v>
      </c>
      <c r="B6227">
        <v>-25.501999999999999</v>
      </c>
      <c r="C6227">
        <v>-70.171999999999997</v>
      </c>
      <c r="D6227" t="s">
        <v>14</v>
      </c>
      <c r="E6227" t="s">
        <v>289</v>
      </c>
      <c r="F6227">
        <f t="shared" si="194"/>
        <v>1956</v>
      </c>
      <c r="G6227">
        <f t="shared" si="195"/>
        <v>12</v>
      </c>
      <c r="H6227" t="str">
        <f>IF(ISNUMBER(FIND(",", E6227)), TRIM(MID(E6227, FIND(",", E6227) + 1, LEN(E6227))), E6227)</f>
        <v>Chile</v>
      </c>
    </row>
    <row r="6228" spans="1:8" x14ac:dyDescent="0.25">
      <c r="A6228" s="2">
        <v>20787</v>
      </c>
      <c r="B6228">
        <v>49.165999999999997</v>
      </c>
      <c r="C6228">
        <v>155.375</v>
      </c>
      <c r="D6228" t="s">
        <v>14</v>
      </c>
      <c r="E6228" t="s">
        <v>191</v>
      </c>
      <c r="F6228">
        <f t="shared" si="194"/>
        <v>1956</v>
      </c>
      <c r="G6228">
        <f t="shared" si="195"/>
        <v>11</v>
      </c>
      <c r="H6228" t="str">
        <f>IF(ISNUMBER(FIND(",", E6228)), TRIM(MID(E6228, FIND(",", E6228) + 1, LEN(E6228))), E6228)</f>
        <v>Kuril Islands</v>
      </c>
    </row>
    <row r="6229" spans="1:8" x14ac:dyDescent="0.25">
      <c r="A6229" s="2">
        <v>20763</v>
      </c>
      <c r="B6229">
        <v>-22.181000000000001</v>
      </c>
      <c r="C6229">
        <v>-175.64500000000001</v>
      </c>
      <c r="D6229" t="s">
        <v>14</v>
      </c>
      <c r="E6229" t="s">
        <v>304</v>
      </c>
      <c r="F6229">
        <f t="shared" si="194"/>
        <v>1956</v>
      </c>
      <c r="G6229">
        <f t="shared" si="195"/>
        <v>11</v>
      </c>
      <c r="H6229" t="str">
        <f>IF(ISNUMBER(FIND(",", E6229)), TRIM(MID(E6229, FIND(",", E6229) + 1, LEN(E6229))), E6229)</f>
        <v>Tonga region</v>
      </c>
    </row>
    <row r="6230" spans="1:8" x14ac:dyDescent="0.25">
      <c r="A6230" s="2">
        <v>20759</v>
      </c>
      <c r="B6230">
        <v>27.298999999999999</v>
      </c>
      <c r="C6230">
        <v>54.406999999999996</v>
      </c>
      <c r="D6230" t="s">
        <v>14</v>
      </c>
      <c r="E6230" t="s">
        <v>390</v>
      </c>
      <c r="F6230">
        <f t="shared" si="194"/>
        <v>1956</v>
      </c>
      <c r="G6230">
        <f t="shared" si="195"/>
        <v>10</v>
      </c>
      <c r="H6230" t="str">
        <f>IF(ISNUMBER(FIND(",", E6230)), TRIM(MID(E6230, FIND(",", E6230) + 1, LEN(E6230))), E6230)</f>
        <v>southern Iran</v>
      </c>
    </row>
    <row r="6231" spans="1:8" x14ac:dyDescent="0.25">
      <c r="A6231" s="2">
        <v>20756</v>
      </c>
      <c r="B6231">
        <v>-33.389000000000003</v>
      </c>
      <c r="C6231">
        <v>-178.68299999999999</v>
      </c>
      <c r="D6231" t="s">
        <v>14</v>
      </c>
      <c r="E6231" t="s">
        <v>262</v>
      </c>
      <c r="F6231">
        <f t="shared" si="194"/>
        <v>1956</v>
      </c>
      <c r="G6231">
        <f t="shared" si="195"/>
        <v>10</v>
      </c>
      <c r="H6231" t="str">
        <f>IF(ISNUMBER(FIND(",", E6231)), TRIM(MID(E6231, FIND(",", E6231) + 1, LEN(E6231))), E6231)</f>
        <v>south of the Kermadec Islands</v>
      </c>
    </row>
    <row r="6232" spans="1:8" x14ac:dyDescent="0.25">
      <c r="A6232" s="2">
        <v>20752</v>
      </c>
      <c r="B6232">
        <v>11.619</v>
      </c>
      <c r="C6232">
        <v>-86.436000000000007</v>
      </c>
      <c r="D6232" t="s">
        <v>16</v>
      </c>
      <c r="E6232" t="s">
        <v>448</v>
      </c>
      <c r="F6232">
        <f t="shared" si="194"/>
        <v>1956</v>
      </c>
      <c r="G6232">
        <f t="shared" si="195"/>
        <v>10</v>
      </c>
      <c r="H6232" t="str">
        <f>IF(ISNUMBER(FIND(",", E6232)), TRIM(MID(E6232, FIND(",", E6232) + 1, LEN(E6232))), E6232)</f>
        <v>near the coast of Nicaragua</v>
      </c>
    </row>
    <row r="6233" spans="1:8" x14ac:dyDescent="0.25">
      <c r="A6233" s="2">
        <v>20751</v>
      </c>
      <c r="B6233">
        <v>13.59</v>
      </c>
      <c r="C6233">
        <v>120.58</v>
      </c>
      <c r="D6233" t="s">
        <v>14</v>
      </c>
      <c r="E6233" t="s">
        <v>333</v>
      </c>
      <c r="F6233">
        <f t="shared" si="194"/>
        <v>1956</v>
      </c>
      <c r="G6233">
        <f t="shared" si="195"/>
        <v>10</v>
      </c>
      <c r="H6233" t="str">
        <f>IF(ISNUMBER(FIND(",", E6233)), TRIM(MID(E6233, FIND(",", E6233) + 1, LEN(E6233))), E6233)</f>
        <v>Philippines</v>
      </c>
    </row>
    <row r="6234" spans="1:8" x14ac:dyDescent="0.25">
      <c r="A6234" s="2">
        <v>20739</v>
      </c>
      <c r="B6234">
        <v>45.904000000000003</v>
      </c>
      <c r="C6234">
        <v>150.607</v>
      </c>
      <c r="D6234" t="s">
        <v>13</v>
      </c>
      <c r="E6234" t="s">
        <v>191</v>
      </c>
      <c r="F6234">
        <f t="shared" si="194"/>
        <v>1956</v>
      </c>
      <c r="G6234">
        <f t="shared" si="195"/>
        <v>10</v>
      </c>
      <c r="H6234" t="str">
        <f>IF(ISNUMBER(FIND(",", E6234)), TRIM(MID(E6234, FIND(",", E6234) + 1, LEN(E6234))), E6234)</f>
        <v>Kuril Islands</v>
      </c>
    </row>
    <row r="6235" spans="1:8" x14ac:dyDescent="0.25">
      <c r="A6235" s="2">
        <v>20727</v>
      </c>
      <c r="B6235">
        <v>35.634999999999998</v>
      </c>
      <c r="C6235">
        <v>140.32300000000001</v>
      </c>
      <c r="D6235" t="s">
        <v>14</v>
      </c>
      <c r="E6235" t="s">
        <v>227</v>
      </c>
      <c r="F6235">
        <f t="shared" si="194"/>
        <v>1956</v>
      </c>
      <c r="G6235">
        <f t="shared" si="195"/>
        <v>9</v>
      </c>
      <c r="H6235" t="str">
        <f>IF(ISNUMBER(FIND(",", E6235)), TRIM(MID(E6235, FIND(",", E6235) + 1, LEN(E6235))), E6235)</f>
        <v>Japan</v>
      </c>
    </row>
    <row r="6236" spans="1:8" x14ac:dyDescent="0.25">
      <c r="A6236" s="2">
        <v>20676</v>
      </c>
      <c r="B6236">
        <v>-16.12</v>
      </c>
      <c r="C6236">
        <v>-174.79900000000001</v>
      </c>
      <c r="D6236" t="s">
        <v>14</v>
      </c>
      <c r="E6236" t="s">
        <v>239</v>
      </c>
      <c r="F6236">
        <f t="shared" si="194"/>
        <v>1956</v>
      </c>
      <c r="G6236">
        <f t="shared" si="195"/>
        <v>8</v>
      </c>
      <c r="H6236" t="str">
        <f>IF(ISNUMBER(FIND(",", E6236)), TRIM(MID(E6236, FIND(",", E6236) + 1, LEN(E6236))), E6236)</f>
        <v>Tonga</v>
      </c>
    </row>
    <row r="6237" spans="1:8" x14ac:dyDescent="0.25">
      <c r="A6237" s="2">
        <v>20659</v>
      </c>
      <c r="B6237">
        <v>-23.65</v>
      </c>
      <c r="C6237">
        <v>-112.07</v>
      </c>
      <c r="D6237" t="s">
        <v>17</v>
      </c>
      <c r="E6237" t="s">
        <v>59</v>
      </c>
      <c r="F6237">
        <f t="shared" si="194"/>
        <v>1956</v>
      </c>
      <c r="G6237">
        <f t="shared" si="195"/>
        <v>7</v>
      </c>
      <c r="H6237" t="str">
        <f>IF(ISNUMBER(FIND(",", E6237)), TRIM(MID(E6237, FIND(",", E6237) + 1, LEN(E6237))), E6237)</f>
        <v>Easter Island region</v>
      </c>
    </row>
    <row r="6238" spans="1:8" x14ac:dyDescent="0.25">
      <c r="A6238" s="2">
        <v>20654</v>
      </c>
      <c r="B6238">
        <v>-5.048</v>
      </c>
      <c r="C6238">
        <v>130.358</v>
      </c>
      <c r="D6238" t="s">
        <v>13</v>
      </c>
      <c r="E6238" t="s">
        <v>187</v>
      </c>
      <c r="F6238">
        <f t="shared" si="194"/>
        <v>1956</v>
      </c>
      <c r="G6238">
        <f t="shared" si="195"/>
        <v>7</v>
      </c>
      <c r="H6238" t="str">
        <f>IF(ISNUMBER(FIND(",", E6238)), TRIM(MID(E6238, FIND(",", E6238) + 1, LEN(E6238))), E6238)</f>
        <v>Banda Sea</v>
      </c>
    </row>
    <row r="6239" spans="1:8" x14ac:dyDescent="0.25">
      <c r="A6239" s="2">
        <v>20653</v>
      </c>
      <c r="B6239">
        <v>-6.9290000000000003</v>
      </c>
      <c r="C6239">
        <v>126.07299999999999</v>
      </c>
      <c r="D6239" t="s">
        <v>14</v>
      </c>
      <c r="E6239" t="s">
        <v>187</v>
      </c>
      <c r="F6239">
        <f t="shared" si="194"/>
        <v>1956</v>
      </c>
      <c r="G6239">
        <f t="shared" si="195"/>
        <v>7</v>
      </c>
      <c r="H6239" t="str">
        <f>IF(ISNUMBER(FIND(",", E6239)), TRIM(MID(E6239, FIND(",", E6239) + 1, LEN(E6239))), E6239)</f>
        <v>Banda Sea</v>
      </c>
    </row>
    <row r="6240" spans="1:8" x14ac:dyDescent="0.25">
      <c r="A6240" s="2">
        <v>20652</v>
      </c>
      <c r="B6240">
        <v>22.085000000000001</v>
      </c>
      <c r="C6240">
        <v>95.820999999999998</v>
      </c>
      <c r="D6240" t="s">
        <v>16</v>
      </c>
      <c r="E6240" t="s">
        <v>197</v>
      </c>
      <c r="F6240">
        <f t="shared" si="194"/>
        <v>1956</v>
      </c>
      <c r="G6240">
        <f t="shared" si="195"/>
        <v>7</v>
      </c>
      <c r="H6240" t="str">
        <f>IF(ISNUMBER(FIND(",", E6240)), TRIM(MID(E6240, FIND(",", E6240) + 1, LEN(E6240))), E6240)</f>
        <v>Myanmar</v>
      </c>
    </row>
    <row r="6241" spans="1:8" x14ac:dyDescent="0.25">
      <c r="A6241" s="2">
        <v>20645</v>
      </c>
      <c r="B6241">
        <v>19.768999999999998</v>
      </c>
      <c r="C6241">
        <v>-72.950999999999993</v>
      </c>
      <c r="D6241" t="s">
        <v>14</v>
      </c>
      <c r="E6241" t="s">
        <v>342</v>
      </c>
      <c r="F6241">
        <f t="shared" si="194"/>
        <v>1956</v>
      </c>
      <c r="G6241">
        <f t="shared" si="195"/>
        <v>7</v>
      </c>
      <c r="H6241" t="str">
        <f>IF(ISNUMBER(FIND(",", E6241)), TRIM(MID(E6241, FIND(",", E6241) + 1, LEN(E6241))), E6241)</f>
        <v>Haiti region</v>
      </c>
    </row>
    <row r="6242" spans="1:8" x14ac:dyDescent="0.25">
      <c r="A6242" s="2">
        <v>20645</v>
      </c>
      <c r="B6242">
        <v>36.508000000000003</v>
      </c>
      <c r="C6242">
        <v>25.956</v>
      </c>
      <c r="D6242" t="s">
        <v>14</v>
      </c>
      <c r="E6242" t="s">
        <v>228</v>
      </c>
      <c r="F6242">
        <f t="shared" si="194"/>
        <v>1956</v>
      </c>
      <c r="G6242">
        <f t="shared" si="195"/>
        <v>7</v>
      </c>
      <c r="H6242" t="str">
        <f>IF(ISNUMBER(FIND(",", E6242)), TRIM(MID(E6242, FIND(",", E6242) + 1, LEN(E6242))), E6242)</f>
        <v>Greece</v>
      </c>
    </row>
    <row r="6243" spans="1:8" x14ac:dyDescent="0.25">
      <c r="A6243" s="2">
        <v>20645</v>
      </c>
      <c r="B6243">
        <v>36.582999999999998</v>
      </c>
      <c r="C6243">
        <v>26.041</v>
      </c>
      <c r="D6243" t="s">
        <v>16</v>
      </c>
      <c r="E6243" t="s">
        <v>228</v>
      </c>
      <c r="F6243">
        <f t="shared" si="194"/>
        <v>1956</v>
      </c>
      <c r="G6243">
        <f t="shared" si="195"/>
        <v>7</v>
      </c>
      <c r="H6243" t="str">
        <f>IF(ISNUMBER(FIND(",", E6243)), TRIM(MID(E6243, FIND(",", E6243) + 1, LEN(E6243))), E6243)</f>
        <v>Greece</v>
      </c>
    </row>
    <row r="6244" spans="1:8" x14ac:dyDescent="0.25">
      <c r="A6244" s="2">
        <v>20629</v>
      </c>
      <c r="B6244">
        <v>56.258000000000003</v>
      </c>
      <c r="C6244">
        <v>163.51499999999999</v>
      </c>
      <c r="D6244" t="s">
        <v>14</v>
      </c>
      <c r="E6244" t="s">
        <v>225</v>
      </c>
      <c r="F6244">
        <f t="shared" si="194"/>
        <v>1956</v>
      </c>
      <c r="G6244">
        <f t="shared" si="195"/>
        <v>6</v>
      </c>
      <c r="H6244" t="str">
        <f>IF(ISNUMBER(FIND(",", E6244)), TRIM(MID(E6244, FIND(",", E6244) + 1, LEN(E6244))), E6244)</f>
        <v>Russia</v>
      </c>
    </row>
    <row r="6245" spans="1:8" x14ac:dyDescent="0.25">
      <c r="A6245" s="2">
        <v>20615</v>
      </c>
      <c r="B6245">
        <v>35.030999999999999</v>
      </c>
      <c r="C6245">
        <v>67.475999999999999</v>
      </c>
      <c r="D6245" t="s">
        <v>16</v>
      </c>
      <c r="E6245" t="s">
        <v>387</v>
      </c>
      <c r="F6245">
        <f t="shared" si="194"/>
        <v>1956</v>
      </c>
      <c r="G6245">
        <f t="shared" si="195"/>
        <v>6</v>
      </c>
      <c r="H6245" t="str">
        <f>IF(ISNUMBER(FIND(",", E6245)), TRIM(MID(E6245, FIND(",", E6245) + 1, LEN(E6245))), E6245)</f>
        <v>central Afghanistan</v>
      </c>
    </row>
    <row r="6246" spans="1:8" x14ac:dyDescent="0.25">
      <c r="A6246" s="2">
        <v>20615</v>
      </c>
      <c r="B6246">
        <v>-30.238</v>
      </c>
      <c r="C6246">
        <v>-71.444999999999993</v>
      </c>
      <c r="D6246" t="s">
        <v>14</v>
      </c>
      <c r="E6246" t="s">
        <v>193</v>
      </c>
      <c r="F6246">
        <f t="shared" si="194"/>
        <v>1956</v>
      </c>
      <c r="G6246">
        <f t="shared" si="195"/>
        <v>6</v>
      </c>
      <c r="H6246" t="str">
        <f>IF(ISNUMBER(FIND(",", E6246)), TRIM(MID(E6246, FIND(",", E6246) + 1, LEN(E6246))), E6246)</f>
        <v>Chile</v>
      </c>
    </row>
    <row r="6247" spans="1:8" x14ac:dyDescent="0.25">
      <c r="A6247" s="2">
        <v>20598</v>
      </c>
      <c r="B6247">
        <v>-15.523</v>
      </c>
      <c r="C6247">
        <v>-178.589</v>
      </c>
      <c r="D6247" t="s">
        <v>13</v>
      </c>
      <c r="E6247" t="s">
        <v>53</v>
      </c>
      <c r="F6247">
        <f t="shared" si="194"/>
        <v>1956</v>
      </c>
      <c r="G6247">
        <f t="shared" si="195"/>
        <v>5</v>
      </c>
      <c r="H6247" t="str">
        <f>IF(ISNUMBER(FIND(",", E6247)), TRIM(MID(E6247, FIND(",", E6247) + 1, LEN(E6247))), E6247)</f>
        <v>Fiji region</v>
      </c>
    </row>
    <row r="6248" spans="1:8" x14ac:dyDescent="0.25">
      <c r="A6248" s="2">
        <v>20555</v>
      </c>
      <c r="B6248">
        <v>-2.923</v>
      </c>
      <c r="C6248">
        <v>102.236</v>
      </c>
      <c r="D6248" t="s">
        <v>14</v>
      </c>
      <c r="E6248" t="s">
        <v>308</v>
      </c>
      <c r="F6248">
        <f t="shared" si="194"/>
        <v>1956</v>
      </c>
      <c r="G6248">
        <f t="shared" si="195"/>
        <v>4</v>
      </c>
      <c r="H6248" t="str">
        <f>IF(ISNUMBER(FIND(",", E6248)), TRIM(MID(E6248, FIND(",", E6248) + 1, LEN(E6248))), E6248)</f>
        <v>Indonesia</v>
      </c>
    </row>
    <row r="6249" spans="1:8" x14ac:dyDescent="0.25">
      <c r="A6249" s="2">
        <v>20551</v>
      </c>
      <c r="B6249">
        <v>36.383000000000003</v>
      </c>
      <c r="C6249">
        <v>70.762</v>
      </c>
      <c r="D6249" t="s">
        <v>14</v>
      </c>
      <c r="E6249" t="s">
        <v>314</v>
      </c>
      <c r="F6249">
        <f t="shared" si="194"/>
        <v>1956</v>
      </c>
      <c r="G6249">
        <f t="shared" si="195"/>
        <v>4</v>
      </c>
      <c r="H6249" t="str">
        <f>IF(ISNUMBER(FIND(",", E6249)), TRIM(MID(E6249, FIND(",", E6249) + 1, LEN(E6249))), E6249)</f>
        <v>Afghanistan</v>
      </c>
    </row>
    <row r="6250" spans="1:8" x14ac:dyDescent="0.25">
      <c r="A6250" s="2">
        <v>20527</v>
      </c>
      <c r="B6250">
        <v>7.9039999999999999</v>
      </c>
      <c r="C6250">
        <v>-81.828999999999994</v>
      </c>
      <c r="D6250" t="s">
        <v>14</v>
      </c>
      <c r="E6250" t="s">
        <v>367</v>
      </c>
      <c r="F6250">
        <f t="shared" si="194"/>
        <v>1956</v>
      </c>
      <c r="G6250">
        <f t="shared" si="195"/>
        <v>3</v>
      </c>
      <c r="H6250" t="str">
        <f>IF(ISNUMBER(FIND(",", E6250)), TRIM(MID(E6250, FIND(",", E6250) + 1, LEN(E6250))), E6250)</f>
        <v>Panama</v>
      </c>
    </row>
    <row r="6251" spans="1:8" x14ac:dyDescent="0.25">
      <c r="A6251" s="2">
        <v>20517</v>
      </c>
      <c r="B6251">
        <v>-15.26</v>
      </c>
      <c r="C6251">
        <v>-173.52</v>
      </c>
      <c r="D6251" t="s">
        <v>14</v>
      </c>
      <c r="E6251" t="s">
        <v>239</v>
      </c>
      <c r="F6251">
        <f t="shared" si="194"/>
        <v>1956</v>
      </c>
      <c r="G6251">
        <f t="shared" si="195"/>
        <v>3</v>
      </c>
      <c r="H6251" t="str">
        <f>IF(ISNUMBER(FIND(",", E6251)), TRIM(MID(E6251, FIND(",", E6251) + 1, LEN(E6251))), E6251)</f>
        <v>Tonga</v>
      </c>
    </row>
    <row r="6252" spans="1:8" x14ac:dyDescent="0.25">
      <c r="A6252" s="2">
        <v>20503</v>
      </c>
      <c r="B6252">
        <v>30.172999999999998</v>
      </c>
      <c r="C6252">
        <v>138.27500000000001</v>
      </c>
      <c r="D6252" t="s">
        <v>13</v>
      </c>
      <c r="E6252" t="s">
        <v>88</v>
      </c>
      <c r="F6252">
        <f t="shared" si="194"/>
        <v>1956</v>
      </c>
      <c r="G6252">
        <f t="shared" si="195"/>
        <v>2</v>
      </c>
      <c r="H6252" t="str">
        <f>IF(ISNUMBER(FIND(",", E6252)), TRIM(MID(E6252, FIND(",", E6252) + 1, LEN(E6252))), E6252)</f>
        <v>Japan region</v>
      </c>
    </row>
    <row r="6253" spans="1:8" x14ac:dyDescent="0.25">
      <c r="A6253" s="2">
        <v>20494</v>
      </c>
      <c r="B6253">
        <v>31.704999999999998</v>
      </c>
      <c r="C6253">
        <v>-116.059</v>
      </c>
      <c r="D6253" t="s">
        <v>14</v>
      </c>
      <c r="E6253" t="s">
        <v>247</v>
      </c>
      <c r="F6253">
        <f t="shared" si="194"/>
        <v>1956</v>
      </c>
      <c r="G6253">
        <f t="shared" si="195"/>
        <v>2</v>
      </c>
      <c r="H6253" t="str">
        <f>IF(ISNUMBER(FIND(",", E6253)), TRIM(MID(E6253, FIND(",", E6253) + 1, LEN(E6253))), E6253)</f>
        <v>Mexico</v>
      </c>
    </row>
    <row r="6254" spans="1:8" x14ac:dyDescent="0.25">
      <c r="A6254" s="2">
        <v>20486</v>
      </c>
      <c r="B6254">
        <v>18.853000000000002</v>
      </c>
      <c r="C6254">
        <v>145.06</v>
      </c>
      <c r="D6254" t="s">
        <v>13</v>
      </c>
      <c r="E6254" t="s">
        <v>416</v>
      </c>
      <c r="F6254">
        <f t="shared" si="194"/>
        <v>1956</v>
      </c>
      <c r="G6254">
        <f t="shared" si="195"/>
        <v>2</v>
      </c>
      <c r="H6254" t="str">
        <f>IF(ISNUMBER(FIND(",", E6254)), TRIM(MID(E6254, FIND(",", E6254) + 1, LEN(E6254))), E6254)</f>
        <v>Northern Mariana Islands</v>
      </c>
    </row>
    <row r="6255" spans="1:8" x14ac:dyDescent="0.25">
      <c r="A6255" s="2">
        <v>20485</v>
      </c>
      <c r="B6255">
        <v>-3.4209999999999998</v>
      </c>
      <c r="C6255">
        <v>152.035</v>
      </c>
      <c r="D6255" t="s">
        <v>14</v>
      </c>
      <c r="E6255" t="s">
        <v>183</v>
      </c>
      <c r="F6255">
        <f t="shared" si="194"/>
        <v>1956</v>
      </c>
      <c r="G6255">
        <f t="shared" si="195"/>
        <v>1</v>
      </c>
      <c r="H6255" t="str">
        <f>IF(ISNUMBER(FIND(",", E6255)), TRIM(MID(E6255, FIND(",", E6255) + 1, LEN(E6255))), E6255)</f>
        <v>Papua New Guinea</v>
      </c>
    </row>
    <row r="6256" spans="1:8" x14ac:dyDescent="0.25">
      <c r="A6256" s="2">
        <v>20470</v>
      </c>
      <c r="B6256">
        <v>-0.81899999999999995</v>
      </c>
      <c r="C6256">
        <v>-80.281000000000006</v>
      </c>
      <c r="D6256" t="s">
        <v>14</v>
      </c>
      <c r="E6256" t="s">
        <v>457</v>
      </c>
      <c r="F6256">
        <f t="shared" si="194"/>
        <v>1956</v>
      </c>
      <c r="G6256">
        <f t="shared" si="195"/>
        <v>1</v>
      </c>
      <c r="H6256" t="str">
        <f>IF(ISNUMBER(FIND(",", E6256)), TRIM(MID(E6256, FIND(",", E6256) + 1, LEN(E6256))), E6256)</f>
        <v>near the coast of Ecuador</v>
      </c>
    </row>
    <row r="6257" spans="1:8" x14ac:dyDescent="0.25">
      <c r="A6257" s="2">
        <v>20464</v>
      </c>
      <c r="B6257">
        <v>-26.215</v>
      </c>
      <c r="C6257">
        <v>-174.97200000000001</v>
      </c>
      <c r="D6257" t="s">
        <v>14</v>
      </c>
      <c r="E6257" t="s">
        <v>351</v>
      </c>
      <c r="F6257">
        <f t="shared" si="194"/>
        <v>1956</v>
      </c>
      <c r="G6257">
        <f t="shared" si="195"/>
        <v>1</v>
      </c>
      <c r="H6257" t="str">
        <f>IF(ISNUMBER(FIND(",", E6257)), TRIM(MID(E6257, FIND(",", E6257) + 1, LEN(E6257))), E6257)</f>
        <v>south of Tonga</v>
      </c>
    </row>
    <row r="6258" spans="1:8" x14ac:dyDescent="0.25">
      <c r="A6258" s="2">
        <v>20462</v>
      </c>
      <c r="B6258">
        <v>-19.050999999999998</v>
      </c>
      <c r="C6258">
        <v>-70.631</v>
      </c>
      <c r="D6258" t="s">
        <v>14</v>
      </c>
      <c r="E6258" t="s">
        <v>327</v>
      </c>
      <c r="F6258">
        <f t="shared" si="194"/>
        <v>1956</v>
      </c>
      <c r="G6258">
        <f t="shared" si="195"/>
        <v>1</v>
      </c>
      <c r="H6258" t="str">
        <f>IF(ISNUMBER(FIND(",", E6258)), TRIM(MID(E6258, FIND(",", E6258) + 1, LEN(E6258))), E6258)</f>
        <v>Chile</v>
      </c>
    </row>
    <row r="6259" spans="1:8" x14ac:dyDescent="0.25">
      <c r="A6259" s="2">
        <v>20430</v>
      </c>
      <c r="B6259">
        <v>26.4</v>
      </c>
      <c r="C6259">
        <v>142.69999999999999</v>
      </c>
      <c r="D6259" t="s">
        <v>14</v>
      </c>
      <c r="E6259" t="s">
        <v>233</v>
      </c>
      <c r="F6259">
        <f t="shared" si="194"/>
        <v>1955</v>
      </c>
      <c r="G6259">
        <f t="shared" si="195"/>
        <v>12</v>
      </c>
      <c r="H6259" t="str">
        <f>IF(ISNUMBER(FIND(",", E6259)), TRIM(MID(E6259, FIND(",", E6259) + 1, LEN(E6259))), E6259)</f>
        <v>Japan region</v>
      </c>
    </row>
    <row r="6260" spans="1:8" x14ac:dyDescent="0.25">
      <c r="A6260" s="2">
        <v>20429</v>
      </c>
      <c r="B6260">
        <v>-20.2</v>
      </c>
      <c r="C6260">
        <v>-70.2</v>
      </c>
      <c r="D6260" t="s">
        <v>14</v>
      </c>
      <c r="E6260" t="s">
        <v>327</v>
      </c>
      <c r="F6260">
        <f t="shared" si="194"/>
        <v>1955</v>
      </c>
      <c r="G6260">
        <f t="shared" si="195"/>
        <v>12</v>
      </c>
      <c r="H6260" t="str">
        <f>IF(ISNUMBER(FIND(",", E6260)), TRIM(MID(E6260, FIND(",", E6260) + 1, LEN(E6260))), E6260)</f>
        <v>Chile</v>
      </c>
    </row>
    <row r="6261" spans="1:8" x14ac:dyDescent="0.25">
      <c r="A6261" s="2">
        <v>20416</v>
      </c>
      <c r="B6261">
        <v>50.7</v>
      </c>
      <c r="C6261">
        <v>157.19999999999999</v>
      </c>
      <c r="D6261" t="s">
        <v>14</v>
      </c>
      <c r="E6261" t="s">
        <v>191</v>
      </c>
      <c r="F6261">
        <f t="shared" si="194"/>
        <v>1955</v>
      </c>
      <c r="G6261">
        <f t="shared" si="195"/>
        <v>11</v>
      </c>
      <c r="H6261" t="str">
        <f>IF(ISNUMBER(FIND(",", E6261)), TRIM(MID(E6261, FIND(",", E6261) + 1, LEN(E6261))), E6261)</f>
        <v>Kuril Islands</v>
      </c>
    </row>
    <row r="6262" spans="1:8" x14ac:dyDescent="0.25">
      <c r="A6262" s="2">
        <v>20415</v>
      </c>
      <c r="B6262">
        <v>-24.4</v>
      </c>
      <c r="C6262">
        <v>-122.6</v>
      </c>
      <c r="D6262" t="s">
        <v>17</v>
      </c>
      <c r="E6262" t="s">
        <v>268</v>
      </c>
      <c r="F6262">
        <f t="shared" si="194"/>
        <v>1955</v>
      </c>
      <c r="G6262">
        <f t="shared" si="195"/>
        <v>11</v>
      </c>
      <c r="H6262" t="str">
        <f>IF(ISNUMBER(FIND(",", E6262)), TRIM(MID(E6262, FIND(",", E6262) + 1, LEN(E6262))), E6262)</f>
        <v>southern East Pacific Rise</v>
      </c>
    </row>
    <row r="6263" spans="1:8" x14ac:dyDescent="0.25">
      <c r="A6263" s="2">
        <v>20410</v>
      </c>
      <c r="B6263">
        <v>-26.2</v>
      </c>
      <c r="C6263">
        <v>-70.2</v>
      </c>
      <c r="D6263" t="s">
        <v>14</v>
      </c>
      <c r="E6263" t="s">
        <v>264</v>
      </c>
      <c r="F6263">
        <f t="shared" si="194"/>
        <v>1955</v>
      </c>
      <c r="G6263">
        <f t="shared" si="195"/>
        <v>11</v>
      </c>
      <c r="H6263" t="str">
        <f>IF(ISNUMBER(FIND(",", E6263)), TRIM(MID(E6263, FIND(",", E6263) + 1, LEN(E6263))), E6263)</f>
        <v>Chile</v>
      </c>
    </row>
    <row r="6264" spans="1:8" x14ac:dyDescent="0.25">
      <c r="A6264" s="2">
        <v>20403</v>
      </c>
      <c r="B6264">
        <v>-15.547000000000001</v>
      </c>
      <c r="C6264">
        <v>-173.637</v>
      </c>
      <c r="D6264" t="s">
        <v>14</v>
      </c>
      <c r="E6264" t="s">
        <v>239</v>
      </c>
      <c r="F6264">
        <f t="shared" si="194"/>
        <v>1955</v>
      </c>
      <c r="G6264">
        <f t="shared" si="195"/>
        <v>11</v>
      </c>
      <c r="H6264" t="str">
        <f>IF(ISNUMBER(FIND(",", E6264)), TRIM(MID(E6264, FIND(",", E6264) + 1, LEN(E6264))), E6264)</f>
        <v>Tonga</v>
      </c>
    </row>
    <row r="6265" spans="1:8" x14ac:dyDescent="0.25">
      <c r="A6265" s="2">
        <v>20397</v>
      </c>
      <c r="B6265">
        <v>-34.4</v>
      </c>
      <c r="C6265">
        <v>-70.099999999999994</v>
      </c>
      <c r="D6265" t="s">
        <v>14</v>
      </c>
      <c r="E6265" t="s">
        <v>334</v>
      </c>
      <c r="F6265">
        <f t="shared" si="194"/>
        <v>1955</v>
      </c>
      <c r="G6265">
        <f t="shared" si="195"/>
        <v>11</v>
      </c>
      <c r="H6265" t="str">
        <f>IF(ISNUMBER(FIND(",", E6265)), TRIM(MID(E6265, FIND(",", E6265) + 1, LEN(E6265))), E6265)</f>
        <v>Chile</v>
      </c>
    </row>
    <row r="6266" spans="1:8" x14ac:dyDescent="0.25">
      <c r="A6266" s="2">
        <v>20375</v>
      </c>
      <c r="B6266">
        <v>-10.054</v>
      </c>
      <c r="C6266">
        <v>160.797</v>
      </c>
      <c r="D6266" t="s">
        <v>13</v>
      </c>
      <c r="E6266" t="s">
        <v>221</v>
      </c>
      <c r="F6266">
        <f t="shared" si="194"/>
        <v>1955</v>
      </c>
      <c r="G6266">
        <f t="shared" si="195"/>
        <v>10</v>
      </c>
      <c r="H6266" t="str">
        <f>IF(ISNUMBER(FIND(",", E6266)), TRIM(MID(E6266, FIND(",", E6266) + 1, LEN(E6266))), E6266)</f>
        <v>Solomon Islands</v>
      </c>
    </row>
    <row r="6267" spans="1:8" x14ac:dyDescent="0.25">
      <c r="A6267" s="2">
        <v>20372</v>
      </c>
      <c r="B6267">
        <v>-5.04</v>
      </c>
      <c r="C6267">
        <v>152.71100000000001</v>
      </c>
      <c r="D6267" t="s">
        <v>16</v>
      </c>
      <c r="E6267" t="s">
        <v>190</v>
      </c>
      <c r="F6267">
        <f t="shared" si="194"/>
        <v>1955</v>
      </c>
      <c r="G6267">
        <f t="shared" si="195"/>
        <v>10</v>
      </c>
      <c r="H6267" t="str">
        <f>IF(ISNUMBER(FIND(",", E6267)), TRIM(MID(E6267, FIND(",", E6267) + 1, LEN(E6267))), E6267)</f>
        <v>Papua New Guinea</v>
      </c>
    </row>
    <row r="6268" spans="1:8" x14ac:dyDescent="0.25">
      <c r="A6268" s="2">
        <v>20358</v>
      </c>
      <c r="B6268">
        <v>15.9</v>
      </c>
      <c r="C6268">
        <v>-92.2</v>
      </c>
      <c r="D6268" t="s">
        <v>14</v>
      </c>
      <c r="E6268" t="s">
        <v>421</v>
      </c>
      <c r="F6268">
        <f t="shared" si="194"/>
        <v>1955</v>
      </c>
      <c r="G6268">
        <f t="shared" si="195"/>
        <v>9</v>
      </c>
      <c r="H6268" t="str">
        <f>IF(ISNUMBER(FIND(",", E6268)), TRIM(MID(E6268, FIND(",", E6268) + 1, LEN(E6268))), E6268)</f>
        <v>Mexico</v>
      </c>
    </row>
    <row r="6269" spans="1:8" x14ac:dyDescent="0.25">
      <c r="A6269" s="2">
        <v>20355</v>
      </c>
      <c r="B6269">
        <v>26.6</v>
      </c>
      <c r="C6269">
        <v>101.7</v>
      </c>
      <c r="D6269" t="s">
        <v>14</v>
      </c>
      <c r="E6269" t="s">
        <v>391</v>
      </c>
      <c r="F6269">
        <f t="shared" si="194"/>
        <v>1955</v>
      </c>
      <c r="G6269">
        <f t="shared" si="195"/>
        <v>9</v>
      </c>
      <c r="H6269" t="str">
        <f>IF(ISNUMBER(FIND(",", E6269)), TRIM(MID(E6269, FIND(",", E6269) + 1, LEN(E6269))), E6269)</f>
        <v>China</v>
      </c>
    </row>
    <row r="6270" spans="1:8" x14ac:dyDescent="0.25">
      <c r="A6270" s="2">
        <v>20354</v>
      </c>
      <c r="B6270">
        <v>23.9</v>
      </c>
      <c r="C6270">
        <v>122.5</v>
      </c>
      <c r="D6270" t="s">
        <v>14</v>
      </c>
      <c r="E6270" t="s">
        <v>363</v>
      </c>
      <c r="F6270">
        <f t="shared" si="194"/>
        <v>1955</v>
      </c>
      <c r="G6270">
        <f t="shared" si="195"/>
        <v>9</v>
      </c>
      <c r="H6270" t="str">
        <f>IF(ISNUMBER(FIND(",", E6270)), TRIM(MID(E6270, FIND(",", E6270) + 1, LEN(E6270))), E6270)</f>
        <v>Taiwan region</v>
      </c>
    </row>
    <row r="6271" spans="1:8" x14ac:dyDescent="0.25">
      <c r="A6271" s="2">
        <v>20347</v>
      </c>
      <c r="B6271">
        <v>-4.8</v>
      </c>
      <c r="C6271">
        <v>134.19999999999999</v>
      </c>
      <c r="D6271" t="s">
        <v>14</v>
      </c>
      <c r="E6271" t="s">
        <v>204</v>
      </c>
      <c r="F6271">
        <f t="shared" si="194"/>
        <v>1955</v>
      </c>
      <c r="G6271">
        <f t="shared" si="195"/>
        <v>9</v>
      </c>
      <c r="H6271" t="str">
        <f>IF(ISNUMBER(FIND(",", E6271)), TRIM(MID(E6271, FIND(",", E6271) + 1, LEN(E6271))), E6271)</f>
        <v>Indonesia</v>
      </c>
    </row>
    <row r="6272" spans="1:8" x14ac:dyDescent="0.25">
      <c r="A6272" s="2">
        <v>20344</v>
      </c>
      <c r="B6272">
        <v>32.200000000000003</v>
      </c>
      <c r="C6272">
        <v>29.6</v>
      </c>
      <c r="D6272" t="s">
        <v>14</v>
      </c>
      <c r="E6272" t="s">
        <v>690</v>
      </c>
      <c r="F6272">
        <f t="shared" si="194"/>
        <v>1955</v>
      </c>
      <c r="G6272">
        <f t="shared" si="195"/>
        <v>9</v>
      </c>
      <c r="H6272" t="str">
        <f>IF(ISNUMBER(FIND(",", E6272)), TRIM(MID(E6272, FIND(",", E6272) + 1, LEN(E6272))), E6272)</f>
        <v>eastern Mediterranean Sea</v>
      </c>
    </row>
    <row r="6273" spans="1:8" x14ac:dyDescent="0.25">
      <c r="A6273" s="2">
        <v>20329</v>
      </c>
      <c r="B6273">
        <v>13.8</v>
      </c>
      <c r="C6273">
        <v>-90.8</v>
      </c>
      <c r="D6273" t="s">
        <v>14</v>
      </c>
      <c r="E6273" t="s">
        <v>196</v>
      </c>
      <c r="F6273">
        <f t="shared" si="194"/>
        <v>1955</v>
      </c>
      <c r="G6273">
        <f t="shared" si="195"/>
        <v>8</v>
      </c>
      <c r="H6273" t="str">
        <f>IF(ISNUMBER(FIND(",", E6273)), TRIM(MID(E6273, FIND(",", E6273) + 1, LEN(E6273))), E6273)</f>
        <v>offshore Guatemala</v>
      </c>
    </row>
    <row r="6274" spans="1:8" x14ac:dyDescent="0.25">
      <c r="A6274" s="2">
        <v>20322</v>
      </c>
      <c r="B6274">
        <v>-3.1</v>
      </c>
      <c r="C6274">
        <v>137.5</v>
      </c>
      <c r="D6274" t="s">
        <v>14</v>
      </c>
      <c r="E6274" t="s">
        <v>210</v>
      </c>
      <c r="F6274">
        <f t="shared" ref="F6274:F6337" si="196">YEAR(A6274)</f>
        <v>1955</v>
      </c>
      <c r="G6274">
        <f t="shared" si="195"/>
        <v>8</v>
      </c>
      <c r="H6274" t="str">
        <f>IF(ISNUMBER(FIND(",", E6274)), TRIM(MID(E6274, FIND(",", E6274) + 1, LEN(E6274))), E6274)</f>
        <v>Indonesia</v>
      </c>
    </row>
    <row r="6275" spans="1:8" x14ac:dyDescent="0.25">
      <c r="A6275" s="2">
        <v>20317</v>
      </c>
      <c r="B6275">
        <v>-6.2</v>
      </c>
      <c r="C6275">
        <v>155</v>
      </c>
      <c r="D6275" t="s">
        <v>13</v>
      </c>
      <c r="E6275" t="s">
        <v>290</v>
      </c>
      <c r="F6275">
        <f t="shared" si="196"/>
        <v>1955</v>
      </c>
      <c r="G6275">
        <f t="shared" ref="G6275:G6338" si="197">MONTH(A6275)</f>
        <v>8</v>
      </c>
      <c r="H6275" t="str">
        <f>IF(ISNUMBER(FIND(",", E6275)), TRIM(MID(E6275, FIND(",", E6275) + 1, LEN(E6275))), E6275)</f>
        <v>Papua New Guinea</v>
      </c>
    </row>
    <row r="6276" spans="1:8" x14ac:dyDescent="0.25">
      <c r="A6276" s="2">
        <v>20307</v>
      </c>
      <c r="B6276">
        <v>-20.984999999999999</v>
      </c>
      <c r="C6276">
        <v>-177.41</v>
      </c>
      <c r="D6276" t="s">
        <v>13</v>
      </c>
      <c r="E6276" t="s">
        <v>53</v>
      </c>
      <c r="F6276">
        <f t="shared" si="196"/>
        <v>1955</v>
      </c>
      <c r="G6276">
        <f t="shared" si="197"/>
        <v>8</v>
      </c>
      <c r="H6276" t="str">
        <f>IF(ISNUMBER(FIND(",", E6276)), TRIM(MID(E6276, FIND(",", E6276) + 1, LEN(E6276))), E6276)</f>
        <v>Fiji region</v>
      </c>
    </row>
    <row r="6277" spans="1:8" x14ac:dyDescent="0.25">
      <c r="A6277" s="2">
        <v>20287</v>
      </c>
      <c r="B6277">
        <v>54.4</v>
      </c>
      <c r="C6277">
        <v>-168.3</v>
      </c>
      <c r="D6277" t="s">
        <v>17</v>
      </c>
      <c r="E6277" t="s">
        <v>219</v>
      </c>
      <c r="F6277">
        <f t="shared" si="196"/>
        <v>1955</v>
      </c>
      <c r="G6277">
        <f t="shared" si="197"/>
        <v>7</v>
      </c>
      <c r="H6277" t="str">
        <f>IF(ISNUMBER(FIND(",", E6277)), TRIM(MID(E6277, FIND(",", E6277) + 1, LEN(E6277))), E6277)</f>
        <v>Aleutian Islands, Alaska</v>
      </c>
    </row>
    <row r="6278" spans="1:8" x14ac:dyDescent="0.25">
      <c r="A6278" s="2">
        <v>20286</v>
      </c>
      <c r="B6278">
        <v>37.6</v>
      </c>
      <c r="C6278">
        <v>27.2</v>
      </c>
      <c r="D6278" t="s">
        <v>14</v>
      </c>
      <c r="E6278" t="s">
        <v>494</v>
      </c>
      <c r="F6278">
        <f t="shared" si="196"/>
        <v>1955</v>
      </c>
      <c r="G6278">
        <f t="shared" si="197"/>
        <v>7</v>
      </c>
      <c r="H6278" t="str">
        <f>IF(ISNUMBER(FIND(",", E6278)), TRIM(MID(E6278, FIND(",", E6278) + 1, LEN(E6278))), E6278)</f>
        <v>western Turkey</v>
      </c>
    </row>
    <row r="6279" spans="1:8" x14ac:dyDescent="0.25">
      <c r="A6279" s="2">
        <v>20276</v>
      </c>
      <c r="B6279">
        <v>51.4</v>
      </c>
      <c r="C6279">
        <v>157.5</v>
      </c>
      <c r="D6279" t="s">
        <v>17</v>
      </c>
      <c r="E6279" t="s">
        <v>225</v>
      </c>
      <c r="F6279">
        <f t="shared" si="196"/>
        <v>1955</v>
      </c>
      <c r="G6279">
        <f t="shared" si="197"/>
        <v>7</v>
      </c>
      <c r="H6279" t="str">
        <f>IF(ISNUMBER(FIND(",", E6279)), TRIM(MID(E6279, FIND(",", E6279) + 1, LEN(E6279))), E6279)</f>
        <v>Russia</v>
      </c>
    </row>
    <row r="6280" spans="1:8" x14ac:dyDescent="0.25">
      <c r="A6280" s="2">
        <v>20260</v>
      </c>
      <c r="B6280">
        <v>51.4</v>
      </c>
      <c r="C6280">
        <v>-179.5</v>
      </c>
      <c r="D6280" t="s">
        <v>14</v>
      </c>
      <c r="E6280" t="s">
        <v>207</v>
      </c>
      <c r="F6280">
        <f t="shared" si="196"/>
        <v>1955</v>
      </c>
      <c r="G6280">
        <f t="shared" si="197"/>
        <v>6</v>
      </c>
      <c r="H6280" t="str">
        <f>IF(ISNUMBER(FIND(",", E6280)), TRIM(MID(E6280, FIND(",", E6280) + 1, LEN(E6280))), E6280)</f>
        <v>Aleutian Islands, Alaska</v>
      </c>
    </row>
    <row r="6281" spans="1:8" x14ac:dyDescent="0.25">
      <c r="A6281" s="2">
        <v>20242</v>
      </c>
      <c r="B6281">
        <v>51.4</v>
      </c>
      <c r="C6281">
        <v>-179.8</v>
      </c>
      <c r="D6281" t="s">
        <v>14</v>
      </c>
      <c r="E6281" t="s">
        <v>207</v>
      </c>
      <c r="F6281">
        <f t="shared" si="196"/>
        <v>1955</v>
      </c>
      <c r="G6281">
        <f t="shared" si="197"/>
        <v>6</v>
      </c>
      <c r="H6281" t="str">
        <f>IF(ISNUMBER(FIND(",", E6281)), TRIM(MID(E6281, FIND(",", E6281) + 1, LEN(E6281))), E6281)</f>
        <v>Aleutian Islands, Alaska</v>
      </c>
    </row>
    <row r="6282" spans="1:8" x14ac:dyDescent="0.25">
      <c r="A6282" s="2">
        <v>20239</v>
      </c>
      <c r="B6282">
        <v>24.227</v>
      </c>
      <c r="C6282">
        <v>142.441</v>
      </c>
      <c r="D6282" t="s">
        <v>13</v>
      </c>
      <c r="E6282" t="s">
        <v>519</v>
      </c>
      <c r="F6282">
        <f t="shared" si="196"/>
        <v>1955</v>
      </c>
      <c r="G6282">
        <f t="shared" si="197"/>
        <v>5</v>
      </c>
      <c r="H6282" t="str">
        <f>IF(ISNUMBER(FIND(",", E6282)), TRIM(MID(E6282, FIND(",", E6282) + 1, LEN(E6282))), E6282)</f>
        <v>Japan region</v>
      </c>
    </row>
    <row r="6283" spans="1:8" x14ac:dyDescent="0.25">
      <c r="A6283" s="2">
        <v>20237</v>
      </c>
      <c r="B6283">
        <v>-30.8</v>
      </c>
      <c r="C6283">
        <v>-65.197999999999993</v>
      </c>
      <c r="D6283" t="s">
        <v>14</v>
      </c>
      <c r="E6283" t="s">
        <v>687</v>
      </c>
      <c r="F6283">
        <f t="shared" si="196"/>
        <v>1955</v>
      </c>
      <c r="G6283">
        <f t="shared" si="197"/>
        <v>5</v>
      </c>
      <c r="H6283" t="str">
        <f>IF(ISNUMBER(FIND(",", E6283)), TRIM(MID(E6283, FIND(",", E6283) + 1, LEN(E6283))), E6283)</f>
        <v>Argentina</v>
      </c>
    </row>
    <row r="6284" spans="1:8" x14ac:dyDescent="0.25">
      <c r="A6284" s="2">
        <v>20235</v>
      </c>
      <c r="B6284">
        <v>-10</v>
      </c>
      <c r="C6284">
        <v>160.69999999999999</v>
      </c>
      <c r="D6284" t="s">
        <v>14</v>
      </c>
      <c r="E6284" t="s">
        <v>221</v>
      </c>
      <c r="F6284">
        <f t="shared" si="196"/>
        <v>1955</v>
      </c>
      <c r="G6284">
        <f t="shared" si="197"/>
        <v>5</v>
      </c>
      <c r="H6284" t="str">
        <f>IF(ISNUMBER(FIND(",", E6284)), TRIM(MID(E6284, FIND(",", E6284) + 1, LEN(E6284))), E6284)</f>
        <v>Solomon Islands</v>
      </c>
    </row>
    <row r="6285" spans="1:8" x14ac:dyDescent="0.25">
      <c r="A6285" s="2">
        <v>20226</v>
      </c>
      <c r="B6285">
        <v>6.7480000000000002</v>
      </c>
      <c r="C6285">
        <v>93.73</v>
      </c>
      <c r="D6285" t="s">
        <v>16</v>
      </c>
      <c r="E6285" t="s">
        <v>322</v>
      </c>
      <c r="F6285">
        <f t="shared" si="196"/>
        <v>1955</v>
      </c>
      <c r="G6285">
        <f t="shared" si="197"/>
        <v>5</v>
      </c>
      <c r="H6285" t="str">
        <f>IF(ISNUMBER(FIND(",", E6285)), TRIM(MID(E6285, FIND(",", E6285) + 1, LEN(E6285))), E6285)</f>
        <v>India region</v>
      </c>
    </row>
    <row r="6286" spans="1:8" x14ac:dyDescent="0.25">
      <c r="A6286" s="2">
        <v>20223</v>
      </c>
      <c r="B6286">
        <v>27.6</v>
      </c>
      <c r="C6286">
        <v>139.9</v>
      </c>
      <c r="D6286" t="s">
        <v>14</v>
      </c>
      <c r="E6286" t="s">
        <v>233</v>
      </c>
      <c r="F6286">
        <f t="shared" si="196"/>
        <v>1955</v>
      </c>
      <c r="G6286">
        <f t="shared" si="197"/>
        <v>5</v>
      </c>
      <c r="H6286" t="str">
        <f>IF(ISNUMBER(FIND(",", E6286)), TRIM(MID(E6286, FIND(",", E6286) + 1, LEN(E6286))), E6286)</f>
        <v>Japan region</v>
      </c>
    </row>
    <row r="6287" spans="1:8" x14ac:dyDescent="0.25">
      <c r="A6287" s="2">
        <v>20220</v>
      </c>
      <c r="B6287">
        <v>-0.2</v>
      </c>
      <c r="C6287">
        <v>-77.8</v>
      </c>
      <c r="D6287" t="s">
        <v>17</v>
      </c>
      <c r="E6287" t="s">
        <v>316</v>
      </c>
      <c r="F6287">
        <f t="shared" si="196"/>
        <v>1955</v>
      </c>
      <c r="G6287">
        <f t="shared" si="197"/>
        <v>5</v>
      </c>
      <c r="H6287" t="str">
        <f>IF(ISNUMBER(FIND(",", E6287)), TRIM(MID(E6287, FIND(",", E6287) + 1, LEN(E6287))), E6287)</f>
        <v>Ecuador</v>
      </c>
    </row>
    <row r="6288" spans="1:8" x14ac:dyDescent="0.25">
      <c r="A6288" s="2">
        <v>20201</v>
      </c>
      <c r="B6288">
        <v>46</v>
      </c>
      <c r="C6288">
        <v>150.5</v>
      </c>
      <c r="D6288" t="s">
        <v>14</v>
      </c>
      <c r="E6288" t="s">
        <v>191</v>
      </c>
      <c r="F6288">
        <f t="shared" si="196"/>
        <v>1955</v>
      </c>
      <c r="G6288">
        <f t="shared" si="197"/>
        <v>4</v>
      </c>
      <c r="H6288" t="str">
        <f>IF(ISNUMBER(FIND(",", E6288)), TRIM(MID(E6288, FIND(",", E6288) + 1, LEN(E6288))), E6288)</f>
        <v>Kuril Islands</v>
      </c>
    </row>
    <row r="6289" spans="1:8" x14ac:dyDescent="0.25">
      <c r="A6289" s="2">
        <v>20198</v>
      </c>
      <c r="B6289">
        <v>-29.9</v>
      </c>
      <c r="C6289">
        <v>-71.599999999999994</v>
      </c>
      <c r="D6289" t="s">
        <v>14</v>
      </c>
      <c r="E6289" t="s">
        <v>442</v>
      </c>
      <c r="F6289">
        <f t="shared" si="196"/>
        <v>1955</v>
      </c>
      <c r="G6289">
        <f t="shared" si="197"/>
        <v>4</v>
      </c>
      <c r="H6289" t="str">
        <f>IF(ISNUMBER(FIND(",", E6289)), TRIM(MID(E6289, FIND(",", E6289) + 1, LEN(E6289))), E6289)</f>
        <v>Chile</v>
      </c>
    </row>
    <row r="6290" spans="1:8" x14ac:dyDescent="0.25">
      <c r="A6290" s="2">
        <v>20196</v>
      </c>
      <c r="B6290">
        <v>52.2</v>
      </c>
      <c r="C6290">
        <v>159.69999999999999</v>
      </c>
      <c r="D6290" t="s">
        <v>14</v>
      </c>
      <c r="E6290" t="s">
        <v>318</v>
      </c>
      <c r="F6290">
        <f t="shared" si="196"/>
        <v>1955</v>
      </c>
      <c r="G6290">
        <f t="shared" si="197"/>
        <v>4</v>
      </c>
      <c r="H6290" t="str">
        <f>IF(ISNUMBER(FIND(",", E6290)), TRIM(MID(E6290, FIND(",", E6290) + 1, LEN(E6290))), E6290)</f>
        <v>Russia</v>
      </c>
    </row>
    <row r="6291" spans="1:8" x14ac:dyDescent="0.25">
      <c r="A6291" s="2">
        <v>20194</v>
      </c>
      <c r="B6291">
        <v>39.9</v>
      </c>
      <c r="C6291">
        <v>74.7</v>
      </c>
      <c r="D6291" t="s">
        <v>14</v>
      </c>
      <c r="E6291" t="s">
        <v>482</v>
      </c>
      <c r="F6291">
        <f t="shared" si="196"/>
        <v>1955</v>
      </c>
      <c r="G6291">
        <f t="shared" si="197"/>
        <v>4</v>
      </c>
      <c r="H6291" t="str">
        <f>IF(ISNUMBER(FIND(",", E6291)), TRIM(MID(E6291, FIND(",", E6291) + 1, LEN(E6291))), E6291)</f>
        <v>China</v>
      </c>
    </row>
    <row r="6292" spans="1:8" x14ac:dyDescent="0.25">
      <c r="A6292" s="2">
        <v>20194</v>
      </c>
      <c r="B6292">
        <v>39.832999999999998</v>
      </c>
      <c r="C6292">
        <v>74.66</v>
      </c>
      <c r="D6292" t="s">
        <v>16</v>
      </c>
      <c r="E6292" t="s">
        <v>482</v>
      </c>
      <c r="F6292">
        <f t="shared" si="196"/>
        <v>1955</v>
      </c>
      <c r="G6292">
        <f t="shared" si="197"/>
        <v>4</v>
      </c>
      <c r="H6292" t="str">
        <f>IF(ISNUMBER(FIND(",", E6292)), TRIM(MID(E6292, FIND(",", E6292) + 1, LEN(E6292))), E6292)</f>
        <v>China</v>
      </c>
    </row>
    <row r="6293" spans="1:8" x14ac:dyDescent="0.25">
      <c r="A6293" s="2">
        <v>20193</v>
      </c>
      <c r="B6293">
        <v>30.01</v>
      </c>
      <c r="C6293">
        <v>101.706</v>
      </c>
      <c r="D6293" t="s">
        <v>16</v>
      </c>
      <c r="E6293" t="s">
        <v>578</v>
      </c>
      <c r="F6293">
        <f t="shared" si="196"/>
        <v>1955</v>
      </c>
      <c r="G6293">
        <f t="shared" si="197"/>
        <v>4</v>
      </c>
      <c r="H6293" t="str">
        <f>IF(ISNUMBER(FIND(",", E6293)), TRIM(MID(E6293, FIND(",", E6293) + 1, LEN(E6293))), E6293)</f>
        <v>China</v>
      </c>
    </row>
    <row r="6294" spans="1:8" x14ac:dyDescent="0.25">
      <c r="A6294" s="2">
        <v>20184</v>
      </c>
      <c r="B6294">
        <v>25.2</v>
      </c>
      <c r="C6294">
        <v>-109.6</v>
      </c>
      <c r="D6294" t="s">
        <v>14</v>
      </c>
      <c r="E6294" t="s">
        <v>282</v>
      </c>
      <c r="F6294">
        <f t="shared" si="196"/>
        <v>1955</v>
      </c>
      <c r="G6294">
        <f t="shared" si="197"/>
        <v>4</v>
      </c>
      <c r="H6294" t="str">
        <f>IF(ISNUMBER(FIND(",", E6294)), TRIM(MID(E6294, FIND(",", E6294) + 1, LEN(E6294))), E6294)</f>
        <v>Gulf of California</v>
      </c>
    </row>
    <row r="6295" spans="1:8" x14ac:dyDescent="0.25">
      <c r="A6295" s="2">
        <v>20179</v>
      </c>
      <c r="B6295">
        <v>7.5940000000000003</v>
      </c>
      <c r="C6295">
        <v>122.825</v>
      </c>
      <c r="D6295" t="s">
        <v>13</v>
      </c>
      <c r="E6295" t="s">
        <v>200</v>
      </c>
      <c r="F6295">
        <f t="shared" si="196"/>
        <v>1955</v>
      </c>
      <c r="G6295">
        <f t="shared" si="197"/>
        <v>3</v>
      </c>
      <c r="H6295" t="str">
        <f>IF(ISNUMBER(FIND(",", E6295)), TRIM(MID(E6295, FIND(",", E6295) + 1, LEN(E6295))), E6295)</f>
        <v>Philippines</v>
      </c>
    </row>
    <row r="6296" spans="1:8" x14ac:dyDescent="0.25">
      <c r="A6296" s="2">
        <v>20170</v>
      </c>
      <c r="B6296">
        <v>-9.1910000000000007</v>
      </c>
      <c r="C6296">
        <v>91.76</v>
      </c>
      <c r="D6296" t="s">
        <v>14</v>
      </c>
      <c r="E6296" t="s">
        <v>473</v>
      </c>
      <c r="F6296">
        <f t="shared" si="196"/>
        <v>1955</v>
      </c>
      <c r="G6296">
        <f t="shared" si="197"/>
        <v>3</v>
      </c>
      <c r="H6296" t="str">
        <f>IF(ISNUMBER(FIND(",", E6296)), TRIM(MID(E6296, FIND(",", E6296) + 1, LEN(E6296))), E6296)</f>
        <v>South Indian Ocean</v>
      </c>
    </row>
    <row r="6297" spans="1:8" x14ac:dyDescent="0.25">
      <c r="A6297" s="2">
        <v>20166</v>
      </c>
      <c r="B6297">
        <v>54.201999999999998</v>
      </c>
      <c r="C6297">
        <v>161.22499999999999</v>
      </c>
      <c r="D6297" t="s">
        <v>13</v>
      </c>
      <c r="E6297" t="s">
        <v>225</v>
      </c>
      <c r="F6297">
        <f t="shared" si="196"/>
        <v>1955</v>
      </c>
      <c r="G6297">
        <f t="shared" si="197"/>
        <v>3</v>
      </c>
      <c r="H6297" t="str">
        <f>IF(ISNUMBER(FIND(",", E6297)), TRIM(MID(E6297, FIND(",", E6297) + 1, LEN(E6297))), E6297)</f>
        <v>Russia</v>
      </c>
    </row>
    <row r="6298" spans="1:8" x14ac:dyDescent="0.25">
      <c r="A6298" s="2">
        <v>20162</v>
      </c>
      <c r="B6298">
        <v>52.767000000000003</v>
      </c>
      <c r="C6298">
        <v>-173.40199999999999</v>
      </c>
      <c r="D6298" t="s">
        <v>13</v>
      </c>
      <c r="E6298" t="s">
        <v>207</v>
      </c>
      <c r="F6298">
        <f t="shared" si="196"/>
        <v>1955</v>
      </c>
      <c r="G6298">
        <f t="shared" si="197"/>
        <v>3</v>
      </c>
      <c r="H6298" t="str">
        <f>IF(ISNUMBER(FIND(",", E6298)), TRIM(MID(E6298, FIND(",", E6298) + 1, LEN(E6298))), E6298)</f>
        <v>Aleutian Islands, Alaska</v>
      </c>
    </row>
    <row r="6299" spans="1:8" x14ac:dyDescent="0.25">
      <c r="A6299" s="2">
        <v>20147</v>
      </c>
      <c r="B6299">
        <v>-28.423999999999999</v>
      </c>
      <c r="C6299">
        <v>-175.548</v>
      </c>
      <c r="D6299" t="s">
        <v>16</v>
      </c>
      <c r="E6299" t="s">
        <v>240</v>
      </c>
      <c r="F6299">
        <f t="shared" si="196"/>
        <v>1955</v>
      </c>
      <c r="G6299">
        <f t="shared" si="197"/>
        <v>2</v>
      </c>
      <c r="H6299" t="str">
        <f>IF(ISNUMBER(FIND(",", E6299)), TRIM(MID(E6299, FIND(",", E6299) + 1, LEN(E6299))), E6299)</f>
        <v>Kermadec Islands region</v>
      </c>
    </row>
    <row r="6300" spans="1:8" x14ac:dyDescent="0.25">
      <c r="A6300" s="2">
        <v>20102</v>
      </c>
      <c r="B6300">
        <v>52.826000000000001</v>
      </c>
      <c r="C6300">
        <v>-167.44300000000001</v>
      </c>
      <c r="D6300" t="s">
        <v>14</v>
      </c>
      <c r="E6300" t="s">
        <v>219</v>
      </c>
      <c r="F6300">
        <f t="shared" si="196"/>
        <v>1955</v>
      </c>
      <c r="G6300">
        <f t="shared" si="197"/>
        <v>1</v>
      </c>
      <c r="H6300" t="str">
        <f>IF(ISNUMBER(FIND(",", E6300)), TRIM(MID(E6300, FIND(",", E6300) + 1, LEN(E6300))), E6300)</f>
        <v>Aleutian Islands, Alaska</v>
      </c>
    </row>
    <row r="6301" spans="1:8" x14ac:dyDescent="0.25">
      <c r="A6301" s="2">
        <v>20097</v>
      </c>
      <c r="B6301">
        <v>-12.384</v>
      </c>
      <c r="C6301">
        <v>166.529</v>
      </c>
      <c r="D6301" t="s">
        <v>14</v>
      </c>
      <c r="E6301" t="s">
        <v>211</v>
      </c>
      <c r="F6301">
        <f t="shared" si="196"/>
        <v>1955</v>
      </c>
      <c r="G6301">
        <f t="shared" si="197"/>
        <v>1</v>
      </c>
      <c r="H6301" t="str">
        <f>IF(ISNUMBER(FIND(",", E6301)), TRIM(MID(E6301, FIND(",", E6301) + 1, LEN(E6301))), E6301)</f>
        <v>Santa Cruz Islands</v>
      </c>
    </row>
    <row r="6302" spans="1:8" x14ac:dyDescent="0.25">
      <c r="A6302" s="2">
        <v>20094</v>
      </c>
      <c r="B6302">
        <v>-16.079999999999998</v>
      </c>
      <c r="C6302">
        <v>167.40199999999999</v>
      </c>
      <c r="D6302" t="s">
        <v>14</v>
      </c>
      <c r="E6302" t="s">
        <v>181</v>
      </c>
      <c r="F6302">
        <f t="shared" si="196"/>
        <v>1955</v>
      </c>
      <c r="G6302">
        <f t="shared" si="197"/>
        <v>1</v>
      </c>
      <c r="H6302" t="str">
        <f>IF(ISNUMBER(FIND(",", E6302)), TRIM(MID(E6302, FIND(",", E6302) + 1, LEN(E6302))), E6302)</f>
        <v>Vanuatu</v>
      </c>
    </row>
    <row r="6303" spans="1:8" x14ac:dyDescent="0.25">
      <c r="A6303" s="2">
        <v>20094</v>
      </c>
      <c r="B6303">
        <v>-16.291</v>
      </c>
      <c r="C6303">
        <v>167.36099999999999</v>
      </c>
      <c r="D6303" t="s">
        <v>14</v>
      </c>
      <c r="E6303" t="s">
        <v>181</v>
      </c>
      <c r="F6303">
        <f t="shared" si="196"/>
        <v>1955</v>
      </c>
      <c r="G6303">
        <f t="shared" si="197"/>
        <v>1</v>
      </c>
      <c r="H6303" t="str">
        <f>IF(ISNUMBER(FIND(",", E6303)), TRIM(MID(E6303, FIND(",", E6303) + 1, LEN(E6303))), E6303)</f>
        <v>Vanuatu</v>
      </c>
    </row>
    <row r="6304" spans="1:8" x14ac:dyDescent="0.25">
      <c r="A6304" s="2">
        <v>20094</v>
      </c>
      <c r="B6304">
        <v>-49.658000000000001</v>
      </c>
      <c r="C6304">
        <v>163.01</v>
      </c>
      <c r="D6304" t="s">
        <v>16</v>
      </c>
      <c r="E6304" t="s">
        <v>404</v>
      </c>
      <c r="F6304">
        <f t="shared" si="196"/>
        <v>1955</v>
      </c>
      <c r="G6304">
        <f t="shared" si="197"/>
        <v>1</v>
      </c>
      <c r="H6304" t="str">
        <f>IF(ISNUMBER(FIND(",", E6304)), TRIM(MID(E6304, FIND(",", E6304) + 1, LEN(E6304))), E6304)</f>
        <v>New Zealand region</v>
      </c>
    </row>
    <row r="6305" spans="1:8" x14ac:dyDescent="0.25">
      <c r="A6305" s="2">
        <v>20074</v>
      </c>
      <c r="B6305">
        <v>39.200000000000003</v>
      </c>
      <c r="C6305">
        <v>-118</v>
      </c>
      <c r="D6305" t="s">
        <v>14</v>
      </c>
      <c r="E6305" t="s">
        <v>406</v>
      </c>
      <c r="F6305">
        <f t="shared" si="196"/>
        <v>1954</v>
      </c>
      <c r="G6305">
        <f t="shared" si="197"/>
        <v>12</v>
      </c>
      <c r="H6305" t="str">
        <f>IF(ISNUMBER(FIND(",", E6305)), TRIM(MID(E6305, FIND(",", E6305) + 1, LEN(E6305))), E6305)</f>
        <v>Nevada</v>
      </c>
    </row>
    <row r="6306" spans="1:8" x14ac:dyDescent="0.25">
      <c r="A6306" s="2">
        <v>20074</v>
      </c>
      <c r="B6306">
        <v>39.209000000000003</v>
      </c>
      <c r="C6306">
        <v>-118.173</v>
      </c>
      <c r="D6306" t="s">
        <v>16</v>
      </c>
      <c r="E6306" t="s">
        <v>406</v>
      </c>
      <c r="F6306">
        <f t="shared" si="196"/>
        <v>1954</v>
      </c>
      <c r="G6306">
        <f t="shared" si="197"/>
        <v>12</v>
      </c>
      <c r="H6306" t="str">
        <f>IF(ISNUMBER(FIND(",", E6306)), TRIM(MID(E6306, FIND(",", E6306) + 1, LEN(E6306))), E6306)</f>
        <v>Nevada</v>
      </c>
    </row>
    <row r="6307" spans="1:8" x14ac:dyDescent="0.25">
      <c r="A6307" s="2">
        <v>20053</v>
      </c>
      <c r="B6307">
        <v>40.5</v>
      </c>
      <c r="C6307">
        <v>-125.6</v>
      </c>
      <c r="D6307" t="s">
        <v>14</v>
      </c>
      <c r="E6307" t="s">
        <v>343</v>
      </c>
      <c r="F6307">
        <f t="shared" si="196"/>
        <v>1954</v>
      </c>
      <c r="G6307">
        <f t="shared" si="197"/>
        <v>11</v>
      </c>
      <c r="H6307" t="str">
        <f>IF(ISNUMBER(FIND(",", E6307)), TRIM(MID(E6307, FIND(",", E6307) + 1, LEN(E6307))), E6307)</f>
        <v>offshore Northern California</v>
      </c>
    </row>
    <row r="6308" spans="1:8" x14ac:dyDescent="0.25">
      <c r="A6308" s="2">
        <v>20018</v>
      </c>
      <c r="B6308">
        <v>-41.3</v>
      </c>
      <c r="C6308">
        <v>80.2</v>
      </c>
      <c r="D6308" t="s">
        <v>14</v>
      </c>
      <c r="E6308" t="s">
        <v>377</v>
      </c>
      <c r="F6308">
        <f t="shared" si="196"/>
        <v>1954</v>
      </c>
      <c r="G6308">
        <f t="shared" si="197"/>
        <v>10</v>
      </c>
      <c r="H6308" t="str">
        <f>IF(ISNUMBER(FIND(",", E6308)), TRIM(MID(E6308, FIND(",", E6308) + 1, LEN(E6308))), E6308)</f>
        <v>Mid-Indian Ridge</v>
      </c>
    </row>
    <row r="6309" spans="1:8" x14ac:dyDescent="0.25">
      <c r="A6309" s="2">
        <v>20000</v>
      </c>
      <c r="B6309">
        <v>60.7</v>
      </c>
      <c r="C6309">
        <v>-150.30000000000001</v>
      </c>
      <c r="D6309" t="s">
        <v>14</v>
      </c>
      <c r="E6309" t="s">
        <v>679</v>
      </c>
      <c r="F6309">
        <f t="shared" si="196"/>
        <v>1954</v>
      </c>
      <c r="G6309">
        <f t="shared" si="197"/>
        <v>10</v>
      </c>
      <c r="H6309" t="str">
        <f>IF(ISNUMBER(FIND(",", E6309)), TRIM(MID(E6309, FIND(",", E6309) + 1, LEN(E6309))), E6309)</f>
        <v>Alaska</v>
      </c>
    </row>
    <row r="6310" spans="1:8" x14ac:dyDescent="0.25">
      <c r="A6310" s="2">
        <v>20000</v>
      </c>
      <c r="B6310">
        <v>-10.7</v>
      </c>
      <c r="C6310">
        <v>165.9</v>
      </c>
      <c r="D6310" t="s">
        <v>14</v>
      </c>
      <c r="E6310" t="s">
        <v>211</v>
      </c>
      <c r="F6310">
        <f t="shared" si="196"/>
        <v>1954</v>
      </c>
      <c r="G6310">
        <f t="shared" si="197"/>
        <v>10</v>
      </c>
      <c r="H6310" t="str">
        <f>IF(ISNUMBER(FIND(",", E6310)), TRIM(MID(E6310, FIND(",", E6310) + 1, LEN(E6310))), E6310)</f>
        <v>Santa Cruz Islands</v>
      </c>
    </row>
    <row r="6311" spans="1:8" x14ac:dyDescent="0.25">
      <c r="A6311" s="2">
        <v>19998</v>
      </c>
      <c r="B6311">
        <v>-10.9</v>
      </c>
      <c r="C6311">
        <v>166.2</v>
      </c>
      <c r="D6311" t="s">
        <v>17</v>
      </c>
      <c r="E6311" t="s">
        <v>211</v>
      </c>
      <c r="F6311">
        <f t="shared" si="196"/>
        <v>1954</v>
      </c>
      <c r="G6311">
        <f t="shared" si="197"/>
        <v>10</v>
      </c>
      <c r="H6311" t="str">
        <f>IF(ISNUMBER(FIND(",", E6311)), TRIM(MID(E6311, FIND(",", E6311) + 1, LEN(E6311))), E6311)</f>
        <v>Santa Cruz Islands</v>
      </c>
    </row>
    <row r="6312" spans="1:8" x14ac:dyDescent="0.25">
      <c r="A6312" s="2">
        <v>19984</v>
      </c>
      <c r="B6312">
        <v>-21.414000000000001</v>
      </c>
      <c r="C6312">
        <v>-176.54499999999999</v>
      </c>
      <c r="D6312" t="s">
        <v>13</v>
      </c>
      <c r="E6312" t="s">
        <v>53</v>
      </c>
      <c r="F6312">
        <f t="shared" si="196"/>
        <v>1954</v>
      </c>
      <c r="G6312">
        <f t="shared" si="197"/>
        <v>9</v>
      </c>
      <c r="H6312" t="str">
        <f>IF(ISNUMBER(FIND(",", E6312)), TRIM(MID(E6312, FIND(",", E6312) + 1, LEN(E6312))), E6312)</f>
        <v>Fiji region</v>
      </c>
    </row>
    <row r="6313" spans="1:8" x14ac:dyDescent="0.25">
      <c r="A6313" s="2">
        <v>19982</v>
      </c>
      <c r="B6313">
        <v>-17.8</v>
      </c>
      <c r="C6313">
        <v>-178.6</v>
      </c>
      <c r="D6313" t="s">
        <v>14</v>
      </c>
      <c r="E6313" t="s">
        <v>53</v>
      </c>
      <c r="F6313">
        <f t="shared" si="196"/>
        <v>1954</v>
      </c>
      <c r="G6313">
        <f t="shared" si="197"/>
        <v>9</v>
      </c>
      <c r="H6313" t="str">
        <f>IF(ISNUMBER(FIND(",", E6313)), TRIM(MID(E6313, FIND(",", E6313) + 1, LEN(E6313))), E6313)</f>
        <v>Fiji region</v>
      </c>
    </row>
    <row r="6314" spans="1:8" x14ac:dyDescent="0.25">
      <c r="A6314" s="2">
        <v>19980</v>
      </c>
      <c r="B6314">
        <v>-20.5</v>
      </c>
      <c r="C6314">
        <v>-175.8</v>
      </c>
      <c r="D6314" t="s">
        <v>14</v>
      </c>
      <c r="E6314" t="s">
        <v>239</v>
      </c>
      <c r="F6314">
        <f t="shared" si="196"/>
        <v>1954</v>
      </c>
      <c r="G6314">
        <f t="shared" si="197"/>
        <v>9</v>
      </c>
      <c r="H6314" t="str">
        <f>IF(ISNUMBER(FIND(",", E6314)), TRIM(MID(E6314, FIND(",", E6314) + 1, LEN(E6314))), E6314)</f>
        <v>Tonga</v>
      </c>
    </row>
    <row r="6315" spans="1:8" x14ac:dyDescent="0.25">
      <c r="A6315" s="2">
        <v>19976</v>
      </c>
      <c r="B6315">
        <v>36.200000000000003</v>
      </c>
      <c r="C6315">
        <v>1.6</v>
      </c>
      <c r="D6315" t="s">
        <v>14</v>
      </c>
      <c r="E6315" t="s">
        <v>480</v>
      </c>
      <c r="F6315">
        <f t="shared" si="196"/>
        <v>1954</v>
      </c>
      <c r="G6315">
        <f t="shared" si="197"/>
        <v>9</v>
      </c>
      <c r="H6315" t="str">
        <f>IF(ISNUMBER(FIND(",", E6315)), TRIM(MID(E6315, FIND(",", E6315) + 1, LEN(E6315))), E6315)</f>
        <v>northern Algeria</v>
      </c>
    </row>
    <row r="6316" spans="1:8" x14ac:dyDescent="0.25">
      <c r="A6316" s="2">
        <v>19960</v>
      </c>
      <c r="B6316">
        <v>39.5</v>
      </c>
      <c r="C6316">
        <v>-118.3</v>
      </c>
      <c r="D6316" t="s">
        <v>14</v>
      </c>
      <c r="E6316" t="s">
        <v>406</v>
      </c>
      <c r="F6316">
        <f t="shared" si="196"/>
        <v>1954</v>
      </c>
      <c r="G6316">
        <f t="shared" si="197"/>
        <v>8</v>
      </c>
      <c r="H6316" t="str">
        <f>IF(ISNUMBER(FIND(",", E6316)), TRIM(MID(E6316, FIND(",", E6316) + 1, LEN(E6316))), E6316)</f>
        <v>Nevada</v>
      </c>
    </row>
    <row r="6317" spans="1:8" x14ac:dyDescent="0.25">
      <c r="A6317" s="2">
        <v>19954</v>
      </c>
      <c r="B6317">
        <v>-21.2</v>
      </c>
      <c r="C6317">
        <v>-176</v>
      </c>
      <c r="D6317" t="s">
        <v>14</v>
      </c>
      <c r="E6317" t="s">
        <v>239</v>
      </c>
      <c r="F6317">
        <f t="shared" si="196"/>
        <v>1954</v>
      </c>
      <c r="G6317">
        <f t="shared" si="197"/>
        <v>8</v>
      </c>
      <c r="H6317" t="str">
        <f>IF(ISNUMBER(FIND(",", E6317)), TRIM(MID(E6317, FIND(",", E6317) + 1, LEN(E6317))), E6317)</f>
        <v>Tonga</v>
      </c>
    </row>
    <row r="6318" spans="1:8" x14ac:dyDescent="0.25">
      <c r="A6318" s="2">
        <v>19936</v>
      </c>
      <c r="B6318">
        <v>38.700000000000003</v>
      </c>
      <c r="C6318">
        <v>104.2</v>
      </c>
      <c r="D6318" t="s">
        <v>14</v>
      </c>
      <c r="E6318" t="s">
        <v>691</v>
      </c>
      <c r="F6318">
        <f t="shared" si="196"/>
        <v>1954</v>
      </c>
      <c r="G6318">
        <f t="shared" si="197"/>
        <v>7</v>
      </c>
      <c r="H6318" t="str">
        <f>IF(ISNUMBER(FIND(",", E6318)), TRIM(MID(E6318, FIND(",", E6318) + 1, LEN(E6318))), E6318)</f>
        <v>China</v>
      </c>
    </row>
    <row r="6319" spans="1:8" x14ac:dyDescent="0.25">
      <c r="A6319" s="2">
        <v>19911</v>
      </c>
      <c r="B6319">
        <v>39.5</v>
      </c>
      <c r="C6319">
        <v>-118.5</v>
      </c>
      <c r="D6319" t="s">
        <v>14</v>
      </c>
      <c r="E6319" t="s">
        <v>406</v>
      </c>
      <c r="F6319">
        <f t="shared" si="196"/>
        <v>1954</v>
      </c>
      <c r="G6319">
        <f t="shared" si="197"/>
        <v>7</v>
      </c>
      <c r="H6319" t="str">
        <f>IF(ISNUMBER(FIND(",", E6319)), TRIM(MID(E6319, FIND(",", E6319) + 1, LEN(E6319))), E6319)</f>
        <v>Nevada</v>
      </c>
    </row>
    <row r="6320" spans="1:8" x14ac:dyDescent="0.25">
      <c r="A6320" s="2">
        <v>19911</v>
      </c>
      <c r="B6320">
        <v>46.6</v>
      </c>
      <c r="C6320">
        <v>153.4</v>
      </c>
      <c r="D6320" t="s">
        <v>14</v>
      </c>
      <c r="E6320" t="s">
        <v>191</v>
      </c>
      <c r="F6320">
        <f t="shared" si="196"/>
        <v>1954</v>
      </c>
      <c r="G6320">
        <f t="shared" si="197"/>
        <v>7</v>
      </c>
      <c r="H6320" t="str">
        <f>IF(ISNUMBER(FIND(",", E6320)), TRIM(MID(E6320, FIND(",", E6320) + 1, LEN(E6320))), E6320)</f>
        <v>Kuril Islands</v>
      </c>
    </row>
    <row r="6321" spans="1:8" x14ac:dyDescent="0.25">
      <c r="A6321" s="2">
        <v>19908</v>
      </c>
      <c r="B6321">
        <v>-6.6</v>
      </c>
      <c r="C6321">
        <v>105.6</v>
      </c>
      <c r="D6321" t="s">
        <v>13</v>
      </c>
      <c r="E6321" t="s">
        <v>278</v>
      </c>
      <c r="F6321">
        <f t="shared" si="196"/>
        <v>1954</v>
      </c>
      <c r="G6321">
        <f t="shared" si="197"/>
        <v>7</v>
      </c>
      <c r="H6321" t="str">
        <f>IF(ISNUMBER(FIND(",", E6321)), TRIM(MID(E6321, FIND(",", E6321) + 1, LEN(E6321))), E6321)</f>
        <v>Indonesia</v>
      </c>
    </row>
    <row r="6322" spans="1:8" x14ac:dyDescent="0.25">
      <c r="A6322" s="2">
        <v>19907</v>
      </c>
      <c r="B6322">
        <v>13</v>
      </c>
      <c r="C6322">
        <v>123.9</v>
      </c>
      <c r="D6322" t="s">
        <v>14</v>
      </c>
      <c r="E6322" t="s">
        <v>658</v>
      </c>
      <c r="F6322">
        <f t="shared" si="196"/>
        <v>1954</v>
      </c>
      <c r="G6322">
        <f t="shared" si="197"/>
        <v>7</v>
      </c>
      <c r="H6322" t="str">
        <f>IF(ISNUMBER(FIND(",", E6322)), TRIM(MID(E6322, FIND(",", E6322) + 1, LEN(E6322))), E6322)</f>
        <v>Philippines</v>
      </c>
    </row>
    <row r="6323" spans="1:8" x14ac:dyDescent="0.25">
      <c r="A6323" s="2">
        <v>19890</v>
      </c>
      <c r="B6323">
        <v>-5.4</v>
      </c>
      <c r="C6323">
        <v>-76.7</v>
      </c>
      <c r="D6323" t="s">
        <v>14</v>
      </c>
      <c r="E6323" t="s">
        <v>277</v>
      </c>
      <c r="F6323">
        <f t="shared" si="196"/>
        <v>1954</v>
      </c>
      <c r="G6323">
        <f t="shared" si="197"/>
        <v>6</v>
      </c>
      <c r="H6323" t="str">
        <f>IF(ISNUMBER(FIND(",", E6323)), TRIM(MID(E6323, FIND(",", E6323) + 1, LEN(E6323))), E6323)</f>
        <v>northern Peru</v>
      </c>
    </row>
    <row r="6324" spans="1:8" x14ac:dyDescent="0.25">
      <c r="A6324" s="2">
        <v>19882</v>
      </c>
      <c r="B6324">
        <v>-3.6</v>
      </c>
      <c r="C6324">
        <v>152.5</v>
      </c>
      <c r="D6324" t="s">
        <v>14</v>
      </c>
      <c r="E6324" t="s">
        <v>183</v>
      </c>
      <c r="F6324">
        <f t="shared" si="196"/>
        <v>1954</v>
      </c>
      <c r="G6324">
        <f t="shared" si="197"/>
        <v>6</v>
      </c>
      <c r="H6324" t="str">
        <f>IF(ISNUMBER(FIND(",", E6324)), TRIM(MID(E6324, FIND(",", E6324) + 1, LEN(E6324))), E6324)</f>
        <v>Papua New Guinea</v>
      </c>
    </row>
    <row r="6325" spans="1:8" x14ac:dyDescent="0.25">
      <c r="A6325" s="2">
        <v>19881</v>
      </c>
      <c r="B6325">
        <v>-3.4</v>
      </c>
      <c r="C6325">
        <v>135.5</v>
      </c>
      <c r="D6325" t="s">
        <v>14</v>
      </c>
      <c r="E6325" t="s">
        <v>210</v>
      </c>
      <c r="F6325">
        <f t="shared" si="196"/>
        <v>1954</v>
      </c>
      <c r="G6325">
        <f t="shared" si="197"/>
        <v>6</v>
      </c>
      <c r="H6325" t="str">
        <f>IF(ISNUMBER(FIND(",", E6325)), TRIM(MID(E6325, FIND(",", E6325) + 1, LEN(E6325))), E6325)</f>
        <v>Indonesia</v>
      </c>
    </row>
    <row r="6326" spans="1:8" x14ac:dyDescent="0.25">
      <c r="A6326" s="2">
        <v>19858</v>
      </c>
      <c r="B6326">
        <v>36</v>
      </c>
      <c r="C6326">
        <v>137.4</v>
      </c>
      <c r="D6326" t="s">
        <v>14</v>
      </c>
      <c r="E6326" t="s">
        <v>293</v>
      </c>
      <c r="F6326">
        <f t="shared" si="196"/>
        <v>1954</v>
      </c>
      <c r="G6326">
        <f t="shared" si="197"/>
        <v>5</v>
      </c>
      <c r="H6326" t="str">
        <f>IF(ISNUMBER(FIND(",", E6326)), TRIM(MID(E6326, FIND(",", E6326) + 1, LEN(E6326))), E6326)</f>
        <v>Japan</v>
      </c>
    </row>
    <row r="6327" spans="1:8" x14ac:dyDescent="0.25">
      <c r="A6327" s="2">
        <v>19847</v>
      </c>
      <c r="B6327">
        <v>51.9</v>
      </c>
      <c r="C6327">
        <v>159.80000000000001</v>
      </c>
      <c r="D6327" t="s">
        <v>14</v>
      </c>
      <c r="E6327" t="s">
        <v>318</v>
      </c>
      <c r="F6327">
        <f t="shared" si="196"/>
        <v>1954</v>
      </c>
      <c r="G6327">
        <f t="shared" si="197"/>
        <v>5</v>
      </c>
      <c r="H6327" t="str">
        <f>IF(ISNUMBER(FIND(",", E6327)), TRIM(MID(E6327, FIND(",", E6327) + 1, LEN(E6327))), E6327)</f>
        <v>Russia</v>
      </c>
    </row>
    <row r="6328" spans="1:8" x14ac:dyDescent="0.25">
      <c r="A6328" s="2">
        <v>19844</v>
      </c>
      <c r="B6328">
        <v>39.192</v>
      </c>
      <c r="C6328">
        <v>22.190999999999999</v>
      </c>
      <c r="D6328" t="s">
        <v>14</v>
      </c>
      <c r="E6328" t="s">
        <v>478</v>
      </c>
      <c r="F6328">
        <f t="shared" si="196"/>
        <v>1954</v>
      </c>
      <c r="G6328">
        <f t="shared" si="197"/>
        <v>4</v>
      </c>
      <c r="H6328" t="str">
        <f>IF(ISNUMBER(FIND(",", E6328)), TRIM(MID(E6328, FIND(",", E6328) + 1, LEN(E6328))), E6328)</f>
        <v>Greece</v>
      </c>
    </row>
    <row r="6329" spans="1:8" x14ac:dyDescent="0.25">
      <c r="A6329" s="2">
        <v>19843</v>
      </c>
      <c r="B6329">
        <v>29.032</v>
      </c>
      <c r="C6329">
        <v>-112.967</v>
      </c>
      <c r="D6329" t="s">
        <v>16</v>
      </c>
      <c r="E6329" t="s">
        <v>362</v>
      </c>
      <c r="F6329">
        <f t="shared" si="196"/>
        <v>1954</v>
      </c>
      <c r="G6329">
        <f t="shared" si="197"/>
        <v>4</v>
      </c>
      <c r="H6329" t="str">
        <f>IF(ISNUMBER(FIND(",", E6329)), TRIM(MID(E6329, FIND(",", E6329) + 1, LEN(E6329))), E6329)</f>
        <v>Mexico</v>
      </c>
    </row>
    <row r="6330" spans="1:8" x14ac:dyDescent="0.25">
      <c r="A6330" s="2">
        <v>19843</v>
      </c>
      <c r="B6330">
        <v>28.9</v>
      </c>
      <c r="C6330">
        <v>-112.9</v>
      </c>
      <c r="D6330" t="s">
        <v>14</v>
      </c>
      <c r="E6330" t="s">
        <v>282</v>
      </c>
      <c r="F6330">
        <f t="shared" si="196"/>
        <v>1954</v>
      </c>
      <c r="G6330">
        <f t="shared" si="197"/>
        <v>4</v>
      </c>
      <c r="H6330" t="str">
        <f>IF(ISNUMBER(FIND(",", E6330)), TRIM(MID(E6330, FIND(",", E6330) + 1, LEN(E6330))), E6330)</f>
        <v>Gulf of California</v>
      </c>
    </row>
    <row r="6331" spans="1:8" x14ac:dyDescent="0.25">
      <c r="A6331" s="2">
        <v>19831</v>
      </c>
      <c r="B6331">
        <v>51.7</v>
      </c>
      <c r="C6331">
        <v>-179.4</v>
      </c>
      <c r="D6331" t="s">
        <v>14</v>
      </c>
      <c r="E6331" t="s">
        <v>207</v>
      </c>
      <c r="F6331">
        <f t="shared" si="196"/>
        <v>1954</v>
      </c>
      <c r="G6331">
        <f t="shared" si="197"/>
        <v>4</v>
      </c>
      <c r="H6331" t="str">
        <f>IF(ISNUMBER(FIND(",", E6331)), TRIM(MID(E6331, FIND(",", E6331) + 1, LEN(E6331))), E6331)</f>
        <v>Aleutian Islands, Alaska</v>
      </c>
    </row>
    <row r="6332" spans="1:8" x14ac:dyDescent="0.25">
      <c r="A6332" s="2">
        <v>19814</v>
      </c>
      <c r="B6332">
        <v>12.369</v>
      </c>
      <c r="C6332">
        <v>57.999000000000002</v>
      </c>
      <c r="D6332" t="s">
        <v>16</v>
      </c>
      <c r="E6332" t="s">
        <v>544</v>
      </c>
      <c r="F6332">
        <f t="shared" si="196"/>
        <v>1954</v>
      </c>
      <c r="G6332">
        <f t="shared" si="197"/>
        <v>3</v>
      </c>
      <c r="H6332" t="str">
        <f>IF(ISNUMBER(FIND(",", E6332)), TRIM(MID(E6332, FIND(",", E6332) + 1, LEN(E6332))), E6332)</f>
        <v>Owen Fracture Zone region</v>
      </c>
    </row>
    <row r="6333" spans="1:8" x14ac:dyDescent="0.25">
      <c r="A6333" s="2">
        <v>19812</v>
      </c>
      <c r="B6333">
        <v>37.008000000000003</v>
      </c>
      <c r="C6333">
        <v>-3.528</v>
      </c>
      <c r="D6333" t="s">
        <v>13</v>
      </c>
      <c r="E6333" t="s">
        <v>692</v>
      </c>
      <c r="F6333">
        <f t="shared" si="196"/>
        <v>1954</v>
      </c>
      <c r="G6333">
        <f t="shared" si="197"/>
        <v>3</v>
      </c>
      <c r="H6333" t="str">
        <f>IF(ISNUMBER(FIND(",", E6333)), TRIM(MID(E6333, FIND(",", E6333) + 1, LEN(E6333))), E6333)</f>
        <v>Spain</v>
      </c>
    </row>
    <row r="6334" spans="1:8" x14ac:dyDescent="0.25">
      <c r="A6334" s="2">
        <v>19811</v>
      </c>
      <c r="B6334">
        <v>39.1</v>
      </c>
      <c r="C6334">
        <v>41</v>
      </c>
      <c r="D6334" t="s">
        <v>17</v>
      </c>
      <c r="E6334" t="s">
        <v>272</v>
      </c>
      <c r="F6334">
        <f t="shared" si="196"/>
        <v>1954</v>
      </c>
      <c r="G6334">
        <f t="shared" si="197"/>
        <v>3</v>
      </c>
      <c r="H6334" t="str">
        <f>IF(ISNUMBER(FIND(",", E6334)), TRIM(MID(E6334, FIND(",", E6334) + 1, LEN(E6334))), E6334)</f>
        <v>eastern Turkey</v>
      </c>
    </row>
    <row r="6335" spans="1:8" x14ac:dyDescent="0.25">
      <c r="A6335" s="2">
        <v>19804</v>
      </c>
      <c r="B6335">
        <v>24.305</v>
      </c>
      <c r="C6335">
        <v>95.135999999999996</v>
      </c>
      <c r="D6335" t="s">
        <v>13</v>
      </c>
      <c r="E6335" t="s">
        <v>197</v>
      </c>
      <c r="F6335">
        <f t="shared" si="196"/>
        <v>1954</v>
      </c>
      <c r="G6335">
        <f t="shared" si="197"/>
        <v>3</v>
      </c>
      <c r="H6335" t="str">
        <f>IF(ISNUMBER(FIND(",", E6335)), TRIM(MID(E6335, FIND(",", E6335) + 1, LEN(E6335))), E6335)</f>
        <v>Myanmar</v>
      </c>
    </row>
    <row r="6336" spans="1:8" x14ac:dyDescent="0.25">
      <c r="A6336" s="2">
        <v>19786</v>
      </c>
      <c r="B6336">
        <v>-5.6669999999999998</v>
      </c>
      <c r="C6336">
        <v>142.53700000000001</v>
      </c>
      <c r="D6336" t="s">
        <v>14</v>
      </c>
      <c r="E6336" t="s">
        <v>253</v>
      </c>
      <c r="F6336">
        <f t="shared" si="196"/>
        <v>1954</v>
      </c>
      <c r="G6336">
        <f t="shared" si="197"/>
        <v>3</v>
      </c>
      <c r="H6336" t="str">
        <f>IF(ISNUMBER(FIND(",", E6336)), TRIM(MID(E6336, FIND(",", E6336) + 1, LEN(E6336))), E6336)</f>
        <v>Papua New Guinea</v>
      </c>
    </row>
    <row r="6337" spans="1:8" x14ac:dyDescent="0.25">
      <c r="A6337" s="2">
        <v>19777</v>
      </c>
      <c r="B6337">
        <v>-57.061</v>
      </c>
      <c r="C6337">
        <v>-26.853999999999999</v>
      </c>
      <c r="D6337" t="s">
        <v>13</v>
      </c>
      <c r="E6337" t="s">
        <v>260</v>
      </c>
      <c r="F6337">
        <f t="shared" si="196"/>
        <v>1954</v>
      </c>
      <c r="G6337">
        <f t="shared" si="197"/>
        <v>2</v>
      </c>
      <c r="H6337" t="str">
        <f>IF(ISNUMBER(FIND(",", E6337)), TRIM(MID(E6337, FIND(",", E6337) + 1, LEN(E6337))), E6337)</f>
        <v>South Sandwich Islands region</v>
      </c>
    </row>
    <row r="6338" spans="1:8" x14ac:dyDescent="0.25">
      <c r="A6338" s="2">
        <v>19775</v>
      </c>
      <c r="B6338">
        <v>-7.2329999999999997</v>
      </c>
      <c r="C6338">
        <v>124.364</v>
      </c>
      <c r="D6338" t="s">
        <v>13</v>
      </c>
      <c r="E6338" t="s">
        <v>187</v>
      </c>
      <c r="F6338">
        <f t="shared" ref="F6338:F6401" si="198">YEAR(A6338)</f>
        <v>1954</v>
      </c>
      <c r="G6338">
        <f t="shared" si="197"/>
        <v>2</v>
      </c>
      <c r="H6338" t="str">
        <f>IF(ISNUMBER(FIND(",", E6338)), TRIM(MID(E6338, FIND(",", E6338) + 1, LEN(E6338))), E6338)</f>
        <v>Banda Sea</v>
      </c>
    </row>
    <row r="6339" spans="1:8" x14ac:dyDescent="0.25">
      <c r="A6339" s="2">
        <v>19774</v>
      </c>
      <c r="B6339">
        <v>-30.193999999999999</v>
      </c>
      <c r="C6339">
        <v>-177.27600000000001</v>
      </c>
      <c r="D6339" t="s">
        <v>14</v>
      </c>
      <c r="E6339" t="s">
        <v>288</v>
      </c>
      <c r="F6339">
        <f t="shared" si="198"/>
        <v>1954</v>
      </c>
      <c r="G6339">
        <f t="shared" ref="G6339:G6402" si="199">MONTH(A6339)</f>
        <v>2</v>
      </c>
      <c r="H6339" t="str">
        <f>IF(ISNUMBER(FIND(",", E6339)), TRIM(MID(E6339, FIND(",", E6339) + 1, LEN(E6339))), E6339)</f>
        <v>New Zealand</v>
      </c>
    </row>
    <row r="6340" spans="1:8" x14ac:dyDescent="0.25">
      <c r="A6340" s="2">
        <v>19774</v>
      </c>
      <c r="B6340">
        <v>11.7</v>
      </c>
      <c r="C6340">
        <v>-86.9</v>
      </c>
      <c r="D6340" t="s">
        <v>14</v>
      </c>
      <c r="E6340" t="s">
        <v>448</v>
      </c>
      <c r="F6340">
        <f t="shared" si="198"/>
        <v>1954</v>
      </c>
      <c r="G6340">
        <f t="shared" si="199"/>
        <v>2</v>
      </c>
      <c r="H6340" t="str">
        <f>IF(ISNUMBER(FIND(",", E6340)), TRIM(MID(E6340, FIND(",", E6340) + 1, LEN(E6340))), E6340)</f>
        <v>near the coast of Nicaragua</v>
      </c>
    </row>
    <row r="6341" spans="1:8" x14ac:dyDescent="0.25">
      <c r="A6341" s="2">
        <v>19766</v>
      </c>
      <c r="B6341">
        <v>38.878</v>
      </c>
      <c r="C6341">
        <v>101.22499999999999</v>
      </c>
      <c r="D6341" t="s">
        <v>16</v>
      </c>
      <c r="E6341" t="s">
        <v>693</v>
      </c>
      <c r="F6341">
        <f t="shared" si="198"/>
        <v>1954</v>
      </c>
      <c r="G6341">
        <f t="shared" si="199"/>
        <v>2</v>
      </c>
      <c r="H6341" t="str">
        <f>IF(ISNUMBER(FIND(",", E6341)), TRIM(MID(E6341, FIND(",", E6341) + 1, LEN(E6341))), E6341)</f>
        <v>China</v>
      </c>
    </row>
    <row r="6342" spans="1:8" x14ac:dyDescent="0.25">
      <c r="A6342" s="2">
        <v>19760</v>
      </c>
      <c r="B6342">
        <v>-4.5999999999999996</v>
      </c>
      <c r="C6342">
        <v>153.5</v>
      </c>
      <c r="D6342" t="s">
        <v>14</v>
      </c>
      <c r="E6342" t="s">
        <v>183</v>
      </c>
      <c r="F6342">
        <f t="shared" si="198"/>
        <v>1954</v>
      </c>
      <c r="G6342">
        <f t="shared" si="199"/>
        <v>2</v>
      </c>
      <c r="H6342" t="str">
        <f>IF(ISNUMBER(FIND(",", E6342)), TRIM(MID(E6342, FIND(",", E6342) + 1, LEN(E6342))), E6342)</f>
        <v>Papua New Guinea</v>
      </c>
    </row>
    <row r="6343" spans="1:8" x14ac:dyDescent="0.25">
      <c r="A6343" s="2">
        <v>19756</v>
      </c>
      <c r="B6343">
        <v>24.279</v>
      </c>
      <c r="C6343">
        <v>143.98599999999999</v>
      </c>
      <c r="D6343" t="s">
        <v>14</v>
      </c>
      <c r="E6343" t="s">
        <v>519</v>
      </c>
      <c r="F6343">
        <f t="shared" si="198"/>
        <v>1954</v>
      </c>
      <c r="G6343">
        <f t="shared" si="199"/>
        <v>2</v>
      </c>
      <c r="H6343" t="str">
        <f>IF(ISNUMBER(FIND(",", E6343)), TRIM(MID(E6343, FIND(",", E6343) + 1, LEN(E6343))), E6343)</f>
        <v>Japan region</v>
      </c>
    </row>
    <row r="6344" spans="1:8" x14ac:dyDescent="0.25">
      <c r="A6344" s="2">
        <v>19737</v>
      </c>
      <c r="B6344">
        <v>-49</v>
      </c>
      <c r="C6344">
        <v>165.8</v>
      </c>
      <c r="D6344" t="s">
        <v>14</v>
      </c>
      <c r="E6344" t="s">
        <v>361</v>
      </c>
      <c r="F6344">
        <f t="shared" si="198"/>
        <v>1954</v>
      </c>
      <c r="G6344">
        <f t="shared" si="199"/>
        <v>1</v>
      </c>
      <c r="H6344" t="str">
        <f>IF(ISNUMBER(FIND(",", E6344)), TRIM(MID(E6344, FIND(",", E6344) + 1, LEN(E6344))), E6344)</f>
        <v>off the west coast of the South Island of New Zealand</v>
      </c>
    </row>
    <row r="6345" spans="1:8" x14ac:dyDescent="0.25">
      <c r="A6345" s="2">
        <v>19736</v>
      </c>
      <c r="B6345">
        <v>-48.2</v>
      </c>
      <c r="C6345">
        <v>164.2</v>
      </c>
      <c r="D6345" t="s">
        <v>14</v>
      </c>
      <c r="E6345" t="s">
        <v>361</v>
      </c>
      <c r="F6345">
        <f t="shared" si="198"/>
        <v>1954</v>
      </c>
      <c r="G6345">
        <f t="shared" si="199"/>
        <v>1</v>
      </c>
      <c r="H6345" t="str">
        <f>IF(ISNUMBER(FIND(",", E6345)), TRIM(MID(E6345, FIND(",", E6345) + 1, LEN(E6345))), E6345)</f>
        <v>off the west coast of the South Island of New Zealand</v>
      </c>
    </row>
    <row r="6346" spans="1:8" x14ac:dyDescent="0.25">
      <c r="A6346" s="2">
        <v>19736</v>
      </c>
      <c r="B6346">
        <v>-48.2</v>
      </c>
      <c r="C6346">
        <v>164.2</v>
      </c>
      <c r="D6346" t="s">
        <v>14</v>
      </c>
      <c r="E6346" t="s">
        <v>361</v>
      </c>
      <c r="F6346">
        <f t="shared" si="198"/>
        <v>1954</v>
      </c>
      <c r="G6346">
        <f t="shared" si="199"/>
        <v>1</v>
      </c>
      <c r="H6346" t="str">
        <f>IF(ISNUMBER(FIND(",", E6346)), TRIM(MID(E6346, FIND(",", E6346) + 1, LEN(E6346))), E6346)</f>
        <v>off the west coast of the South Island of New Zealand</v>
      </c>
    </row>
    <row r="6347" spans="1:8" x14ac:dyDescent="0.25">
      <c r="A6347" s="2">
        <v>19718</v>
      </c>
      <c r="B6347">
        <v>52.3</v>
      </c>
      <c r="C6347">
        <v>159.6</v>
      </c>
      <c r="D6347" t="s">
        <v>14</v>
      </c>
      <c r="E6347" t="s">
        <v>318</v>
      </c>
      <c r="F6347">
        <f t="shared" si="198"/>
        <v>1953</v>
      </c>
      <c r="G6347">
        <f t="shared" si="199"/>
        <v>12</v>
      </c>
      <c r="H6347" t="str">
        <f>IF(ISNUMBER(FIND(",", E6347)), TRIM(MID(E6347, FIND(",", E6347) + 1, LEN(E6347))), E6347)</f>
        <v>Russia</v>
      </c>
    </row>
    <row r="6348" spans="1:8" x14ac:dyDescent="0.25">
      <c r="A6348" s="2">
        <v>19705</v>
      </c>
      <c r="B6348">
        <v>-3.6190000000000002</v>
      </c>
      <c r="C6348">
        <v>-80.856999999999999</v>
      </c>
      <c r="D6348" t="s">
        <v>16</v>
      </c>
      <c r="E6348" t="s">
        <v>414</v>
      </c>
      <c r="F6348">
        <f t="shared" si="198"/>
        <v>1953</v>
      </c>
      <c r="G6348">
        <f t="shared" si="199"/>
        <v>12</v>
      </c>
      <c r="H6348" t="str">
        <f>IF(ISNUMBER(FIND(",", E6348)), TRIM(MID(E6348, FIND(",", E6348) + 1, LEN(E6348))), E6348)</f>
        <v>Peru-Ecuador border region</v>
      </c>
    </row>
    <row r="6349" spans="1:8" x14ac:dyDescent="0.25">
      <c r="A6349" s="2">
        <v>19700</v>
      </c>
      <c r="B6349">
        <v>-22.54</v>
      </c>
      <c r="C6349">
        <v>-68.831999999999994</v>
      </c>
      <c r="D6349" t="s">
        <v>13</v>
      </c>
      <c r="E6349" t="s">
        <v>289</v>
      </c>
      <c r="F6349">
        <f t="shared" si="198"/>
        <v>1953</v>
      </c>
      <c r="G6349">
        <f t="shared" si="199"/>
        <v>12</v>
      </c>
      <c r="H6349" t="str">
        <f>IF(ISNUMBER(FIND(",", E6349)), TRIM(MID(E6349, FIND(",", E6349) + 1, LEN(E6349))), E6349)</f>
        <v>Chile</v>
      </c>
    </row>
    <row r="6350" spans="1:8" x14ac:dyDescent="0.25">
      <c r="A6350" s="2">
        <v>19694</v>
      </c>
      <c r="B6350">
        <v>29.1</v>
      </c>
      <c r="C6350">
        <v>128.399</v>
      </c>
      <c r="D6350" t="s">
        <v>14</v>
      </c>
      <c r="E6350" t="s">
        <v>418</v>
      </c>
      <c r="F6350">
        <f t="shared" si="198"/>
        <v>1953</v>
      </c>
      <c r="G6350">
        <f t="shared" si="199"/>
        <v>12</v>
      </c>
      <c r="H6350" t="str">
        <f>IF(ISNUMBER(FIND(",", E6350)), TRIM(MID(E6350, FIND(",", E6350) + 1, LEN(E6350))), E6350)</f>
        <v>Japan</v>
      </c>
    </row>
    <row r="6351" spans="1:8" x14ac:dyDescent="0.25">
      <c r="A6351" s="2">
        <v>19689</v>
      </c>
      <c r="B6351">
        <v>34.75</v>
      </c>
      <c r="C6351">
        <v>141.75</v>
      </c>
      <c r="D6351" t="s">
        <v>14</v>
      </c>
      <c r="E6351" t="s">
        <v>189</v>
      </c>
      <c r="F6351">
        <f t="shared" si="198"/>
        <v>1953</v>
      </c>
      <c r="G6351">
        <f t="shared" si="199"/>
        <v>11</v>
      </c>
      <c r="H6351" t="str">
        <f>IF(ISNUMBER(FIND(",", E6351)), TRIM(MID(E6351, FIND(",", E6351) + 1, LEN(E6351))), E6351)</f>
        <v>Japan</v>
      </c>
    </row>
    <row r="6352" spans="1:8" x14ac:dyDescent="0.25">
      <c r="A6352" s="2">
        <v>19688</v>
      </c>
      <c r="B6352">
        <v>34.015000000000001</v>
      </c>
      <c r="C6352">
        <v>141.81700000000001</v>
      </c>
      <c r="D6352" t="s">
        <v>16</v>
      </c>
      <c r="E6352" t="s">
        <v>189</v>
      </c>
      <c r="F6352">
        <f t="shared" si="198"/>
        <v>1953</v>
      </c>
      <c r="G6352">
        <f t="shared" si="199"/>
        <v>11</v>
      </c>
      <c r="H6352" t="str">
        <f>IF(ISNUMBER(FIND(",", E6352)), TRIM(MID(E6352, FIND(",", E6352) + 1, LEN(E6352))), E6352)</f>
        <v>Japan</v>
      </c>
    </row>
    <row r="6353" spans="1:8" x14ac:dyDescent="0.25">
      <c r="A6353" s="2">
        <v>19680</v>
      </c>
      <c r="B6353">
        <v>13.395</v>
      </c>
      <c r="C6353">
        <v>-92.099000000000004</v>
      </c>
      <c r="D6353" t="s">
        <v>14</v>
      </c>
      <c r="E6353" t="s">
        <v>196</v>
      </c>
      <c r="F6353">
        <f t="shared" si="198"/>
        <v>1953</v>
      </c>
      <c r="G6353">
        <f t="shared" si="199"/>
        <v>11</v>
      </c>
      <c r="H6353" t="str">
        <f>IF(ISNUMBER(FIND(",", E6353)), TRIM(MID(E6353, FIND(",", E6353) + 1, LEN(E6353))), E6353)</f>
        <v>offshore Guatemala</v>
      </c>
    </row>
    <row r="6354" spans="1:8" x14ac:dyDescent="0.25">
      <c r="A6354" s="2">
        <v>19676</v>
      </c>
      <c r="B6354">
        <v>-13</v>
      </c>
      <c r="C6354">
        <v>166.4</v>
      </c>
      <c r="D6354" t="s">
        <v>14</v>
      </c>
      <c r="E6354" t="s">
        <v>211</v>
      </c>
      <c r="F6354">
        <f t="shared" si="198"/>
        <v>1953</v>
      </c>
      <c r="G6354">
        <f t="shared" si="199"/>
        <v>11</v>
      </c>
      <c r="H6354" t="str">
        <f>IF(ISNUMBER(FIND(",", E6354)), TRIM(MID(E6354, FIND(",", E6354) + 1, LEN(E6354))), E6354)</f>
        <v>Santa Cruz Islands</v>
      </c>
    </row>
    <row r="6355" spans="1:8" x14ac:dyDescent="0.25">
      <c r="A6355" s="2">
        <v>19673</v>
      </c>
      <c r="B6355">
        <v>51.116</v>
      </c>
      <c r="C6355">
        <v>157.499</v>
      </c>
      <c r="D6355" t="s">
        <v>13</v>
      </c>
      <c r="E6355" t="s">
        <v>225</v>
      </c>
      <c r="F6355">
        <f t="shared" si="198"/>
        <v>1953</v>
      </c>
      <c r="G6355">
        <f t="shared" si="199"/>
        <v>11</v>
      </c>
      <c r="H6355" t="str">
        <f>IF(ISNUMBER(FIND(",", E6355)), TRIM(MID(E6355, FIND(",", E6355) + 1, LEN(E6355))), E6355)</f>
        <v>Russia</v>
      </c>
    </row>
    <row r="6356" spans="1:8" x14ac:dyDescent="0.25">
      <c r="A6356" s="2">
        <v>19667</v>
      </c>
      <c r="B6356">
        <v>-13.006</v>
      </c>
      <c r="C6356">
        <v>166.34299999999999</v>
      </c>
      <c r="D6356" t="s">
        <v>16</v>
      </c>
      <c r="E6356" t="s">
        <v>181</v>
      </c>
      <c r="F6356">
        <f t="shared" si="198"/>
        <v>1953</v>
      </c>
      <c r="G6356">
        <f t="shared" si="199"/>
        <v>11</v>
      </c>
      <c r="H6356" t="str">
        <f>IF(ISNUMBER(FIND(",", E6356)), TRIM(MID(E6356, FIND(",", E6356) + 1, LEN(E6356))), E6356)</f>
        <v>Vanuatu</v>
      </c>
    </row>
    <row r="6357" spans="1:8" x14ac:dyDescent="0.25">
      <c r="A6357" s="2">
        <v>19659</v>
      </c>
      <c r="B6357">
        <v>-19.5</v>
      </c>
      <c r="C6357">
        <v>-66.5</v>
      </c>
      <c r="D6357" t="s">
        <v>14</v>
      </c>
      <c r="E6357" t="s">
        <v>472</v>
      </c>
      <c r="F6357">
        <f t="shared" si="198"/>
        <v>1953</v>
      </c>
      <c r="G6357">
        <f t="shared" si="199"/>
        <v>10</v>
      </c>
      <c r="H6357" t="str">
        <f>IF(ISNUMBER(FIND(",", E6357)), TRIM(MID(E6357, FIND(",", E6357) + 1, LEN(E6357))), E6357)</f>
        <v>Bolivia</v>
      </c>
    </row>
    <row r="6358" spans="1:8" x14ac:dyDescent="0.25">
      <c r="A6358" s="2">
        <v>19646</v>
      </c>
      <c r="B6358">
        <v>42.8</v>
      </c>
      <c r="C6358">
        <v>144.6</v>
      </c>
      <c r="D6358" t="s">
        <v>14</v>
      </c>
      <c r="E6358" t="s">
        <v>265</v>
      </c>
      <c r="F6358">
        <f t="shared" si="198"/>
        <v>1953</v>
      </c>
      <c r="G6358">
        <f t="shared" si="199"/>
        <v>10</v>
      </c>
      <c r="H6358" t="str">
        <f>IF(ISNUMBER(FIND(",", E6358)), TRIM(MID(E6358, FIND(",", E6358) + 1, LEN(E6358))), E6358)</f>
        <v>Japan region</v>
      </c>
    </row>
    <row r="6359" spans="1:8" x14ac:dyDescent="0.25">
      <c r="A6359" s="2">
        <v>19643</v>
      </c>
      <c r="B6359">
        <v>50</v>
      </c>
      <c r="C6359">
        <v>156.4</v>
      </c>
      <c r="D6359" t="s">
        <v>14</v>
      </c>
      <c r="E6359" t="s">
        <v>191</v>
      </c>
      <c r="F6359">
        <f t="shared" si="198"/>
        <v>1953</v>
      </c>
      <c r="G6359">
        <f t="shared" si="199"/>
        <v>10</v>
      </c>
      <c r="H6359" t="str">
        <f>IF(ISNUMBER(FIND(",", E6359)), TRIM(MID(E6359, FIND(",", E6359) + 1, LEN(E6359))), E6359)</f>
        <v>Kuril Islands</v>
      </c>
    </row>
    <row r="6360" spans="1:8" x14ac:dyDescent="0.25">
      <c r="A6360" s="2">
        <v>19637</v>
      </c>
      <c r="B6360">
        <v>54.1</v>
      </c>
      <c r="C6360">
        <v>161</v>
      </c>
      <c r="D6360" t="s">
        <v>14</v>
      </c>
      <c r="E6360" t="s">
        <v>225</v>
      </c>
      <c r="F6360">
        <f t="shared" si="198"/>
        <v>1953</v>
      </c>
      <c r="G6360">
        <f t="shared" si="199"/>
        <v>10</v>
      </c>
      <c r="H6360" t="str">
        <f>IF(ISNUMBER(FIND(",", E6360)), TRIM(MID(E6360, FIND(",", E6360) + 1, LEN(E6360))), E6360)</f>
        <v>Russia</v>
      </c>
    </row>
    <row r="6361" spans="1:8" x14ac:dyDescent="0.25">
      <c r="A6361" s="2">
        <v>19632</v>
      </c>
      <c r="B6361">
        <v>22</v>
      </c>
      <c r="C6361">
        <v>-107.5</v>
      </c>
      <c r="D6361" t="s">
        <v>14</v>
      </c>
      <c r="E6361" t="s">
        <v>694</v>
      </c>
      <c r="F6361">
        <f t="shared" si="198"/>
        <v>1953</v>
      </c>
      <c r="G6361">
        <f t="shared" si="199"/>
        <v>9</v>
      </c>
      <c r="H6361" t="str">
        <f>IF(ISNUMBER(FIND(",", E6361)), TRIM(MID(E6361, FIND(",", E6361) + 1, LEN(E6361))), E6361)</f>
        <v>Mexico</v>
      </c>
    </row>
    <row r="6362" spans="1:8" x14ac:dyDescent="0.25">
      <c r="A6362" s="2">
        <v>19631</v>
      </c>
      <c r="B6362">
        <v>-37.506</v>
      </c>
      <c r="C6362">
        <v>176.87899999999999</v>
      </c>
      <c r="D6362" t="s">
        <v>13</v>
      </c>
      <c r="E6362" t="s">
        <v>188</v>
      </c>
      <c r="F6362">
        <f t="shared" si="198"/>
        <v>1953</v>
      </c>
      <c r="G6362">
        <f t="shared" si="199"/>
        <v>9</v>
      </c>
      <c r="H6362" t="str">
        <f>IF(ISNUMBER(FIND(",", E6362)), TRIM(MID(E6362, FIND(",", E6362) + 1, LEN(E6362))), E6362)</f>
        <v>North Island of New Zealand</v>
      </c>
    </row>
    <row r="6363" spans="1:8" x14ac:dyDescent="0.25">
      <c r="A6363" s="2">
        <v>19625</v>
      </c>
      <c r="B6363">
        <v>50</v>
      </c>
      <c r="C6363">
        <v>156.4</v>
      </c>
      <c r="D6363" t="s">
        <v>14</v>
      </c>
      <c r="E6363" t="s">
        <v>191</v>
      </c>
      <c r="F6363">
        <f t="shared" si="198"/>
        <v>1953</v>
      </c>
      <c r="G6363">
        <f t="shared" si="199"/>
        <v>9</v>
      </c>
      <c r="H6363" t="str">
        <f>IF(ISNUMBER(FIND(",", E6363)), TRIM(MID(E6363, FIND(",", E6363) + 1, LEN(E6363))), E6363)</f>
        <v>Kuril Islands</v>
      </c>
    </row>
    <row r="6364" spans="1:8" x14ac:dyDescent="0.25">
      <c r="A6364" s="2">
        <v>19619</v>
      </c>
      <c r="B6364">
        <v>-20.5</v>
      </c>
      <c r="C6364">
        <v>-174</v>
      </c>
      <c r="D6364" t="s">
        <v>14</v>
      </c>
      <c r="E6364" t="s">
        <v>239</v>
      </c>
      <c r="F6364">
        <f t="shared" si="198"/>
        <v>1953</v>
      </c>
      <c r="G6364">
        <f t="shared" si="199"/>
        <v>9</v>
      </c>
      <c r="H6364" t="str">
        <f>IF(ISNUMBER(FIND(",", E6364)), TRIM(MID(E6364, FIND(",", E6364) + 1, LEN(E6364))), E6364)</f>
        <v>Tonga</v>
      </c>
    </row>
    <row r="6365" spans="1:8" x14ac:dyDescent="0.25">
      <c r="A6365" s="2">
        <v>19616</v>
      </c>
      <c r="B6365">
        <v>-18.3</v>
      </c>
      <c r="C6365">
        <v>178.2</v>
      </c>
      <c r="D6365" t="s">
        <v>17</v>
      </c>
      <c r="E6365" t="s">
        <v>348</v>
      </c>
      <c r="F6365">
        <f t="shared" si="198"/>
        <v>1953</v>
      </c>
      <c r="G6365">
        <f t="shared" si="199"/>
        <v>9</v>
      </c>
      <c r="H6365" t="str">
        <f>IF(ISNUMBER(FIND(",", E6365)), TRIM(MID(E6365, FIND(",", E6365) + 1, LEN(E6365))), E6365)</f>
        <v>Fiji</v>
      </c>
    </row>
    <row r="6366" spans="1:8" x14ac:dyDescent="0.25">
      <c r="A6366" s="2">
        <v>19606</v>
      </c>
      <c r="B6366">
        <v>50.6</v>
      </c>
      <c r="C6366">
        <v>156.69999999999999</v>
      </c>
      <c r="D6366" t="s">
        <v>14</v>
      </c>
      <c r="E6366" t="s">
        <v>191</v>
      </c>
      <c r="F6366">
        <f t="shared" si="198"/>
        <v>1953</v>
      </c>
      <c r="G6366">
        <f t="shared" si="199"/>
        <v>9</v>
      </c>
      <c r="H6366" t="str">
        <f>IF(ISNUMBER(FIND(",", E6366)), TRIM(MID(E6366, FIND(",", E6366) + 1, LEN(E6366))), E6366)</f>
        <v>Kuril Islands</v>
      </c>
    </row>
    <row r="6367" spans="1:8" x14ac:dyDescent="0.25">
      <c r="A6367" s="2">
        <v>19584</v>
      </c>
      <c r="B6367">
        <v>-21.5</v>
      </c>
      <c r="C6367">
        <v>170.2</v>
      </c>
      <c r="D6367" t="s">
        <v>14</v>
      </c>
      <c r="E6367" t="s">
        <v>254</v>
      </c>
      <c r="F6367">
        <f t="shared" si="198"/>
        <v>1953</v>
      </c>
      <c r="G6367">
        <f t="shared" si="199"/>
        <v>8</v>
      </c>
      <c r="H6367" t="str">
        <f>IF(ISNUMBER(FIND(",", E6367)), TRIM(MID(E6367, FIND(",", E6367) + 1, LEN(E6367))), E6367)</f>
        <v>southeast of the Loyalty Islands</v>
      </c>
    </row>
    <row r="6368" spans="1:8" x14ac:dyDescent="0.25">
      <c r="A6368" s="2">
        <v>19583</v>
      </c>
      <c r="B6368">
        <v>38.137</v>
      </c>
      <c r="C6368">
        <v>20.76</v>
      </c>
      <c r="D6368" t="s">
        <v>16</v>
      </c>
      <c r="E6368" t="s">
        <v>478</v>
      </c>
      <c r="F6368">
        <f t="shared" si="198"/>
        <v>1953</v>
      </c>
      <c r="G6368">
        <f t="shared" si="199"/>
        <v>8</v>
      </c>
      <c r="H6368" t="str">
        <f>IF(ISNUMBER(FIND(",", E6368)), TRIM(MID(E6368, FIND(",", E6368) + 1, LEN(E6368))), E6368)</f>
        <v>Greece</v>
      </c>
    </row>
    <row r="6369" spans="1:8" x14ac:dyDescent="0.25">
      <c r="A6369" s="2">
        <v>19582</v>
      </c>
      <c r="B6369">
        <v>38.299999999999997</v>
      </c>
      <c r="C6369">
        <v>20.8</v>
      </c>
      <c r="D6369" t="s">
        <v>14</v>
      </c>
      <c r="E6369" t="s">
        <v>478</v>
      </c>
      <c r="F6369">
        <f t="shared" si="198"/>
        <v>1953</v>
      </c>
      <c r="G6369">
        <f t="shared" si="199"/>
        <v>8</v>
      </c>
      <c r="H6369" t="str">
        <f>IF(ISNUMBER(FIND(",", E6369)), TRIM(MID(E6369, FIND(",", E6369) + 1, LEN(E6369))), E6369)</f>
        <v>Greece</v>
      </c>
    </row>
    <row r="6370" spans="1:8" x14ac:dyDescent="0.25">
      <c r="A6370" s="2">
        <v>19566</v>
      </c>
      <c r="B6370">
        <v>17.8</v>
      </c>
      <c r="C6370">
        <v>145.6</v>
      </c>
      <c r="D6370" t="s">
        <v>14</v>
      </c>
      <c r="E6370" t="s">
        <v>546</v>
      </c>
      <c r="F6370">
        <f t="shared" si="198"/>
        <v>1953</v>
      </c>
      <c r="G6370">
        <f t="shared" si="199"/>
        <v>7</v>
      </c>
      <c r="H6370" t="str">
        <f>IF(ISNUMBER(FIND(",", E6370)), TRIM(MID(E6370, FIND(",", E6370) + 1, LEN(E6370))), E6370)</f>
        <v>Northern Mariana Islands</v>
      </c>
    </row>
    <row r="6371" spans="1:8" x14ac:dyDescent="0.25">
      <c r="A6371" s="2">
        <v>19542</v>
      </c>
      <c r="B6371">
        <v>-19.225000000000001</v>
      </c>
      <c r="C6371">
        <v>169.602</v>
      </c>
      <c r="D6371" t="s">
        <v>13</v>
      </c>
      <c r="E6371" t="s">
        <v>181</v>
      </c>
      <c r="F6371">
        <f t="shared" si="198"/>
        <v>1953</v>
      </c>
      <c r="G6371">
        <f t="shared" si="199"/>
        <v>7</v>
      </c>
      <c r="H6371" t="str">
        <f>IF(ISNUMBER(FIND(",", E6371)), TRIM(MID(E6371, FIND(",", E6371) + 1, LEN(E6371))), E6371)</f>
        <v>Vanuatu</v>
      </c>
    </row>
    <row r="6372" spans="1:8" x14ac:dyDescent="0.25">
      <c r="A6372" s="2">
        <v>19536</v>
      </c>
      <c r="B6372">
        <v>-8.7769999999999992</v>
      </c>
      <c r="C6372">
        <v>124.005</v>
      </c>
      <c r="D6372" t="s">
        <v>14</v>
      </c>
      <c r="E6372" t="s">
        <v>462</v>
      </c>
      <c r="F6372">
        <f t="shared" si="198"/>
        <v>1953</v>
      </c>
      <c r="G6372">
        <f t="shared" si="199"/>
        <v>6</v>
      </c>
      <c r="H6372" t="str">
        <f>IF(ISNUMBER(FIND(",", E6372)), TRIM(MID(E6372, FIND(",", E6372) + 1, LEN(E6372))), E6372)</f>
        <v>Indonesia</v>
      </c>
    </row>
    <row r="6373" spans="1:8" x14ac:dyDescent="0.25">
      <c r="A6373" s="2">
        <v>19535</v>
      </c>
      <c r="B6373">
        <v>-8.8089999999999993</v>
      </c>
      <c r="C6373">
        <v>123.41200000000001</v>
      </c>
      <c r="D6373" t="s">
        <v>14</v>
      </c>
      <c r="E6373" t="s">
        <v>399</v>
      </c>
      <c r="F6373">
        <f t="shared" si="198"/>
        <v>1953</v>
      </c>
      <c r="G6373">
        <f t="shared" si="199"/>
        <v>6</v>
      </c>
      <c r="H6373" t="str">
        <f>IF(ISNUMBER(FIND(",", E6373)), TRIM(MID(E6373, FIND(",", E6373) + 1, LEN(E6373))), E6373)</f>
        <v>Indonesia</v>
      </c>
    </row>
    <row r="6374" spans="1:8" x14ac:dyDescent="0.25">
      <c r="A6374" s="2">
        <v>19535</v>
      </c>
      <c r="B6374">
        <v>-9.1999999999999993</v>
      </c>
      <c r="C6374">
        <v>123</v>
      </c>
      <c r="D6374" t="s">
        <v>14</v>
      </c>
      <c r="E6374" t="s">
        <v>468</v>
      </c>
      <c r="F6374">
        <f t="shared" si="198"/>
        <v>1953</v>
      </c>
      <c r="G6374">
        <f t="shared" si="199"/>
        <v>6</v>
      </c>
      <c r="H6374" t="str">
        <f>IF(ISNUMBER(FIND(",", E6374)), TRIM(MID(E6374, FIND(",", E6374) + 1, LEN(E6374))), E6374)</f>
        <v>South Pacific Ocean</v>
      </c>
    </row>
    <row r="6375" spans="1:8" x14ac:dyDescent="0.25">
      <c r="A6375" s="2">
        <v>19510</v>
      </c>
      <c r="B6375">
        <v>19.399999999999999</v>
      </c>
      <c r="C6375">
        <v>-70.400000000000006</v>
      </c>
      <c r="D6375" t="s">
        <v>14</v>
      </c>
      <c r="E6375" t="s">
        <v>477</v>
      </c>
      <c r="F6375">
        <f t="shared" si="198"/>
        <v>1953</v>
      </c>
      <c r="G6375">
        <f t="shared" si="199"/>
        <v>5</v>
      </c>
      <c r="H6375" t="str">
        <f>IF(ISNUMBER(FIND(",", E6375)), TRIM(MID(E6375, FIND(",", E6375) + 1, LEN(E6375))), E6375)</f>
        <v>Dominican Republic</v>
      </c>
    </row>
    <row r="6376" spans="1:8" x14ac:dyDescent="0.25">
      <c r="A6376" s="2">
        <v>19499</v>
      </c>
      <c r="B6376">
        <v>0.4</v>
      </c>
      <c r="C6376">
        <v>123.7</v>
      </c>
      <c r="D6376" t="s">
        <v>14</v>
      </c>
      <c r="E6376" t="s">
        <v>263</v>
      </c>
      <c r="F6376">
        <f t="shared" si="198"/>
        <v>1953</v>
      </c>
      <c r="G6376">
        <f t="shared" si="199"/>
        <v>5</v>
      </c>
      <c r="H6376" t="str">
        <f>IF(ISNUMBER(FIND(",", E6376)), TRIM(MID(E6376, FIND(",", E6376) + 1, LEN(E6376))), E6376)</f>
        <v>Sulawesi, Indonesia</v>
      </c>
    </row>
    <row r="6377" spans="1:8" x14ac:dyDescent="0.25">
      <c r="A6377" s="2">
        <v>19485</v>
      </c>
      <c r="B6377">
        <v>-36.901000000000003</v>
      </c>
      <c r="C6377">
        <v>-72.715999999999994</v>
      </c>
      <c r="D6377" t="s">
        <v>13</v>
      </c>
      <c r="E6377" t="s">
        <v>302</v>
      </c>
      <c r="F6377">
        <f t="shared" si="198"/>
        <v>1953</v>
      </c>
      <c r="G6377">
        <f t="shared" si="199"/>
        <v>5</v>
      </c>
      <c r="H6377" t="str">
        <f>IF(ISNUMBER(FIND(",", E6377)), TRIM(MID(E6377, FIND(",", E6377) + 1, LEN(E6377))), E6377)</f>
        <v>Chile</v>
      </c>
    </row>
    <row r="6378" spans="1:8" x14ac:dyDescent="0.25">
      <c r="A6378" s="2">
        <v>19479</v>
      </c>
      <c r="B6378">
        <v>-20.6</v>
      </c>
      <c r="C6378">
        <v>169</v>
      </c>
      <c r="D6378" t="s">
        <v>14</v>
      </c>
      <c r="E6378" t="s">
        <v>181</v>
      </c>
      <c r="F6378">
        <f t="shared" si="198"/>
        <v>1953</v>
      </c>
      <c r="G6378">
        <f t="shared" si="199"/>
        <v>4</v>
      </c>
      <c r="H6378" t="str">
        <f>IF(ISNUMBER(FIND(",", E6378)), TRIM(MID(E6378, FIND(",", E6378) + 1, LEN(E6378))), E6378)</f>
        <v>Vanuatu</v>
      </c>
    </row>
    <row r="6379" spans="1:8" x14ac:dyDescent="0.25">
      <c r="A6379" s="2">
        <v>19472</v>
      </c>
      <c r="B6379">
        <v>-4.4770000000000003</v>
      </c>
      <c r="C6379">
        <v>153.45599999999999</v>
      </c>
      <c r="D6379" t="s">
        <v>16</v>
      </c>
      <c r="E6379" t="s">
        <v>183</v>
      </c>
      <c r="F6379">
        <f t="shared" si="198"/>
        <v>1953</v>
      </c>
      <c r="G6379">
        <f t="shared" si="199"/>
        <v>4</v>
      </c>
      <c r="H6379" t="str">
        <f>IF(ISNUMBER(FIND(",", E6379)), TRIM(MID(E6379, FIND(",", E6379) + 1, LEN(E6379))), E6379)</f>
        <v>Papua New Guinea</v>
      </c>
    </row>
    <row r="6380" spans="1:8" x14ac:dyDescent="0.25">
      <c r="A6380" s="2">
        <v>19463</v>
      </c>
      <c r="B6380">
        <v>-8.1999999999999993</v>
      </c>
      <c r="C6380">
        <v>-71</v>
      </c>
      <c r="D6380" t="s">
        <v>14</v>
      </c>
      <c r="E6380" t="s">
        <v>326</v>
      </c>
      <c r="F6380">
        <f t="shared" si="198"/>
        <v>1953</v>
      </c>
      <c r="G6380">
        <f t="shared" si="199"/>
        <v>4</v>
      </c>
      <c r="H6380" t="str">
        <f>IF(ISNUMBER(FIND(",", E6380)), TRIM(MID(E6380, FIND(",", E6380) + 1, LEN(E6380))), E6380)</f>
        <v>Brazil</v>
      </c>
    </row>
    <row r="6381" spans="1:8" x14ac:dyDescent="0.25">
      <c r="A6381" s="2">
        <v>19437</v>
      </c>
      <c r="B6381">
        <v>14.061</v>
      </c>
      <c r="C6381">
        <v>-61.215000000000003</v>
      </c>
      <c r="D6381" t="s">
        <v>13</v>
      </c>
      <c r="E6381" t="s">
        <v>695</v>
      </c>
      <c r="F6381">
        <f t="shared" si="198"/>
        <v>1953</v>
      </c>
      <c r="G6381">
        <f t="shared" si="199"/>
        <v>3</v>
      </c>
      <c r="H6381" t="str">
        <f>IF(ISNUMBER(FIND(",", E6381)), TRIM(MID(E6381, FIND(",", E6381) + 1, LEN(E6381))), E6381)</f>
        <v>Windward Islands</v>
      </c>
    </row>
    <row r="6382" spans="1:8" x14ac:dyDescent="0.25">
      <c r="A6382" s="2">
        <v>19436</v>
      </c>
      <c r="B6382">
        <v>40.121000000000002</v>
      </c>
      <c r="C6382">
        <v>27.582000000000001</v>
      </c>
      <c r="D6382" t="s">
        <v>16</v>
      </c>
      <c r="E6382" t="s">
        <v>494</v>
      </c>
      <c r="F6382">
        <f t="shared" si="198"/>
        <v>1953</v>
      </c>
      <c r="G6382">
        <f t="shared" si="199"/>
        <v>3</v>
      </c>
      <c r="H6382" t="str">
        <f>IF(ISNUMBER(FIND(",", E6382)), TRIM(MID(E6382, FIND(",", E6382) + 1, LEN(E6382))), E6382)</f>
        <v>western Turkey</v>
      </c>
    </row>
    <row r="6383" spans="1:8" x14ac:dyDescent="0.25">
      <c r="A6383" s="2">
        <v>19421</v>
      </c>
      <c r="B6383">
        <v>-20.6</v>
      </c>
      <c r="C6383">
        <v>169</v>
      </c>
      <c r="D6383" t="s">
        <v>14</v>
      </c>
      <c r="E6383" t="s">
        <v>181</v>
      </c>
      <c r="F6383">
        <f t="shared" si="198"/>
        <v>1953</v>
      </c>
      <c r="G6383">
        <f t="shared" si="199"/>
        <v>3</v>
      </c>
      <c r="H6383" t="str">
        <f>IF(ISNUMBER(FIND(",", E6383)), TRIM(MID(E6383, FIND(",", E6383) + 1, LEN(E6383))), E6383)</f>
        <v>Vanuatu</v>
      </c>
    </row>
    <row r="6384" spans="1:8" x14ac:dyDescent="0.25">
      <c r="A6384" s="2">
        <v>19416</v>
      </c>
      <c r="B6384">
        <v>-10.944000000000001</v>
      </c>
      <c r="C6384">
        <v>164.09100000000001</v>
      </c>
      <c r="D6384" t="s">
        <v>16</v>
      </c>
      <c r="E6384" t="s">
        <v>396</v>
      </c>
      <c r="F6384">
        <f t="shared" si="198"/>
        <v>1953</v>
      </c>
      <c r="G6384">
        <f t="shared" si="199"/>
        <v>2</v>
      </c>
      <c r="H6384" t="str">
        <f>IF(ISNUMBER(FIND(",", E6384)), TRIM(MID(E6384, FIND(",", E6384) + 1, LEN(E6384))), E6384)</f>
        <v>Santa Cruz Islands region</v>
      </c>
    </row>
    <row r="6385" spans="1:8" x14ac:dyDescent="0.25">
      <c r="A6385" s="2">
        <v>19415</v>
      </c>
      <c r="B6385">
        <v>56</v>
      </c>
      <c r="C6385">
        <v>-156.19999999999999</v>
      </c>
      <c r="D6385" t="s">
        <v>14</v>
      </c>
      <c r="E6385" t="s">
        <v>285</v>
      </c>
      <c r="F6385">
        <f t="shared" si="198"/>
        <v>1953</v>
      </c>
      <c r="G6385">
        <f t="shared" si="199"/>
        <v>2</v>
      </c>
      <c r="H6385" t="str">
        <f>IF(ISNUMBER(FIND(",", E6385)), TRIM(MID(E6385, FIND(",", E6385) + 1, LEN(E6385))), E6385)</f>
        <v>Alaska Peninsula</v>
      </c>
    </row>
    <row r="6386" spans="1:8" x14ac:dyDescent="0.25">
      <c r="A6386" s="2">
        <v>19404</v>
      </c>
      <c r="B6386">
        <v>18.5</v>
      </c>
      <c r="C6386">
        <v>146</v>
      </c>
      <c r="D6386" t="s">
        <v>14</v>
      </c>
      <c r="E6386" t="s">
        <v>416</v>
      </c>
      <c r="F6386">
        <f t="shared" si="198"/>
        <v>1953</v>
      </c>
      <c r="G6386">
        <f t="shared" si="199"/>
        <v>2</v>
      </c>
      <c r="H6386" t="str">
        <f>IF(ISNUMBER(FIND(",", E6386)), TRIM(MID(E6386, FIND(",", E6386) + 1, LEN(E6386))), E6386)</f>
        <v>Northern Mariana Islands</v>
      </c>
    </row>
    <row r="6387" spans="1:8" x14ac:dyDescent="0.25">
      <c r="A6387" s="2">
        <v>19389</v>
      </c>
      <c r="B6387">
        <v>-11.9</v>
      </c>
      <c r="C6387">
        <v>166.8</v>
      </c>
      <c r="D6387" t="s">
        <v>14</v>
      </c>
      <c r="E6387" t="s">
        <v>211</v>
      </c>
      <c r="F6387">
        <f t="shared" si="198"/>
        <v>1953</v>
      </c>
      <c r="G6387">
        <f t="shared" si="199"/>
        <v>1</v>
      </c>
      <c r="H6387" t="str">
        <f>IF(ISNUMBER(FIND(",", E6387)), TRIM(MID(E6387, FIND(",", E6387) + 1, LEN(E6387))), E6387)</f>
        <v>Santa Cruz Islands</v>
      </c>
    </row>
    <row r="6388" spans="1:8" x14ac:dyDescent="0.25">
      <c r="A6388" s="2">
        <v>19371</v>
      </c>
      <c r="B6388">
        <v>50</v>
      </c>
      <c r="C6388">
        <v>156.4</v>
      </c>
      <c r="D6388" t="s">
        <v>14</v>
      </c>
      <c r="E6388" t="s">
        <v>191</v>
      </c>
      <c r="F6388">
        <f t="shared" si="198"/>
        <v>1953</v>
      </c>
      <c r="G6388">
        <f t="shared" si="199"/>
        <v>1</v>
      </c>
      <c r="H6388" t="str">
        <f>IF(ISNUMBER(FIND(",", E6388)), TRIM(MID(E6388, FIND(",", E6388) + 1, LEN(E6388))), E6388)</f>
        <v>Kuril Islands</v>
      </c>
    </row>
    <row r="6389" spans="1:8" x14ac:dyDescent="0.25">
      <c r="A6389" s="2">
        <v>19364</v>
      </c>
      <c r="B6389">
        <v>49.232999999999997</v>
      </c>
      <c r="C6389">
        <v>155.45500000000001</v>
      </c>
      <c r="D6389" t="s">
        <v>16</v>
      </c>
      <c r="E6389" t="s">
        <v>191</v>
      </c>
      <c r="F6389">
        <f t="shared" si="198"/>
        <v>1953</v>
      </c>
      <c r="G6389">
        <f t="shared" si="199"/>
        <v>1</v>
      </c>
      <c r="H6389" t="str">
        <f>IF(ISNUMBER(FIND(",", E6389)), TRIM(MID(E6389, FIND(",", E6389) + 1, LEN(E6389))), E6389)</f>
        <v>Kuril Islands</v>
      </c>
    </row>
    <row r="6390" spans="1:8" x14ac:dyDescent="0.25">
      <c r="A6390" s="2">
        <v>19364</v>
      </c>
      <c r="B6390">
        <v>53.482999999999997</v>
      </c>
      <c r="C6390">
        <v>171.23599999999999</v>
      </c>
      <c r="D6390" t="s">
        <v>16</v>
      </c>
      <c r="E6390" t="s">
        <v>184</v>
      </c>
      <c r="F6390">
        <f t="shared" si="198"/>
        <v>1953</v>
      </c>
      <c r="G6390">
        <f t="shared" si="199"/>
        <v>1</v>
      </c>
      <c r="H6390" t="str">
        <f>IF(ISNUMBER(FIND(",", E6390)), TRIM(MID(E6390, FIND(",", E6390) + 1, LEN(E6390))), E6390)</f>
        <v>Aleutian Islands, Alaska</v>
      </c>
    </row>
    <row r="6391" spans="1:8" x14ac:dyDescent="0.25">
      <c r="A6391" s="2">
        <v>19352</v>
      </c>
      <c r="B6391">
        <v>-5.4720000000000004</v>
      </c>
      <c r="C6391">
        <v>151.779</v>
      </c>
      <c r="D6391" t="s">
        <v>16</v>
      </c>
      <c r="E6391" t="s">
        <v>190</v>
      </c>
      <c r="F6391">
        <f t="shared" si="198"/>
        <v>1952</v>
      </c>
      <c r="G6391">
        <f t="shared" si="199"/>
        <v>12</v>
      </c>
      <c r="H6391" t="str">
        <f>IF(ISNUMBER(FIND(",", E6391)), TRIM(MID(E6391, FIND(",", E6391) + 1, LEN(E6391))), E6391)</f>
        <v>Papua New Guinea</v>
      </c>
    </row>
    <row r="6392" spans="1:8" x14ac:dyDescent="0.25">
      <c r="A6392" s="2">
        <v>19350</v>
      </c>
      <c r="B6392">
        <v>53.8</v>
      </c>
      <c r="C6392">
        <v>161.69999999999999</v>
      </c>
      <c r="D6392" t="s">
        <v>17</v>
      </c>
      <c r="E6392" t="s">
        <v>318</v>
      </c>
      <c r="F6392">
        <f t="shared" si="198"/>
        <v>1952</v>
      </c>
      <c r="G6392">
        <f t="shared" si="199"/>
        <v>12</v>
      </c>
      <c r="H6392" t="str">
        <f>IF(ISNUMBER(FIND(",", E6392)), TRIM(MID(E6392, FIND(",", E6392) + 1, LEN(E6392))), E6392)</f>
        <v>Russia</v>
      </c>
    </row>
    <row r="6393" spans="1:8" x14ac:dyDescent="0.25">
      <c r="A6393" s="2">
        <v>19345</v>
      </c>
      <c r="B6393">
        <v>34.4</v>
      </c>
      <c r="C6393">
        <v>24.5</v>
      </c>
      <c r="D6393" t="s">
        <v>17</v>
      </c>
      <c r="E6393" t="s">
        <v>296</v>
      </c>
      <c r="F6393">
        <f t="shared" si="198"/>
        <v>1952</v>
      </c>
      <c r="G6393">
        <f t="shared" si="199"/>
        <v>12</v>
      </c>
      <c r="H6393" t="str">
        <f>IF(ISNUMBER(FIND(",", E6393)), TRIM(MID(E6393, FIND(",", E6393) + 1, LEN(E6393))), E6393)</f>
        <v>Greece</v>
      </c>
    </row>
    <row r="6394" spans="1:8" x14ac:dyDescent="0.25">
      <c r="A6394" s="2">
        <v>19334</v>
      </c>
      <c r="B6394">
        <v>-8.2379999999999995</v>
      </c>
      <c r="C6394">
        <v>156.108</v>
      </c>
      <c r="D6394" t="s">
        <v>16</v>
      </c>
      <c r="E6394" t="s">
        <v>221</v>
      </c>
      <c r="F6394">
        <f t="shared" si="198"/>
        <v>1952</v>
      </c>
      <c r="G6394">
        <f t="shared" si="199"/>
        <v>12</v>
      </c>
      <c r="H6394" t="str">
        <f>IF(ISNUMBER(FIND(",", E6394)), TRIM(MID(E6394, FIND(",", E6394) + 1, LEN(E6394))), E6394)</f>
        <v>Solomon Islands</v>
      </c>
    </row>
    <row r="6395" spans="1:8" x14ac:dyDescent="0.25">
      <c r="A6395" s="2">
        <v>19327</v>
      </c>
      <c r="B6395">
        <v>56.3</v>
      </c>
      <c r="C6395">
        <v>-153.80000000000001</v>
      </c>
      <c r="D6395" t="s">
        <v>17</v>
      </c>
      <c r="E6395" t="s">
        <v>374</v>
      </c>
      <c r="F6395">
        <f t="shared" si="198"/>
        <v>1952</v>
      </c>
      <c r="G6395">
        <f t="shared" si="199"/>
        <v>11</v>
      </c>
      <c r="H6395" t="str">
        <f>IF(ISNUMBER(FIND(",", E6395)), TRIM(MID(E6395, FIND(",", E6395) + 1, LEN(E6395))), E6395)</f>
        <v>Alaska</v>
      </c>
    </row>
    <row r="6396" spans="1:8" x14ac:dyDescent="0.25">
      <c r="A6396" s="2">
        <v>19327</v>
      </c>
      <c r="B6396">
        <v>52.6</v>
      </c>
      <c r="C6396">
        <v>160.30000000000001</v>
      </c>
      <c r="D6396" t="s">
        <v>17</v>
      </c>
      <c r="E6396" t="s">
        <v>318</v>
      </c>
      <c r="F6396">
        <f t="shared" si="198"/>
        <v>1952</v>
      </c>
      <c r="G6396">
        <f t="shared" si="199"/>
        <v>11</v>
      </c>
      <c r="H6396" t="str">
        <f>IF(ISNUMBER(FIND(",", E6396)), TRIM(MID(E6396, FIND(",", E6396) + 1, LEN(E6396))), E6396)</f>
        <v>Russia</v>
      </c>
    </row>
    <row r="6397" spans="1:8" x14ac:dyDescent="0.25">
      <c r="A6397" s="2">
        <v>19304</v>
      </c>
      <c r="B6397">
        <v>-4.5449999999999999</v>
      </c>
      <c r="C6397">
        <v>144.816</v>
      </c>
      <c r="D6397" t="s">
        <v>16</v>
      </c>
      <c r="E6397" t="s">
        <v>216</v>
      </c>
      <c r="F6397">
        <f t="shared" si="198"/>
        <v>1952</v>
      </c>
      <c r="G6397">
        <f t="shared" si="199"/>
        <v>11</v>
      </c>
      <c r="H6397" t="str">
        <f>IF(ISNUMBER(FIND(",", E6397)), TRIM(MID(E6397, FIND(",", E6397) + 1, LEN(E6397))), E6397)</f>
        <v>Papua New Guinea</v>
      </c>
    </row>
    <row r="6398" spans="1:8" x14ac:dyDescent="0.25">
      <c r="A6398" s="2">
        <v>19302</v>
      </c>
      <c r="B6398">
        <v>52.756</v>
      </c>
      <c r="C6398">
        <v>160.05600000000001</v>
      </c>
      <c r="D6398" t="s">
        <v>16</v>
      </c>
      <c r="E6398" t="s">
        <v>318</v>
      </c>
      <c r="F6398">
        <f t="shared" si="198"/>
        <v>1952</v>
      </c>
      <c r="G6398">
        <f t="shared" si="199"/>
        <v>11</v>
      </c>
      <c r="H6398" t="str">
        <f>IF(ISNUMBER(FIND(",", E6398)), TRIM(MID(E6398, FIND(",", E6398) + 1, LEN(E6398))), E6398)</f>
        <v>Russia</v>
      </c>
    </row>
    <row r="6399" spans="1:8" x14ac:dyDescent="0.25">
      <c r="A6399" s="2">
        <v>19293</v>
      </c>
      <c r="B6399">
        <v>39.299999999999997</v>
      </c>
      <c r="C6399">
        <v>143.69999999999999</v>
      </c>
      <c r="D6399" t="s">
        <v>14</v>
      </c>
      <c r="E6399" t="s">
        <v>189</v>
      </c>
      <c r="F6399">
        <f t="shared" si="198"/>
        <v>1952</v>
      </c>
      <c r="G6399">
        <f t="shared" si="199"/>
        <v>10</v>
      </c>
      <c r="H6399" t="str">
        <f>IF(ISNUMBER(FIND(",", E6399)), TRIM(MID(E6399, FIND(",", E6399) + 1, LEN(E6399))), E6399)</f>
        <v>Japan</v>
      </c>
    </row>
    <row r="6400" spans="1:8" x14ac:dyDescent="0.25">
      <c r="A6400" s="2">
        <v>19270</v>
      </c>
      <c r="B6400">
        <v>6.7</v>
      </c>
      <c r="C6400">
        <v>-82.5</v>
      </c>
      <c r="D6400" t="s">
        <v>17</v>
      </c>
      <c r="E6400" t="s">
        <v>231</v>
      </c>
      <c r="F6400">
        <f t="shared" si="198"/>
        <v>1952</v>
      </c>
      <c r="G6400">
        <f t="shared" si="199"/>
        <v>10</v>
      </c>
      <c r="H6400" t="str">
        <f>IF(ISNUMBER(FIND(",", E6400)), TRIM(MID(E6400, FIND(",", E6400) + 1, LEN(E6400))), E6400)</f>
        <v>south of Panama</v>
      </c>
    </row>
    <row r="6401" spans="1:8" x14ac:dyDescent="0.25">
      <c r="A6401" s="2">
        <v>19264</v>
      </c>
      <c r="B6401">
        <v>50.2</v>
      </c>
      <c r="C6401">
        <v>157.30000000000001</v>
      </c>
      <c r="D6401" t="s">
        <v>17</v>
      </c>
      <c r="E6401" t="s">
        <v>191</v>
      </c>
      <c r="F6401">
        <f t="shared" si="198"/>
        <v>1952</v>
      </c>
      <c r="G6401">
        <f t="shared" si="199"/>
        <v>9</v>
      </c>
      <c r="H6401" t="str">
        <f>IF(ISNUMBER(FIND(",", E6401)), TRIM(MID(E6401, FIND(",", E6401) + 1, LEN(E6401))), E6401)</f>
        <v>Kuril Islands</v>
      </c>
    </row>
    <row r="6402" spans="1:8" x14ac:dyDescent="0.25">
      <c r="A6402" s="2">
        <v>19258</v>
      </c>
      <c r="B6402">
        <v>-22.23</v>
      </c>
      <c r="C6402">
        <v>-65.984999999999999</v>
      </c>
      <c r="D6402" t="s">
        <v>13</v>
      </c>
      <c r="E6402" t="s">
        <v>347</v>
      </c>
      <c r="F6402">
        <f t="shared" ref="F6402:F6465" si="200">YEAR(A6402)</f>
        <v>1952</v>
      </c>
      <c r="G6402">
        <f t="shared" si="199"/>
        <v>9</v>
      </c>
      <c r="H6402" t="str">
        <f>IF(ISNUMBER(FIND(",", E6402)), TRIM(MID(E6402, FIND(",", E6402) + 1, LEN(E6402))), E6402)</f>
        <v>Argentina</v>
      </c>
    </row>
    <row r="6403" spans="1:8" x14ac:dyDescent="0.25">
      <c r="A6403" s="2">
        <v>19248</v>
      </c>
      <c r="B6403">
        <v>-29.6</v>
      </c>
      <c r="C6403">
        <v>-177.1</v>
      </c>
      <c r="D6403" t="s">
        <v>17</v>
      </c>
      <c r="E6403" t="s">
        <v>288</v>
      </c>
      <c r="F6403">
        <f t="shared" si="200"/>
        <v>1952</v>
      </c>
      <c r="G6403">
        <f t="shared" ref="G6403:G6466" si="201">MONTH(A6403)</f>
        <v>9</v>
      </c>
      <c r="H6403" t="str">
        <f>IF(ISNUMBER(FIND(",", E6403)), TRIM(MID(E6403, FIND(",", E6403) + 1, LEN(E6403))), E6403)</f>
        <v>New Zealand</v>
      </c>
    </row>
    <row r="6404" spans="1:8" x14ac:dyDescent="0.25">
      <c r="A6404" s="2">
        <v>19246</v>
      </c>
      <c r="B6404">
        <v>9.1999999999999993</v>
      </c>
      <c r="C6404">
        <v>-84.2</v>
      </c>
      <c r="D6404" t="s">
        <v>17</v>
      </c>
      <c r="E6404" t="s">
        <v>202</v>
      </c>
      <c r="F6404">
        <f t="shared" si="200"/>
        <v>1952</v>
      </c>
      <c r="G6404">
        <f t="shared" si="201"/>
        <v>9</v>
      </c>
      <c r="H6404" t="str">
        <f>IF(ISNUMBER(FIND(",", E6404)), TRIM(MID(E6404, FIND(",", E6404) + 1, LEN(E6404))), E6404)</f>
        <v>Costa Rica</v>
      </c>
    </row>
    <row r="6405" spans="1:8" x14ac:dyDescent="0.25">
      <c r="A6405" s="2">
        <v>19223</v>
      </c>
      <c r="B6405">
        <v>30.81</v>
      </c>
      <c r="C6405">
        <v>91.625</v>
      </c>
      <c r="D6405" t="s">
        <v>16</v>
      </c>
      <c r="E6405" t="s">
        <v>386</v>
      </c>
      <c r="F6405">
        <f t="shared" si="200"/>
        <v>1952</v>
      </c>
      <c r="G6405">
        <f t="shared" si="201"/>
        <v>8</v>
      </c>
      <c r="H6405" t="str">
        <f>IF(ISNUMBER(FIND(",", E6405)), TRIM(MID(E6405, FIND(",", E6405) + 1, LEN(E6405))), E6405)</f>
        <v>eastern Xizang</v>
      </c>
    </row>
    <row r="6406" spans="1:8" x14ac:dyDescent="0.25">
      <c r="A6406" s="2">
        <v>19196</v>
      </c>
      <c r="B6406">
        <v>34.927</v>
      </c>
      <c r="C6406">
        <v>-119.06</v>
      </c>
      <c r="D6406" t="s">
        <v>16</v>
      </c>
      <c r="E6406" t="s">
        <v>464</v>
      </c>
      <c r="F6406">
        <f t="shared" si="200"/>
        <v>1952</v>
      </c>
      <c r="G6406">
        <f t="shared" si="201"/>
        <v>7</v>
      </c>
      <c r="H6406" t="str">
        <f>IF(ISNUMBER(FIND(",", E6406)), TRIM(MID(E6406, FIND(",", E6406) + 1, LEN(E6406))), E6406)</f>
        <v>Central California</v>
      </c>
    </row>
    <row r="6407" spans="1:8" x14ac:dyDescent="0.25">
      <c r="A6407" s="2">
        <v>19192</v>
      </c>
      <c r="B6407">
        <v>34.4</v>
      </c>
      <c r="C6407">
        <v>135.80000000000001</v>
      </c>
      <c r="D6407" t="s">
        <v>17</v>
      </c>
      <c r="E6407" t="s">
        <v>467</v>
      </c>
      <c r="F6407">
        <f t="shared" si="200"/>
        <v>1952</v>
      </c>
      <c r="G6407">
        <f t="shared" si="201"/>
        <v>7</v>
      </c>
      <c r="H6407" t="str">
        <f>IF(ISNUMBER(FIND(",", E6407)), TRIM(MID(E6407, FIND(",", E6407) + 1, LEN(E6407))), E6407)</f>
        <v>Japan</v>
      </c>
    </row>
    <row r="6408" spans="1:8" x14ac:dyDescent="0.25">
      <c r="A6408" s="2">
        <v>19188</v>
      </c>
      <c r="B6408">
        <v>-3.1</v>
      </c>
      <c r="C6408">
        <v>127.4</v>
      </c>
      <c r="D6408" t="s">
        <v>17</v>
      </c>
      <c r="E6408" t="s">
        <v>433</v>
      </c>
      <c r="F6408">
        <f t="shared" si="200"/>
        <v>1952</v>
      </c>
      <c r="G6408">
        <f t="shared" si="201"/>
        <v>7</v>
      </c>
      <c r="H6408" t="str">
        <f>IF(ISNUMBER(FIND(",", E6408)), TRIM(MID(E6408, FIND(",", E6408) + 1, LEN(E6408))), E6408)</f>
        <v>Indonesia</v>
      </c>
    </row>
    <row r="6409" spans="1:8" x14ac:dyDescent="0.25">
      <c r="A6409" s="2">
        <v>19188</v>
      </c>
      <c r="B6409">
        <v>-18.5</v>
      </c>
      <c r="C6409">
        <v>169.25</v>
      </c>
      <c r="D6409" t="s">
        <v>17</v>
      </c>
      <c r="E6409" t="s">
        <v>181</v>
      </c>
      <c r="F6409">
        <f t="shared" si="200"/>
        <v>1952</v>
      </c>
      <c r="G6409">
        <f t="shared" si="201"/>
        <v>7</v>
      </c>
      <c r="H6409" t="str">
        <f>IF(ISNUMBER(FIND(",", E6409)), TRIM(MID(E6409, FIND(",", E6409) + 1, LEN(E6409))), E6409)</f>
        <v>Vanuatu</v>
      </c>
    </row>
    <row r="6410" spans="1:8" x14ac:dyDescent="0.25">
      <c r="A6410" s="2">
        <v>19167</v>
      </c>
      <c r="B6410">
        <v>46.7</v>
      </c>
      <c r="C6410">
        <v>153.69999999999999</v>
      </c>
      <c r="D6410" t="s">
        <v>17</v>
      </c>
      <c r="E6410" t="s">
        <v>191</v>
      </c>
      <c r="F6410">
        <f t="shared" si="200"/>
        <v>1952</v>
      </c>
      <c r="G6410">
        <f t="shared" si="201"/>
        <v>6</v>
      </c>
      <c r="H6410" t="str">
        <f>IF(ISNUMBER(FIND(",", E6410)), TRIM(MID(E6410, FIND(",", E6410) + 1, LEN(E6410))), E6410)</f>
        <v>Kuril Islands</v>
      </c>
    </row>
    <row r="6411" spans="1:8" x14ac:dyDescent="0.25">
      <c r="A6411" s="2">
        <v>19156</v>
      </c>
      <c r="B6411">
        <v>-31.603000000000002</v>
      </c>
      <c r="C6411">
        <v>-68.52</v>
      </c>
      <c r="D6411" t="s">
        <v>14</v>
      </c>
      <c r="E6411" t="s">
        <v>339</v>
      </c>
      <c r="F6411">
        <f t="shared" si="200"/>
        <v>1952</v>
      </c>
      <c r="G6411">
        <f t="shared" si="201"/>
        <v>6</v>
      </c>
      <c r="H6411" t="str">
        <f>IF(ISNUMBER(FIND(",", E6411)), TRIM(MID(E6411, FIND(",", E6411) + 1, LEN(E6411))), E6411)</f>
        <v>Argentina</v>
      </c>
    </row>
    <row r="6412" spans="1:8" x14ac:dyDescent="0.25">
      <c r="A6412" s="2">
        <v>19142</v>
      </c>
      <c r="B6412">
        <v>35.4</v>
      </c>
      <c r="C6412">
        <v>135.80000000000001</v>
      </c>
      <c r="D6412" t="s">
        <v>17</v>
      </c>
      <c r="E6412" t="s">
        <v>502</v>
      </c>
      <c r="F6412">
        <f t="shared" si="200"/>
        <v>1952</v>
      </c>
      <c r="G6412">
        <f t="shared" si="201"/>
        <v>5</v>
      </c>
      <c r="H6412" t="str">
        <f>IF(ISNUMBER(FIND(",", E6412)), TRIM(MID(E6412, FIND(",", E6412) + 1, LEN(E6412))), E6412)</f>
        <v>Japan</v>
      </c>
    </row>
    <row r="6413" spans="1:8" x14ac:dyDescent="0.25">
      <c r="A6413" s="2">
        <v>19138</v>
      </c>
      <c r="B6413">
        <v>-20.5</v>
      </c>
      <c r="C6413">
        <v>-70.5</v>
      </c>
      <c r="D6413" t="s">
        <v>17</v>
      </c>
      <c r="E6413" t="s">
        <v>327</v>
      </c>
      <c r="F6413">
        <f t="shared" si="200"/>
        <v>1952</v>
      </c>
      <c r="G6413">
        <f t="shared" si="201"/>
        <v>5</v>
      </c>
      <c r="H6413" t="str">
        <f>IF(ISNUMBER(FIND(",", E6413)), TRIM(MID(E6413, FIND(",", E6413) + 1, LEN(E6413))), E6413)</f>
        <v>Chile</v>
      </c>
    </row>
    <row r="6414" spans="1:8" x14ac:dyDescent="0.25">
      <c r="A6414" s="2">
        <v>19133</v>
      </c>
      <c r="B6414">
        <v>42.2</v>
      </c>
      <c r="C6414">
        <v>143.9</v>
      </c>
      <c r="D6414" t="s">
        <v>17</v>
      </c>
      <c r="E6414" t="s">
        <v>265</v>
      </c>
      <c r="F6414">
        <f t="shared" si="200"/>
        <v>1952</v>
      </c>
      <c r="G6414">
        <f t="shared" si="201"/>
        <v>5</v>
      </c>
      <c r="H6414" t="str">
        <f>IF(ISNUMBER(FIND(",", E6414)), TRIM(MID(E6414, FIND(",", E6414) + 1, LEN(E6414))), E6414)</f>
        <v>Japan region</v>
      </c>
    </row>
    <row r="6415" spans="1:8" x14ac:dyDescent="0.25">
      <c r="A6415" s="2">
        <v>19130</v>
      </c>
      <c r="B6415">
        <v>6.7</v>
      </c>
      <c r="C6415">
        <v>-78.900000000000006</v>
      </c>
      <c r="D6415" t="s">
        <v>17</v>
      </c>
      <c r="E6415" t="s">
        <v>231</v>
      </c>
      <c r="F6415">
        <f t="shared" si="200"/>
        <v>1952</v>
      </c>
      <c r="G6415">
        <f t="shared" si="201"/>
        <v>5</v>
      </c>
      <c r="H6415" t="str">
        <f>IF(ISNUMBER(FIND(",", E6415)), TRIM(MID(E6415, FIND(",", E6415) + 1, LEN(E6415))), E6415)</f>
        <v>south of Panama</v>
      </c>
    </row>
    <row r="6416" spans="1:8" x14ac:dyDescent="0.25">
      <c r="A6416" s="2">
        <v>19127</v>
      </c>
      <c r="B6416">
        <v>10.3</v>
      </c>
      <c r="C6416">
        <v>-85.3</v>
      </c>
      <c r="D6416" t="s">
        <v>17</v>
      </c>
      <c r="E6416" t="s">
        <v>202</v>
      </c>
      <c r="F6416">
        <f t="shared" si="200"/>
        <v>1952</v>
      </c>
      <c r="G6416">
        <f t="shared" si="201"/>
        <v>5</v>
      </c>
      <c r="H6416" t="str">
        <f>IF(ISNUMBER(FIND(",", E6416)), TRIM(MID(E6416, FIND(",", E6416) + 1, LEN(E6416))), E6416)</f>
        <v>Costa Rica</v>
      </c>
    </row>
    <row r="6417" spans="1:8" x14ac:dyDescent="0.25">
      <c r="A6417" s="2">
        <v>19123</v>
      </c>
      <c r="B6417">
        <v>-6.5759999999999996</v>
      </c>
      <c r="C6417">
        <v>155.34800000000001</v>
      </c>
      <c r="D6417" t="s">
        <v>14</v>
      </c>
      <c r="E6417" t="s">
        <v>290</v>
      </c>
      <c r="F6417">
        <f t="shared" si="200"/>
        <v>1952</v>
      </c>
      <c r="G6417">
        <f t="shared" si="201"/>
        <v>5</v>
      </c>
      <c r="H6417" t="str">
        <f>IF(ISNUMBER(FIND(",", E6417)), TRIM(MID(E6417, FIND(",", E6417) + 1, LEN(E6417))), E6417)</f>
        <v>Papua New Guinea</v>
      </c>
    </row>
    <row r="6418" spans="1:8" x14ac:dyDescent="0.25">
      <c r="A6418" s="2">
        <v>19103</v>
      </c>
      <c r="B6418">
        <v>7.2</v>
      </c>
      <c r="C6418">
        <v>-72.099999999999994</v>
      </c>
      <c r="D6418" t="s">
        <v>17</v>
      </c>
      <c r="E6418" t="s">
        <v>696</v>
      </c>
      <c r="F6418">
        <f t="shared" si="200"/>
        <v>1952</v>
      </c>
      <c r="G6418">
        <f t="shared" si="201"/>
        <v>4</v>
      </c>
      <c r="H6418" t="str">
        <f>IF(ISNUMBER(FIND(",", E6418)), TRIM(MID(E6418, FIND(",", E6418) + 1, LEN(E6418))), E6418)</f>
        <v>Venezuela</v>
      </c>
    </row>
    <row r="6419" spans="1:8" x14ac:dyDescent="0.25">
      <c r="A6419" s="2">
        <v>19072</v>
      </c>
      <c r="B6419">
        <v>9.3290000000000006</v>
      </c>
      <c r="C6419">
        <v>126.88</v>
      </c>
      <c r="D6419" t="s">
        <v>16</v>
      </c>
      <c r="E6419" t="s">
        <v>200</v>
      </c>
      <c r="F6419">
        <f t="shared" si="200"/>
        <v>1952</v>
      </c>
      <c r="G6419">
        <f t="shared" si="201"/>
        <v>3</v>
      </c>
      <c r="H6419" t="str">
        <f>IF(ISNUMBER(FIND(",", E6419)), TRIM(MID(E6419, FIND(",", E6419) + 1, LEN(E6419))), E6419)</f>
        <v>Philippines</v>
      </c>
    </row>
    <row r="6420" spans="1:8" x14ac:dyDescent="0.25">
      <c r="A6420" s="2">
        <v>19072</v>
      </c>
      <c r="B6420">
        <v>39</v>
      </c>
      <c r="C6420">
        <v>125.5</v>
      </c>
      <c r="D6420" t="s">
        <v>14</v>
      </c>
      <c r="E6420" t="s">
        <v>576</v>
      </c>
      <c r="F6420">
        <f t="shared" si="200"/>
        <v>1952</v>
      </c>
      <c r="G6420">
        <f t="shared" si="201"/>
        <v>3</v>
      </c>
      <c r="H6420" t="str">
        <f>IF(ISNUMBER(FIND(",", E6420)), TRIM(MID(E6420, FIND(",", E6420) + 1, LEN(E6420))), E6420)</f>
        <v>North Korea</v>
      </c>
    </row>
    <row r="6421" spans="1:8" x14ac:dyDescent="0.25">
      <c r="A6421" s="2">
        <v>19066</v>
      </c>
      <c r="B6421">
        <v>28.5</v>
      </c>
      <c r="C6421">
        <v>127.3</v>
      </c>
      <c r="D6421" t="s">
        <v>14</v>
      </c>
      <c r="E6421" t="s">
        <v>418</v>
      </c>
      <c r="F6421">
        <f t="shared" si="200"/>
        <v>1952</v>
      </c>
      <c r="G6421">
        <f t="shared" si="201"/>
        <v>3</v>
      </c>
      <c r="H6421" t="str">
        <f>IF(ISNUMBER(FIND(",", E6421)), TRIM(MID(E6421, FIND(",", E6421) + 1, LEN(E6421))), E6421)</f>
        <v>Japan</v>
      </c>
    </row>
    <row r="6422" spans="1:8" x14ac:dyDescent="0.25">
      <c r="A6422" s="2">
        <v>19062</v>
      </c>
      <c r="B6422">
        <v>41.92</v>
      </c>
      <c r="C6422">
        <v>143.33799999999999</v>
      </c>
      <c r="D6422" t="s">
        <v>16</v>
      </c>
      <c r="E6422" t="s">
        <v>265</v>
      </c>
      <c r="F6422">
        <f t="shared" si="200"/>
        <v>1952</v>
      </c>
      <c r="G6422">
        <f t="shared" si="201"/>
        <v>3</v>
      </c>
      <c r="H6422" t="str">
        <f>IF(ISNUMBER(FIND(",", E6422)), TRIM(MID(E6422, FIND(",", E6422) + 1, LEN(E6422))), E6422)</f>
        <v>Japan region</v>
      </c>
    </row>
    <row r="6423" spans="1:8" x14ac:dyDescent="0.25">
      <c r="A6423" s="2">
        <v>19057</v>
      </c>
      <c r="B6423">
        <v>41.7</v>
      </c>
      <c r="C6423">
        <v>144.9</v>
      </c>
      <c r="D6423" t="s">
        <v>14</v>
      </c>
      <c r="E6423" t="s">
        <v>265</v>
      </c>
      <c r="F6423">
        <f t="shared" si="200"/>
        <v>1952</v>
      </c>
      <c r="G6423">
        <f t="shared" si="201"/>
        <v>3</v>
      </c>
      <c r="H6423" t="str">
        <f>IF(ISNUMBER(FIND(",", E6423)), TRIM(MID(E6423, FIND(",", E6423) + 1, LEN(E6423))), E6423)</f>
        <v>Japan region</v>
      </c>
    </row>
    <row r="6424" spans="1:8" x14ac:dyDescent="0.25">
      <c r="A6424" s="2">
        <v>19057</v>
      </c>
      <c r="B6424">
        <v>-10.5</v>
      </c>
      <c r="C6424">
        <v>162.1</v>
      </c>
      <c r="D6424" t="s">
        <v>17</v>
      </c>
      <c r="E6424" t="s">
        <v>221</v>
      </c>
      <c r="F6424">
        <f t="shared" si="200"/>
        <v>1952</v>
      </c>
      <c r="G6424">
        <f t="shared" si="201"/>
        <v>3</v>
      </c>
      <c r="H6424" t="str">
        <f>IF(ISNUMBER(FIND(",", E6424)), TRIM(MID(E6424, FIND(",", E6424) + 1, LEN(E6424))), E6424)</f>
        <v>Solomon Islands</v>
      </c>
    </row>
    <row r="6425" spans="1:8" x14ac:dyDescent="0.25">
      <c r="A6425" s="2">
        <v>19057</v>
      </c>
      <c r="B6425">
        <v>41.658999999999999</v>
      </c>
      <c r="C6425">
        <v>144.61799999999999</v>
      </c>
      <c r="D6425" t="s">
        <v>14</v>
      </c>
      <c r="E6425" t="s">
        <v>265</v>
      </c>
      <c r="F6425">
        <f t="shared" si="200"/>
        <v>1952</v>
      </c>
      <c r="G6425">
        <f t="shared" si="201"/>
        <v>3</v>
      </c>
      <c r="H6425" t="str">
        <f>IF(ISNUMBER(FIND(",", E6425)), TRIM(MID(E6425, FIND(",", E6425) + 1, LEN(E6425))), E6425)</f>
        <v>Japan region</v>
      </c>
    </row>
    <row r="6426" spans="1:8" x14ac:dyDescent="0.25">
      <c r="A6426" s="2">
        <v>19057</v>
      </c>
      <c r="B6426">
        <v>42.143999999999998</v>
      </c>
      <c r="C6426">
        <v>143.89599999999999</v>
      </c>
      <c r="D6426" t="s">
        <v>16</v>
      </c>
      <c r="E6426" t="s">
        <v>265</v>
      </c>
      <c r="F6426">
        <f t="shared" si="200"/>
        <v>1952</v>
      </c>
      <c r="G6426">
        <f t="shared" si="201"/>
        <v>3</v>
      </c>
      <c r="H6426" t="str">
        <f>IF(ISNUMBER(FIND(",", E6426)), TRIM(MID(E6426, FIND(",", E6426) + 1, LEN(E6426))), E6426)</f>
        <v>Japan region</v>
      </c>
    </row>
    <row r="6427" spans="1:8" x14ac:dyDescent="0.25">
      <c r="A6427" s="2">
        <v>19050</v>
      </c>
      <c r="B6427">
        <v>-14</v>
      </c>
      <c r="C6427">
        <v>-70.5</v>
      </c>
      <c r="D6427" t="s">
        <v>13</v>
      </c>
      <c r="E6427" t="s">
        <v>229</v>
      </c>
      <c r="F6427">
        <f t="shared" si="200"/>
        <v>1952</v>
      </c>
      <c r="G6427">
        <f t="shared" si="201"/>
        <v>2</v>
      </c>
      <c r="H6427" t="str">
        <f>IF(ISNUMBER(FIND(",", E6427)), TRIM(MID(E6427, FIND(",", E6427) + 1, LEN(E6427))), E6427)</f>
        <v>southern Peru</v>
      </c>
    </row>
    <row r="6428" spans="1:8" x14ac:dyDescent="0.25">
      <c r="A6428" s="2">
        <v>19049</v>
      </c>
      <c r="B6428">
        <v>-16.7</v>
      </c>
      <c r="C6428">
        <v>-173.5</v>
      </c>
      <c r="D6428" t="s">
        <v>17</v>
      </c>
      <c r="E6428" t="s">
        <v>239</v>
      </c>
      <c r="F6428">
        <f t="shared" si="200"/>
        <v>1952</v>
      </c>
      <c r="G6428">
        <f t="shared" si="201"/>
        <v>2</v>
      </c>
      <c r="H6428" t="str">
        <f>IF(ISNUMBER(FIND(",", E6428)), TRIM(MID(E6428, FIND(",", E6428) + 1, LEN(E6428))), E6428)</f>
        <v>Tonga</v>
      </c>
    </row>
    <row r="6429" spans="1:8" x14ac:dyDescent="0.25">
      <c r="A6429" s="2">
        <v>19038</v>
      </c>
      <c r="B6429">
        <v>7.3</v>
      </c>
      <c r="C6429">
        <v>-76.5</v>
      </c>
      <c r="D6429" t="s">
        <v>17</v>
      </c>
      <c r="E6429" t="s">
        <v>565</v>
      </c>
      <c r="F6429">
        <f t="shared" si="200"/>
        <v>1952</v>
      </c>
      <c r="G6429">
        <f t="shared" si="201"/>
        <v>2</v>
      </c>
      <c r="H6429" t="str">
        <f>IF(ISNUMBER(FIND(",", E6429)), TRIM(MID(E6429, FIND(",", E6429) + 1, LEN(E6429))), E6429)</f>
        <v>northern Colombia</v>
      </c>
    </row>
    <row r="6430" spans="1:8" x14ac:dyDescent="0.25">
      <c r="A6430" s="2">
        <v>19038</v>
      </c>
      <c r="B6430">
        <v>-7.766</v>
      </c>
      <c r="C6430">
        <v>126.61799999999999</v>
      </c>
      <c r="D6430" t="s">
        <v>16</v>
      </c>
      <c r="E6430" t="s">
        <v>49</v>
      </c>
      <c r="F6430">
        <f t="shared" si="200"/>
        <v>1952</v>
      </c>
      <c r="G6430">
        <f t="shared" si="201"/>
        <v>2</v>
      </c>
      <c r="H6430" t="str">
        <f>IF(ISNUMBER(FIND(",", E6430)), TRIM(MID(E6430, FIND(",", E6430) + 1, LEN(E6430))), E6430)</f>
        <v>Indonesia</v>
      </c>
    </row>
    <row r="6431" spans="1:8" x14ac:dyDescent="0.25">
      <c r="A6431" s="2">
        <v>19035</v>
      </c>
      <c r="B6431">
        <v>-5.5</v>
      </c>
      <c r="C6431">
        <v>110</v>
      </c>
      <c r="D6431" t="s">
        <v>17</v>
      </c>
      <c r="E6431" t="s">
        <v>556</v>
      </c>
      <c r="F6431">
        <f t="shared" si="200"/>
        <v>1952</v>
      </c>
      <c r="G6431">
        <f t="shared" si="201"/>
        <v>2</v>
      </c>
      <c r="H6431" t="str">
        <f>IF(ISNUMBER(FIND(",", E6431)), TRIM(MID(E6431, FIND(",", E6431) + 1, LEN(E6431))), E6431)</f>
        <v>Java Sea</v>
      </c>
    </row>
    <row r="6432" spans="1:8" x14ac:dyDescent="0.25">
      <c r="A6432" s="2">
        <v>19014</v>
      </c>
      <c r="B6432">
        <v>52.5</v>
      </c>
      <c r="C6432">
        <v>-167.5</v>
      </c>
      <c r="D6432" t="s">
        <v>17</v>
      </c>
      <c r="E6432" t="s">
        <v>219</v>
      </c>
      <c r="F6432">
        <f t="shared" si="200"/>
        <v>1952</v>
      </c>
      <c r="G6432">
        <f t="shared" si="201"/>
        <v>1</v>
      </c>
      <c r="H6432" t="str">
        <f>IF(ISNUMBER(FIND(",", E6432)), TRIM(MID(E6432, FIND(",", E6432) + 1, LEN(E6432))), E6432)</f>
        <v>Aleutian Islands, Alaska</v>
      </c>
    </row>
    <row r="6433" spans="1:8" x14ac:dyDescent="0.25">
      <c r="A6433" s="2">
        <v>19006</v>
      </c>
      <c r="B6433">
        <v>23</v>
      </c>
      <c r="C6433">
        <v>124.5</v>
      </c>
      <c r="D6433" t="s">
        <v>17</v>
      </c>
      <c r="E6433" t="s">
        <v>329</v>
      </c>
      <c r="F6433">
        <f t="shared" si="200"/>
        <v>1952</v>
      </c>
      <c r="G6433">
        <f t="shared" si="201"/>
        <v>1</v>
      </c>
      <c r="H6433" t="str">
        <f>IF(ISNUMBER(FIND(",", E6433)), TRIM(MID(E6433, FIND(",", E6433) + 1, LEN(E6433))), E6433)</f>
        <v>southeast of Taiwan</v>
      </c>
    </row>
    <row r="6434" spans="1:8" x14ac:dyDescent="0.25">
      <c r="A6434" s="2">
        <v>18990</v>
      </c>
      <c r="B6434">
        <v>16.899999999999999</v>
      </c>
      <c r="C6434">
        <v>-98.7</v>
      </c>
      <c r="D6434" t="s">
        <v>14</v>
      </c>
      <c r="E6434" t="s">
        <v>192</v>
      </c>
      <c r="F6434">
        <f t="shared" si="200"/>
        <v>1951</v>
      </c>
      <c r="G6434">
        <f t="shared" si="201"/>
        <v>12</v>
      </c>
      <c r="H6434" t="str">
        <f>IF(ISNUMBER(FIND(",", E6434)), TRIM(MID(E6434, FIND(",", E6434) + 1, LEN(E6434))), E6434)</f>
        <v>Mexico</v>
      </c>
    </row>
    <row r="6435" spans="1:8" x14ac:dyDescent="0.25">
      <c r="A6435" s="2">
        <v>18980</v>
      </c>
      <c r="B6435">
        <v>-19.3</v>
      </c>
      <c r="C6435">
        <v>-174.5</v>
      </c>
      <c r="D6435" t="s">
        <v>17</v>
      </c>
      <c r="E6435" t="s">
        <v>239</v>
      </c>
      <c r="F6435">
        <f t="shared" si="200"/>
        <v>1951</v>
      </c>
      <c r="G6435">
        <f t="shared" si="201"/>
        <v>12</v>
      </c>
      <c r="H6435" t="str">
        <f>IF(ISNUMBER(FIND(",", E6435)), TRIM(MID(E6435, FIND(",", E6435) + 1, LEN(E6435))), E6435)</f>
        <v>Tonga</v>
      </c>
    </row>
    <row r="6436" spans="1:8" x14ac:dyDescent="0.25">
      <c r="A6436" s="2">
        <v>18974</v>
      </c>
      <c r="B6436">
        <v>16.5</v>
      </c>
      <c r="C6436">
        <v>-96.9</v>
      </c>
      <c r="D6436" t="s">
        <v>17</v>
      </c>
      <c r="E6436" t="s">
        <v>251</v>
      </c>
      <c r="F6436">
        <f t="shared" si="200"/>
        <v>1951</v>
      </c>
      <c r="G6436">
        <f t="shared" si="201"/>
        <v>12</v>
      </c>
      <c r="H6436" t="str">
        <f>IF(ISNUMBER(FIND(",", E6436)), TRIM(MID(E6436, FIND(",", E6436) + 1, LEN(E6436))), E6436)</f>
        <v>Mexico</v>
      </c>
    </row>
    <row r="6437" spans="1:8" x14ac:dyDescent="0.25">
      <c r="A6437" s="2">
        <v>18970</v>
      </c>
      <c r="B6437">
        <v>-34.155000000000001</v>
      </c>
      <c r="C6437">
        <v>57.08</v>
      </c>
      <c r="D6437" t="s">
        <v>16</v>
      </c>
      <c r="E6437" t="s">
        <v>473</v>
      </c>
      <c r="F6437">
        <f t="shared" si="200"/>
        <v>1951</v>
      </c>
      <c r="G6437">
        <f t="shared" si="201"/>
        <v>12</v>
      </c>
      <c r="H6437" t="str">
        <f>IF(ISNUMBER(FIND(",", E6437)), TRIM(MID(E6437, FIND(",", E6437) + 1, LEN(E6437))), E6437)</f>
        <v>South Indian Ocean</v>
      </c>
    </row>
    <row r="6438" spans="1:8" x14ac:dyDescent="0.25">
      <c r="A6438" s="2">
        <v>18956</v>
      </c>
      <c r="B6438">
        <v>23.146999999999998</v>
      </c>
      <c r="C6438">
        <v>121.185</v>
      </c>
      <c r="D6438" t="s">
        <v>16</v>
      </c>
      <c r="E6438" t="s">
        <v>336</v>
      </c>
      <c r="F6438">
        <f t="shared" si="200"/>
        <v>1951</v>
      </c>
      <c r="G6438">
        <f t="shared" si="201"/>
        <v>11</v>
      </c>
      <c r="H6438" t="str">
        <f>IF(ISNUMBER(FIND(",", E6438)), TRIM(MID(E6438, FIND(",", E6438) + 1, LEN(E6438))), E6438)</f>
        <v>Taiwan</v>
      </c>
    </row>
    <row r="6439" spans="1:8" x14ac:dyDescent="0.25">
      <c r="A6439" s="2">
        <v>18950</v>
      </c>
      <c r="B6439">
        <v>30.899000000000001</v>
      </c>
      <c r="C6439">
        <v>91.358999999999995</v>
      </c>
      <c r="D6439" t="s">
        <v>16</v>
      </c>
      <c r="E6439" t="s">
        <v>386</v>
      </c>
      <c r="F6439">
        <f t="shared" si="200"/>
        <v>1951</v>
      </c>
      <c r="G6439">
        <f t="shared" si="201"/>
        <v>11</v>
      </c>
      <c r="H6439" t="str">
        <f>IF(ISNUMBER(FIND(",", E6439)), TRIM(MID(E6439, FIND(",", E6439) + 1, LEN(E6439))), E6439)</f>
        <v>eastern Xizang</v>
      </c>
    </row>
    <row r="6440" spans="1:8" x14ac:dyDescent="0.25">
      <c r="A6440" s="2">
        <v>18950</v>
      </c>
      <c r="B6440">
        <v>30.5</v>
      </c>
      <c r="C6440">
        <v>91.5</v>
      </c>
      <c r="D6440" t="s">
        <v>14</v>
      </c>
      <c r="E6440" t="s">
        <v>386</v>
      </c>
      <c r="F6440">
        <f t="shared" si="200"/>
        <v>1951</v>
      </c>
      <c r="G6440">
        <f t="shared" si="201"/>
        <v>11</v>
      </c>
      <c r="H6440" t="str">
        <f>IF(ISNUMBER(FIND(",", E6440)), TRIM(MID(E6440, FIND(",", E6440) + 1, LEN(E6440))), E6440)</f>
        <v>eastern Xizang</v>
      </c>
    </row>
    <row r="6441" spans="1:8" x14ac:dyDescent="0.25">
      <c r="A6441" s="2">
        <v>18941</v>
      </c>
      <c r="B6441">
        <v>-21.75</v>
      </c>
      <c r="C6441">
        <v>-68</v>
      </c>
      <c r="D6441" t="s">
        <v>17</v>
      </c>
      <c r="E6441" t="s">
        <v>472</v>
      </c>
      <c r="F6441">
        <f t="shared" si="200"/>
        <v>1951</v>
      </c>
      <c r="G6441">
        <f t="shared" si="201"/>
        <v>11</v>
      </c>
      <c r="H6441" t="str">
        <f>IF(ISNUMBER(FIND(",", E6441)), TRIM(MID(E6441, FIND(",", E6441) + 1, LEN(E6441))), E6441)</f>
        <v>Bolivia</v>
      </c>
    </row>
    <row r="6442" spans="1:8" x14ac:dyDescent="0.25">
      <c r="A6442" s="2">
        <v>18938</v>
      </c>
      <c r="B6442">
        <v>47.406999999999996</v>
      </c>
      <c r="C6442">
        <v>153.96100000000001</v>
      </c>
      <c r="D6442" t="s">
        <v>16</v>
      </c>
      <c r="E6442" t="s">
        <v>191</v>
      </c>
      <c r="F6442">
        <f t="shared" si="200"/>
        <v>1951</v>
      </c>
      <c r="G6442">
        <f t="shared" si="201"/>
        <v>11</v>
      </c>
      <c r="H6442" t="str">
        <f>IF(ISNUMBER(FIND(",", E6442)), TRIM(MID(E6442, FIND(",", E6442) + 1, LEN(E6442))), E6442)</f>
        <v>Kuril Islands</v>
      </c>
    </row>
    <row r="6443" spans="1:8" x14ac:dyDescent="0.25">
      <c r="A6443" s="2">
        <v>18929</v>
      </c>
      <c r="B6443">
        <v>-58</v>
      </c>
      <c r="C6443">
        <v>158</v>
      </c>
      <c r="D6443" t="s">
        <v>17</v>
      </c>
      <c r="E6443" t="s">
        <v>350</v>
      </c>
      <c r="F6443">
        <f t="shared" si="200"/>
        <v>1951</v>
      </c>
      <c r="G6443">
        <f t="shared" si="201"/>
        <v>10</v>
      </c>
      <c r="H6443" t="str">
        <f>IF(ISNUMBER(FIND(",", E6443)), TRIM(MID(E6443, FIND(",", E6443) + 1, LEN(E6443))), E6443)</f>
        <v>Macquarie Island region</v>
      </c>
    </row>
    <row r="6444" spans="1:8" x14ac:dyDescent="0.25">
      <c r="A6444" s="2">
        <v>18926</v>
      </c>
      <c r="B6444">
        <v>23</v>
      </c>
      <c r="C6444">
        <v>121.3</v>
      </c>
      <c r="D6444" t="s">
        <v>14</v>
      </c>
      <c r="E6444" t="s">
        <v>336</v>
      </c>
      <c r="F6444">
        <f t="shared" si="200"/>
        <v>1951</v>
      </c>
      <c r="G6444">
        <f t="shared" si="201"/>
        <v>10</v>
      </c>
      <c r="H6444" t="str">
        <f>IF(ISNUMBER(FIND(",", E6444)), TRIM(MID(E6444, FIND(",", E6444) + 1, LEN(E6444))), E6444)</f>
        <v>Taiwan</v>
      </c>
    </row>
    <row r="6445" spans="1:8" x14ac:dyDescent="0.25">
      <c r="A6445" s="2">
        <v>18923</v>
      </c>
      <c r="B6445">
        <v>23.9</v>
      </c>
      <c r="C6445">
        <v>121.7</v>
      </c>
      <c r="D6445" t="s">
        <v>14</v>
      </c>
      <c r="E6445" t="s">
        <v>336</v>
      </c>
      <c r="F6445">
        <f t="shared" si="200"/>
        <v>1951</v>
      </c>
      <c r="G6445">
        <f t="shared" si="201"/>
        <v>10</v>
      </c>
      <c r="H6445" t="str">
        <f>IF(ISNUMBER(FIND(",", E6445)), TRIM(MID(E6445, FIND(",", E6445) + 1, LEN(E6445))), E6445)</f>
        <v>Taiwan</v>
      </c>
    </row>
    <row r="6446" spans="1:8" x14ac:dyDescent="0.25">
      <c r="A6446" s="2">
        <v>18923</v>
      </c>
      <c r="B6446">
        <v>23.577999999999999</v>
      </c>
      <c r="C6446">
        <v>121.316</v>
      </c>
      <c r="D6446" t="s">
        <v>16</v>
      </c>
      <c r="E6446" t="s">
        <v>336</v>
      </c>
      <c r="F6446">
        <f t="shared" si="200"/>
        <v>1951</v>
      </c>
      <c r="G6446">
        <f t="shared" si="201"/>
        <v>10</v>
      </c>
      <c r="H6446" t="str">
        <f>IF(ISNUMBER(FIND(",", E6446)), TRIM(MID(E6446, FIND(",", E6446) + 1, LEN(E6446))), E6446)</f>
        <v>Taiwan</v>
      </c>
    </row>
    <row r="6447" spans="1:8" x14ac:dyDescent="0.25">
      <c r="A6447" s="2">
        <v>18923</v>
      </c>
      <c r="B6447">
        <v>23.9</v>
      </c>
      <c r="C6447">
        <v>121.7</v>
      </c>
      <c r="D6447" t="s">
        <v>14</v>
      </c>
      <c r="E6447" t="s">
        <v>336</v>
      </c>
      <c r="F6447">
        <f t="shared" si="200"/>
        <v>1951</v>
      </c>
      <c r="G6447">
        <f t="shared" si="201"/>
        <v>10</v>
      </c>
      <c r="H6447" t="str">
        <f>IF(ISNUMBER(FIND(",", E6447)), TRIM(MID(E6447, FIND(",", E6447) + 1, LEN(E6447))), E6447)</f>
        <v>Taiwan</v>
      </c>
    </row>
    <row r="6448" spans="1:8" x14ac:dyDescent="0.25">
      <c r="A6448" s="2">
        <v>18923</v>
      </c>
      <c r="B6448">
        <v>23.687999999999999</v>
      </c>
      <c r="C6448">
        <v>120.90900000000001</v>
      </c>
      <c r="D6448" t="s">
        <v>14</v>
      </c>
      <c r="E6448" t="s">
        <v>336</v>
      </c>
      <c r="F6448">
        <f t="shared" si="200"/>
        <v>1951</v>
      </c>
      <c r="G6448">
        <f t="shared" si="201"/>
        <v>10</v>
      </c>
      <c r="H6448" t="str">
        <f>IF(ISNUMBER(FIND(",", E6448)), TRIM(MID(E6448, FIND(",", E6448) + 1, LEN(E6448))), E6448)</f>
        <v>Taiwan</v>
      </c>
    </row>
    <row r="6449" spans="1:8" x14ac:dyDescent="0.25">
      <c r="A6449" s="2">
        <v>18923</v>
      </c>
      <c r="B6449">
        <v>23.687999999999999</v>
      </c>
      <c r="C6449">
        <v>121.19199999999999</v>
      </c>
      <c r="D6449" t="s">
        <v>16</v>
      </c>
      <c r="E6449" t="s">
        <v>336</v>
      </c>
      <c r="F6449">
        <f t="shared" si="200"/>
        <v>1951</v>
      </c>
      <c r="G6449">
        <f t="shared" si="201"/>
        <v>10</v>
      </c>
      <c r="H6449" t="str">
        <f>IF(ISNUMBER(FIND(",", E6449)), TRIM(MID(E6449, FIND(",", E6449) + 1, LEN(E6449))), E6449)</f>
        <v>Taiwan</v>
      </c>
    </row>
    <row r="6450" spans="1:8" x14ac:dyDescent="0.25">
      <c r="A6450" s="2">
        <v>18922</v>
      </c>
      <c r="B6450">
        <v>23.2</v>
      </c>
      <c r="C6450">
        <v>120.90900000000001</v>
      </c>
      <c r="D6450" t="s">
        <v>16</v>
      </c>
      <c r="E6450" t="s">
        <v>336</v>
      </c>
      <c r="F6450">
        <f t="shared" si="200"/>
        <v>1951</v>
      </c>
      <c r="G6450">
        <f t="shared" si="201"/>
        <v>10</v>
      </c>
      <c r="H6450" t="str">
        <f>IF(ISNUMBER(FIND(",", E6450)), TRIM(MID(E6450, FIND(",", E6450) + 1, LEN(E6450))), E6450)</f>
        <v>Taiwan</v>
      </c>
    </row>
    <row r="6451" spans="1:8" x14ac:dyDescent="0.25">
      <c r="A6451" s="2">
        <v>18919</v>
      </c>
      <c r="B6451">
        <v>41.6</v>
      </c>
      <c r="C6451">
        <v>142</v>
      </c>
      <c r="D6451" t="s">
        <v>14</v>
      </c>
      <c r="E6451" t="s">
        <v>265</v>
      </c>
      <c r="F6451">
        <f t="shared" si="200"/>
        <v>1951</v>
      </c>
      <c r="G6451">
        <f t="shared" si="201"/>
        <v>10</v>
      </c>
      <c r="H6451" t="str">
        <f>IF(ISNUMBER(FIND(",", E6451)), TRIM(MID(E6451, FIND(",", E6451) + 1, LEN(E6451))), E6451)</f>
        <v>Japan region</v>
      </c>
    </row>
    <row r="6452" spans="1:8" x14ac:dyDescent="0.25">
      <c r="A6452" s="2">
        <v>18912</v>
      </c>
      <c r="B6452">
        <v>-5.5</v>
      </c>
      <c r="C6452">
        <v>152</v>
      </c>
      <c r="D6452" t="s">
        <v>17</v>
      </c>
      <c r="E6452" t="s">
        <v>190</v>
      </c>
      <c r="F6452">
        <f t="shared" si="200"/>
        <v>1951</v>
      </c>
      <c r="G6452">
        <f t="shared" si="201"/>
        <v>10</v>
      </c>
      <c r="H6452" t="str">
        <f>IF(ISNUMBER(FIND(",", E6452)), TRIM(MID(E6452, FIND(",", E6452) + 1, LEN(E6452))), E6452)</f>
        <v>Papua New Guinea</v>
      </c>
    </row>
    <row r="6453" spans="1:8" x14ac:dyDescent="0.25">
      <c r="A6453" s="2">
        <v>18861</v>
      </c>
      <c r="B6453">
        <v>19.75</v>
      </c>
      <c r="C6453">
        <v>-156</v>
      </c>
      <c r="D6453" t="s">
        <v>17</v>
      </c>
      <c r="E6453" t="s">
        <v>436</v>
      </c>
      <c r="F6453">
        <f t="shared" si="200"/>
        <v>1951</v>
      </c>
      <c r="G6453">
        <f t="shared" si="201"/>
        <v>8</v>
      </c>
      <c r="H6453" t="str">
        <f>IF(ISNUMBER(FIND(",", E6453)), TRIM(MID(E6453, FIND(",", E6453) + 1, LEN(E6453))), E6453)</f>
        <v>Hawaii</v>
      </c>
    </row>
    <row r="6454" spans="1:8" x14ac:dyDescent="0.25">
      <c r="A6454" s="2">
        <v>18853</v>
      </c>
      <c r="B6454">
        <v>40.799999999999997</v>
      </c>
      <c r="C6454">
        <v>33.4</v>
      </c>
      <c r="D6454" t="s">
        <v>17</v>
      </c>
      <c r="E6454" t="s">
        <v>517</v>
      </c>
      <c r="F6454">
        <f t="shared" si="200"/>
        <v>1951</v>
      </c>
      <c r="G6454">
        <f t="shared" si="201"/>
        <v>8</v>
      </c>
      <c r="H6454" t="str">
        <f>IF(ISNUMBER(FIND(",", E6454)), TRIM(MID(E6454, FIND(",", E6454) + 1, LEN(E6454))), E6454)</f>
        <v>central Turkey</v>
      </c>
    </row>
    <row r="6455" spans="1:8" x14ac:dyDescent="0.25">
      <c r="A6455" s="2">
        <v>18827</v>
      </c>
      <c r="B6455">
        <v>1</v>
      </c>
      <c r="C6455">
        <v>-27</v>
      </c>
      <c r="D6455" t="s">
        <v>17</v>
      </c>
      <c r="E6455" t="s">
        <v>291</v>
      </c>
      <c r="F6455">
        <f t="shared" si="200"/>
        <v>1951</v>
      </c>
      <c r="G6455">
        <f t="shared" si="201"/>
        <v>7</v>
      </c>
      <c r="H6455" t="str">
        <f>IF(ISNUMBER(FIND(",", E6455)), TRIM(MID(E6455, FIND(",", E6455) + 1, LEN(E6455))), E6455)</f>
        <v>central Mid-Atlantic Ridge</v>
      </c>
    </row>
    <row r="6456" spans="1:8" x14ac:dyDescent="0.25">
      <c r="A6456" s="2">
        <v>18820</v>
      </c>
      <c r="B6456">
        <v>27.5</v>
      </c>
      <c r="C6456">
        <v>139.5</v>
      </c>
      <c r="D6456" t="s">
        <v>13</v>
      </c>
      <c r="E6456" t="s">
        <v>233</v>
      </c>
      <c r="F6456">
        <f t="shared" si="200"/>
        <v>1951</v>
      </c>
      <c r="G6456">
        <f t="shared" si="201"/>
        <v>7</v>
      </c>
      <c r="H6456" t="str">
        <f>IF(ISNUMBER(FIND(",", E6456)), TRIM(MID(E6456, FIND(",", E6456) + 1, LEN(E6456))), E6456)</f>
        <v>Japan region</v>
      </c>
    </row>
    <row r="6457" spans="1:8" x14ac:dyDescent="0.25">
      <c r="A6457" s="2">
        <v>18791</v>
      </c>
      <c r="B6457">
        <v>36.667999999999999</v>
      </c>
      <c r="C6457">
        <v>70.954999999999998</v>
      </c>
      <c r="D6457" t="s">
        <v>14</v>
      </c>
      <c r="E6457" t="s">
        <v>314</v>
      </c>
      <c r="F6457">
        <f t="shared" si="200"/>
        <v>1951</v>
      </c>
      <c r="G6457">
        <f t="shared" si="201"/>
        <v>6</v>
      </c>
      <c r="H6457" t="str">
        <f>IF(ISNUMBER(FIND(",", E6457)), TRIM(MID(E6457, FIND(",", E6457) + 1, LEN(E6457))), E6457)</f>
        <v>Afghanistan</v>
      </c>
    </row>
    <row r="6458" spans="1:8" x14ac:dyDescent="0.25">
      <c r="A6458" s="2">
        <v>18786</v>
      </c>
      <c r="B6458">
        <v>-28.5</v>
      </c>
      <c r="C6458">
        <v>-175.9</v>
      </c>
      <c r="D6458" t="s">
        <v>17</v>
      </c>
      <c r="E6458" t="s">
        <v>240</v>
      </c>
      <c r="F6458">
        <f t="shared" si="200"/>
        <v>1951</v>
      </c>
      <c r="G6458">
        <f t="shared" si="201"/>
        <v>6</v>
      </c>
      <c r="H6458" t="str">
        <f>IF(ISNUMBER(FIND(",", E6458)), TRIM(MID(E6458, FIND(",", E6458) + 1, LEN(E6458))), E6458)</f>
        <v>Kermadec Islands region</v>
      </c>
    </row>
    <row r="6459" spans="1:8" x14ac:dyDescent="0.25">
      <c r="A6459" s="2">
        <v>18785</v>
      </c>
      <c r="B6459">
        <v>71.3</v>
      </c>
      <c r="C6459">
        <v>-9.6999999999999993</v>
      </c>
      <c r="D6459" t="s">
        <v>17</v>
      </c>
      <c r="E6459" t="s">
        <v>214</v>
      </c>
      <c r="F6459">
        <f t="shared" si="200"/>
        <v>1951</v>
      </c>
      <c r="G6459">
        <f t="shared" si="201"/>
        <v>6</v>
      </c>
      <c r="H6459" t="str">
        <f>IF(ISNUMBER(FIND(",", E6459)), TRIM(MID(E6459, FIND(",", E6459) + 1, LEN(E6459))), E6459)</f>
        <v>Jan Mayen Island region</v>
      </c>
    </row>
    <row r="6460" spans="1:8" x14ac:dyDescent="0.25">
      <c r="A6460" s="2">
        <v>18784</v>
      </c>
      <c r="B6460">
        <v>29.75</v>
      </c>
      <c r="C6460">
        <v>131.75</v>
      </c>
      <c r="D6460" t="s">
        <v>17</v>
      </c>
      <c r="E6460" t="s">
        <v>324</v>
      </c>
      <c r="F6460">
        <f t="shared" si="200"/>
        <v>1951</v>
      </c>
      <c r="G6460">
        <f t="shared" si="201"/>
        <v>6</v>
      </c>
      <c r="H6460" t="str">
        <f>IF(ISNUMBER(FIND(",", E6460)), TRIM(MID(E6460, FIND(",", E6460) + 1, LEN(E6460))), E6460)</f>
        <v>Japan</v>
      </c>
    </row>
    <row r="6461" spans="1:8" x14ac:dyDescent="0.25">
      <c r="A6461" s="2">
        <v>18769</v>
      </c>
      <c r="B6461">
        <v>-5.9340000000000002</v>
      </c>
      <c r="C6461">
        <v>154.529</v>
      </c>
      <c r="D6461" t="s">
        <v>13</v>
      </c>
      <c r="E6461" t="s">
        <v>290</v>
      </c>
      <c r="F6461">
        <f t="shared" si="200"/>
        <v>1951</v>
      </c>
      <c r="G6461">
        <f t="shared" si="201"/>
        <v>5</v>
      </c>
      <c r="H6461" t="str">
        <f>IF(ISNUMBER(FIND(",", E6461)), TRIM(MID(E6461, FIND(",", E6461) + 1, LEN(E6461))), E6461)</f>
        <v>Papua New Guinea</v>
      </c>
    </row>
    <row r="6462" spans="1:8" x14ac:dyDescent="0.25">
      <c r="A6462" s="2">
        <v>18754</v>
      </c>
      <c r="B6462">
        <v>71.5</v>
      </c>
      <c r="C6462">
        <v>-9</v>
      </c>
      <c r="D6462" t="s">
        <v>17</v>
      </c>
      <c r="E6462" t="s">
        <v>214</v>
      </c>
      <c r="F6462">
        <f t="shared" si="200"/>
        <v>1951</v>
      </c>
      <c r="G6462">
        <f t="shared" si="201"/>
        <v>5</v>
      </c>
      <c r="H6462" t="str">
        <f>IF(ISNUMBER(FIND(",", E6462)), TRIM(MID(E6462, FIND(",", E6462) + 1, LEN(E6462))), E6462)</f>
        <v>Jan Mayen Island region</v>
      </c>
    </row>
    <row r="6463" spans="1:8" x14ac:dyDescent="0.25">
      <c r="A6463" s="2">
        <v>18749</v>
      </c>
      <c r="B6463">
        <v>-50.5</v>
      </c>
      <c r="C6463">
        <v>149</v>
      </c>
      <c r="D6463" t="s">
        <v>14</v>
      </c>
      <c r="E6463" t="s">
        <v>697</v>
      </c>
      <c r="F6463">
        <f t="shared" si="200"/>
        <v>1951</v>
      </c>
      <c r="G6463">
        <f t="shared" si="201"/>
        <v>5</v>
      </c>
      <c r="H6463" t="str">
        <f>IF(ISNUMBER(FIND(",", E6463)), TRIM(MID(E6463, FIND(",", E6463) + 1, LEN(E6463))), E6463)</f>
        <v>south of Tasmania</v>
      </c>
    </row>
    <row r="6464" spans="1:8" x14ac:dyDescent="0.25">
      <c r="A6464" s="2">
        <v>18734</v>
      </c>
      <c r="B6464">
        <v>31</v>
      </c>
      <c r="C6464">
        <v>138.5</v>
      </c>
      <c r="D6464" t="s">
        <v>17</v>
      </c>
      <c r="E6464" t="s">
        <v>88</v>
      </c>
      <c r="F6464">
        <f t="shared" si="200"/>
        <v>1951</v>
      </c>
      <c r="G6464">
        <f t="shared" si="201"/>
        <v>4</v>
      </c>
      <c r="H6464" t="str">
        <f>IF(ISNUMBER(FIND(",", E6464)), TRIM(MID(E6464, FIND(",", E6464) + 1, LEN(E6464))), E6464)</f>
        <v>Japan region</v>
      </c>
    </row>
    <row r="6465" spans="1:8" x14ac:dyDescent="0.25">
      <c r="A6465" s="2">
        <v>18732</v>
      </c>
      <c r="B6465">
        <v>-23.3</v>
      </c>
      <c r="C6465">
        <v>-66.400000000000006</v>
      </c>
      <c r="D6465" t="s">
        <v>17</v>
      </c>
      <c r="E6465" t="s">
        <v>347</v>
      </c>
      <c r="F6465">
        <f t="shared" si="200"/>
        <v>1951</v>
      </c>
      <c r="G6465">
        <f t="shared" si="201"/>
        <v>4</v>
      </c>
      <c r="H6465" t="str">
        <f>IF(ISNUMBER(FIND(",", E6465)), TRIM(MID(E6465, FIND(",", E6465) + 1, LEN(E6465))), E6465)</f>
        <v>Argentina</v>
      </c>
    </row>
    <row r="6466" spans="1:8" x14ac:dyDescent="0.25">
      <c r="A6466" s="2">
        <v>18728</v>
      </c>
      <c r="B6466">
        <v>-15.5</v>
      </c>
      <c r="C6466">
        <v>-173</v>
      </c>
      <c r="D6466" t="s">
        <v>17</v>
      </c>
      <c r="E6466" t="s">
        <v>352</v>
      </c>
      <c r="F6466">
        <f t="shared" ref="F6466:F6529" si="202">YEAR(A6466)</f>
        <v>1951</v>
      </c>
      <c r="G6466">
        <f t="shared" si="201"/>
        <v>4</v>
      </c>
      <c r="H6466" t="str">
        <f>IF(ISNUMBER(FIND(",", E6466)), TRIM(MID(E6466, FIND(",", E6466) + 1, LEN(E6466))), E6466)</f>
        <v>Samoa Islands region</v>
      </c>
    </row>
    <row r="6467" spans="1:8" x14ac:dyDescent="0.25">
      <c r="A6467" s="2">
        <v>18711</v>
      </c>
      <c r="B6467">
        <v>-10.6</v>
      </c>
      <c r="C6467">
        <v>165.5</v>
      </c>
      <c r="D6467" t="s">
        <v>17</v>
      </c>
      <c r="E6467" t="s">
        <v>211</v>
      </c>
      <c r="F6467">
        <f t="shared" si="202"/>
        <v>1951</v>
      </c>
      <c r="G6467">
        <f t="shared" ref="G6467:G6530" si="203">MONTH(A6467)</f>
        <v>3</v>
      </c>
      <c r="H6467" t="str">
        <f>IF(ISNUMBER(FIND(",", E6467)), TRIM(MID(E6467, FIND(",", E6467) + 1, LEN(E6467))), E6467)</f>
        <v>Santa Cruz Islands</v>
      </c>
    </row>
    <row r="6468" spans="1:8" x14ac:dyDescent="0.25">
      <c r="A6468" s="2">
        <v>18710</v>
      </c>
      <c r="B6468">
        <v>-30.5</v>
      </c>
      <c r="C6468">
        <v>180</v>
      </c>
      <c r="D6468" t="s">
        <v>13</v>
      </c>
      <c r="F6468">
        <f t="shared" si="202"/>
        <v>1951</v>
      </c>
      <c r="G6468">
        <f t="shared" si="203"/>
        <v>3</v>
      </c>
      <c r="H6468">
        <f>IF(ISNUMBER(FIND(",", E6468)), TRIM(MID(E6468, FIND(",", E6468) + 1, LEN(E6468))), E6468)</f>
        <v>0</v>
      </c>
    </row>
    <row r="6469" spans="1:8" x14ac:dyDescent="0.25">
      <c r="A6469" s="2">
        <v>18697</v>
      </c>
      <c r="B6469">
        <v>-15.231</v>
      </c>
      <c r="C6469">
        <v>167.42699999999999</v>
      </c>
      <c r="D6469" t="s">
        <v>13</v>
      </c>
      <c r="E6469" t="s">
        <v>181</v>
      </c>
      <c r="F6469">
        <f t="shared" si="202"/>
        <v>1951</v>
      </c>
      <c r="G6469">
        <f t="shared" si="203"/>
        <v>3</v>
      </c>
      <c r="H6469" t="str">
        <f>IF(ISNUMBER(FIND(",", E6469)), TRIM(MID(E6469, FIND(",", E6469) + 1, LEN(E6469))), E6469)</f>
        <v>Vanuatu</v>
      </c>
    </row>
    <row r="6470" spans="1:8" x14ac:dyDescent="0.25">
      <c r="A6470" s="2">
        <v>18696</v>
      </c>
      <c r="B6470">
        <v>-8.6999999999999993</v>
      </c>
      <c r="C6470">
        <v>124.1</v>
      </c>
      <c r="D6470" t="s">
        <v>17</v>
      </c>
      <c r="E6470" t="s">
        <v>462</v>
      </c>
      <c r="F6470">
        <f t="shared" si="202"/>
        <v>1951</v>
      </c>
      <c r="G6470">
        <f t="shared" si="203"/>
        <v>3</v>
      </c>
      <c r="H6470" t="str">
        <f>IF(ISNUMBER(FIND(",", E6470)), TRIM(MID(E6470, FIND(",", E6470) + 1, LEN(E6470))), E6470)</f>
        <v>Indonesia</v>
      </c>
    </row>
    <row r="6471" spans="1:8" x14ac:dyDescent="0.25">
      <c r="A6471" s="2">
        <v>18692</v>
      </c>
      <c r="B6471">
        <v>28.5</v>
      </c>
      <c r="C6471">
        <v>128</v>
      </c>
      <c r="D6471" t="s">
        <v>17</v>
      </c>
      <c r="E6471" t="s">
        <v>340</v>
      </c>
      <c r="F6471">
        <f t="shared" si="202"/>
        <v>1951</v>
      </c>
      <c r="G6471">
        <f t="shared" si="203"/>
        <v>3</v>
      </c>
      <c r="H6471" t="str">
        <f>IF(ISNUMBER(FIND(",", E6471)), TRIM(MID(E6471, FIND(",", E6471) + 1, LEN(E6471))), E6471)</f>
        <v>Japan</v>
      </c>
    </row>
    <row r="6472" spans="1:8" x14ac:dyDescent="0.25">
      <c r="A6472" s="2">
        <v>18691</v>
      </c>
      <c r="B6472">
        <v>-16</v>
      </c>
      <c r="C6472">
        <v>-74.5</v>
      </c>
      <c r="D6472" t="s">
        <v>17</v>
      </c>
      <c r="E6472" t="s">
        <v>499</v>
      </c>
      <c r="F6472">
        <f t="shared" si="202"/>
        <v>1951</v>
      </c>
      <c r="G6472">
        <f t="shared" si="203"/>
        <v>3</v>
      </c>
      <c r="H6472" t="str">
        <f>IF(ISNUMBER(FIND(",", E6472)), TRIM(MID(E6472, FIND(",", E6472) + 1, LEN(E6472))), E6472)</f>
        <v>near the coast of southern Peru</v>
      </c>
    </row>
    <row r="6473" spans="1:8" x14ac:dyDescent="0.25">
      <c r="A6473" s="2">
        <v>18676</v>
      </c>
      <c r="B6473">
        <v>-7.2060000000000004</v>
      </c>
      <c r="C6473">
        <v>145.90299999999999</v>
      </c>
      <c r="D6473" t="s">
        <v>13</v>
      </c>
      <c r="E6473" t="s">
        <v>698</v>
      </c>
      <c r="F6473">
        <f t="shared" si="202"/>
        <v>1951</v>
      </c>
      <c r="G6473">
        <f t="shared" si="203"/>
        <v>2</v>
      </c>
      <c r="H6473" t="str">
        <f>IF(ISNUMBER(FIND(",", E6473)), TRIM(MID(E6473, FIND(",", E6473) + 1, LEN(E6473))), E6473)</f>
        <v>Papua New Guinea</v>
      </c>
    </row>
    <row r="6474" spans="1:8" x14ac:dyDescent="0.25">
      <c r="A6474" s="2">
        <v>18672</v>
      </c>
      <c r="B6474">
        <v>55.689</v>
      </c>
      <c r="C6474">
        <v>-156.261</v>
      </c>
      <c r="D6474" t="s">
        <v>16</v>
      </c>
      <c r="E6474" t="s">
        <v>493</v>
      </c>
      <c r="F6474">
        <f t="shared" si="202"/>
        <v>1951</v>
      </c>
      <c r="G6474">
        <f t="shared" si="203"/>
        <v>2</v>
      </c>
      <c r="H6474" t="str">
        <f>IF(ISNUMBER(FIND(",", E6474)), TRIM(MID(E6474, FIND(",", E6474) + 1, LEN(E6474))), E6474)</f>
        <v>south of Alaska</v>
      </c>
    </row>
    <row r="6475" spans="1:8" x14ac:dyDescent="0.25">
      <c r="A6475" s="2">
        <v>18672</v>
      </c>
      <c r="B6475">
        <v>-15</v>
      </c>
      <c r="C6475">
        <v>-175.25</v>
      </c>
      <c r="D6475" t="s">
        <v>17</v>
      </c>
      <c r="E6475" t="s">
        <v>239</v>
      </c>
      <c r="F6475">
        <f t="shared" si="202"/>
        <v>1951</v>
      </c>
      <c r="G6475">
        <f t="shared" si="203"/>
        <v>2</v>
      </c>
      <c r="H6475" t="str">
        <f>IF(ISNUMBER(FIND(",", E6475)), TRIM(MID(E6475, FIND(",", E6475) + 1, LEN(E6475))), E6475)</f>
        <v>Tonga</v>
      </c>
    </row>
    <row r="6476" spans="1:8" x14ac:dyDescent="0.25">
      <c r="A6476" s="2">
        <v>18651</v>
      </c>
      <c r="B6476">
        <v>-55</v>
      </c>
      <c r="C6476">
        <v>-136.5</v>
      </c>
      <c r="D6476" t="s">
        <v>17</v>
      </c>
      <c r="E6476" t="s">
        <v>179</v>
      </c>
      <c r="F6476">
        <f t="shared" si="202"/>
        <v>1951</v>
      </c>
      <c r="G6476">
        <f t="shared" si="203"/>
        <v>1</v>
      </c>
      <c r="H6476" t="str">
        <f>IF(ISNUMBER(FIND(",", E6476)), TRIM(MID(E6476, FIND(",", E6476) + 1, LEN(E6476))), E6476)</f>
        <v>Pacific-Antarctic Ridge</v>
      </c>
    </row>
    <row r="6477" spans="1:8" x14ac:dyDescent="0.25">
      <c r="A6477" s="2">
        <v>18643</v>
      </c>
      <c r="B6477">
        <v>-14.9</v>
      </c>
      <c r="C6477">
        <v>167.1</v>
      </c>
      <c r="D6477" t="s">
        <v>17</v>
      </c>
      <c r="E6477" t="s">
        <v>181</v>
      </c>
      <c r="F6477">
        <f t="shared" si="202"/>
        <v>1951</v>
      </c>
      <c r="G6477">
        <f t="shared" si="203"/>
        <v>1</v>
      </c>
      <c r="H6477" t="str">
        <f>IF(ISNUMBER(FIND(",", E6477)), TRIM(MID(E6477, FIND(",", E6477) + 1, LEN(E6477))), E6477)</f>
        <v>Vanuatu</v>
      </c>
    </row>
    <row r="6478" spans="1:8" x14ac:dyDescent="0.25">
      <c r="A6478" s="2">
        <v>18636</v>
      </c>
      <c r="B6478">
        <v>-5</v>
      </c>
      <c r="C6478">
        <v>151</v>
      </c>
      <c r="D6478" t="s">
        <v>17</v>
      </c>
      <c r="E6478" t="s">
        <v>190</v>
      </c>
      <c r="F6478">
        <f t="shared" si="202"/>
        <v>1951</v>
      </c>
      <c r="G6478">
        <f t="shared" si="203"/>
        <v>1</v>
      </c>
      <c r="H6478" t="str">
        <f>IF(ISNUMBER(FIND(",", E6478)), TRIM(MID(E6478, FIND(",", E6478) + 1, LEN(E6478))), E6478)</f>
        <v>Papua New Guinea</v>
      </c>
    </row>
    <row r="6479" spans="1:8" x14ac:dyDescent="0.25">
      <c r="A6479" s="2">
        <v>18634</v>
      </c>
      <c r="B6479">
        <v>7.1040000000000001</v>
      </c>
      <c r="C6479">
        <v>-80.986000000000004</v>
      </c>
      <c r="D6479" t="s">
        <v>17</v>
      </c>
      <c r="E6479" t="s">
        <v>367</v>
      </c>
      <c r="F6479">
        <f t="shared" si="202"/>
        <v>1951</v>
      </c>
      <c r="G6479">
        <f t="shared" si="203"/>
        <v>1</v>
      </c>
      <c r="H6479" t="str">
        <f>IF(ISNUMBER(FIND(",", E6479)), TRIM(MID(E6479, FIND(",", E6479) + 1, LEN(E6479))), E6479)</f>
        <v>Panama</v>
      </c>
    </row>
    <row r="6480" spans="1:8" x14ac:dyDescent="0.25">
      <c r="A6480" s="2">
        <v>18634</v>
      </c>
      <c r="B6480">
        <v>36.5</v>
      </c>
      <c r="C6480">
        <v>71</v>
      </c>
      <c r="D6480" t="s">
        <v>17</v>
      </c>
      <c r="E6480" t="s">
        <v>314</v>
      </c>
      <c r="F6480">
        <f t="shared" si="202"/>
        <v>1951</v>
      </c>
      <c r="G6480">
        <f t="shared" si="203"/>
        <v>1</v>
      </c>
      <c r="H6480" t="str">
        <f>IF(ISNUMBER(FIND(",", E6480)), TRIM(MID(E6480, FIND(",", E6480) + 1, LEN(E6480))), E6480)</f>
        <v>Afghanistan</v>
      </c>
    </row>
    <row r="6481" spans="1:8" x14ac:dyDescent="0.25">
      <c r="A6481" s="2">
        <v>18633</v>
      </c>
      <c r="B6481">
        <v>7.1680000000000001</v>
      </c>
      <c r="C6481">
        <v>-80.805999999999997</v>
      </c>
      <c r="D6481" t="s">
        <v>17</v>
      </c>
      <c r="E6481" t="s">
        <v>367</v>
      </c>
      <c r="F6481">
        <f t="shared" si="202"/>
        <v>1951</v>
      </c>
      <c r="G6481">
        <f t="shared" si="203"/>
        <v>1</v>
      </c>
      <c r="H6481" t="str">
        <f>IF(ISNUMBER(FIND(",", E6481)), TRIM(MID(E6481, FIND(",", E6481) + 1, LEN(E6481))), E6481)</f>
        <v>Panama</v>
      </c>
    </row>
    <row r="6482" spans="1:8" x14ac:dyDescent="0.25">
      <c r="A6482" s="2">
        <v>18611</v>
      </c>
      <c r="B6482">
        <v>16.722000000000001</v>
      </c>
      <c r="C6482">
        <v>-98.227999999999994</v>
      </c>
      <c r="D6482" t="s">
        <v>16</v>
      </c>
      <c r="E6482" t="s">
        <v>192</v>
      </c>
      <c r="F6482">
        <f t="shared" si="202"/>
        <v>1950</v>
      </c>
      <c r="G6482">
        <f t="shared" si="203"/>
        <v>12</v>
      </c>
      <c r="H6482" t="str">
        <f>IF(ISNUMBER(FIND(",", E6482)), TRIM(MID(E6482, FIND(",", E6482) + 1, LEN(E6482))), E6482)</f>
        <v>Mexico</v>
      </c>
    </row>
    <row r="6483" spans="1:8" x14ac:dyDescent="0.25">
      <c r="A6483" s="2">
        <v>18611</v>
      </c>
      <c r="B6483">
        <v>-19.818000000000001</v>
      </c>
      <c r="C6483">
        <v>-175.81200000000001</v>
      </c>
      <c r="D6483" t="s">
        <v>13</v>
      </c>
      <c r="E6483" t="s">
        <v>239</v>
      </c>
      <c r="F6483">
        <f t="shared" si="202"/>
        <v>1950</v>
      </c>
      <c r="G6483">
        <f t="shared" si="203"/>
        <v>12</v>
      </c>
      <c r="H6483" t="str">
        <f>IF(ISNUMBER(FIND(",", E6483)), TRIM(MID(E6483, FIND(",", E6483) + 1, LEN(E6483))), E6483)</f>
        <v>Tonga</v>
      </c>
    </row>
    <row r="6484" spans="1:8" x14ac:dyDescent="0.25">
      <c r="A6484" s="2">
        <v>18607</v>
      </c>
      <c r="B6484">
        <v>-28.715</v>
      </c>
      <c r="C6484">
        <v>-178.79499999999999</v>
      </c>
      <c r="D6484" t="s">
        <v>13</v>
      </c>
      <c r="E6484" t="s">
        <v>240</v>
      </c>
      <c r="F6484">
        <f t="shared" si="202"/>
        <v>1950</v>
      </c>
      <c r="G6484">
        <f t="shared" si="203"/>
        <v>12</v>
      </c>
      <c r="H6484" t="str">
        <f>IF(ISNUMBER(FIND(",", E6484)), TRIM(MID(E6484, FIND(",", E6484) + 1, LEN(E6484))), E6484)</f>
        <v>Kermadec Islands region</v>
      </c>
    </row>
    <row r="6485" spans="1:8" x14ac:dyDescent="0.25">
      <c r="A6485" s="2">
        <v>18607</v>
      </c>
      <c r="B6485">
        <v>-14.407</v>
      </c>
      <c r="C6485">
        <v>-75.718000000000004</v>
      </c>
      <c r="D6485" t="s">
        <v>13</v>
      </c>
      <c r="E6485" t="s">
        <v>258</v>
      </c>
      <c r="F6485">
        <f t="shared" si="202"/>
        <v>1950</v>
      </c>
      <c r="G6485">
        <f t="shared" si="203"/>
        <v>12</v>
      </c>
      <c r="H6485" t="str">
        <f>IF(ISNUMBER(FIND(",", E6485)), TRIM(MID(E6485, FIND(",", E6485) + 1, LEN(E6485))), E6485)</f>
        <v>near the coast of central Peru</v>
      </c>
    </row>
    <row r="6486" spans="1:8" x14ac:dyDescent="0.25">
      <c r="A6486" s="2">
        <v>18606</v>
      </c>
      <c r="B6486">
        <v>-24.138999999999999</v>
      </c>
      <c r="C6486">
        <v>-67.805000000000007</v>
      </c>
      <c r="D6486" t="s">
        <v>13</v>
      </c>
      <c r="E6486" t="s">
        <v>289</v>
      </c>
      <c r="F6486">
        <f t="shared" si="202"/>
        <v>1950</v>
      </c>
      <c r="G6486">
        <f t="shared" si="203"/>
        <v>12</v>
      </c>
      <c r="H6486" t="str">
        <f>IF(ISNUMBER(FIND(",", E6486)), TRIM(MID(E6486, FIND(",", E6486) + 1, LEN(E6486))), E6486)</f>
        <v>Chile</v>
      </c>
    </row>
    <row r="6487" spans="1:8" x14ac:dyDescent="0.25">
      <c r="A6487" s="2">
        <v>18601</v>
      </c>
      <c r="B6487">
        <v>-4.92</v>
      </c>
      <c r="C6487">
        <v>153.79599999999999</v>
      </c>
      <c r="D6487" t="s">
        <v>13</v>
      </c>
      <c r="E6487" t="s">
        <v>183</v>
      </c>
      <c r="F6487">
        <f t="shared" si="202"/>
        <v>1950</v>
      </c>
      <c r="G6487">
        <f t="shared" si="203"/>
        <v>12</v>
      </c>
      <c r="H6487" t="str">
        <f>IF(ISNUMBER(FIND(",", E6487)), TRIM(MID(E6487, FIND(",", E6487) + 1, LEN(E6487))), E6487)</f>
        <v>Papua New Guinea</v>
      </c>
    </row>
    <row r="6488" spans="1:8" x14ac:dyDescent="0.25">
      <c r="A6488" s="2">
        <v>18600</v>
      </c>
      <c r="B6488">
        <v>-18</v>
      </c>
      <c r="C6488">
        <v>167.7</v>
      </c>
      <c r="D6488" t="s">
        <v>17</v>
      </c>
      <c r="E6488" t="s">
        <v>181</v>
      </c>
      <c r="F6488">
        <f t="shared" si="202"/>
        <v>1950</v>
      </c>
      <c r="G6488">
        <f t="shared" si="203"/>
        <v>12</v>
      </c>
      <c r="H6488" t="str">
        <f>IF(ISNUMBER(FIND(",", E6488)), TRIM(MID(E6488, FIND(",", E6488) + 1, LEN(E6488))), E6488)</f>
        <v>Vanuatu</v>
      </c>
    </row>
    <row r="6489" spans="1:8" x14ac:dyDescent="0.25">
      <c r="A6489" s="2">
        <v>18599</v>
      </c>
      <c r="B6489">
        <v>-18.25</v>
      </c>
      <c r="C6489">
        <v>167.5</v>
      </c>
      <c r="D6489" t="s">
        <v>17</v>
      </c>
      <c r="E6489" t="s">
        <v>181</v>
      </c>
      <c r="F6489">
        <f t="shared" si="202"/>
        <v>1950</v>
      </c>
      <c r="G6489">
        <f t="shared" si="203"/>
        <v>12</v>
      </c>
      <c r="H6489" t="str">
        <f>IF(ISNUMBER(FIND(",", E6489)), TRIM(MID(E6489, FIND(",", E6489) + 1, LEN(E6489))), E6489)</f>
        <v>Vanuatu</v>
      </c>
    </row>
    <row r="6490" spans="1:8" x14ac:dyDescent="0.25">
      <c r="A6490" s="2">
        <v>18599</v>
      </c>
      <c r="B6490">
        <v>-18.242000000000001</v>
      </c>
      <c r="C6490">
        <v>167.29</v>
      </c>
      <c r="D6490" t="s">
        <v>14</v>
      </c>
      <c r="E6490" t="s">
        <v>181</v>
      </c>
      <c r="F6490">
        <f t="shared" si="202"/>
        <v>1950</v>
      </c>
      <c r="G6490">
        <f t="shared" si="203"/>
        <v>12</v>
      </c>
      <c r="H6490" t="str">
        <f>IF(ISNUMBER(FIND(",", E6490)), TRIM(MID(E6490, FIND(",", E6490) + 1, LEN(E6490))), E6490)</f>
        <v>Vanuatu</v>
      </c>
    </row>
    <row r="6491" spans="1:8" x14ac:dyDescent="0.25">
      <c r="A6491" s="2">
        <v>18599</v>
      </c>
      <c r="B6491">
        <v>-8.1999999999999993</v>
      </c>
      <c r="C6491">
        <v>-71</v>
      </c>
      <c r="D6491" t="s">
        <v>17</v>
      </c>
      <c r="E6491" t="s">
        <v>326</v>
      </c>
      <c r="F6491">
        <f t="shared" si="202"/>
        <v>1950</v>
      </c>
      <c r="G6491">
        <f t="shared" si="203"/>
        <v>12</v>
      </c>
      <c r="H6491" t="str">
        <f>IF(ISNUMBER(FIND(",", E6491)), TRIM(MID(E6491, FIND(",", E6491) + 1, LEN(E6491))), E6491)</f>
        <v>Brazil</v>
      </c>
    </row>
    <row r="6492" spans="1:8" x14ac:dyDescent="0.25">
      <c r="A6492" s="2">
        <v>18598</v>
      </c>
      <c r="B6492">
        <v>14</v>
      </c>
      <c r="C6492">
        <v>-47.25</v>
      </c>
      <c r="D6492" t="s">
        <v>14</v>
      </c>
      <c r="E6492" t="s">
        <v>325</v>
      </c>
      <c r="F6492">
        <f t="shared" si="202"/>
        <v>1950</v>
      </c>
      <c r="G6492">
        <f t="shared" si="203"/>
        <v>12</v>
      </c>
      <c r="H6492" t="str">
        <f>IF(ISNUMBER(FIND(",", E6492)), TRIM(MID(E6492, FIND(",", E6492) + 1, LEN(E6492))), E6492)</f>
        <v>northern Mid-Atlantic Ridge</v>
      </c>
    </row>
    <row r="6493" spans="1:8" x14ac:dyDescent="0.25">
      <c r="A6493" s="2">
        <v>18589</v>
      </c>
      <c r="B6493">
        <v>51.4</v>
      </c>
      <c r="C6493">
        <v>-176</v>
      </c>
      <c r="D6493" t="s">
        <v>17</v>
      </c>
      <c r="E6493" t="s">
        <v>207</v>
      </c>
      <c r="F6493">
        <f t="shared" si="202"/>
        <v>1950</v>
      </c>
      <c r="G6493">
        <f t="shared" si="203"/>
        <v>11</v>
      </c>
      <c r="H6493" t="str">
        <f>IF(ISNUMBER(FIND(",", E6493)), TRIM(MID(E6493, FIND(",", E6493) + 1, LEN(E6493))), E6493)</f>
        <v>Aleutian Islands, Alaska</v>
      </c>
    </row>
    <row r="6494" spans="1:8" x14ac:dyDescent="0.25">
      <c r="A6494" s="2">
        <v>18584</v>
      </c>
      <c r="B6494">
        <v>16.8</v>
      </c>
      <c r="C6494">
        <v>-100.7</v>
      </c>
      <c r="D6494" t="s">
        <v>17</v>
      </c>
      <c r="E6494" t="s">
        <v>474</v>
      </c>
      <c r="F6494">
        <f t="shared" si="202"/>
        <v>1950</v>
      </c>
      <c r="G6494">
        <f t="shared" si="203"/>
        <v>11</v>
      </c>
      <c r="H6494" t="str">
        <f>IF(ISNUMBER(FIND(",", E6494)), TRIM(MID(E6494, FIND(",", E6494) + 1, LEN(E6494))), E6494)</f>
        <v>Mexico</v>
      </c>
    </row>
    <row r="6495" spans="1:8" x14ac:dyDescent="0.25">
      <c r="A6495" s="2">
        <v>18575</v>
      </c>
      <c r="B6495">
        <v>-9.7910000000000004</v>
      </c>
      <c r="C6495">
        <v>159.95699999999999</v>
      </c>
      <c r="D6495" t="s">
        <v>16</v>
      </c>
      <c r="E6495" t="s">
        <v>221</v>
      </c>
      <c r="F6495">
        <f t="shared" si="202"/>
        <v>1950</v>
      </c>
      <c r="G6495">
        <f t="shared" si="203"/>
        <v>11</v>
      </c>
      <c r="H6495" t="str">
        <f>IF(ISNUMBER(FIND(",", E6495)), TRIM(MID(E6495, FIND(",", E6495) + 1, LEN(E6495))), E6495)</f>
        <v>Solomon Islands</v>
      </c>
    </row>
    <row r="6496" spans="1:8" x14ac:dyDescent="0.25">
      <c r="A6496" s="2">
        <v>18572</v>
      </c>
      <c r="B6496">
        <v>33.25</v>
      </c>
      <c r="C6496">
        <v>134.75</v>
      </c>
      <c r="D6496" t="s">
        <v>17</v>
      </c>
      <c r="E6496" t="s">
        <v>670</v>
      </c>
      <c r="F6496">
        <f t="shared" si="202"/>
        <v>1950</v>
      </c>
      <c r="G6496">
        <f t="shared" si="203"/>
        <v>11</v>
      </c>
      <c r="H6496" t="str">
        <f>IF(ISNUMBER(FIND(",", E6496)), TRIM(MID(E6496, FIND(",", E6496) + 1, LEN(E6496))), E6496)</f>
        <v>Japan</v>
      </c>
    </row>
    <row r="6497" spans="1:8" x14ac:dyDescent="0.25">
      <c r="A6497" s="2">
        <v>18569</v>
      </c>
      <c r="B6497">
        <v>-6.8929999999999998</v>
      </c>
      <c r="C6497">
        <v>129.24700000000001</v>
      </c>
      <c r="D6497" t="s">
        <v>13</v>
      </c>
      <c r="E6497" t="s">
        <v>187</v>
      </c>
      <c r="F6497">
        <f t="shared" si="202"/>
        <v>1950</v>
      </c>
      <c r="G6497">
        <f t="shared" si="203"/>
        <v>11</v>
      </c>
      <c r="H6497" t="str">
        <f>IF(ISNUMBER(FIND(",", E6497)), TRIM(MID(E6497, FIND(",", E6497) + 1, LEN(E6497))), E6497)</f>
        <v>Banda Sea</v>
      </c>
    </row>
    <row r="6498" spans="1:8" x14ac:dyDescent="0.25">
      <c r="A6498" s="2">
        <v>18559</v>
      </c>
      <c r="B6498">
        <v>14.358000000000001</v>
      </c>
      <c r="C6498">
        <v>-92.063000000000002</v>
      </c>
      <c r="D6498" t="s">
        <v>16</v>
      </c>
      <c r="E6498" t="s">
        <v>196</v>
      </c>
      <c r="F6498">
        <f t="shared" si="202"/>
        <v>1950</v>
      </c>
      <c r="G6498">
        <f t="shared" si="203"/>
        <v>10</v>
      </c>
      <c r="H6498" t="str">
        <f>IF(ISNUMBER(FIND(",", E6498)), TRIM(MID(E6498, FIND(",", E6498) + 1, LEN(E6498))), E6498)</f>
        <v>offshore Guatemala</v>
      </c>
    </row>
    <row r="6499" spans="1:8" x14ac:dyDescent="0.25">
      <c r="A6499" s="2">
        <v>18557</v>
      </c>
      <c r="B6499">
        <v>17.8</v>
      </c>
      <c r="C6499">
        <v>-105.5</v>
      </c>
      <c r="D6499" t="s">
        <v>17</v>
      </c>
      <c r="E6499" t="s">
        <v>315</v>
      </c>
      <c r="F6499">
        <f t="shared" si="202"/>
        <v>1950</v>
      </c>
      <c r="G6499">
        <f t="shared" si="203"/>
        <v>10</v>
      </c>
      <c r="H6499" t="str">
        <f>IF(ISNUMBER(FIND(",", E6499)), TRIM(MID(E6499, FIND(",", E6499) + 1, LEN(E6499))), E6499)</f>
        <v>Mexico</v>
      </c>
    </row>
    <row r="6500" spans="1:8" x14ac:dyDescent="0.25">
      <c r="A6500" s="2">
        <v>18544</v>
      </c>
      <c r="B6500">
        <v>-4.41</v>
      </c>
      <c r="C6500">
        <v>128.28100000000001</v>
      </c>
      <c r="D6500" t="s">
        <v>16</v>
      </c>
      <c r="E6500" t="s">
        <v>187</v>
      </c>
      <c r="F6500">
        <f t="shared" si="202"/>
        <v>1950</v>
      </c>
      <c r="G6500">
        <f t="shared" si="203"/>
        <v>10</v>
      </c>
      <c r="H6500" t="str">
        <f>IF(ISNUMBER(FIND(",", E6500)), TRIM(MID(E6500, FIND(",", E6500) + 1, LEN(E6500))), E6500)</f>
        <v>Banda Sea</v>
      </c>
    </row>
    <row r="6501" spans="1:8" x14ac:dyDescent="0.25">
      <c r="A6501" s="2">
        <v>18541</v>
      </c>
      <c r="B6501">
        <v>10.438000000000001</v>
      </c>
      <c r="C6501">
        <v>-85.126000000000005</v>
      </c>
      <c r="D6501" t="s">
        <v>16</v>
      </c>
      <c r="E6501" t="s">
        <v>202</v>
      </c>
      <c r="F6501">
        <f t="shared" si="202"/>
        <v>1950</v>
      </c>
      <c r="G6501">
        <f t="shared" si="203"/>
        <v>10</v>
      </c>
      <c r="H6501" t="str">
        <f>IF(ISNUMBER(FIND(",", E6501)), TRIM(MID(E6501, FIND(",", E6501) + 1, LEN(E6501))), E6501)</f>
        <v>Costa Rica</v>
      </c>
    </row>
    <row r="6502" spans="1:8" x14ac:dyDescent="0.25">
      <c r="A6502" s="2">
        <v>18535</v>
      </c>
      <c r="B6502">
        <v>19</v>
      </c>
      <c r="C6502">
        <v>-107</v>
      </c>
      <c r="D6502" t="s">
        <v>14</v>
      </c>
      <c r="E6502" t="s">
        <v>315</v>
      </c>
      <c r="F6502">
        <f t="shared" si="202"/>
        <v>1950</v>
      </c>
      <c r="G6502">
        <f t="shared" si="203"/>
        <v>9</v>
      </c>
      <c r="H6502" t="str">
        <f>IF(ISNUMBER(FIND(",", E6502)), TRIM(MID(E6502, FIND(",", E6502) + 1, LEN(E6502))), E6502)</f>
        <v>Mexico</v>
      </c>
    </row>
    <row r="6503" spans="1:8" x14ac:dyDescent="0.25">
      <c r="A6503" s="2">
        <v>18528</v>
      </c>
      <c r="B6503">
        <v>-17.600000000000001</v>
      </c>
      <c r="C6503">
        <v>-177.1</v>
      </c>
      <c r="D6503" t="s">
        <v>17</v>
      </c>
      <c r="E6503" t="s">
        <v>53</v>
      </c>
      <c r="F6503">
        <f t="shared" si="202"/>
        <v>1950</v>
      </c>
      <c r="G6503">
        <f t="shared" si="203"/>
        <v>9</v>
      </c>
      <c r="H6503" t="str">
        <f>IF(ISNUMBER(FIND(",", E6503)), TRIM(MID(E6503, FIND(",", E6503) + 1, LEN(E6503))), E6503)</f>
        <v>Fiji region</v>
      </c>
    </row>
    <row r="6504" spans="1:8" x14ac:dyDescent="0.25">
      <c r="A6504" s="2">
        <v>18528</v>
      </c>
      <c r="B6504">
        <v>-25.5</v>
      </c>
      <c r="C6504">
        <v>-114</v>
      </c>
      <c r="D6504" t="s">
        <v>17</v>
      </c>
      <c r="E6504" t="s">
        <v>59</v>
      </c>
      <c r="F6504">
        <f t="shared" si="202"/>
        <v>1950</v>
      </c>
      <c r="G6504">
        <f t="shared" si="203"/>
        <v>9</v>
      </c>
      <c r="H6504" t="str">
        <f>IF(ISNUMBER(FIND(",", E6504)), TRIM(MID(E6504, FIND(",", E6504) + 1, LEN(E6504))), E6504)</f>
        <v>Easter Island region</v>
      </c>
    </row>
    <row r="6505" spans="1:8" x14ac:dyDescent="0.25">
      <c r="A6505" s="2">
        <v>18525</v>
      </c>
      <c r="B6505">
        <v>-2</v>
      </c>
      <c r="C6505">
        <v>138.5</v>
      </c>
      <c r="D6505" t="s">
        <v>17</v>
      </c>
      <c r="E6505" t="s">
        <v>241</v>
      </c>
      <c r="F6505">
        <f t="shared" si="202"/>
        <v>1950</v>
      </c>
      <c r="G6505">
        <f t="shared" si="203"/>
        <v>9</v>
      </c>
      <c r="H6505" t="str">
        <f>IF(ISNUMBER(FIND(",", E6505)), TRIM(MID(E6505, FIND(",", E6505) + 1, LEN(E6505))), E6505)</f>
        <v>Indonesia</v>
      </c>
    </row>
    <row r="6506" spans="1:8" x14ac:dyDescent="0.25">
      <c r="A6506" s="2">
        <v>18516</v>
      </c>
      <c r="B6506">
        <v>-14.86</v>
      </c>
      <c r="C6506">
        <v>167.459</v>
      </c>
      <c r="D6506" t="s">
        <v>13</v>
      </c>
      <c r="E6506" t="s">
        <v>181</v>
      </c>
      <c r="F6506">
        <f t="shared" si="202"/>
        <v>1950</v>
      </c>
      <c r="G6506">
        <f t="shared" si="203"/>
        <v>9</v>
      </c>
      <c r="H6506" t="str">
        <f>IF(ISNUMBER(FIND(",", E6506)), TRIM(MID(E6506, FIND(",", E6506) + 1, LEN(E6506))), E6506)</f>
        <v>Vanuatu</v>
      </c>
    </row>
    <row r="6507" spans="1:8" x14ac:dyDescent="0.25">
      <c r="A6507" s="2">
        <v>18516</v>
      </c>
      <c r="B6507">
        <v>35.5</v>
      </c>
      <c r="C6507">
        <v>140.4</v>
      </c>
      <c r="D6507" t="s">
        <v>17</v>
      </c>
      <c r="E6507" t="s">
        <v>227</v>
      </c>
      <c r="F6507">
        <f t="shared" si="202"/>
        <v>1950</v>
      </c>
      <c r="G6507">
        <f t="shared" si="203"/>
        <v>9</v>
      </c>
      <c r="H6507" t="str">
        <f>IF(ISNUMBER(FIND(",", E6507)), TRIM(MID(E6507, FIND(",", E6507) + 1, LEN(E6507))), E6507)</f>
        <v>Japan</v>
      </c>
    </row>
    <row r="6508" spans="1:8" x14ac:dyDescent="0.25">
      <c r="A6508" s="2">
        <v>18506</v>
      </c>
      <c r="B6508">
        <v>5.87</v>
      </c>
      <c r="C6508">
        <v>125.845</v>
      </c>
      <c r="D6508" t="s">
        <v>13</v>
      </c>
      <c r="E6508" t="s">
        <v>200</v>
      </c>
      <c r="F6508">
        <f t="shared" si="202"/>
        <v>1950</v>
      </c>
      <c r="G6508">
        <f t="shared" si="203"/>
        <v>8</v>
      </c>
      <c r="H6508" t="str">
        <f>IF(ISNUMBER(FIND(",", E6508)), TRIM(MID(E6508, FIND(",", E6508) + 1, LEN(E6508))), E6508)</f>
        <v>Philippines</v>
      </c>
    </row>
    <row r="6509" spans="1:8" x14ac:dyDescent="0.25">
      <c r="A6509" s="2">
        <v>18492</v>
      </c>
      <c r="B6509">
        <v>-22.3</v>
      </c>
      <c r="C6509">
        <v>-179.2</v>
      </c>
      <c r="D6509" t="s">
        <v>17</v>
      </c>
      <c r="E6509" t="s">
        <v>256</v>
      </c>
      <c r="F6509">
        <f t="shared" si="202"/>
        <v>1950</v>
      </c>
      <c r="G6509">
        <f t="shared" si="203"/>
        <v>8</v>
      </c>
      <c r="H6509" t="str">
        <f>IF(ISNUMBER(FIND(",", E6509)), TRIM(MID(E6509, FIND(",", E6509) + 1, LEN(E6509))), E6509)</f>
        <v>south of the Fiji Islands</v>
      </c>
    </row>
    <row r="6510" spans="1:8" x14ac:dyDescent="0.25">
      <c r="A6510" s="2">
        <v>18490</v>
      </c>
      <c r="B6510">
        <v>28.29</v>
      </c>
      <c r="C6510">
        <v>96.656999999999996</v>
      </c>
      <c r="D6510" t="s">
        <v>16</v>
      </c>
      <c r="E6510" t="s">
        <v>675</v>
      </c>
      <c r="F6510">
        <f t="shared" si="202"/>
        <v>1950</v>
      </c>
      <c r="G6510">
        <f t="shared" si="203"/>
        <v>8</v>
      </c>
      <c r="H6510" t="str">
        <f>IF(ISNUMBER(FIND(",", E6510)), TRIM(MID(E6510, FIND(",", E6510) + 1, LEN(E6510))), E6510)</f>
        <v>eastern Xizang-India border region</v>
      </c>
    </row>
    <row r="6511" spans="1:8" x14ac:dyDescent="0.25">
      <c r="A6511" s="2">
        <v>18489</v>
      </c>
      <c r="B6511">
        <v>-27.431000000000001</v>
      </c>
      <c r="C6511">
        <v>-62.795000000000002</v>
      </c>
      <c r="D6511" t="s">
        <v>13</v>
      </c>
      <c r="E6511" t="s">
        <v>232</v>
      </c>
      <c r="F6511">
        <f t="shared" si="202"/>
        <v>1950</v>
      </c>
      <c r="G6511">
        <f t="shared" si="203"/>
        <v>8</v>
      </c>
      <c r="H6511" t="str">
        <f>IF(ISNUMBER(FIND(",", E6511)), TRIM(MID(E6511, FIND(",", E6511) + 1, LEN(E6511))), E6511)</f>
        <v>Argentina</v>
      </c>
    </row>
    <row r="6512" spans="1:8" x14ac:dyDescent="0.25">
      <c r="A6512" s="2">
        <v>18482</v>
      </c>
      <c r="B6512">
        <v>6.2</v>
      </c>
      <c r="C6512">
        <v>125.6</v>
      </c>
      <c r="D6512" t="s">
        <v>17</v>
      </c>
      <c r="E6512" t="s">
        <v>200</v>
      </c>
      <c r="F6512">
        <f t="shared" si="202"/>
        <v>1950</v>
      </c>
      <c r="G6512">
        <f t="shared" si="203"/>
        <v>8</v>
      </c>
      <c r="H6512" t="str">
        <f>IF(ISNUMBER(FIND(",", E6512)), TRIM(MID(E6512, FIND(",", E6512) + 1, LEN(E6512))), E6512)</f>
        <v>Philippines</v>
      </c>
    </row>
    <row r="6513" spans="1:8" x14ac:dyDescent="0.25">
      <c r="A6513" s="2">
        <v>18480</v>
      </c>
      <c r="B6513">
        <v>-48.2</v>
      </c>
      <c r="C6513">
        <v>164.2</v>
      </c>
      <c r="D6513" t="s">
        <v>17</v>
      </c>
      <c r="E6513" t="s">
        <v>361</v>
      </c>
      <c r="F6513">
        <f t="shared" si="202"/>
        <v>1950</v>
      </c>
      <c r="G6513">
        <f t="shared" si="203"/>
        <v>8</v>
      </c>
      <c r="H6513" t="str">
        <f>IF(ISNUMBER(FIND(",", E6513)), TRIM(MID(E6513, FIND(",", E6513) + 1, LEN(E6513))), E6513)</f>
        <v>off the west coast of the South Island of New Zealand</v>
      </c>
    </row>
    <row r="6514" spans="1:8" x14ac:dyDescent="0.25">
      <c r="A6514" s="2">
        <v>18473</v>
      </c>
      <c r="B6514">
        <v>-6.5</v>
      </c>
      <c r="C6514">
        <v>155</v>
      </c>
      <c r="D6514" t="s">
        <v>13</v>
      </c>
      <c r="E6514" t="s">
        <v>290</v>
      </c>
      <c r="F6514">
        <f t="shared" si="202"/>
        <v>1950</v>
      </c>
      <c r="G6514">
        <f t="shared" si="203"/>
        <v>7</v>
      </c>
      <c r="H6514" t="str">
        <f>IF(ISNUMBER(FIND(",", E6514)), TRIM(MID(E6514, FIND(",", E6514) + 1, LEN(E6514))), E6514)</f>
        <v>Papua New Guinea</v>
      </c>
    </row>
    <row r="6515" spans="1:8" x14ac:dyDescent="0.25">
      <c r="A6515" s="2">
        <v>18473</v>
      </c>
      <c r="B6515">
        <v>2.2970000000000002</v>
      </c>
      <c r="C6515">
        <v>127.398</v>
      </c>
      <c r="D6515" t="s">
        <v>13</v>
      </c>
      <c r="E6515" t="s">
        <v>186</v>
      </c>
      <c r="F6515">
        <f t="shared" si="202"/>
        <v>1950</v>
      </c>
      <c r="G6515">
        <f t="shared" si="203"/>
        <v>7</v>
      </c>
      <c r="H6515" t="str">
        <f>IF(ISNUMBER(FIND(",", E6515)), TRIM(MID(E6515, FIND(",", E6515) + 1, LEN(E6515))), E6515)</f>
        <v>Molucca Sea</v>
      </c>
    </row>
    <row r="6516" spans="1:8" x14ac:dyDescent="0.25">
      <c r="A6516" s="2">
        <v>18465</v>
      </c>
      <c r="B6516">
        <v>-16.100000000000001</v>
      </c>
      <c r="C6516">
        <v>168.3</v>
      </c>
      <c r="D6516" t="s">
        <v>14</v>
      </c>
      <c r="E6516" t="s">
        <v>181</v>
      </c>
      <c r="F6516">
        <f t="shared" si="202"/>
        <v>1950</v>
      </c>
      <c r="G6516">
        <f t="shared" si="203"/>
        <v>7</v>
      </c>
      <c r="H6516" t="str">
        <f>IF(ISNUMBER(FIND(",", E6516)), TRIM(MID(E6516, FIND(",", E6516) + 1, LEN(E6516))), E6516)</f>
        <v>Vanuatu</v>
      </c>
    </row>
    <row r="6517" spans="1:8" x14ac:dyDescent="0.25">
      <c r="A6517" s="2">
        <v>18457</v>
      </c>
      <c r="B6517">
        <v>28</v>
      </c>
      <c r="C6517">
        <v>139.6</v>
      </c>
      <c r="D6517" t="s">
        <v>17</v>
      </c>
      <c r="E6517" t="s">
        <v>233</v>
      </c>
      <c r="F6517">
        <f t="shared" si="202"/>
        <v>1950</v>
      </c>
      <c r="G6517">
        <f t="shared" si="203"/>
        <v>7</v>
      </c>
      <c r="H6517" t="str">
        <f>IF(ISNUMBER(FIND(",", E6517)), TRIM(MID(E6517, FIND(",", E6517) + 1, LEN(E6517))), E6517)</f>
        <v>Japan region</v>
      </c>
    </row>
    <row r="6518" spans="1:8" x14ac:dyDescent="0.25">
      <c r="A6518" s="2">
        <v>18453</v>
      </c>
      <c r="B6518">
        <v>36.634</v>
      </c>
      <c r="C6518">
        <v>71.284999999999997</v>
      </c>
      <c r="D6518" t="s">
        <v>14</v>
      </c>
      <c r="E6518" t="s">
        <v>314</v>
      </c>
      <c r="F6518">
        <f t="shared" si="202"/>
        <v>1950</v>
      </c>
      <c r="G6518">
        <f t="shared" si="203"/>
        <v>7</v>
      </c>
      <c r="H6518" t="str">
        <f>IF(ISNUMBER(FIND(",", E6518)), TRIM(MID(E6518, FIND(",", E6518) + 1, LEN(E6518))), E6518)</f>
        <v>Afghanistan</v>
      </c>
    </row>
    <row r="6519" spans="1:8" x14ac:dyDescent="0.25">
      <c r="A6519" s="2">
        <v>18453</v>
      </c>
      <c r="B6519">
        <v>-8.1359999999999992</v>
      </c>
      <c r="C6519">
        <v>-70.885999999999996</v>
      </c>
      <c r="D6519" t="s">
        <v>13</v>
      </c>
      <c r="E6519" t="s">
        <v>326</v>
      </c>
      <c r="F6519">
        <f t="shared" si="202"/>
        <v>1950</v>
      </c>
      <c r="G6519">
        <f t="shared" si="203"/>
        <v>7</v>
      </c>
      <c r="H6519" t="str">
        <f>IF(ISNUMBER(FIND(",", E6519)), TRIM(MID(E6519, FIND(",", E6519) + 1, LEN(E6519))), E6519)</f>
        <v>Brazil</v>
      </c>
    </row>
    <row r="6520" spans="1:8" x14ac:dyDescent="0.25">
      <c r="A6520" s="2">
        <v>18453</v>
      </c>
      <c r="B6520">
        <v>-8.1609999999999996</v>
      </c>
      <c r="C6520">
        <v>-71.018000000000001</v>
      </c>
      <c r="D6520" t="s">
        <v>13</v>
      </c>
      <c r="E6520" t="s">
        <v>326</v>
      </c>
      <c r="F6520">
        <f t="shared" si="202"/>
        <v>1950</v>
      </c>
      <c r="G6520">
        <f t="shared" si="203"/>
        <v>7</v>
      </c>
      <c r="H6520" t="str">
        <f>IF(ISNUMBER(FIND(",", E6520)), TRIM(MID(E6520, FIND(",", E6520) + 1, LEN(E6520))), E6520)</f>
        <v>Brazil</v>
      </c>
    </row>
    <row r="6521" spans="1:8" x14ac:dyDescent="0.25">
      <c r="A6521" s="2">
        <v>18453</v>
      </c>
      <c r="B6521">
        <v>-33</v>
      </c>
      <c r="C6521">
        <v>-112</v>
      </c>
      <c r="D6521" t="s">
        <v>17</v>
      </c>
      <c r="E6521" t="s">
        <v>268</v>
      </c>
      <c r="F6521">
        <f t="shared" si="202"/>
        <v>1950</v>
      </c>
      <c r="G6521">
        <f t="shared" si="203"/>
        <v>7</v>
      </c>
      <c r="H6521" t="str">
        <f>IF(ISNUMBER(FIND(",", E6521)), TRIM(MID(E6521, FIND(",", E6521) + 1, LEN(E6521))), E6521)</f>
        <v>southern East Pacific Rise</v>
      </c>
    </row>
    <row r="6522" spans="1:8" x14ac:dyDescent="0.25">
      <c r="A6522" s="2">
        <v>18438</v>
      </c>
      <c r="B6522">
        <v>-20.5</v>
      </c>
      <c r="C6522">
        <v>169.5</v>
      </c>
      <c r="D6522" t="s">
        <v>14</v>
      </c>
      <c r="E6522" t="s">
        <v>181</v>
      </c>
      <c r="F6522">
        <f t="shared" si="202"/>
        <v>1950</v>
      </c>
      <c r="G6522">
        <f t="shared" si="203"/>
        <v>6</v>
      </c>
      <c r="H6522" t="str">
        <f>IF(ISNUMBER(FIND(",", E6522)), TRIM(MID(E6522, FIND(",", E6522) + 1, LEN(E6522))), E6522)</f>
        <v>Vanuatu</v>
      </c>
    </row>
    <row r="6523" spans="1:8" x14ac:dyDescent="0.25">
      <c r="A6523" s="2">
        <v>18435</v>
      </c>
      <c r="B6523">
        <v>-20.25</v>
      </c>
      <c r="C6523">
        <v>169.25</v>
      </c>
      <c r="D6523" t="s">
        <v>14</v>
      </c>
      <c r="E6523" t="s">
        <v>181</v>
      </c>
      <c r="F6523">
        <f t="shared" si="202"/>
        <v>1950</v>
      </c>
      <c r="G6523">
        <f t="shared" si="203"/>
        <v>6</v>
      </c>
      <c r="H6523" t="str">
        <f>IF(ISNUMBER(FIND(",", E6523)), TRIM(MID(E6523, FIND(",", E6523) + 1, LEN(E6523))), E6523)</f>
        <v>Vanuatu</v>
      </c>
    </row>
    <row r="6524" spans="1:8" x14ac:dyDescent="0.25">
      <c r="A6524" s="2">
        <v>18433</v>
      </c>
      <c r="B6524">
        <v>-6.25</v>
      </c>
      <c r="C6524">
        <v>112</v>
      </c>
      <c r="D6524" t="s">
        <v>17</v>
      </c>
      <c r="E6524" t="s">
        <v>358</v>
      </c>
      <c r="F6524">
        <f t="shared" si="202"/>
        <v>1950</v>
      </c>
      <c r="G6524">
        <f t="shared" si="203"/>
        <v>6</v>
      </c>
      <c r="H6524" t="str">
        <f>IF(ISNUMBER(FIND(",", E6524)), TRIM(MID(E6524, FIND(",", E6524) + 1, LEN(E6524))), E6524)</f>
        <v>Indonesia</v>
      </c>
    </row>
    <row r="6525" spans="1:8" x14ac:dyDescent="0.25">
      <c r="A6525" s="2">
        <v>18421</v>
      </c>
      <c r="B6525">
        <v>-4</v>
      </c>
      <c r="C6525">
        <v>-76.5</v>
      </c>
      <c r="D6525" t="s">
        <v>17</v>
      </c>
      <c r="E6525" t="s">
        <v>277</v>
      </c>
      <c r="F6525">
        <f t="shared" si="202"/>
        <v>1950</v>
      </c>
      <c r="G6525">
        <f t="shared" si="203"/>
        <v>6</v>
      </c>
      <c r="H6525" t="str">
        <f>IF(ISNUMBER(FIND(",", E6525)), TRIM(MID(E6525, FIND(",", E6525) + 1, LEN(E6525))), E6525)</f>
        <v>northern Peru</v>
      </c>
    </row>
    <row r="6526" spans="1:8" x14ac:dyDescent="0.25">
      <c r="A6526" s="2">
        <v>18410</v>
      </c>
      <c r="B6526">
        <v>-18.5</v>
      </c>
      <c r="C6526">
        <v>-178</v>
      </c>
      <c r="D6526" t="s">
        <v>17</v>
      </c>
      <c r="E6526" t="s">
        <v>53</v>
      </c>
      <c r="F6526">
        <f t="shared" si="202"/>
        <v>1950</v>
      </c>
      <c r="G6526">
        <f t="shared" si="203"/>
        <v>5</v>
      </c>
      <c r="H6526" t="str">
        <f>IF(ISNUMBER(FIND(",", E6526)), TRIM(MID(E6526, FIND(",", E6526) + 1, LEN(E6526))), E6526)</f>
        <v>Fiji region</v>
      </c>
    </row>
    <row r="6527" spans="1:8" x14ac:dyDescent="0.25">
      <c r="A6527" s="2">
        <v>18409</v>
      </c>
      <c r="B6527">
        <v>-20.25</v>
      </c>
      <c r="C6527">
        <v>169.25</v>
      </c>
      <c r="D6527" t="s">
        <v>14</v>
      </c>
      <c r="E6527" t="s">
        <v>181</v>
      </c>
      <c r="F6527">
        <f t="shared" si="202"/>
        <v>1950</v>
      </c>
      <c r="G6527">
        <f t="shared" si="203"/>
        <v>5</v>
      </c>
      <c r="H6527" t="str">
        <f>IF(ISNUMBER(FIND(",", E6527)), TRIM(MID(E6527, FIND(",", E6527) + 1, LEN(E6527))), E6527)</f>
        <v>Vanuatu</v>
      </c>
    </row>
    <row r="6528" spans="1:8" x14ac:dyDescent="0.25">
      <c r="A6528" s="2">
        <v>18408</v>
      </c>
      <c r="B6528">
        <v>12.545</v>
      </c>
      <c r="C6528">
        <v>143.42099999999999</v>
      </c>
      <c r="D6528" t="s">
        <v>13</v>
      </c>
      <c r="E6528" t="s">
        <v>403</v>
      </c>
      <c r="F6528">
        <f t="shared" si="202"/>
        <v>1950</v>
      </c>
      <c r="G6528">
        <f t="shared" si="203"/>
        <v>5</v>
      </c>
      <c r="H6528" t="str">
        <f>IF(ISNUMBER(FIND(",", E6528)), TRIM(MID(E6528, FIND(",", E6528) + 1, LEN(E6528))), E6528)</f>
        <v>Guam region</v>
      </c>
    </row>
    <row r="6529" spans="1:8" x14ac:dyDescent="0.25">
      <c r="A6529" s="2">
        <v>18402</v>
      </c>
      <c r="B6529">
        <v>-20.6</v>
      </c>
      <c r="C6529">
        <v>169</v>
      </c>
      <c r="D6529" t="s">
        <v>17</v>
      </c>
      <c r="E6529" t="s">
        <v>181</v>
      </c>
      <c r="F6529">
        <f t="shared" si="202"/>
        <v>1950</v>
      </c>
      <c r="G6529">
        <f t="shared" si="203"/>
        <v>5</v>
      </c>
      <c r="H6529" t="str">
        <f>IF(ISNUMBER(FIND(",", E6529)), TRIM(MID(E6529, FIND(",", E6529) + 1, LEN(E6529))), E6529)</f>
        <v>Vanuatu</v>
      </c>
    </row>
    <row r="6530" spans="1:8" x14ac:dyDescent="0.25">
      <c r="A6530" s="2">
        <v>18400</v>
      </c>
      <c r="B6530">
        <v>-21</v>
      </c>
      <c r="C6530">
        <v>169</v>
      </c>
      <c r="D6530" t="s">
        <v>14</v>
      </c>
      <c r="E6530" t="s">
        <v>181</v>
      </c>
      <c r="F6530">
        <f t="shared" ref="F6530:F6593" si="204">YEAR(A6530)</f>
        <v>1950</v>
      </c>
      <c r="G6530">
        <f t="shared" si="203"/>
        <v>5</v>
      </c>
      <c r="H6530" t="str">
        <f>IF(ISNUMBER(FIND(",", E6530)), TRIM(MID(E6530, FIND(",", E6530) + 1, LEN(E6530))), E6530)</f>
        <v>Vanuatu</v>
      </c>
    </row>
    <row r="6531" spans="1:8" x14ac:dyDescent="0.25">
      <c r="A6531" s="2">
        <v>18400</v>
      </c>
      <c r="B6531">
        <v>39.25</v>
      </c>
      <c r="C6531">
        <v>130.25</v>
      </c>
      <c r="D6531" t="s">
        <v>17</v>
      </c>
      <c r="E6531" t="s">
        <v>420</v>
      </c>
      <c r="F6531">
        <f t="shared" si="204"/>
        <v>1950</v>
      </c>
      <c r="G6531">
        <f t="shared" ref="G6531:G6594" si="205">MONTH(A6531)</f>
        <v>5</v>
      </c>
      <c r="H6531" t="str">
        <f>IF(ISNUMBER(FIND(",", E6531)), TRIM(MID(E6531, FIND(",", E6531) + 1, LEN(E6531))), E6531)</f>
        <v>Sea of Japan</v>
      </c>
    </row>
    <row r="6532" spans="1:8" x14ac:dyDescent="0.25">
      <c r="A6532" s="2">
        <v>18379</v>
      </c>
      <c r="B6532">
        <v>33.700000000000003</v>
      </c>
      <c r="C6532">
        <v>135.80000000000001</v>
      </c>
      <c r="D6532" t="s">
        <v>17</v>
      </c>
      <c r="E6532" t="s">
        <v>467</v>
      </c>
      <c r="F6532">
        <f t="shared" si="204"/>
        <v>1950</v>
      </c>
      <c r="G6532">
        <f t="shared" si="205"/>
        <v>4</v>
      </c>
      <c r="H6532" t="str">
        <f>IF(ISNUMBER(FIND(",", E6532)), TRIM(MID(E6532, FIND(",", E6532) + 1, LEN(E6532))), E6532)</f>
        <v>Japan</v>
      </c>
    </row>
    <row r="6533" spans="1:8" x14ac:dyDescent="0.25">
      <c r="A6533" s="2">
        <v>18357</v>
      </c>
      <c r="B6533">
        <v>52</v>
      </c>
      <c r="C6533">
        <v>101.4</v>
      </c>
      <c r="D6533" t="s">
        <v>17</v>
      </c>
      <c r="E6533" t="s">
        <v>570</v>
      </c>
      <c r="F6533">
        <f t="shared" si="204"/>
        <v>1950</v>
      </c>
      <c r="G6533">
        <f t="shared" si="205"/>
        <v>4</v>
      </c>
      <c r="H6533" t="str">
        <f>IF(ISNUMBER(FIND(",", E6533)), TRIM(MID(E6533, FIND(",", E6533) + 1, LEN(E6533))), E6533)</f>
        <v>Russia-Mongolia border region</v>
      </c>
    </row>
    <row r="6534" spans="1:8" x14ac:dyDescent="0.25">
      <c r="A6534" s="2">
        <v>18349</v>
      </c>
      <c r="B6534">
        <v>-5.9</v>
      </c>
      <c r="C6534">
        <v>102.9</v>
      </c>
      <c r="D6534" t="s">
        <v>17</v>
      </c>
      <c r="E6534" t="s">
        <v>308</v>
      </c>
      <c r="F6534">
        <f t="shared" si="204"/>
        <v>1950</v>
      </c>
      <c r="G6534">
        <f t="shared" si="205"/>
        <v>3</v>
      </c>
      <c r="H6534" t="str">
        <f>IF(ISNUMBER(FIND(",", E6534)), TRIM(MID(E6534, FIND(",", E6534) + 1, LEN(E6534))), E6534)</f>
        <v>Indonesia</v>
      </c>
    </row>
    <row r="6535" spans="1:8" x14ac:dyDescent="0.25">
      <c r="A6535" s="2">
        <v>18349</v>
      </c>
      <c r="B6535">
        <v>53.3</v>
      </c>
      <c r="C6535">
        <v>172.2</v>
      </c>
      <c r="D6535" t="s">
        <v>17</v>
      </c>
      <c r="E6535" t="s">
        <v>184</v>
      </c>
      <c r="F6535">
        <f t="shared" si="204"/>
        <v>1950</v>
      </c>
      <c r="G6535">
        <f t="shared" si="205"/>
        <v>3</v>
      </c>
      <c r="H6535" t="str">
        <f>IF(ISNUMBER(FIND(",", E6535)), TRIM(MID(E6535, FIND(",", E6535) + 1, LEN(E6535))), E6535)</f>
        <v>Aleutian Islands, Alaska</v>
      </c>
    </row>
    <row r="6536" spans="1:8" x14ac:dyDescent="0.25">
      <c r="A6536" s="2">
        <v>18336</v>
      </c>
      <c r="B6536">
        <v>-8.5</v>
      </c>
      <c r="C6536">
        <v>-74</v>
      </c>
      <c r="D6536" t="s">
        <v>17</v>
      </c>
      <c r="E6536" t="s">
        <v>557</v>
      </c>
      <c r="F6536">
        <f t="shared" si="204"/>
        <v>1950</v>
      </c>
      <c r="G6536">
        <f t="shared" si="205"/>
        <v>3</v>
      </c>
      <c r="H6536" t="str">
        <f>IF(ISNUMBER(FIND(",", E6536)), TRIM(MID(E6536, FIND(",", E6536) + 1, LEN(E6536))), E6536)</f>
        <v>Peru-Brazil border region</v>
      </c>
    </row>
    <row r="6537" spans="1:8" x14ac:dyDescent="0.25">
      <c r="A6537" s="2">
        <v>18329</v>
      </c>
      <c r="B6537">
        <v>10.5</v>
      </c>
      <c r="C6537">
        <v>122.3</v>
      </c>
      <c r="D6537" t="s">
        <v>14</v>
      </c>
      <c r="E6537" t="s">
        <v>574</v>
      </c>
      <c r="F6537">
        <f t="shared" si="204"/>
        <v>1950</v>
      </c>
      <c r="G6537">
        <f t="shared" si="205"/>
        <v>3</v>
      </c>
      <c r="H6537" t="str">
        <f>IF(ISNUMBER(FIND(",", E6537)), TRIM(MID(E6537, FIND(",", E6537) + 1, LEN(E6537))), E6537)</f>
        <v>Philippines</v>
      </c>
    </row>
    <row r="6538" spans="1:8" x14ac:dyDescent="0.25">
      <c r="A6538" s="2">
        <v>18324</v>
      </c>
      <c r="B6538">
        <v>-60</v>
      </c>
      <c r="C6538">
        <v>-35</v>
      </c>
      <c r="D6538" t="s">
        <v>17</v>
      </c>
      <c r="E6538" t="s">
        <v>56</v>
      </c>
      <c r="F6538">
        <f t="shared" si="204"/>
        <v>1950</v>
      </c>
      <c r="G6538">
        <f t="shared" si="205"/>
        <v>3</v>
      </c>
      <c r="H6538" t="str">
        <f>IF(ISNUMBER(FIND(",", E6538)), TRIM(MID(E6538, FIND(",", E6538) + 1, LEN(E6538))), E6538)</f>
        <v>Scotia Sea</v>
      </c>
    </row>
    <row r="6539" spans="1:8" x14ac:dyDescent="0.25">
      <c r="A6539" s="2">
        <v>18322</v>
      </c>
      <c r="B6539">
        <v>45.865000000000002</v>
      </c>
      <c r="C6539">
        <v>143.45400000000001</v>
      </c>
      <c r="D6539" t="s">
        <v>13</v>
      </c>
      <c r="E6539" t="s">
        <v>265</v>
      </c>
      <c r="F6539">
        <f t="shared" si="204"/>
        <v>1950</v>
      </c>
      <c r="G6539">
        <f t="shared" si="205"/>
        <v>2</v>
      </c>
      <c r="H6539" t="str">
        <f>IF(ISNUMBER(FIND(",", E6539)), TRIM(MID(E6539, FIND(",", E6539) + 1, LEN(E6539))), E6539)</f>
        <v>Japan region</v>
      </c>
    </row>
    <row r="6540" spans="1:8" x14ac:dyDescent="0.25">
      <c r="A6540" s="2">
        <v>18299</v>
      </c>
      <c r="B6540">
        <v>-48.2</v>
      </c>
      <c r="C6540">
        <v>164.2</v>
      </c>
      <c r="D6540" t="s">
        <v>17</v>
      </c>
      <c r="E6540" t="s">
        <v>361</v>
      </c>
      <c r="F6540">
        <f t="shared" si="204"/>
        <v>1950</v>
      </c>
      <c r="G6540">
        <f t="shared" si="205"/>
        <v>2</v>
      </c>
      <c r="H6540" t="str">
        <f>IF(ISNUMBER(FIND(",", E6540)), TRIM(MID(E6540, FIND(",", E6540) + 1, LEN(E6540))), E6540)</f>
        <v>off the west coast of the South Island of New Zealand</v>
      </c>
    </row>
    <row r="6541" spans="1:8" x14ac:dyDescent="0.25">
      <c r="A6541" s="2">
        <v>18296</v>
      </c>
      <c r="B6541">
        <v>21.757999999999999</v>
      </c>
      <c r="C6541">
        <v>99.97</v>
      </c>
      <c r="D6541" t="s">
        <v>16</v>
      </c>
      <c r="E6541" t="s">
        <v>197</v>
      </c>
      <c r="F6541">
        <f t="shared" si="204"/>
        <v>1950</v>
      </c>
      <c r="G6541">
        <f t="shared" si="205"/>
        <v>2</v>
      </c>
      <c r="H6541" t="str">
        <f>IF(ISNUMBER(FIND(",", E6541)), TRIM(MID(E6541, FIND(",", E6541) + 1, LEN(E6541))), E6541)</f>
        <v>Myanmar</v>
      </c>
    </row>
    <row r="6542" spans="1:8" x14ac:dyDescent="0.25">
      <c r="A6542" s="2">
        <v>18293</v>
      </c>
      <c r="B6542">
        <v>-53.5</v>
      </c>
      <c r="C6542">
        <v>-71.5</v>
      </c>
      <c r="D6542" t="s">
        <v>14</v>
      </c>
      <c r="E6542" t="s">
        <v>663</v>
      </c>
      <c r="F6542">
        <f t="shared" si="204"/>
        <v>1950</v>
      </c>
      <c r="G6542">
        <f t="shared" si="205"/>
        <v>1</v>
      </c>
      <c r="H6542" t="str">
        <f>IF(ISNUMBER(FIND(",", E6542)), TRIM(MID(E6542, FIND(",", E6542) + 1, LEN(E6542))), E6542)</f>
        <v>Chile</v>
      </c>
    </row>
    <row r="6543" spans="1:8" x14ac:dyDescent="0.25">
      <c r="A6543" s="2">
        <v>18275</v>
      </c>
      <c r="B6543">
        <v>-18</v>
      </c>
      <c r="C6543">
        <v>-178</v>
      </c>
      <c r="D6543" t="s">
        <v>17</v>
      </c>
      <c r="E6543" t="s">
        <v>53</v>
      </c>
      <c r="F6543">
        <f t="shared" si="204"/>
        <v>1950</v>
      </c>
      <c r="G6543">
        <f t="shared" si="205"/>
        <v>1</v>
      </c>
      <c r="H6543" t="str">
        <f>IF(ISNUMBER(FIND(",", E6543)), TRIM(MID(E6543, FIND(",", E6543) + 1, LEN(E6543))), E6543)</f>
        <v>Fiji region</v>
      </c>
    </row>
    <row r="6544" spans="1:8" x14ac:dyDescent="0.25">
      <c r="A6544" s="2">
        <v>18265</v>
      </c>
      <c r="B6544">
        <v>-11.5</v>
      </c>
      <c r="C6544">
        <v>165.4</v>
      </c>
      <c r="D6544" t="s">
        <v>17</v>
      </c>
      <c r="E6544" t="s">
        <v>211</v>
      </c>
      <c r="F6544">
        <f t="shared" si="204"/>
        <v>1950</v>
      </c>
      <c r="G6544">
        <f t="shared" si="205"/>
        <v>1</v>
      </c>
      <c r="H6544" t="str">
        <f>IF(ISNUMBER(FIND(",", E6544)), TRIM(MID(E6544, FIND(",", E6544) + 1, LEN(E6544))), E6544)</f>
        <v>Santa Cruz Islands</v>
      </c>
    </row>
    <row r="6545" spans="1:8" x14ac:dyDescent="0.25">
      <c r="A6545" s="2">
        <v>18261</v>
      </c>
      <c r="B6545">
        <v>17.190999999999999</v>
      </c>
      <c r="C6545">
        <v>121.40900000000001</v>
      </c>
      <c r="D6545" t="s">
        <v>16</v>
      </c>
      <c r="E6545" t="s">
        <v>297</v>
      </c>
      <c r="F6545">
        <f t="shared" si="204"/>
        <v>1949</v>
      </c>
      <c r="G6545">
        <f t="shared" si="205"/>
        <v>12</v>
      </c>
      <c r="H6545" t="str">
        <f>IF(ISNUMBER(FIND(",", E6545)), TRIM(MID(E6545, FIND(",", E6545) + 1, LEN(E6545))), E6545)</f>
        <v>Philippines</v>
      </c>
    </row>
    <row r="6546" spans="1:8" x14ac:dyDescent="0.25">
      <c r="A6546" s="2">
        <v>18259</v>
      </c>
      <c r="B6546">
        <v>-60</v>
      </c>
      <c r="C6546">
        <v>-22</v>
      </c>
      <c r="D6546" t="s">
        <v>14</v>
      </c>
      <c r="E6546" t="s">
        <v>242</v>
      </c>
      <c r="F6546">
        <f t="shared" si="204"/>
        <v>1949</v>
      </c>
      <c r="G6546">
        <f t="shared" si="205"/>
        <v>12</v>
      </c>
      <c r="H6546" t="str">
        <f>IF(ISNUMBER(FIND(",", E6546)), TRIM(MID(E6546, FIND(",", E6546) + 1, LEN(E6546))), E6546)</f>
        <v>east of the South Sandwich Islands</v>
      </c>
    </row>
    <row r="6547" spans="1:8" x14ac:dyDescent="0.25">
      <c r="A6547" s="2">
        <v>18258</v>
      </c>
      <c r="B6547">
        <v>-15.5</v>
      </c>
      <c r="C6547">
        <v>180</v>
      </c>
      <c r="D6547" t="s">
        <v>14</v>
      </c>
      <c r="F6547">
        <f t="shared" si="204"/>
        <v>1949</v>
      </c>
      <c r="G6547">
        <f t="shared" si="205"/>
        <v>12</v>
      </c>
      <c r="H6547">
        <f>IF(ISNUMBER(FIND(",", E6547)), TRIM(MID(E6547, FIND(",", E6547) + 1, LEN(E6547))), E6547)</f>
        <v>0</v>
      </c>
    </row>
    <row r="6548" spans="1:8" x14ac:dyDescent="0.25">
      <c r="A6548" s="2">
        <v>18253</v>
      </c>
      <c r="B6548">
        <v>-19.5</v>
      </c>
      <c r="C6548">
        <v>-64</v>
      </c>
      <c r="D6548" t="s">
        <v>17</v>
      </c>
      <c r="E6548" t="s">
        <v>384</v>
      </c>
      <c r="F6548">
        <f t="shared" si="204"/>
        <v>1949</v>
      </c>
      <c r="G6548">
        <f t="shared" si="205"/>
        <v>12</v>
      </c>
      <c r="H6548" t="str">
        <f>IF(ISNUMBER(FIND(",", E6548)), TRIM(MID(E6548, FIND(",", E6548) + 1, LEN(E6548))), E6548)</f>
        <v>Bolivia</v>
      </c>
    </row>
    <row r="6549" spans="1:8" x14ac:dyDescent="0.25">
      <c r="A6549" s="2">
        <v>18250</v>
      </c>
      <c r="B6549">
        <v>-34.5</v>
      </c>
      <c r="C6549">
        <v>180</v>
      </c>
      <c r="D6549" t="s">
        <v>17</v>
      </c>
      <c r="F6549">
        <f t="shared" si="204"/>
        <v>1949</v>
      </c>
      <c r="G6549">
        <f t="shared" si="205"/>
        <v>12</v>
      </c>
      <c r="H6549">
        <f>IF(ISNUMBER(FIND(",", E6549)), TRIM(MID(E6549, FIND(",", E6549) + 1, LEN(E6549))), E6549)</f>
        <v>0</v>
      </c>
    </row>
    <row r="6550" spans="1:8" x14ac:dyDescent="0.25">
      <c r="A6550" s="2">
        <v>18249</v>
      </c>
      <c r="B6550">
        <v>-54.319000000000003</v>
      </c>
      <c r="C6550">
        <v>-68.474000000000004</v>
      </c>
      <c r="D6550" t="s">
        <v>16</v>
      </c>
      <c r="E6550" t="s">
        <v>699</v>
      </c>
      <c r="F6550">
        <f t="shared" si="204"/>
        <v>1949</v>
      </c>
      <c r="G6550">
        <f t="shared" si="205"/>
        <v>12</v>
      </c>
      <c r="H6550" t="str">
        <f>IF(ISNUMBER(FIND(",", E6550)), TRIM(MID(E6550, FIND(",", E6550) + 1, LEN(E6550))), E6550)</f>
        <v>southern Chile-Argentina border region</v>
      </c>
    </row>
    <row r="6551" spans="1:8" x14ac:dyDescent="0.25">
      <c r="A6551" s="2">
        <v>18249</v>
      </c>
      <c r="B6551">
        <v>-53.908999999999999</v>
      </c>
      <c r="C6551">
        <v>-69.605000000000004</v>
      </c>
      <c r="D6551" t="s">
        <v>16</v>
      </c>
      <c r="E6551" t="s">
        <v>700</v>
      </c>
      <c r="F6551">
        <f t="shared" si="204"/>
        <v>1949</v>
      </c>
      <c r="G6551">
        <f t="shared" si="205"/>
        <v>12</v>
      </c>
      <c r="H6551" t="str">
        <f>IF(ISNUMBER(FIND(",", E6551)), TRIM(MID(E6551, FIND(",", E6551) + 1, LEN(E6551))), E6551)</f>
        <v>Magallanes, Chile</v>
      </c>
    </row>
    <row r="6552" spans="1:8" x14ac:dyDescent="0.25">
      <c r="A6552" s="2">
        <v>18229</v>
      </c>
      <c r="B6552">
        <v>-18</v>
      </c>
      <c r="C6552">
        <v>-173</v>
      </c>
      <c r="D6552" t="s">
        <v>14</v>
      </c>
      <c r="E6552" t="s">
        <v>304</v>
      </c>
      <c r="F6552">
        <f t="shared" si="204"/>
        <v>1949</v>
      </c>
      <c r="G6552">
        <f t="shared" si="205"/>
        <v>11</v>
      </c>
      <c r="H6552" t="str">
        <f>IF(ISNUMBER(FIND(",", E6552)), TRIM(MID(E6552, FIND(",", E6552) + 1, LEN(E6552))), E6552)</f>
        <v>Tonga region</v>
      </c>
    </row>
    <row r="6553" spans="1:8" x14ac:dyDescent="0.25">
      <c r="A6553" s="2">
        <v>18224</v>
      </c>
      <c r="B6553">
        <v>-29.189</v>
      </c>
      <c r="C6553">
        <v>-178.04599999999999</v>
      </c>
      <c r="D6553" t="s">
        <v>13</v>
      </c>
      <c r="E6553" t="s">
        <v>288</v>
      </c>
      <c r="F6553">
        <f t="shared" si="204"/>
        <v>1949</v>
      </c>
      <c r="G6553">
        <f t="shared" si="205"/>
        <v>11</v>
      </c>
      <c r="H6553" t="str">
        <f>IF(ISNUMBER(FIND(",", E6553)), TRIM(MID(E6553, FIND(",", E6553) + 1, LEN(E6553))), E6553)</f>
        <v>New Zealand</v>
      </c>
    </row>
    <row r="6554" spans="1:8" x14ac:dyDescent="0.25">
      <c r="A6554" s="2">
        <v>18222</v>
      </c>
      <c r="B6554">
        <v>28.1</v>
      </c>
      <c r="C6554">
        <v>-112.6</v>
      </c>
      <c r="D6554" t="s">
        <v>17</v>
      </c>
      <c r="E6554" t="s">
        <v>282</v>
      </c>
      <c r="F6554">
        <f t="shared" si="204"/>
        <v>1949</v>
      </c>
      <c r="G6554">
        <f t="shared" si="205"/>
        <v>11</v>
      </c>
      <c r="H6554" t="str">
        <f>IF(ISNUMBER(FIND(",", E6554)), TRIM(MID(E6554, FIND(",", E6554) + 1, LEN(E6554))), E6554)</f>
        <v>Gulf of California</v>
      </c>
    </row>
    <row r="6555" spans="1:8" x14ac:dyDescent="0.25">
      <c r="A6555" s="2">
        <v>18209</v>
      </c>
      <c r="B6555">
        <v>-14</v>
      </c>
      <c r="C6555">
        <v>167</v>
      </c>
      <c r="D6555" t="s">
        <v>17</v>
      </c>
      <c r="E6555" t="s">
        <v>181</v>
      </c>
      <c r="F6555">
        <f t="shared" si="204"/>
        <v>1949</v>
      </c>
      <c r="G6555">
        <f t="shared" si="205"/>
        <v>11</v>
      </c>
      <c r="H6555" t="str">
        <f>IF(ISNUMBER(FIND(",", E6555)), TRIM(MID(E6555, FIND(",", E6555) + 1, LEN(E6555))), E6555)</f>
        <v>Vanuatu</v>
      </c>
    </row>
    <row r="6556" spans="1:8" x14ac:dyDescent="0.25">
      <c r="A6556" s="2">
        <v>18205</v>
      </c>
      <c r="B6556">
        <v>48.5</v>
      </c>
      <c r="C6556">
        <v>154</v>
      </c>
      <c r="D6556" t="s">
        <v>17</v>
      </c>
      <c r="E6556" t="s">
        <v>191</v>
      </c>
      <c r="F6556">
        <f t="shared" si="204"/>
        <v>1949</v>
      </c>
      <c r="G6556">
        <f t="shared" si="205"/>
        <v>11</v>
      </c>
      <c r="H6556" t="str">
        <f>IF(ISNUMBER(FIND(",", E6556)), TRIM(MID(E6556, FIND(",", E6556) + 1, LEN(E6556))), E6556)</f>
        <v>Kuril Islands</v>
      </c>
    </row>
    <row r="6557" spans="1:8" x14ac:dyDescent="0.25">
      <c r="A6557" s="2">
        <v>18202</v>
      </c>
      <c r="B6557">
        <v>-5.6</v>
      </c>
      <c r="C6557">
        <v>153.6</v>
      </c>
      <c r="D6557" t="s">
        <v>17</v>
      </c>
      <c r="E6557" t="s">
        <v>183</v>
      </c>
      <c r="F6557">
        <f t="shared" si="204"/>
        <v>1949</v>
      </c>
      <c r="G6557">
        <f t="shared" si="205"/>
        <v>10</v>
      </c>
      <c r="H6557" t="str">
        <f>IF(ISNUMBER(FIND(",", E6557)), TRIM(MID(E6557, FIND(",", E6557) + 1, LEN(E6557))), E6557)</f>
        <v>Papua New Guinea</v>
      </c>
    </row>
    <row r="6558" spans="1:8" x14ac:dyDescent="0.25">
      <c r="A6558" s="2">
        <v>18190</v>
      </c>
      <c r="B6558">
        <v>-5.8129999999999997</v>
      </c>
      <c r="C6558">
        <v>153.595</v>
      </c>
      <c r="D6558" t="s">
        <v>16</v>
      </c>
      <c r="E6558" t="s">
        <v>183</v>
      </c>
      <c r="F6558">
        <f t="shared" si="204"/>
        <v>1949</v>
      </c>
      <c r="G6558">
        <f t="shared" si="205"/>
        <v>10</v>
      </c>
      <c r="H6558" t="str">
        <f>IF(ISNUMBER(FIND(",", E6558)), TRIM(MID(E6558, FIND(",", E6558) + 1, LEN(E6558))), E6558)</f>
        <v>Papua New Guinea</v>
      </c>
    </row>
    <row r="6559" spans="1:8" x14ac:dyDescent="0.25">
      <c r="A6559" s="2">
        <v>18178</v>
      </c>
      <c r="B6559">
        <v>-33.25</v>
      </c>
      <c r="C6559">
        <v>58</v>
      </c>
      <c r="D6559" t="s">
        <v>17</v>
      </c>
      <c r="E6559" t="s">
        <v>473</v>
      </c>
      <c r="F6559">
        <f t="shared" si="204"/>
        <v>1949</v>
      </c>
      <c r="G6559">
        <f t="shared" si="205"/>
        <v>10</v>
      </c>
      <c r="H6559" t="str">
        <f>IF(ISNUMBER(FIND(",", E6559)), TRIM(MID(E6559, FIND(",", E6559) + 1, LEN(E6559))), E6559)</f>
        <v>South Indian Ocean</v>
      </c>
    </row>
    <row r="6560" spans="1:8" x14ac:dyDescent="0.25">
      <c r="A6560" s="2">
        <v>18168</v>
      </c>
      <c r="B6560">
        <v>59.75</v>
      </c>
      <c r="C6560">
        <v>-149</v>
      </c>
      <c r="D6560" t="s">
        <v>14</v>
      </c>
      <c r="E6560" t="s">
        <v>679</v>
      </c>
      <c r="F6560">
        <f t="shared" si="204"/>
        <v>1949</v>
      </c>
      <c r="G6560">
        <f t="shared" si="205"/>
        <v>9</v>
      </c>
      <c r="H6560" t="str">
        <f>IF(ISNUMBER(FIND(",", E6560)), TRIM(MID(E6560, FIND(",", E6560) + 1, LEN(E6560))), E6560)</f>
        <v>Alaska</v>
      </c>
    </row>
    <row r="6561" spans="1:8" x14ac:dyDescent="0.25">
      <c r="A6561" s="2">
        <v>18165</v>
      </c>
      <c r="B6561">
        <v>-6.5</v>
      </c>
      <c r="C6561">
        <v>155</v>
      </c>
      <c r="D6561" t="s">
        <v>17</v>
      </c>
      <c r="E6561" t="s">
        <v>290</v>
      </c>
      <c r="F6561">
        <f t="shared" si="204"/>
        <v>1949</v>
      </c>
      <c r="G6561">
        <f t="shared" si="205"/>
        <v>9</v>
      </c>
      <c r="H6561" t="str">
        <f>IF(ISNUMBER(FIND(",", E6561)), TRIM(MID(E6561, FIND(",", E6561) + 1, LEN(E6561))), E6561)</f>
        <v>Papua New Guinea</v>
      </c>
    </row>
    <row r="6562" spans="1:8" x14ac:dyDescent="0.25">
      <c r="A6562" s="2">
        <v>18161</v>
      </c>
      <c r="B6562">
        <v>-29.5</v>
      </c>
      <c r="C6562">
        <v>-177.5</v>
      </c>
      <c r="D6562" t="s">
        <v>17</v>
      </c>
      <c r="E6562" t="s">
        <v>288</v>
      </c>
      <c r="F6562">
        <f t="shared" si="204"/>
        <v>1949</v>
      </c>
      <c r="G6562">
        <f t="shared" si="205"/>
        <v>9</v>
      </c>
      <c r="H6562" t="str">
        <f>IF(ISNUMBER(FIND(",", E6562)), TRIM(MID(E6562, FIND(",", E6562) + 1, LEN(E6562))), E6562)</f>
        <v>New Zealand</v>
      </c>
    </row>
    <row r="6563" spans="1:8" x14ac:dyDescent="0.25">
      <c r="A6563" s="2">
        <v>18155</v>
      </c>
      <c r="B6563">
        <v>0.75</v>
      </c>
      <c r="C6563">
        <v>126</v>
      </c>
      <c r="D6563" t="s">
        <v>14</v>
      </c>
      <c r="E6563" t="s">
        <v>186</v>
      </c>
      <c r="F6563">
        <f t="shared" si="204"/>
        <v>1949</v>
      </c>
      <c r="G6563">
        <f t="shared" si="205"/>
        <v>9</v>
      </c>
      <c r="H6563" t="str">
        <f>IF(ISNUMBER(FIND(",", E6563)), TRIM(MID(E6563, FIND(",", E6563) + 1, LEN(E6563))), E6563)</f>
        <v>Molucca Sea</v>
      </c>
    </row>
    <row r="6564" spans="1:8" x14ac:dyDescent="0.25">
      <c r="A6564" s="2">
        <v>18135</v>
      </c>
      <c r="B6564">
        <v>52.2</v>
      </c>
      <c r="C6564">
        <v>-179.3</v>
      </c>
      <c r="D6564" t="s">
        <v>17</v>
      </c>
      <c r="E6564" t="s">
        <v>207</v>
      </c>
      <c r="F6564">
        <f t="shared" si="204"/>
        <v>1949</v>
      </c>
      <c r="G6564">
        <f t="shared" si="205"/>
        <v>8</v>
      </c>
      <c r="H6564" t="str">
        <f>IF(ISNUMBER(FIND(",", E6564)), TRIM(MID(E6564, FIND(",", E6564) + 1, LEN(E6564))), E6564)</f>
        <v>Aleutian Islands, Alaska</v>
      </c>
    </row>
    <row r="6565" spans="1:8" x14ac:dyDescent="0.25">
      <c r="A6565" s="2">
        <v>18132</v>
      </c>
      <c r="B6565">
        <v>53.688000000000002</v>
      </c>
      <c r="C6565">
        <v>-133.10400000000001</v>
      </c>
      <c r="D6565" t="s">
        <v>16</v>
      </c>
      <c r="E6565" t="s">
        <v>201</v>
      </c>
      <c r="F6565">
        <f t="shared" si="204"/>
        <v>1949</v>
      </c>
      <c r="G6565">
        <f t="shared" si="205"/>
        <v>8</v>
      </c>
      <c r="H6565" t="str">
        <f>IF(ISNUMBER(FIND(",", E6565)), TRIM(MID(E6565, FIND(",", E6565) + 1, LEN(E6565))), E6565)</f>
        <v>Canada</v>
      </c>
    </row>
    <row r="6566" spans="1:8" x14ac:dyDescent="0.25">
      <c r="A6566" s="2">
        <v>18127</v>
      </c>
      <c r="B6566">
        <v>39.5</v>
      </c>
      <c r="C6566">
        <v>40.6</v>
      </c>
      <c r="D6566" t="s">
        <v>17</v>
      </c>
      <c r="E6566" t="s">
        <v>272</v>
      </c>
      <c r="F6566">
        <f t="shared" si="204"/>
        <v>1949</v>
      </c>
      <c r="G6566">
        <f t="shared" si="205"/>
        <v>8</v>
      </c>
      <c r="H6566" t="str">
        <f>IF(ISNUMBER(FIND(",", E6566)), TRIM(MID(E6566, FIND(",", E6566) + 1, LEN(E6566))), E6566)</f>
        <v>eastern Turkey</v>
      </c>
    </row>
    <row r="6567" spans="1:8" x14ac:dyDescent="0.25">
      <c r="A6567" s="2">
        <v>18116</v>
      </c>
      <c r="B6567">
        <v>-19.138000000000002</v>
      </c>
      <c r="C6567">
        <v>-174.232</v>
      </c>
      <c r="D6567" t="s">
        <v>13</v>
      </c>
      <c r="E6567" t="s">
        <v>239</v>
      </c>
      <c r="F6567">
        <f t="shared" si="204"/>
        <v>1949</v>
      </c>
      <c r="G6567">
        <f t="shared" si="205"/>
        <v>8</v>
      </c>
      <c r="H6567" t="str">
        <f>IF(ISNUMBER(FIND(",", E6567)), TRIM(MID(E6567, FIND(",", E6567) + 1, LEN(E6567))), E6567)</f>
        <v>Tonga</v>
      </c>
    </row>
    <row r="6568" spans="1:8" x14ac:dyDescent="0.25">
      <c r="A6568" s="2">
        <v>18115</v>
      </c>
      <c r="B6568">
        <v>-1.5</v>
      </c>
      <c r="C6568">
        <v>-78.25</v>
      </c>
      <c r="D6568" t="s">
        <v>17</v>
      </c>
      <c r="E6568" t="s">
        <v>316</v>
      </c>
      <c r="F6568">
        <f t="shared" si="204"/>
        <v>1949</v>
      </c>
      <c r="G6568">
        <f t="shared" si="205"/>
        <v>8</v>
      </c>
      <c r="H6568" t="str">
        <f>IF(ISNUMBER(FIND(",", E6568)), TRIM(MID(E6568, FIND(",", E6568) + 1, LEN(E6568))), E6568)</f>
        <v>Ecuador</v>
      </c>
    </row>
    <row r="6569" spans="1:8" x14ac:dyDescent="0.25">
      <c r="A6569" s="2">
        <v>18106</v>
      </c>
      <c r="B6569">
        <v>-28</v>
      </c>
      <c r="C6569">
        <v>-177</v>
      </c>
      <c r="D6569" t="s">
        <v>13</v>
      </c>
      <c r="E6569" t="s">
        <v>240</v>
      </c>
      <c r="F6569">
        <f t="shared" si="204"/>
        <v>1949</v>
      </c>
      <c r="G6569">
        <f t="shared" si="205"/>
        <v>7</v>
      </c>
      <c r="H6569" t="str">
        <f>IF(ISNUMBER(FIND(",", E6569)), TRIM(MID(E6569, FIND(",", E6569) + 1, LEN(E6569))), E6569)</f>
        <v>Kermadec Islands region</v>
      </c>
    </row>
    <row r="6570" spans="1:8" x14ac:dyDescent="0.25">
      <c r="A6570" s="2">
        <v>18104</v>
      </c>
      <c r="B6570">
        <v>-34</v>
      </c>
      <c r="C6570">
        <v>-112</v>
      </c>
      <c r="D6570" t="s">
        <v>17</v>
      </c>
      <c r="E6570" t="s">
        <v>268</v>
      </c>
      <c r="F6570">
        <f t="shared" si="204"/>
        <v>1949</v>
      </c>
      <c r="G6570">
        <f t="shared" si="205"/>
        <v>7</v>
      </c>
      <c r="H6570" t="str">
        <f>IF(ISNUMBER(FIND(",", E6570)), TRIM(MID(E6570, FIND(",", E6570) + 1, LEN(E6570))), E6570)</f>
        <v>southern East Pacific Rise</v>
      </c>
    </row>
    <row r="6571" spans="1:8" x14ac:dyDescent="0.25">
      <c r="A6571" s="2">
        <v>18104</v>
      </c>
      <c r="B6571">
        <v>16.399999999999999</v>
      </c>
      <c r="C6571">
        <v>147.6</v>
      </c>
      <c r="D6571" t="s">
        <v>17</v>
      </c>
      <c r="E6571" t="s">
        <v>72</v>
      </c>
      <c r="F6571">
        <f t="shared" si="204"/>
        <v>1949</v>
      </c>
      <c r="G6571">
        <f t="shared" si="205"/>
        <v>7</v>
      </c>
      <c r="H6571" t="str">
        <f>IF(ISNUMBER(FIND(",", E6571)), TRIM(MID(E6571, FIND(",", E6571) + 1, LEN(E6571))), E6571)</f>
        <v>Mariana Islands region</v>
      </c>
    </row>
    <row r="6572" spans="1:8" x14ac:dyDescent="0.25">
      <c r="A6572" s="2">
        <v>18102</v>
      </c>
      <c r="B6572">
        <v>38.6</v>
      </c>
      <c r="C6572">
        <v>26.3</v>
      </c>
      <c r="D6572" t="s">
        <v>17</v>
      </c>
      <c r="E6572" t="s">
        <v>701</v>
      </c>
      <c r="F6572">
        <f t="shared" si="204"/>
        <v>1949</v>
      </c>
      <c r="G6572">
        <f t="shared" si="205"/>
        <v>7</v>
      </c>
      <c r="H6572" t="str">
        <f>IF(ISNUMBER(FIND(",", E6572)), TRIM(MID(E6572, FIND(",", E6572) + 1, LEN(E6572))), E6572)</f>
        <v>near the coast of western Turkey</v>
      </c>
    </row>
    <row r="6573" spans="1:8" x14ac:dyDescent="0.25">
      <c r="A6573" s="2">
        <v>18102</v>
      </c>
      <c r="B6573">
        <v>-18.91</v>
      </c>
      <c r="C6573">
        <v>169.18799999999999</v>
      </c>
      <c r="D6573" t="s">
        <v>13</v>
      </c>
      <c r="E6573" t="s">
        <v>181</v>
      </c>
      <c r="F6573">
        <f t="shared" si="204"/>
        <v>1949</v>
      </c>
      <c r="G6573">
        <f t="shared" si="205"/>
        <v>7</v>
      </c>
      <c r="H6573" t="str">
        <f>IF(ISNUMBER(FIND(",", E6573)), TRIM(MID(E6573, FIND(",", E6573) + 1, LEN(E6573))), E6573)</f>
        <v>Vanuatu</v>
      </c>
    </row>
    <row r="6574" spans="1:8" x14ac:dyDescent="0.25">
      <c r="A6574" s="2">
        <v>18089</v>
      </c>
      <c r="B6574">
        <v>39.200000000000003</v>
      </c>
      <c r="C6574">
        <v>70.7</v>
      </c>
      <c r="D6574" t="s">
        <v>14</v>
      </c>
      <c r="E6574" t="s">
        <v>306</v>
      </c>
      <c r="F6574">
        <f t="shared" si="204"/>
        <v>1949</v>
      </c>
      <c r="G6574">
        <f t="shared" si="205"/>
        <v>7</v>
      </c>
      <c r="H6574" t="str">
        <f>IF(ISNUMBER(FIND(",", E6574)), TRIM(MID(E6574, FIND(",", E6574) + 1, LEN(E6574))), E6574)</f>
        <v>Tajikistan</v>
      </c>
    </row>
    <row r="6575" spans="1:8" x14ac:dyDescent="0.25">
      <c r="A6575" s="2">
        <v>18089</v>
      </c>
      <c r="B6575">
        <v>39.18</v>
      </c>
      <c r="C6575">
        <v>70.707999999999998</v>
      </c>
      <c r="D6575" t="s">
        <v>16</v>
      </c>
      <c r="E6575" t="s">
        <v>306</v>
      </c>
      <c r="F6575">
        <f t="shared" si="204"/>
        <v>1949</v>
      </c>
      <c r="G6575">
        <f t="shared" si="205"/>
        <v>7</v>
      </c>
      <c r="H6575" t="str">
        <f>IF(ISNUMBER(FIND(",", E6575)), TRIM(MID(E6575, FIND(",", E6575) + 1, LEN(E6575))), E6575)</f>
        <v>Tajikistan</v>
      </c>
    </row>
    <row r="6576" spans="1:8" x14ac:dyDescent="0.25">
      <c r="A6576" s="2">
        <v>18081</v>
      </c>
      <c r="B6576">
        <v>16</v>
      </c>
      <c r="C6576">
        <v>148</v>
      </c>
      <c r="D6576" t="s">
        <v>14</v>
      </c>
      <c r="E6576" t="s">
        <v>72</v>
      </c>
      <c r="F6576">
        <f t="shared" si="204"/>
        <v>1949</v>
      </c>
      <c r="G6576">
        <f t="shared" si="205"/>
        <v>7</v>
      </c>
      <c r="H6576" t="str">
        <f>IF(ISNUMBER(FIND(",", E6576)), TRIM(MID(E6576, FIND(",", E6576) + 1, LEN(E6576))), E6576)</f>
        <v>Mariana Islands region</v>
      </c>
    </row>
    <row r="6577" spans="1:8" x14ac:dyDescent="0.25">
      <c r="A6577" s="2">
        <v>18073</v>
      </c>
      <c r="B6577">
        <v>-6.2</v>
      </c>
      <c r="C6577">
        <v>105.7</v>
      </c>
      <c r="D6577" t="s">
        <v>17</v>
      </c>
      <c r="E6577" t="s">
        <v>278</v>
      </c>
      <c r="F6577">
        <f t="shared" si="204"/>
        <v>1949</v>
      </c>
      <c r="G6577">
        <f t="shared" si="205"/>
        <v>6</v>
      </c>
      <c r="H6577" t="str">
        <f>IF(ISNUMBER(FIND(",", E6577)), TRIM(MID(E6577, FIND(",", E6577) + 1, LEN(E6577))), E6577)</f>
        <v>Indonesia</v>
      </c>
    </row>
    <row r="6578" spans="1:8" x14ac:dyDescent="0.25">
      <c r="A6578" s="2">
        <v>18072</v>
      </c>
      <c r="B6578">
        <v>-16.100000000000001</v>
      </c>
      <c r="C6578">
        <v>168.3</v>
      </c>
      <c r="D6578" t="s">
        <v>17</v>
      </c>
      <c r="E6578" t="s">
        <v>181</v>
      </c>
      <c r="F6578">
        <f t="shared" si="204"/>
        <v>1949</v>
      </c>
      <c r="G6578">
        <f t="shared" si="205"/>
        <v>6</v>
      </c>
      <c r="H6578" t="str">
        <f>IF(ISNUMBER(FIND(",", E6578)), TRIM(MID(E6578, FIND(",", E6578) + 1, LEN(E6578))), E6578)</f>
        <v>Vanuatu</v>
      </c>
    </row>
    <row r="6579" spans="1:8" x14ac:dyDescent="0.25">
      <c r="A6579" s="2">
        <v>18061</v>
      </c>
      <c r="B6579">
        <v>-26.5</v>
      </c>
      <c r="C6579">
        <v>-62.5</v>
      </c>
      <c r="D6579" t="s">
        <v>17</v>
      </c>
      <c r="E6579" t="s">
        <v>232</v>
      </c>
      <c r="F6579">
        <f t="shared" si="204"/>
        <v>1949</v>
      </c>
      <c r="G6579">
        <f t="shared" si="205"/>
        <v>6</v>
      </c>
      <c r="H6579" t="str">
        <f>IF(ISNUMBER(FIND(",", E6579)), TRIM(MID(E6579, FIND(",", E6579) + 1, LEN(E6579))), E6579)</f>
        <v>Argentina</v>
      </c>
    </row>
    <row r="6580" spans="1:8" x14ac:dyDescent="0.25">
      <c r="A6580" s="2">
        <v>18061</v>
      </c>
      <c r="B6580">
        <v>-26.5</v>
      </c>
      <c r="C6580">
        <v>-62.5</v>
      </c>
      <c r="D6580" t="s">
        <v>17</v>
      </c>
      <c r="E6580" t="s">
        <v>232</v>
      </c>
      <c r="F6580">
        <f t="shared" si="204"/>
        <v>1949</v>
      </c>
      <c r="G6580">
        <f t="shared" si="205"/>
        <v>6</v>
      </c>
      <c r="H6580" t="str">
        <f>IF(ISNUMBER(FIND(",", E6580)), TRIM(MID(E6580, FIND(",", E6580) + 1, LEN(E6580))), E6580)</f>
        <v>Argentina</v>
      </c>
    </row>
    <row r="6581" spans="1:8" x14ac:dyDescent="0.25">
      <c r="A6581" s="2">
        <v>18048</v>
      </c>
      <c r="B6581">
        <v>-20.8</v>
      </c>
      <c r="C6581">
        <v>-69</v>
      </c>
      <c r="D6581" t="s">
        <v>17</v>
      </c>
      <c r="E6581" t="s">
        <v>237</v>
      </c>
      <c r="F6581">
        <f t="shared" si="204"/>
        <v>1949</v>
      </c>
      <c r="G6581">
        <f t="shared" si="205"/>
        <v>5</v>
      </c>
      <c r="H6581" t="str">
        <f>IF(ISNUMBER(FIND(",", E6581)), TRIM(MID(E6581, FIND(",", E6581) + 1, LEN(E6581))), E6581)</f>
        <v>Chile</v>
      </c>
    </row>
    <row r="6582" spans="1:8" x14ac:dyDescent="0.25">
      <c r="A6582" s="2">
        <v>18027</v>
      </c>
      <c r="B6582">
        <v>4.6920000000000002</v>
      </c>
      <c r="C6582">
        <v>95.572000000000003</v>
      </c>
      <c r="D6582" t="s">
        <v>17</v>
      </c>
      <c r="E6582" t="s">
        <v>226</v>
      </c>
      <c r="F6582">
        <f t="shared" si="204"/>
        <v>1949</v>
      </c>
      <c r="G6582">
        <f t="shared" si="205"/>
        <v>5</v>
      </c>
      <c r="H6582" t="str">
        <f>IF(ISNUMBER(FIND(",", E6582)), TRIM(MID(E6582, FIND(",", E6582) + 1, LEN(E6582))), E6582)</f>
        <v>Indonesia</v>
      </c>
    </row>
    <row r="6583" spans="1:8" x14ac:dyDescent="0.25">
      <c r="A6583" s="2">
        <v>18026</v>
      </c>
      <c r="B6583">
        <v>-20.8</v>
      </c>
      <c r="C6583">
        <v>-69</v>
      </c>
      <c r="D6583" t="s">
        <v>17</v>
      </c>
      <c r="E6583" t="s">
        <v>237</v>
      </c>
      <c r="F6583">
        <f t="shared" si="204"/>
        <v>1949</v>
      </c>
      <c r="G6583">
        <f t="shared" si="205"/>
        <v>5</v>
      </c>
      <c r="H6583" t="str">
        <f>IF(ISNUMBER(FIND(",", E6583)), TRIM(MID(E6583, FIND(",", E6583) + 1, LEN(E6583))), E6583)</f>
        <v>Chile</v>
      </c>
    </row>
    <row r="6584" spans="1:8" x14ac:dyDescent="0.25">
      <c r="A6584" s="2">
        <v>18021</v>
      </c>
      <c r="B6584">
        <v>48.6</v>
      </c>
      <c r="C6584">
        <v>153.5</v>
      </c>
      <c r="D6584" t="s">
        <v>17</v>
      </c>
      <c r="E6584" t="s">
        <v>191</v>
      </c>
      <c r="F6584">
        <f t="shared" si="204"/>
        <v>1949</v>
      </c>
      <c r="G6584">
        <f t="shared" si="205"/>
        <v>5</v>
      </c>
      <c r="H6584" t="str">
        <f>IF(ISNUMBER(FIND(",", E6584)), TRIM(MID(E6584, FIND(",", E6584) + 1, LEN(E6584))), E6584)</f>
        <v>Kuril Islands</v>
      </c>
    </row>
    <row r="6585" spans="1:8" x14ac:dyDescent="0.25">
      <c r="A6585" s="2">
        <v>18018</v>
      </c>
      <c r="B6585">
        <v>6.157</v>
      </c>
      <c r="C6585">
        <v>125.554</v>
      </c>
      <c r="D6585" t="s">
        <v>13</v>
      </c>
      <c r="E6585" t="s">
        <v>200</v>
      </c>
      <c r="F6585">
        <f t="shared" si="204"/>
        <v>1949</v>
      </c>
      <c r="G6585">
        <f t="shared" si="205"/>
        <v>4</v>
      </c>
      <c r="H6585" t="str">
        <f>IF(ISNUMBER(FIND(",", E6585)), TRIM(MID(E6585, FIND(",", E6585) + 1, LEN(E6585))), E6585)</f>
        <v>Philippines</v>
      </c>
    </row>
    <row r="6586" spans="1:8" x14ac:dyDescent="0.25">
      <c r="A6586" s="2">
        <v>18013</v>
      </c>
      <c r="B6586">
        <v>-19.753</v>
      </c>
      <c r="C6586">
        <v>-69.106999999999999</v>
      </c>
      <c r="D6586" t="s">
        <v>13</v>
      </c>
      <c r="E6586" t="s">
        <v>237</v>
      </c>
      <c r="F6586">
        <f t="shared" si="204"/>
        <v>1949</v>
      </c>
      <c r="G6586">
        <f t="shared" si="205"/>
        <v>4</v>
      </c>
      <c r="H6586" t="str">
        <f>IF(ISNUMBER(FIND(",", E6586)), TRIM(MID(E6586, FIND(",", E6586) + 1, LEN(E6586))), E6586)</f>
        <v>Chile</v>
      </c>
    </row>
    <row r="6587" spans="1:8" x14ac:dyDescent="0.25">
      <c r="A6587" s="2">
        <v>18011</v>
      </c>
      <c r="B6587">
        <v>-7.976</v>
      </c>
      <c r="C6587">
        <v>120.81100000000001</v>
      </c>
      <c r="D6587" t="s">
        <v>13</v>
      </c>
      <c r="E6587" t="s">
        <v>438</v>
      </c>
      <c r="F6587">
        <f t="shared" si="204"/>
        <v>1949</v>
      </c>
      <c r="G6587">
        <f t="shared" si="205"/>
        <v>4</v>
      </c>
      <c r="H6587" t="str">
        <f>IF(ISNUMBER(FIND(",", E6587)), TRIM(MID(E6587, FIND(",", E6587) + 1, LEN(E6587))), E6587)</f>
        <v>Flores Sea</v>
      </c>
    </row>
    <row r="6588" spans="1:8" x14ac:dyDescent="0.25">
      <c r="A6588" s="2">
        <v>18008</v>
      </c>
      <c r="B6588">
        <v>-37.600999999999999</v>
      </c>
      <c r="C6588">
        <v>-72.73</v>
      </c>
      <c r="D6588" t="s">
        <v>13</v>
      </c>
      <c r="E6588" t="s">
        <v>302</v>
      </c>
      <c r="F6588">
        <f t="shared" si="204"/>
        <v>1949</v>
      </c>
      <c r="G6588">
        <f t="shared" si="205"/>
        <v>4</v>
      </c>
      <c r="H6588" t="str">
        <f>IF(ISNUMBER(FIND(",", E6588)), TRIM(MID(E6588, FIND(",", E6588) + 1, LEN(E6588))), E6588)</f>
        <v>Chile</v>
      </c>
    </row>
    <row r="6589" spans="1:8" x14ac:dyDescent="0.25">
      <c r="A6589" s="2">
        <v>18006</v>
      </c>
      <c r="B6589">
        <v>-15.8</v>
      </c>
      <c r="C6589">
        <v>-172.8</v>
      </c>
      <c r="D6589" t="s">
        <v>17</v>
      </c>
      <c r="E6589" t="s">
        <v>352</v>
      </c>
      <c r="F6589">
        <f t="shared" si="204"/>
        <v>1949</v>
      </c>
      <c r="G6589">
        <f t="shared" si="205"/>
        <v>4</v>
      </c>
      <c r="H6589" t="str">
        <f>IF(ISNUMBER(FIND(",", E6589)), TRIM(MID(E6589, FIND(",", E6589) + 1, LEN(E6589))), E6589)</f>
        <v>Samoa Islands region</v>
      </c>
    </row>
    <row r="6590" spans="1:8" x14ac:dyDescent="0.25">
      <c r="A6590" s="2">
        <v>18001</v>
      </c>
      <c r="B6590">
        <v>47.167000000000002</v>
      </c>
      <c r="C6590">
        <v>-122.392</v>
      </c>
      <c r="D6590" t="s">
        <v>14</v>
      </c>
      <c r="E6590" t="s">
        <v>503</v>
      </c>
      <c r="F6590">
        <f t="shared" si="204"/>
        <v>1949</v>
      </c>
      <c r="G6590">
        <f t="shared" si="205"/>
        <v>4</v>
      </c>
      <c r="H6590" t="str">
        <f>IF(ISNUMBER(FIND(",", E6590)), TRIM(MID(E6590, FIND(",", E6590) + 1, LEN(E6590))), E6590)</f>
        <v>Washington</v>
      </c>
    </row>
    <row r="6591" spans="1:8" x14ac:dyDescent="0.25">
      <c r="A6591" s="2">
        <v>17993</v>
      </c>
      <c r="B6591">
        <v>41</v>
      </c>
      <c r="C6591">
        <v>131</v>
      </c>
      <c r="D6591" t="s">
        <v>17</v>
      </c>
      <c r="E6591" t="s">
        <v>420</v>
      </c>
      <c r="F6591">
        <f t="shared" si="204"/>
        <v>1949</v>
      </c>
      <c r="G6591">
        <f t="shared" si="205"/>
        <v>4</v>
      </c>
      <c r="H6591" t="str">
        <f>IF(ISNUMBER(FIND(",", E6591)), TRIM(MID(E6591, FIND(",", E6591) + 1, LEN(E6591))), E6591)</f>
        <v>Sea of Japan</v>
      </c>
    </row>
    <row r="6592" spans="1:8" x14ac:dyDescent="0.25">
      <c r="A6592" s="2">
        <v>17984</v>
      </c>
      <c r="B6592">
        <v>2.577</v>
      </c>
      <c r="C6592">
        <v>127.67</v>
      </c>
      <c r="D6592" t="s">
        <v>16</v>
      </c>
      <c r="E6592" t="s">
        <v>186</v>
      </c>
      <c r="F6592">
        <f t="shared" si="204"/>
        <v>1949</v>
      </c>
      <c r="G6592">
        <f t="shared" si="205"/>
        <v>3</v>
      </c>
      <c r="H6592" t="str">
        <f>IF(ISNUMBER(FIND(",", E6592)), TRIM(MID(E6592, FIND(",", E6592) + 1, LEN(E6592))), E6592)</f>
        <v>Molucca Sea</v>
      </c>
    </row>
    <row r="6593" spans="1:8" x14ac:dyDescent="0.25">
      <c r="A6593" s="2">
        <v>17974</v>
      </c>
      <c r="B6593">
        <v>-5.5</v>
      </c>
      <c r="C6593">
        <v>151</v>
      </c>
      <c r="D6593" t="s">
        <v>14</v>
      </c>
      <c r="E6593" t="s">
        <v>190</v>
      </c>
      <c r="F6593">
        <f t="shared" si="204"/>
        <v>1949</v>
      </c>
      <c r="G6593">
        <f t="shared" si="205"/>
        <v>3</v>
      </c>
      <c r="H6593" t="str">
        <f>IF(ISNUMBER(FIND(",", E6593)), TRIM(MID(E6593, FIND(",", E6593) + 1, LEN(E6593))), E6593)</f>
        <v>Papua New Guinea</v>
      </c>
    </row>
    <row r="6594" spans="1:8" x14ac:dyDescent="0.25">
      <c r="A6594" s="2">
        <v>17973</v>
      </c>
      <c r="B6594">
        <v>-5.5</v>
      </c>
      <c r="C6594">
        <v>151</v>
      </c>
      <c r="D6594" t="s">
        <v>14</v>
      </c>
      <c r="E6594" t="s">
        <v>190</v>
      </c>
      <c r="F6594">
        <f t="shared" ref="F6594:F6657" si="206">YEAR(A6594)</f>
        <v>1949</v>
      </c>
      <c r="G6594">
        <f t="shared" si="205"/>
        <v>3</v>
      </c>
      <c r="H6594" t="str">
        <f>IF(ISNUMBER(FIND(",", E6594)), TRIM(MID(E6594, FIND(",", E6594) + 1, LEN(E6594))), E6594)</f>
        <v>Papua New Guinea</v>
      </c>
    </row>
    <row r="6595" spans="1:8" x14ac:dyDescent="0.25">
      <c r="A6595" s="2">
        <v>17961</v>
      </c>
      <c r="B6595">
        <v>36.634999999999998</v>
      </c>
      <c r="C6595">
        <v>70.858999999999995</v>
      </c>
      <c r="D6595" t="s">
        <v>13</v>
      </c>
      <c r="E6595" t="s">
        <v>314</v>
      </c>
      <c r="F6595">
        <f t="shared" si="206"/>
        <v>1949</v>
      </c>
      <c r="G6595">
        <f t="shared" ref="G6595:G6658" si="207">MONTH(A6595)</f>
        <v>3</v>
      </c>
      <c r="H6595" t="str">
        <f>IF(ISNUMBER(FIND(",", E6595)), TRIM(MID(E6595, FIND(",", E6595) + 1, LEN(E6595))), E6595)</f>
        <v>Afghanistan</v>
      </c>
    </row>
    <row r="6596" spans="1:8" x14ac:dyDescent="0.25">
      <c r="A6596" s="2">
        <v>17957</v>
      </c>
      <c r="B6596">
        <v>-57</v>
      </c>
      <c r="C6596">
        <v>-29</v>
      </c>
      <c r="D6596" t="s">
        <v>14</v>
      </c>
      <c r="E6596" t="s">
        <v>260</v>
      </c>
      <c r="F6596">
        <f t="shared" si="206"/>
        <v>1949</v>
      </c>
      <c r="G6596">
        <f t="shared" si="207"/>
        <v>2</v>
      </c>
      <c r="H6596" t="str">
        <f>IF(ISNUMBER(FIND(",", E6596)), TRIM(MID(E6596, FIND(",", E6596) + 1, LEN(E6596))), E6596)</f>
        <v>South Sandwich Islands region</v>
      </c>
    </row>
    <row r="6597" spans="1:8" x14ac:dyDescent="0.25">
      <c r="A6597" s="2">
        <v>17952</v>
      </c>
      <c r="B6597">
        <v>41.914000000000001</v>
      </c>
      <c r="C6597">
        <v>84.031000000000006</v>
      </c>
      <c r="D6597" t="s">
        <v>16</v>
      </c>
      <c r="E6597" t="s">
        <v>482</v>
      </c>
      <c r="F6597">
        <f t="shared" si="206"/>
        <v>1949</v>
      </c>
      <c r="G6597">
        <f t="shared" si="207"/>
        <v>2</v>
      </c>
      <c r="H6597" t="str">
        <f>IF(ISNUMBER(FIND(",", E6597)), TRIM(MID(E6597, FIND(",", E6597) + 1, LEN(E6597))), E6597)</f>
        <v>China</v>
      </c>
    </row>
    <row r="6598" spans="1:8" x14ac:dyDescent="0.25">
      <c r="A6598" s="2">
        <v>17942</v>
      </c>
      <c r="B6598">
        <v>-33.5</v>
      </c>
      <c r="C6598">
        <v>-178</v>
      </c>
      <c r="D6598" t="s">
        <v>14</v>
      </c>
      <c r="E6598" t="s">
        <v>262</v>
      </c>
      <c r="F6598">
        <f t="shared" si="206"/>
        <v>1949</v>
      </c>
      <c r="G6598">
        <f t="shared" si="207"/>
        <v>2</v>
      </c>
      <c r="H6598" t="str">
        <f>IF(ISNUMBER(FIND(",", E6598)), TRIM(MID(E6598, FIND(",", E6598) + 1, LEN(E6598))), E6598)</f>
        <v>south of the Kermadec Islands</v>
      </c>
    </row>
    <row r="6599" spans="1:8" x14ac:dyDescent="0.25">
      <c r="A6599" s="2">
        <v>17939</v>
      </c>
      <c r="B6599">
        <v>-15.8</v>
      </c>
      <c r="C6599">
        <v>-172.8</v>
      </c>
      <c r="D6599" t="s">
        <v>17</v>
      </c>
      <c r="E6599" t="s">
        <v>352</v>
      </c>
      <c r="F6599">
        <f t="shared" si="206"/>
        <v>1949</v>
      </c>
      <c r="G6599">
        <f t="shared" si="207"/>
        <v>2</v>
      </c>
      <c r="H6599" t="str">
        <f>IF(ISNUMBER(FIND(",", E6599)), TRIM(MID(E6599, FIND(",", E6599) + 1, LEN(E6599))), E6599)</f>
        <v>Samoa Islands region</v>
      </c>
    </row>
    <row r="6600" spans="1:8" x14ac:dyDescent="0.25">
      <c r="A6600" s="2">
        <v>17931</v>
      </c>
      <c r="B6600">
        <v>53</v>
      </c>
      <c r="C6600">
        <v>-173</v>
      </c>
      <c r="D6600" t="s">
        <v>13</v>
      </c>
      <c r="E6600" t="s">
        <v>207</v>
      </c>
      <c r="F6600">
        <f t="shared" si="206"/>
        <v>1949</v>
      </c>
      <c r="G6600">
        <f t="shared" si="207"/>
        <v>2</v>
      </c>
      <c r="H6600" t="str">
        <f>IF(ISNUMBER(FIND(",", E6600)), TRIM(MID(E6600, FIND(",", E6600) + 1, LEN(E6600))), E6600)</f>
        <v>Aleutian Islands, Alaska</v>
      </c>
    </row>
    <row r="6601" spans="1:8" x14ac:dyDescent="0.25">
      <c r="A6601" s="2">
        <v>17922</v>
      </c>
      <c r="B6601">
        <v>-22</v>
      </c>
      <c r="C6601">
        <v>-176</v>
      </c>
      <c r="D6601" t="s">
        <v>13</v>
      </c>
      <c r="E6601" t="s">
        <v>239</v>
      </c>
      <c r="F6601">
        <f t="shared" si="206"/>
        <v>1949</v>
      </c>
      <c r="G6601">
        <f t="shared" si="207"/>
        <v>1</v>
      </c>
      <c r="H6601" t="str">
        <f>IF(ISNUMBER(FIND(",", E6601)), TRIM(MID(E6601, FIND(",", E6601) + 1, LEN(E6601))), E6601)</f>
        <v>Tonga</v>
      </c>
    </row>
    <row r="6602" spans="1:8" x14ac:dyDescent="0.25">
      <c r="A6602" s="2">
        <v>17921</v>
      </c>
      <c r="B6602">
        <v>-11</v>
      </c>
      <c r="C6602">
        <v>93</v>
      </c>
      <c r="D6602" t="s">
        <v>14</v>
      </c>
      <c r="E6602" t="s">
        <v>473</v>
      </c>
      <c r="F6602">
        <f t="shared" si="206"/>
        <v>1949</v>
      </c>
      <c r="G6602">
        <f t="shared" si="207"/>
        <v>1</v>
      </c>
      <c r="H6602" t="str">
        <f>IF(ISNUMBER(FIND(",", E6602)), TRIM(MID(E6602, FIND(",", E6602) + 1, LEN(E6602))), E6602)</f>
        <v>South Indian Ocean</v>
      </c>
    </row>
    <row r="6603" spans="1:8" x14ac:dyDescent="0.25">
      <c r="A6603" s="2">
        <v>17918</v>
      </c>
      <c r="B6603">
        <v>35.6</v>
      </c>
      <c r="C6603">
        <v>134.19999999999999</v>
      </c>
      <c r="D6603" t="s">
        <v>14</v>
      </c>
      <c r="E6603" t="s">
        <v>502</v>
      </c>
      <c r="F6603">
        <f t="shared" si="206"/>
        <v>1949</v>
      </c>
      <c r="G6603">
        <f t="shared" si="207"/>
        <v>1</v>
      </c>
      <c r="H6603" t="str">
        <f>IF(ISNUMBER(FIND(",", E6603)), TRIM(MID(E6603, FIND(",", E6603) + 1, LEN(E6603))), E6603)</f>
        <v>Japan</v>
      </c>
    </row>
    <row r="6604" spans="1:8" x14ac:dyDescent="0.25">
      <c r="A6604" s="2">
        <v>17917</v>
      </c>
      <c r="B6604">
        <v>23.8</v>
      </c>
      <c r="C6604">
        <v>121.8</v>
      </c>
      <c r="D6604" t="s">
        <v>14</v>
      </c>
      <c r="E6604" t="s">
        <v>336</v>
      </c>
      <c r="F6604">
        <f t="shared" si="206"/>
        <v>1949</v>
      </c>
      <c r="G6604">
        <f t="shared" si="207"/>
        <v>1</v>
      </c>
      <c r="H6604" t="str">
        <f>IF(ISNUMBER(FIND(",", E6604)), TRIM(MID(E6604, FIND(",", E6604) + 1, LEN(E6604))), E6604)</f>
        <v>Taiwan</v>
      </c>
    </row>
    <row r="6605" spans="1:8" x14ac:dyDescent="0.25">
      <c r="A6605" s="2">
        <v>17890</v>
      </c>
      <c r="B6605">
        <v>55.5</v>
      </c>
      <c r="C6605">
        <v>166</v>
      </c>
      <c r="D6605" t="s">
        <v>17</v>
      </c>
      <c r="E6605" t="s">
        <v>443</v>
      </c>
      <c r="F6605">
        <f t="shared" si="206"/>
        <v>1948</v>
      </c>
      <c r="G6605">
        <f t="shared" si="207"/>
        <v>12</v>
      </c>
      <c r="H6605" t="str">
        <f>IF(ISNUMBER(FIND(",", E6605)), TRIM(MID(E6605, FIND(",", E6605) + 1, LEN(E6605))), E6605)</f>
        <v>Russia region</v>
      </c>
    </row>
    <row r="6606" spans="1:8" x14ac:dyDescent="0.25">
      <c r="A6606" s="2">
        <v>17882</v>
      </c>
      <c r="B6606">
        <v>22</v>
      </c>
      <c r="C6606">
        <v>142.5</v>
      </c>
      <c r="D6606" t="s">
        <v>17</v>
      </c>
      <c r="E6606" t="s">
        <v>519</v>
      </c>
      <c r="F6606">
        <f t="shared" si="206"/>
        <v>1948</v>
      </c>
      <c r="G6606">
        <f t="shared" si="207"/>
        <v>12</v>
      </c>
      <c r="H6606" t="str">
        <f>IF(ISNUMBER(FIND(",", E6606)), TRIM(MID(E6606, FIND(",", E6606) + 1, LEN(E6606))), E6606)</f>
        <v>Japan region</v>
      </c>
    </row>
    <row r="6607" spans="1:8" x14ac:dyDescent="0.25">
      <c r="A6607" s="2">
        <v>17871</v>
      </c>
      <c r="B6607">
        <v>22</v>
      </c>
      <c r="C6607">
        <v>-106.5</v>
      </c>
      <c r="D6607" t="s">
        <v>17</v>
      </c>
      <c r="E6607" t="s">
        <v>702</v>
      </c>
      <c r="F6607">
        <f t="shared" si="206"/>
        <v>1948</v>
      </c>
      <c r="G6607">
        <f t="shared" si="207"/>
        <v>12</v>
      </c>
      <c r="H6607" t="str">
        <f>IF(ISNUMBER(FIND(",", E6607)), TRIM(MID(E6607, FIND(",", E6607) + 1, LEN(E6607))), E6607)</f>
        <v>Mexico</v>
      </c>
    </row>
    <row r="6608" spans="1:8" x14ac:dyDescent="0.25">
      <c r="A6608" s="2">
        <v>17863</v>
      </c>
      <c r="B6608">
        <v>-5.0830000000000002</v>
      </c>
      <c r="C6608">
        <v>144.84200000000001</v>
      </c>
      <c r="D6608" t="s">
        <v>13</v>
      </c>
      <c r="E6608" t="s">
        <v>253</v>
      </c>
      <c r="F6608">
        <f t="shared" si="206"/>
        <v>1948</v>
      </c>
      <c r="G6608">
        <f t="shared" si="207"/>
        <v>11</v>
      </c>
      <c r="H6608" t="str">
        <f>IF(ISNUMBER(FIND(",", E6608)), TRIM(MID(E6608, FIND(",", E6608) + 1, LEN(E6608))), E6608)</f>
        <v>Papua New Guinea</v>
      </c>
    </row>
    <row r="6609" spans="1:8" x14ac:dyDescent="0.25">
      <c r="A6609" s="2">
        <v>17858</v>
      </c>
      <c r="B6609">
        <v>-13.5</v>
      </c>
      <c r="C6609">
        <v>167</v>
      </c>
      <c r="D6609" t="s">
        <v>17</v>
      </c>
      <c r="E6609" t="s">
        <v>181</v>
      </c>
      <c r="F6609">
        <f t="shared" si="206"/>
        <v>1948</v>
      </c>
      <c r="G6609">
        <f t="shared" si="207"/>
        <v>11</v>
      </c>
      <c r="H6609" t="str">
        <f>IF(ISNUMBER(FIND(",", E6609)), TRIM(MID(E6609, FIND(",", E6609) + 1, LEN(E6609))), E6609)</f>
        <v>Vanuatu</v>
      </c>
    </row>
    <row r="6610" spans="1:8" x14ac:dyDescent="0.25">
      <c r="A6610" s="2">
        <v>17856</v>
      </c>
      <c r="B6610">
        <v>9.4489999999999998</v>
      </c>
      <c r="C6610">
        <v>-83.875</v>
      </c>
      <c r="D6610" t="s">
        <v>13</v>
      </c>
      <c r="E6610" t="s">
        <v>202</v>
      </c>
      <c r="F6610">
        <f t="shared" si="206"/>
        <v>1948</v>
      </c>
      <c r="G6610">
        <f t="shared" si="207"/>
        <v>11</v>
      </c>
      <c r="H6610" t="str">
        <f>IF(ISNUMBER(FIND(",", E6610)), TRIM(MID(E6610, FIND(",", E6610) + 1, LEN(E6610))), E6610)</f>
        <v>Costa Rica</v>
      </c>
    </row>
    <row r="6611" spans="1:8" x14ac:dyDescent="0.25">
      <c r="A6611" s="2">
        <v>17834</v>
      </c>
      <c r="B6611">
        <v>36.1</v>
      </c>
      <c r="C6611">
        <v>141.19999999999999</v>
      </c>
      <c r="D6611" t="s">
        <v>14</v>
      </c>
      <c r="E6611" t="s">
        <v>227</v>
      </c>
      <c r="F6611">
        <f t="shared" si="206"/>
        <v>1948</v>
      </c>
      <c r="G6611">
        <f t="shared" si="207"/>
        <v>10</v>
      </c>
      <c r="H6611" t="str">
        <f>IF(ISNUMBER(FIND(",", E6611)), TRIM(MID(E6611, FIND(",", E6611) + 1, LEN(E6611))), E6611)</f>
        <v>Japan</v>
      </c>
    </row>
    <row r="6612" spans="1:8" x14ac:dyDescent="0.25">
      <c r="A6612" s="2">
        <v>17811</v>
      </c>
      <c r="B6612">
        <v>38.146000000000001</v>
      </c>
      <c r="C6612">
        <v>58.466000000000001</v>
      </c>
      <c r="D6612" t="s">
        <v>16</v>
      </c>
      <c r="E6612" t="s">
        <v>509</v>
      </c>
      <c r="F6612">
        <f t="shared" si="206"/>
        <v>1948</v>
      </c>
      <c r="G6612">
        <f t="shared" si="207"/>
        <v>10</v>
      </c>
      <c r="H6612" t="str">
        <f>IF(ISNUMBER(FIND(",", E6612)), TRIM(MID(E6612, FIND(",", E6612) + 1, LEN(E6612))), E6612)</f>
        <v>Turkmenistan</v>
      </c>
    </row>
    <row r="6613" spans="1:8" x14ac:dyDescent="0.25">
      <c r="A6613" s="2">
        <v>17786</v>
      </c>
      <c r="B6613">
        <v>43.5</v>
      </c>
      <c r="C6613">
        <v>147</v>
      </c>
      <c r="D6613" t="s">
        <v>14</v>
      </c>
      <c r="E6613" t="s">
        <v>191</v>
      </c>
      <c r="F6613">
        <f t="shared" si="206"/>
        <v>1948</v>
      </c>
      <c r="G6613">
        <f t="shared" si="207"/>
        <v>9</v>
      </c>
      <c r="H6613" t="str">
        <f>IF(ISNUMBER(FIND(",", E6613)), TRIM(MID(E6613, FIND(",", E6613) + 1, LEN(E6613))), E6613)</f>
        <v>Kuril Islands</v>
      </c>
    </row>
    <row r="6614" spans="1:8" x14ac:dyDescent="0.25">
      <c r="A6614" s="2">
        <v>17784</v>
      </c>
      <c r="B6614">
        <v>-21.332999999999998</v>
      </c>
      <c r="C6614">
        <v>-173.76400000000001</v>
      </c>
      <c r="D6614" t="s">
        <v>14</v>
      </c>
      <c r="E6614" t="s">
        <v>239</v>
      </c>
      <c r="F6614">
        <f t="shared" si="206"/>
        <v>1948</v>
      </c>
      <c r="G6614">
        <f t="shared" si="207"/>
        <v>9</v>
      </c>
      <c r="H6614" t="str">
        <f>IF(ISNUMBER(FIND(",", E6614)), TRIM(MID(E6614, FIND(",", E6614) + 1, LEN(E6614))), E6614)</f>
        <v>Tonga</v>
      </c>
    </row>
    <row r="6615" spans="1:8" x14ac:dyDescent="0.25">
      <c r="A6615" s="2">
        <v>17778</v>
      </c>
      <c r="B6615">
        <v>10.125999999999999</v>
      </c>
      <c r="C6615">
        <v>125.395</v>
      </c>
      <c r="D6615" t="s">
        <v>14</v>
      </c>
      <c r="E6615" t="s">
        <v>545</v>
      </c>
      <c r="F6615">
        <f t="shared" si="206"/>
        <v>1948</v>
      </c>
      <c r="G6615">
        <f t="shared" si="207"/>
        <v>9</v>
      </c>
      <c r="H6615" t="str">
        <f>IF(ISNUMBER(FIND(",", E6615)), TRIM(MID(E6615, FIND(",", E6615) + 1, LEN(E6615))), E6615)</f>
        <v>Philippines</v>
      </c>
    </row>
    <row r="6616" spans="1:8" x14ac:dyDescent="0.25">
      <c r="A6616" s="2">
        <v>17770</v>
      </c>
      <c r="B6616">
        <v>-24.5</v>
      </c>
      <c r="C6616">
        <v>-65</v>
      </c>
      <c r="D6616" t="s">
        <v>14</v>
      </c>
      <c r="E6616" t="s">
        <v>347</v>
      </c>
      <c r="F6616">
        <f t="shared" si="206"/>
        <v>1948</v>
      </c>
      <c r="G6616">
        <f t="shared" si="207"/>
        <v>8</v>
      </c>
      <c r="H6616" t="str">
        <f>IF(ISNUMBER(FIND(",", E6616)), TRIM(MID(E6616, FIND(",", E6616) + 1, LEN(E6616))), E6616)</f>
        <v>Argentina</v>
      </c>
    </row>
    <row r="6617" spans="1:8" x14ac:dyDescent="0.25">
      <c r="A6617" s="2">
        <v>17756</v>
      </c>
      <c r="B6617">
        <v>17.75</v>
      </c>
      <c r="C6617">
        <v>-95.25</v>
      </c>
      <c r="D6617" t="s">
        <v>17</v>
      </c>
      <c r="E6617" t="s">
        <v>294</v>
      </c>
      <c r="F6617">
        <f t="shared" si="206"/>
        <v>1948</v>
      </c>
      <c r="G6617">
        <f t="shared" si="207"/>
        <v>8</v>
      </c>
      <c r="H6617" t="str">
        <f>IF(ISNUMBER(FIND(",", E6617)), TRIM(MID(E6617, FIND(",", E6617) + 1, LEN(E6617))), E6617)</f>
        <v>Mexico</v>
      </c>
    </row>
    <row r="6618" spans="1:8" x14ac:dyDescent="0.25">
      <c r="A6618" s="2">
        <v>17734</v>
      </c>
      <c r="B6618">
        <v>-16.628</v>
      </c>
      <c r="C6618">
        <v>-74.051000000000002</v>
      </c>
      <c r="D6618" t="s">
        <v>13</v>
      </c>
      <c r="E6618" t="s">
        <v>499</v>
      </c>
      <c r="F6618">
        <f t="shared" si="206"/>
        <v>1948</v>
      </c>
      <c r="G6618">
        <f t="shared" si="207"/>
        <v>7</v>
      </c>
      <c r="H6618" t="str">
        <f>IF(ISNUMBER(FIND(",", E6618)), TRIM(MID(E6618, FIND(",", E6618) + 1, LEN(E6618))), E6618)</f>
        <v>near the coast of southern Peru</v>
      </c>
    </row>
    <row r="6619" spans="1:8" x14ac:dyDescent="0.25">
      <c r="A6619" s="2">
        <v>17721</v>
      </c>
      <c r="B6619">
        <v>33</v>
      </c>
      <c r="C6619">
        <v>136.5</v>
      </c>
      <c r="D6619" t="s">
        <v>14</v>
      </c>
      <c r="E6619" t="s">
        <v>467</v>
      </c>
      <c r="F6619">
        <f t="shared" si="206"/>
        <v>1948</v>
      </c>
      <c r="G6619">
        <f t="shared" si="207"/>
        <v>7</v>
      </c>
      <c r="H6619" t="str">
        <f>IF(ISNUMBER(FIND(",", E6619)), TRIM(MID(E6619, FIND(",", E6619) + 1, LEN(E6619))), E6619)</f>
        <v>Japan</v>
      </c>
    </row>
    <row r="6620" spans="1:8" x14ac:dyDescent="0.25">
      <c r="A6620" s="2">
        <v>17713</v>
      </c>
      <c r="B6620">
        <v>-15.5</v>
      </c>
      <c r="C6620">
        <v>-172.5</v>
      </c>
      <c r="D6620" t="s">
        <v>14</v>
      </c>
      <c r="E6620" t="s">
        <v>352</v>
      </c>
      <c r="F6620">
        <f t="shared" si="206"/>
        <v>1948</v>
      </c>
      <c r="G6620">
        <f t="shared" si="207"/>
        <v>6</v>
      </c>
      <c r="H6620" t="str">
        <f>IF(ISNUMBER(FIND(",", E6620)), TRIM(MID(E6620, FIND(",", E6620) + 1, LEN(E6620))), E6620)</f>
        <v>Samoa Islands region</v>
      </c>
    </row>
    <row r="6621" spans="1:8" x14ac:dyDescent="0.25">
      <c r="A6621" s="2">
        <v>17712</v>
      </c>
      <c r="B6621">
        <v>36.142000000000003</v>
      </c>
      <c r="C6621">
        <v>136.14400000000001</v>
      </c>
      <c r="D6621" t="s">
        <v>16</v>
      </c>
      <c r="E6621" t="s">
        <v>298</v>
      </c>
      <c r="F6621">
        <f t="shared" si="206"/>
        <v>1948</v>
      </c>
      <c r="G6621">
        <f t="shared" si="207"/>
        <v>6</v>
      </c>
      <c r="H6621" t="str">
        <f>IF(ISNUMBER(FIND(",", E6621)), TRIM(MID(E6621, FIND(",", E6621) + 1, LEN(E6621))), E6621)</f>
        <v>Japan</v>
      </c>
    </row>
    <row r="6622" spans="1:8" x14ac:dyDescent="0.25">
      <c r="A6622" s="2">
        <v>17699</v>
      </c>
      <c r="B6622">
        <v>33.75</v>
      </c>
      <c r="C6622">
        <v>135.25</v>
      </c>
      <c r="D6622" t="s">
        <v>17</v>
      </c>
      <c r="E6622" t="s">
        <v>467</v>
      </c>
      <c r="F6622">
        <f t="shared" si="206"/>
        <v>1948</v>
      </c>
      <c r="G6622">
        <f t="shared" si="207"/>
        <v>6</v>
      </c>
      <c r="H6622" t="str">
        <f>IF(ISNUMBER(FIND(",", E6622)), TRIM(MID(E6622, FIND(",", E6622) + 1, LEN(E6622))), E6622)</f>
        <v>Japan</v>
      </c>
    </row>
    <row r="6623" spans="1:8" x14ac:dyDescent="0.25">
      <c r="A6623" s="2">
        <v>17681</v>
      </c>
      <c r="B6623">
        <v>-13</v>
      </c>
      <c r="C6623">
        <v>-76.5</v>
      </c>
      <c r="D6623" t="s">
        <v>17</v>
      </c>
      <c r="E6623" t="s">
        <v>258</v>
      </c>
      <c r="F6623">
        <f t="shared" si="206"/>
        <v>1948</v>
      </c>
      <c r="G6623">
        <f t="shared" si="207"/>
        <v>5</v>
      </c>
      <c r="H6623" t="str">
        <f>IF(ISNUMBER(FIND(",", E6623)), TRIM(MID(E6623, FIND(",", E6623) + 1, LEN(E6623))), E6623)</f>
        <v>near the coast of central Peru</v>
      </c>
    </row>
    <row r="6624" spans="1:8" x14ac:dyDescent="0.25">
      <c r="A6624" s="2">
        <v>17678</v>
      </c>
      <c r="B6624">
        <v>30.408999999999999</v>
      </c>
      <c r="C6624">
        <v>100.577</v>
      </c>
      <c r="D6624" t="s">
        <v>16</v>
      </c>
      <c r="E6624" t="s">
        <v>578</v>
      </c>
      <c r="F6624">
        <f t="shared" si="206"/>
        <v>1948</v>
      </c>
      <c r="G6624">
        <f t="shared" si="207"/>
        <v>5</v>
      </c>
      <c r="H6624" t="str">
        <f>IF(ISNUMBER(FIND(",", E6624)), TRIM(MID(E6624, FIND(",", E6624) + 1, LEN(E6624))), E6624)</f>
        <v>China</v>
      </c>
    </row>
    <row r="6625" spans="1:8" x14ac:dyDescent="0.25">
      <c r="A6625" s="2">
        <v>17667</v>
      </c>
      <c r="B6625">
        <v>54.543999999999997</v>
      </c>
      <c r="C6625">
        <v>-160.97</v>
      </c>
      <c r="D6625" t="s">
        <v>16</v>
      </c>
      <c r="E6625" t="s">
        <v>285</v>
      </c>
      <c r="F6625">
        <f t="shared" si="206"/>
        <v>1948</v>
      </c>
      <c r="G6625">
        <f t="shared" si="207"/>
        <v>5</v>
      </c>
      <c r="H6625" t="str">
        <f>IF(ISNUMBER(FIND(",", E6625)), TRIM(MID(E6625, FIND(",", E6625) + 1, LEN(E6625))), E6625)</f>
        <v>Alaska Peninsula</v>
      </c>
    </row>
    <row r="6626" spans="1:8" x14ac:dyDescent="0.25">
      <c r="A6626" s="2">
        <v>17665</v>
      </c>
      <c r="B6626">
        <v>37.799999999999997</v>
      </c>
      <c r="C6626">
        <v>142.6</v>
      </c>
      <c r="D6626" t="s">
        <v>14</v>
      </c>
      <c r="E6626" t="s">
        <v>189</v>
      </c>
      <c r="F6626">
        <f t="shared" si="206"/>
        <v>1948</v>
      </c>
      <c r="G6626">
        <f t="shared" si="207"/>
        <v>5</v>
      </c>
      <c r="H6626" t="str">
        <f>IF(ISNUMBER(FIND(",", E6626)), TRIM(MID(E6626, FIND(",", E6626) + 1, LEN(E6626))), E6626)</f>
        <v>Japan</v>
      </c>
    </row>
    <row r="6627" spans="1:8" x14ac:dyDescent="0.25">
      <c r="A6627" s="2">
        <v>17664</v>
      </c>
      <c r="B6627">
        <v>-17.417999999999999</v>
      </c>
      <c r="C6627">
        <v>-70.628</v>
      </c>
      <c r="D6627" t="s">
        <v>13</v>
      </c>
      <c r="E6627" t="s">
        <v>229</v>
      </c>
      <c r="F6627">
        <f t="shared" si="206"/>
        <v>1948</v>
      </c>
      <c r="G6627">
        <f t="shared" si="207"/>
        <v>5</v>
      </c>
      <c r="H6627" t="str">
        <f>IF(ISNUMBER(FIND(",", E6627)), TRIM(MID(E6627, FIND(",", E6627) + 1, LEN(E6627))), E6627)</f>
        <v>southern Peru</v>
      </c>
    </row>
    <row r="6628" spans="1:8" x14ac:dyDescent="0.25">
      <c r="A6628" s="2">
        <v>17662</v>
      </c>
      <c r="B6628">
        <v>32</v>
      </c>
      <c r="C6628">
        <v>131.5</v>
      </c>
      <c r="D6628" t="s">
        <v>14</v>
      </c>
      <c r="E6628" t="s">
        <v>357</v>
      </c>
      <c r="F6628">
        <f t="shared" si="206"/>
        <v>1948</v>
      </c>
      <c r="G6628">
        <f t="shared" si="207"/>
        <v>5</v>
      </c>
      <c r="H6628" t="str">
        <f>IF(ISNUMBER(FIND(",", E6628)), TRIM(MID(E6628, FIND(",", E6628) + 1, LEN(E6628))), E6628)</f>
        <v>Japan</v>
      </c>
    </row>
    <row r="6629" spans="1:8" x14ac:dyDescent="0.25">
      <c r="A6629" s="2">
        <v>17644</v>
      </c>
      <c r="B6629">
        <v>19.318999999999999</v>
      </c>
      <c r="C6629">
        <v>-69.703000000000003</v>
      </c>
      <c r="D6629" t="s">
        <v>14</v>
      </c>
      <c r="E6629" t="s">
        <v>601</v>
      </c>
      <c r="F6629">
        <f t="shared" si="206"/>
        <v>1948</v>
      </c>
      <c r="G6629">
        <f t="shared" si="207"/>
        <v>4</v>
      </c>
      <c r="H6629" t="str">
        <f>IF(ISNUMBER(FIND(",", E6629)), TRIM(MID(E6629, FIND(",", E6629) + 1, LEN(E6629))), E6629)</f>
        <v>Dominican Republic region</v>
      </c>
    </row>
    <row r="6630" spans="1:8" x14ac:dyDescent="0.25">
      <c r="A6630" s="2">
        <v>17640</v>
      </c>
      <c r="B6630">
        <v>33.133000000000003</v>
      </c>
      <c r="C6630">
        <v>135.61600000000001</v>
      </c>
      <c r="D6630" t="s">
        <v>16</v>
      </c>
      <c r="E6630" t="s">
        <v>467</v>
      </c>
      <c r="F6630">
        <f t="shared" si="206"/>
        <v>1948</v>
      </c>
      <c r="G6630">
        <f t="shared" si="207"/>
        <v>4</v>
      </c>
      <c r="H6630" t="str">
        <f>IF(ISNUMBER(FIND(",", E6630)), TRIM(MID(E6630, FIND(",", E6630) + 1, LEN(E6630))), E6630)</f>
        <v>Japan</v>
      </c>
    </row>
    <row r="6631" spans="1:8" x14ac:dyDescent="0.25">
      <c r="A6631" s="2">
        <v>17605</v>
      </c>
      <c r="B6631">
        <v>1.5</v>
      </c>
      <c r="C6631">
        <v>126.5</v>
      </c>
      <c r="D6631" t="s">
        <v>14</v>
      </c>
      <c r="E6631" t="s">
        <v>186</v>
      </c>
      <c r="F6631">
        <f t="shared" si="206"/>
        <v>1948</v>
      </c>
      <c r="G6631">
        <f t="shared" si="207"/>
        <v>3</v>
      </c>
      <c r="H6631" t="str">
        <f>IF(ISNUMBER(FIND(",", E6631)), TRIM(MID(E6631, FIND(",", E6631) + 1, LEN(E6631))), E6631)</f>
        <v>Molucca Sea</v>
      </c>
    </row>
    <row r="6632" spans="1:8" x14ac:dyDescent="0.25">
      <c r="A6632" s="2">
        <v>17595</v>
      </c>
      <c r="B6632">
        <v>18.754999999999999</v>
      </c>
      <c r="C6632">
        <v>119.026</v>
      </c>
      <c r="D6632" t="s">
        <v>14</v>
      </c>
      <c r="E6632" t="s">
        <v>213</v>
      </c>
      <c r="F6632">
        <f t="shared" si="206"/>
        <v>1948</v>
      </c>
      <c r="G6632">
        <f t="shared" si="207"/>
        <v>3</v>
      </c>
      <c r="H6632" t="str">
        <f>IF(ISNUMBER(FIND(",", E6632)), TRIM(MID(E6632, FIND(",", E6632) + 1, LEN(E6632))), E6632)</f>
        <v>Philippine Islands region</v>
      </c>
    </row>
    <row r="6633" spans="1:8" x14ac:dyDescent="0.25">
      <c r="A6633" s="2">
        <v>17593</v>
      </c>
      <c r="B6633">
        <v>-3.4590000000000001</v>
      </c>
      <c r="C6633">
        <v>127.01</v>
      </c>
      <c r="D6633" t="s">
        <v>14</v>
      </c>
      <c r="E6633" t="s">
        <v>433</v>
      </c>
      <c r="F6633">
        <f t="shared" si="206"/>
        <v>1948</v>
      </c>
      <c r="G6633">
        <f t="shared" si="207"/>
        <v>3</v>
      </c>
      <c r="H6633" t="str">
        <f>IF(ISNUMBER(FIND(",", E6633)), TRIM(MID(E6633, FIND(",", E6633) + 1, LEN(E6633))), E6633)</f>
        <v>Indonesia</v>
      </c>
    </row>
    <row r="6634" spans="1:8" x14ac:dyDescent="0.25">
      <c r="A6634" s="2">
        <v>17572</v>
      </c>
      <c r="B6634">
        <v>0</v>
      </c>
      <c r="C6634">
        <v>122.5</v>
      </c>
      <c r="D6634" t="s">
        <v>13</v>
      </c>
      <c r="E6634" t="s">
        <v>182</v>
      </c>
      <c r="F6634">
        <f t="shared" si="206"/>
        <v>1948</v>
      </c>
      <c r="G6634">
        <f t="shared" si="207"/>
        <v>2</v>
      </c>
      <c r="H6634" t="str">
        <f>IF(ISNUMBER(FIND(",", E6634)), TRIM(MID(E6634, FIND(",", E6634) + 1, LEN(E6634))), E6634)</f>
        <v>Indonesia</v>
      </c>
    </row>
    <row r="6635" spans="1:8" x14ac:dyDescent="0.25">
      <c r="A6635" s="2">
        <v>17572</v>
      </c>
      <c r="B6635">
        <v>35.5</v>
      </c>
      <c r="C6635">
        <v>27</v>
      </c>
      <c r="D6635" t="s">
        <v>14</v>
      </c>
      <c r="E6635" t="s">
        <v>228</v>
      </c>
      <c r="F6635">
        <f t="shared" si="206"/>
        <v>1948</v>
      </c>
      <c r="G6635">
        <f t="shared" si="207"/>
        <v>2</v>
      </c>
      <c r="H6635" t="str">
        <f>IF(ISNUMBER(FIND(",", E6635)), TRIM(MID(E6635, FIND(",", E6635) + 1, LEN(E6635))), E6635)</f>
        <v>Greece</v>
      </c>
    </row>
    <row r="6636" spans="1:8" x14ac:dyDescent="0.25">
      <c r="A6636" s="2">
        <v>17560</v>
      </c>
      <c r="B6636">
        <v>1.538</v>
      </c>
      <c r="C6636">
        <v>126.6</v>
      </c>
      <c r="D6636" t="s">
        <v>13</v>
      </c>
      <c r="E6636" t="s">
        <v>186</v>
      </c>
      <c r="F6636">
        <f t="shared" si="206"/>
        <v>1948</v>
      </c>
      <c r="G6636">
        <f t="shared" si="207"/>
        <v>1</v>
      </c>
      <c r="H6636" t="str">
        <f>IF(ISNUMBER(FIND(",", E6636)), TRIM(MID(E6636, FIND(",", E6636) + 1, LEN(E6636))), E6636)</f>
        <v>Molucca Sea</v>
      </c>
    </row>
    <row r="6637" spans="1:8" x14ac:dyDescent="0.25">
      <c r="A6637" s="2">
        <v>17559</v>
      </c>
      <c r="B6637">
        <v>-20.36</v>
      </c>
      <c r="C6637">
        <v>-177.68600000000001</v>
      </c>
      <c r="D6637" t="s">
        <v>13</v>
      </c>
      <c r="E6637" t="s">
        <v>53</v>
      </c>
      <c r="F6637">
        <f t="shared" si="206"/>
        <v>1948</v>
      </c>
      <c r="G6637">
        <f t="shared" si="207"/>
        <v>1</v>
      </c>
      <c r="H6637" t="str">
        <f>IF(ISNUMBER(FIND(",", E6637)), TRIM(MID(E6637, FIND(",", E6637) + 1, LEN(E6637))), E6637)</f>
        <v>Fiji region</v>
      </c>
    </row>
    <row r="6638" spans="1:8" x14ac:dyDescent="0.25">
      <c r="A6638" s="2">
        <v>17556</v>
      </c>
      <c r="B6638">
        <v>10.726000000000001</v>
      </c>
      <c r="C6638">
        <v>122.253</v>
      </c>
      <c r="D6638" t="s">
        <v>16</v>
      </c>
      <c r="E6638" t="s">
        <v>574</v>
      </c>
      <c r="F6638">
        <f t="shared" si="206"/>
        <v>1948</v>
      </c>
      <c r="G6638">
        <f t="shared" si="207"/>
        <v>1</v>
      </c>
      <c r="H6638" t="str">
        <f>IF(ISNUMBER(FIND(",", E6638)), TRIM(MID(E6638, FIND(",", E6638) + 1, LEN(E6638))), E6638)</f>
        <v>Philippines</v>
      </c>
    </row>
    <row r="6639" spans="1:8" x14ac:dyDescent="0.25">
      <c r="A6639" s="2">
        <v>17554</v>
      </c>
      <c r="B6639">
        <v>-22</v>
      </c>
      <c r="C6639">
        <v>-177</v>
      </c>
      <c r="D6639" t="s">
        <v>13</v>
      </c>
      <c r="E6639" t="s">
        <v>256</v>
      </c>
      <c r="F6639">
        <f t="shared" si="206"/>
        <v>1948</v>
      </c>
      <c r="G6639">
        <f t="shared" si="207"/>
        <v>1</v>
      </c>
      <c r="H6639" t="str">
        <f>IF(ISNUMBER(FIND(",", E6639)), TRIM(MID(E6639, FIND(",", E6639) + 1, LEN(E6639))), E6639)</f>
        <v>south of the Fiji Islands</v>
      </c>
    </row>
    <row r="6640" spans="1:8" x14ac:dyDescent="0.25">
      <c r="A6640" s="2">
        <v>17552</v>
      </c>
      <c r="B6640">
        <v>-33.5</v>
      </c>
      <c r="C6640">
        <v>-178</v>
      </c>
      <c r="D6640" t="s">
        <v>17</v>
      </c>
      <c r="E6640" t="s">
        <v>262</v>
      </c>
      <c r="F6640">
        <f t="shared" si="206"/>
        <v>1948</v>
      </c>
      <c r="G6640">
        <f t="shared" si="207"/>
        <v>1</v>
      </c>
      <c r="H6640" t="str">
        <f>IF(ISNUMBER(FIND(",", E6640)), TRIM(MID(E6640, FIND(",", E6640) + 1, LEN(E6640))), E6640)</f>
        <v>south of the Kermadec Islands</v>
      </c>
    </row>
    <row r="6641" spans="1:8" x14ac:dyDescent="0.25">
      <c r="A6641" s="2">
        <v>17538</v>
      </c>
      <c r="B6641">
        <v>17</v>
      </c>
      <c r="C6641">
        <v>-98</v>
      </c>
      <c r="D6641" t="s">
        <v>17</v>
      </c>
      <c r="E6641" t="s">
        <v>251</v>
      </c>
      <c r="F6641">
        <f t="shared" si="206"/>
        <v>1948</v>
      </c>
      <c r="G6641">
        <f t="shared" si="207"/>
        <v>1</v>
      </c>
      <c r="H6641" t="str">
        <f>IF(ISNUMBER(FIND(",", E6641)), TRIM(MID(E6641, FIND(",", E6641) + 1, LEN(E6641))), E6641)</f>
        <v>Mexico</v>
      </c>
    </row>
    <row r="6642" spans="1:8" x14ac:dyDescent="0.25">
      <c r="A6642" s="2">
        <v>17538</v>
      </c>
      <c r="B6642">
        <v>17</v>
      </c>
      <c r="C6642">
        <v>-98</v>
      </c>
      <c r="D6642" t="s">
        <v>13</v>
      </c>
      <c r="E6642" t="s">
        <v>251</v>
      </c>
      <c r="F6642">
        <f t="shared" si="206"/>
        <v>1948</v>
      </c>
      <c r="G6642">
        <f t="shared" si="207"/>
        <v>1</v>
      </c>
      <c r="H6642" t="str">
        <f>IF(ISNUMBER(FIND(",", E6642)), TRIM(MID(E6642, FIND(",", E6642) + 1, LEN(E6642))), E6642)</f>
        <v>Mexico</v>
      </c>
    </row>
    <row r="6643" spans="1:8" x14ac:dyDescent="0.25">
      <c r="A6643" s="2">
        <v>17536</v>
      </c>
      <c r="B6643">
        <v>-20.75</v>
      </c>
      <c r="C6643">
        <v>-179</v>
      </c>
      <c r="D6643" t="s">
        <v>13</v>
      </c>
      <c r="E6643" t="s">
        <v>53</v>
      </c>
      <c r="F6643">
        <f t="shared" si="206"/>
        <v>1948</v>
      </c>
      <c r="G6643">
        <f t="shared" si="207"/>
        <v>1</v>
      </c>
      <c r="H6643" t="str">
        <f>IF(ISNUMBER(FIND(",", E6643)), TRIM(MID(E6643, FIND(",", E6643) + 1, LEN(E6643))), E6643)</f>
        <v>Fiji region</v>
      </c>
    </row>
    <row r="6644" spans="1:8" x14ac:dyDescent="0.25">
      <c r="A6644" s="2">
        <v>17516</v>
      </c>
      <c r="B6644">
        <v>-59.5</v>
      </c>
      <c r="C6644">
        <v>-160</v>
      </c>
      <c r="D6644" t="s">
        <v>14</v>
      </c>
      <c r="E6644" t="s">
        <v>179</v>
      </c>
      <c r="F6644">
        <f t="shared" si="206"/>
        <v>1947</v>
      </c>
      <c r="G6644">
        <f t="shared" si="207"/>
        <v>12</v>
      </c>
      <c r="H6644" t="str">
        <f>IF(ISNUMBER(FIND(",", E6644)), TRIM(MID(E6644, FIND(",", E6644) + 1, LEN(E6644))), E6644)</f>
        <v>Pacific-Antarctic Ridge</v>
      </c>
    </row>
    <row r="6645" spans="1:8" x14ac:dyDescent="0.25">
      <c r="A6645" s="2">
        <v>17485</v>
      </c>
      <c r="B6645">
        <v>43.9</v>
      </c>
      <c r="C6645">
        <v>143.19999999999999</v>
      </c>
      <c r="D6645" t="s">
        <v>14</v>
      </c>
      <c r="E6645" t="s">
        <v>265</v>
      </c>
      <c r="F6645">
        <f t="shared" si="206"/>
        <v>1947</v>
      </c>
      <c r="G6645">
        <f t="shared" si="207"/>
        <v>11</v>
      </c>
      <c r="H6645" t="str">
        <f>IF(ISNUMBER(FIND(",", E6645)), TRIM(MID(E6645, FIND(",", E6645) + 1, LEN(E6645))), E6645)</f>
        <v>Japan region</v>
      </c>
    </row>
    <row r="6646" spans="1:8" x14ac:dyDescent="0.25">
      <c r="A6646" s="2">
        <v>17480</v>
      </c>
      <c r="B6646">
        <v>-22.5</v>
      </c>
      <c r="C6646">
        <v>170</v>
      </c>
      <c r="D6646" t="s">
        <v>14</v>
      </c>
      <c r="E6646" t="s">
        <v>254</v>
      </c>
      <c r="F6646">
        <f t="shared" si="206"/>
        <v>1947</v>
      </c>
      <c r="G6646">
        <f t="shared" si="207"/>
        <v>11</v>
      </c>
      <c r="H6646" t="str">
        <f>IF(ISNUMBER(FIND(",", E6646)), TRIM(MID(E6646, FIND(",", E6646) + 1, LEN(E6646))), E6646)</f>
        <v>southeast of the Loyalty Islands</v>
      </c>
    </row>
    <row r="6647" spans="1:8" x14ac:dyDescent="0.25">
      <c r="A6647" s="2">
        <v>17475</v>
      </c>
      <c r="B6647">
        <v>44.173000000000002</v>
      </c>
      <c r="C6647">
        <v>140.93199999999999</v>
      </c>
      <c r="D6647" t="s">
        <v>14</v>
      </c>
      <c r="E6647" t="s">
        <v>540</v>
      </c>
      <c r="F6647">
        <f t="shared" si="206"/>
        <v>1947</v>
      </c>
      <c r="G6647">
        <f t="shared" si="207"/>
        <v>11</v>
      </c>
      <c r="H6647" t="str">
        <f>IF(ISNUMBER(FIND(",", E6647)), TRIM(MID(E6647, FIND(",", E6647) + 1, LEN(E6647))), E6647)</f>
        <v>eastern Sea of Japan</v>
      </c>
    </row>
    <row r="6648" spans="1:8" x14ac:dyDescent="0.25">
      <c r="A6648" s="2">
        <v>17472</v>
      </c>
      <c r="B6648">
        <v>-11.727</v>
      </c>
      <c r="C6648">
        <v>-76.396000000000001</v>
      </c>
      <c r="D6648" t="s">
        <v>16</v>
      </c>
      <c r="E6648" t="s">
        <v>198</v>
      </c>
      <c r="F6648">
        <f t="shared" si="206"/>
        <v>1947</v>
      </c>
      <c r="G6648">
        <f t="shared" si="207"/>
        <v>11</v>
      </c>
      <c r="H6648" t="str">
        <f>IF(ISNUMBER(FIND(",", E6648)), TRIM(MID(E6648, FIND(",", E6648) + 1, LEN(E6648))), E6648)</f>
        <v>central Peru</v>
      </c>
    </row>
    <row r="6649" spans="1:8" x14ac:dyDescent="0.25">
      <c r="A6649" s="2">
        <v>17456</v>
      </c>
      <c r="B6649">
        <v>64.251000000000005</v>
      </c>
      <c r="C6649">
        <v>-148.38900000000001</v>
      </c>
      <c r="D6649" t="s">
        <v>16</v>
      </c>
      <c r="E6649" t="s">
        <v>487</v>
      </c>
      <c r="F6649">
        <f t="shared" si="206"/>
        <v>1947</v>
      </c>
      <c r="G6649">
        <f t="shared" si="207"/>
        <v>10</v>
      </c>
      <c r="H6649" t="str">
        <f>IF(ISNUMBER(FIND(",", E6649)), TRIM(MID(E6649, FIND(",", E6649) + 1, LEN(E6649))), E6649)</f>
        <v>Central Alaska</v>
      </c>
    </row>
    <row r="6650" spans="1:8" x14ac:dyDescent="0.25">
      <c r="A6650" s="2">
        <v>17446</v>
      </c>
      <c r="B6650">
        <v>37</v>
      </c>
      <c r="C6650">
        <v>22</v>
      </c>
      <c r="D6650" t="s">
        <v>14</v>
      </c>
      <c r="E6650" t="s">
        <v>398</v>
      </c>
      <c r="F6650">
        <f t="shared" si="206"/>
        <v>1947</v>
      </c>
      <c r="G6650">
        <f t="shared" si="207"/>
        <v>10</v>
      </c>
      <c r="H6650" t="str">
        <f>IF(ISNUMBER(FIND(",", E6650)), TRIM(MID(E6650, FIND(",", E6650) + 1, LEN(E6650))), E6650)</f>
        <v>southern Greece</v>
      </c>
    </row>
    <row r="6651" spans="1:8" x14ac:dyDescent="0.25">
      <c r="A6651" s="2">
        <v>17436</v>
      </c>
      <c r="B6651">
        <v>24.843</v>
      </c>
      <c r="C6651">
        <v>123.11799999999999</v>
      </c>
      <c r="D6651" t="s">
        <v>13</v>
      </c>
      <c r="E6651" t="s">
        <v>312</v>
      </c>
      <c r="F6651">
        <f t="shared" si="206"/>
        <v>1947</v>
      </c>
      <c r="G6651">
        <f t="shared" si="207"/>
        <v>9</v>
      </c>
      <c r="H6651" t="str">
        <f>IF(ISNUMBER(FIND(",", E6651)), TRIM(MID(E6651, FIND(",", E6651) + 1, LEN(E6651))), E6651)</f>
        <v>Japan</v>
      </c>
    </row>
    <row r="6652" spans="1:8" x14ac:dyDescent="0.25">
      <c r="A6652" s="2">
        <v>17433</v>
      </c>
      <c r="B6652">
        <v>33.588000000000001</v>
      </c>
      <c r="C6652">
        <v>58.603999999999999</v>
      </c>
      <c r="D6652" t="s">
        <v>17</v>
      </c>
      <c r="E6652" t="s">
        <v>528</v>
      </c>
      <c r="F6652">
        <f t="shared" si="206"/>
        <v>1947</v>
      </c>
      <c r="G6652">
        <f t="shared" si="207"/>
        <v>9</v>
      </c>
      <c r="H6652" t="str">
        <f>IF(ISNUMBER(FIND(",", E6652)), TRIM(MID(E6652, FIND(",", E6652) + 1, LEN(E6652))), E6652)</f>
        <v>eastern Iran</v>
      </c>
    </row>
    <row r="6653" spans="1:8" x14ac:dyDescent="0.25">
      <c r="A6653" s="2">
        <v>17413</v>
      </c>
      <c r="B6653">
        <v>47</v>
      </c>
      <c r="C6653">
        <v>153</v>
      </c>
      <c r="D6653" t="s">
        <v>17</v>
      </c>
      <c r="E6653" t="s">
        <v>191</v>
      </c>
      <c r="F6653">
        <f t="shared" si="206"/>
        <v>1947</v>
      </c>
      <c r="G6653">
        <f t="shared" si="207"/>
        <v>9</v>
      </c>
      <c r="H6653" t="str">
        <f>IF(ISNUMBER(FIND(",", E6653)), TRIM(MID(E6653, FIND(",", E6653) + 1, LEN(E6653))), E6653)</f>
        <v>Kuril Islands</v>
      </c>
    </row>
    <row r="6654" spans="1:8" x14ac:dyDescent="0.25">
      <c r="A6654" s="2">
        <v>17412</v>
      </c>
      <c r="B6654">
        <v>-19</v>
      </c>
      <c r="C6654">
        <v>-176</v>
      </c>
      <c r="D6654" t="s">
        <v>17</v>
      </c>
      <c r="E6654" t="s">
        <v>239</v>
      </c>
      <c r="F6654">
        <f t="shared" si="206"/>
        <v>1947</v>
      </c>
      <c r="G6654">
        <f t="shared" si="207"/>
        <v>9</v>
      </c>
      <c r="H6654" t="str">
        <f>IF(ISNUMBER(FIND(",", E6654)), TRIM(MID(E6654, FIND(",", E6654) + 1, LEN(E6654))), E6654)</f>
        <v>Tonga</v>
      </c>
    </row>
    <row r="6655" spans="1:8" x14ac:dyDescent="0.25">
      <c r="A6655" s="2">
        <v>17407</v>
      </c>
      <c r="B6655">
        <v>49</v>
      </c>
      <c r="C6655">
        <v>155.5</v>
      </c>
      <c r="D6655" t="s">
        <v>17</v>
      </c>
      <c r="E6655" t="s">
        <v>191</v>
      </c>
      <c r="F6655">
        <f t="shared" si="206"/>
        <v>1947</v>
      </c>
      <c r="G6655">
        <f t="shared" si="207"/>
        <v>8</v>
      </c>
      <c r="H6655" t="str">
        <f>IF(ISNUMBER(FIND(",", E6655)), TRIM(MID(E6655, FIND(",", E6655) + 1, LEN(E6655))), E6655)</f>
        <v>Kuril Islands</v>
      </c>
    </row>
    <row r="6656" spans="1:8" x14ac:dyDescent="0.25">
      <c r="A6656" s="2">
        <v>17386</v>
      </c>
      <c r="B6656">
        <v>19.75</v>
      </c>
      <c r="C6656">
        <v>-75.25</v>
      </c>
      <c r="D6656" t="s">
        <v>17</v>
      </c>
      <c r="E6656" t="s">
        <v>431</v>
      </c>
      <c r="F6656">
        <f t="shared" si="206"/>
        <v>1947</v>
      </c>
      <c r="G6656">
        <f t="shared" si="207"/>
        <v>8</v>
      </c>
      <c r="H6656" t="str">
        <f>IF(ISNUMBER(FIND(",", E6656)), TRIM(MID(E6656, FIND(",", E6656) + 1, LEN(E6656))), E6656)</f>
        <v>Cuba region</v>
      </c>
    </row>
    <row r="6657" spans="1:8" x14ac:dyDescent="0.25">
      <c r="A6657" s="2">
        <v>17385</v>
      </c>
      <c r="B6657">
        <v>-9.25</v>
      </c>
      <c r="C6657">
        <v>-71.5</v>
      </c>
      <c r="D6657" t="s">
        <v>17</v>
      </c>
      <c r="E6657" t="s">
        <v>557</v>
      </c>
      <c r="F6657">
        <f t="shared" si="206"/>
        <v>1947</v>
      </c>
      <c r="G6657">
        <f t="shared" si="207"/>
        <v>8</v>
      </c>
      <c r="H6657" t="str">
        <f>IF(ISNUMBER(FIND(",", E6657)), TRIM(MID(E6657, FIND(",", E6657) + 1, LEN(E6657))), E6657)</f>
        <v>Peru-Brazil border region</v>
      </c>
    </row>
    <row r="6658" spans="1:8" x14ac:dyDescent="0.25">
      <c r="A6658" s="2">
        <v>17384</v>
      </c>
      <c r="B6658">
        <v>24.959</v>
      </c>
      <c r="C6658">
        <v>63.515999999999998</v>
      </c>
      <c r="D6658" t="s">
        <v>16</v>
      </c>
      <c r="E6658" t="s">
        <v>703</v>
      </c>
      <c r="F6658">
        <f t="shared" ref="F6658:F6721" si="208">YEAR(A6658)</f>
        <v>1947</v>
      </c>
      <c r="G6658">
        <f t="shared" si="207"/>
        <v>8</v>
      </c>
      <c r="H6658" t="str">
        <f>IF(ISNUMBER(FIND(",", E6658)), TRIM(MID(E6658, FIND(",", E6658) + 1, LEN(E6658))), E6658)</f>
        <v>off the coast of Pakistan</v>
      </c>
    </row>
    <row r="6659" spans="1:8" x14ac:dyDescent="0.25">
      <c r="A6659" s="2">
        <v>17377</v>
      </c>
      <c r="B6659">
        <v>28.388000000000002</v>
      </c>
      <c r="C6659">
        <v>93.588999999999999</v>
      </c>
      <c r="D6659" t="s">
        <v>16</v>
      </c>
      <c r="E6659" t="s">
        <v>675</v>
      </c>
      <c r="F6659">
        <f t="shared" si="208"/>
        <v>1947</v>
      </c>
      <c r="G6659">
        <f t="shared" ref="G6659:G6722" si="209">MONTH(A6659)</f>
        <v>7</v>
      </c>
      <c r="H6659" t="str">
        <f>IF(ISNUMBER(FIND(",", E6659)), TRIM(MID(E6659, FIND(",", E6659) + 1, LEN(E6659))), E6659)</f>
        <v>eastern Xizang-India border region</v>
      </c>
    </row>
    <row r="6660" spans="1:8" x14ac:dyDescent="0.25">
      <c r="A6660" s="2">
        <v>17337</v>
      </c>
      <c r="B6660">
        <v>22</v>
      </c>
      <c r="C6660">
        <v>145.5</v>
      </c>
      <c r="D6660" t="s">
        <v>14</v>
      </c>
      <c r="E6660" t="s">
        <v>476</v>
      </c>
      <c r="F6660">
        <f t="shared" si="208"/>
        <v>1947</v>
      </c>
      <c r="G6660">
        <f t="shared" si="209"/>
        <v>6</v>
      </c>
      <c r="H6660" t="str">
        <f>IF(ISNUMBER(FIND(",", E6660)), TRIM(MID(E6660, FIND(",", E6660) + 1, LEN(E6660))), E6660)</f>
        <v>North Pacific Ocean</v>
      </c>
    </row>
    <row r="6661" spans="1:8" x14ac:dyDescent="0.25">
      <c r="A6661" s="2">
        <v>17331</v>
      </c>
      <c r="B6661">
        <v>21.5</v>
      </c>
      <c r="C6661">
        <v>145.5</v>
      </c>
      <c r="D6661" t="s">
        <v>14</v>
      </c>
      <c r="E6661" t="s">
        <v>72</v>
      </c>
      <c r="F6661">
        <f t="shared" si="208"/>
        <v>1947</v>
      </c>
      <c r="G6661">
        <f t="shared" si="209"/>
        <v>6</v>
      </c>
      <c r="H6661" t="str">
        <f>IF(ISNUMBER(FIND(",", E6661)), TRIM(MID(E6661, FIND(",", E6661) + 1, LEN(E6661))), E6661)</f>
        <v>Mariana Islands region</v>
      </c>
    </row>
    <row r="6662" spans="1:8" x14ac:dyDescent="0.25">
      <c r="A6662" s="2">
        <v>17330</v>
      </c>
      <c r="B6662">
        <v>0.96199999999999997</v>
      </c>
      <c r="C6662">
        <v>126.151</v>
      </c>
      <c r="D6662" t="s">
        <v>14</v>
      </c>
      <c r="E6662" t="s">
        <v>186</v>
      </c>
      <c r="F6662">
        <f t="shared" si="208"/>
        <v>1947</v>
      </c>
      <c r="G6662">
        <f t="shared" si="209"/>
        <v>6</v>
      </c>
      <c r="H6662" t="str">
        <f>IF(ISNUMBER(FIND(",", E6662)), TRIM(MID(E6662, FIND(",", E6662) + 1, LEN(E6662))), E6662)</f>
        <v>Molucca Sea</v>
      </c>
    </row>
    <row r="6663" spans="1:8" x14ac:dyDescent="0.25">
      <c r="A6663" s="2">
        <v>17325</v>
      </c>
      <c r="B6663">
        <v>11.5</v>
      </c>
      <c r="C6663">
        <v>125</v>
      </c>
      <c r="D6663" t="s">
        <v>17</v>
      </c>
      <c r="E6663" t="s">
        <v>394</v>
      </c>
      <c r="F6663">
        <f t="shared" si="208"/>
        <v>1947</v>
      </c>
      <c r="G6663">
        <f t="shared" si="209"/>
        <v>6</v>
      </c>
      <c r="H6663" t="str">
        <f>IF(ISNUMBER(FIND(",", E6663)), TRIM(MID(E6663, FIND(",", E6663) + 1, LEN(E6663))), E6663)</f>
        <v>Philippines</v>
      </c>
    </row>
    <row r="6664" spans="1:8" x14ac:dyDescent="0.25">
      <c r="A6664" s="2">
        <v>17314</v>
      </c>
      <c r="B6664">
        <v>-1.9379999999999999</v>
      </c>
      <c r="C6664">
        <v>135.28899999999999</v>
      </c>
      <c r="D6664" t="s">
        <v>16</v>
      </c>
      <c r="E6664" t="s">
        <v>547</v>
      </c>
      <c r="F6664">
        <f t="shared" si="208"/>
        <v>1947</v>
      </c>
      <c r="G6664">
        <f t="shared" si="209"/>
        <v>5</v>
      </c>
      <c r="H6664" t="str">
        <f>IF(ISNUMBER(FIND(",", E6664)), TRIM(MID(E6664, FIND(",", E6664) + 1, LEN(E6664))), E6664)</f>
        <v>Indonesia</v>
      </c>
    </row>
    <row r="6665" spans="1:8" x14ac:dyDescent="0.25">
      <c r="A6665" s="2">
        <v>17293</v>
      </c>
      <c r="B6665">
        <v>-6.335</v>
      </c>
      <c r="C6665">
        <v>148.922</v>
      </c>
      <c r="D6665" t="s">
        <v>16</v>
      </c>
      <c r="E6665" t="s">
        <v>190</v>
      </c>
      <c r="F6665">
        <f t="shared" si="208"/>
        <v>1947</v>
      </c>
      <c r="G6665">
        <f t="shared" si="209"/>
        <v>5</v>
      </c>
      <c r="H6665" t="str">
        <f>IF(ISNUMBER(FIND(",", E6665)), TRIM(MID(E6665, FIND(",", E6665) + 1, LEN(E6665))), E6665)</f>
        <v>Papua New Guinea</v>
      </c>
    </row>
    <row r="6666" spans="1:8" x14ac:dyDescent="0.25">
      <c r="A6666" s="2">
        <v>17281</v>
      </c>
      <c r="B6666">
        <v>8.5</v>
      </c>
      <c r="C6666">
        <v>-39</v>
      </c>
      <c r="D6666" t="s">
        <v>14</v>
      </c>
      <c r="E6666" t="s">
        <v>291</v>
      </c>
      <c r="F6666">
        <f t="shared" si="208"/>
        <v>1947</v>
      </c>
      <c r="G6666">
        <f t="shared" si="209"/>
        <v>4</v>
      </c>
      <c r="H6666" t="str">
        <f>IF(ISNUMBER(FIND(",", E6666)), TRIM(MID(E6666, FIND(",", E6666) + 1, LEN(E6666))), E6666)</f>
        <v>central Mid-Atlantic Ridge</v>
      </c>
    </row>
    <row r="6667" spans="1:8" x14ac:dyDescent="0.25">
      <c r="A6667" s="2">
        <v>17271</v>
      </c>
      <c r="B6667">
        <v>43.847000000000001</v>
      </c>
      <c r="C6667">
        <v>148.83699999999999</v>
      </c>
      <c r="D6667" t="s">
        <v>14</v>
      </c>
      <c r="E6667" t="s">
        <v>317</v>
      </c>
      <c r="F6667">
        <f t="shared" si="208"/>
        <v>1947</v>
      </c>
      <c r="G6667">
        <f t="shared" si="209"/>
        <v>4</v>
      </c>
      <c r="H6667" t="str">
        <f>IF(ISNUMBER(FIND(",", E6667)), TRIM(MID(E6667, FIND(",", E6667) + 1, LEN(E6667))), E6667)</f>
        <v>east of the Kuril Islands</v>
      </c>
    </row>
    <row r="6668" spans="1:8" x14ac:dyDescent="0.25">
      <c r="A6668" s="2">
        <v>17259</v>
      </c>
      <c r="B6668">
        <v>-0.97799999999999998</v>
      </c>
      <c r="C6668">
        <v>137.99600000000001</v>
      </c>
      <c r="D6668" t="s">
        <v>16</v>
      </c>
      <c r="E6668" t="s">
        <v>513</v>
      </c>
      <c r="F6668">
        <f t="shared" si="208"/>
        <v>1947</v>
      </c>
      <c r="G6668">
        <f t="shared" si="209"/>
        <v>4</v>
      </c>
      <c r="H6668" t="str">
        <f>IF(ISNUMBER(FIND(",", E6668)), TRIM(MID(E6668, FIND(",", E6668) + 1, LEN(E6668))), E6668)</f>
        <v>Indonesia</v>
      </c>
    </row>
    <row r="6669" spans="1:8" x14ac:dyDescent="0.25">
      <c r="A6669" s="2">
        <v>17251</v>
      </c>
      <c r="B6669">
        <v>-38.447000000000003</v>
      </c>
      <c r="C6669">
        <v>176.816</v>
      </c>
      <c r="D6669" t="s">
        <v>14</v>
      </c>
      <c r="E6669" t="s">
        <v>188</v>
      </c>
      <c r="F6669">
        <f t="shared" si="208"/>
        <v>1947</v>
      </c>
      <c r="G6669">
        <f t="shared" si="209"/>
        <v>3</v>
      </c>
      <c r="H6669" t="str">
        <f>IF(ISNUMBER(FIND(",", E6669)), TRIM(MID(E6669, FIND(",", E6669) + 1, LEN(E6669))), E6669)</f>
        <v>North Island of New Zealand</v>
      </c>
    </row>
    <row r="6670" spans="1:8" x14ac:dyDescent="0.25">
      <c r="A6670" s="2">
        <v>17243</v>
      </c>
      <c r="B6670">
        <v>33.274000000000001</v>
      </c>
      <c r="C6670">
        <v>99.694999999999993</v>
      </c>
      <c r="D6670" t="s">
        <v>16</v>
      </c>
      <c r="E6670" t="s">
        <v>704</v>
      </c>
      <c r="F6670">
        <f t="shared" si="208"/>
        <v>1947</v>
      </c>
      <c r="G6670">
        <f t="shared" si="209"/>
        <v>3</v>
      </c>
      <c r="H6670" t="str">
        <f>IF(ISNUMBER(FIND(",", E6670)), TRIM(MID(E6670, FIND(",", E6670) + 1, LEN(E6670))), E6670)</f>
        <v>China</v>
      </c>
    </row>
    <row r="6671" spans="1:8" x14ac:dyDescent="0.25">
      <c r="A6671" s="2">
        <v>17228</v>
      </c>
      <c r="B6671">
        <v>-5</v>
      </c>
      <c r="C6671">
        <v>144.5</v>
      </c>
      <c r="D6671" t="s">
        <v>14</v>
      </c>
      <c r="E6671" t="s">
        <v>216</v>
      </c>
      <c r="F6671">
        <f t="shared" si="208"/>
        <v>1947</v>
      </c>
      <c r="G6671">
        <f t="shared" si="209"/>
        <v>3</v>
      </c>
      <c r="H6671" t="str">
        <f>IF(ISNUMBER(FIND(",", E6671)), TRIM(MID(E6671, FIND(",", E6671) + 1, LEN(E6671))), E6671)</f>
        <v>Papua New Guinea</v>
      </c>
    </row>
    <row r="6672" spans="1:8" x14ac:dyDescent="0.25">
      <c r="A6672" s="2">
        <v>17216</v>
      </c>
      <c r="B6672">
        <v>33</v>
      </c>
      <c r="C6672">
        <v>136.75</v>
      </c>
      <c r="D6672" t="s">
        <v>17</v>
      </c>
      <c r="E6672" t="s">
        <v>467</v>
      </c>
      <c r="F6672">
        <f t="shared" si="208"/>
        <v>1947</v>
      </c>
      <c r="G6672">
        <f t="shared" si="209"/>
        <v>2</v>
      </c>
      <c r="H6672" t="str">
        <f>IF(ISNUMBER(FIND(",", E6672)), TRIM(MID(E6672, FIND(",", E6672) + 1, LEN(E6672))), E6672)</f>
        <v>Japan</v>
      </c>
    </row>
    <row r="6673" spans="1:8" x14ac:dyDescent="0.25">
      <c r="A6673" s="2">
        <v>17205</v>
      </c>
      <c r="B6673">
        <v>-10</v>
      </c>
      <c r="C6673">
        <v>161.5</v>
      </c>
      <c r="D6673" t="s">
        <v>14</v>
      </c>
      <c r="E6673" t="s">
        <v>221</v>
      </c>
      <c r="F6673">
        <f t="shared" si="208"/>
        <v>1947</v>
      </c>
      <c r="G6673">
        <f t="shared" si="209"/>
        <v>2</v>
      </c>
      <c r="H6673" t="str">
        <f>IF(ISNUMBER(FIND(",", E6673)), TRIM(MID(E6673, FIND(",", E6673) + 1, LEN(E6673))), E6673)</f>
        <v>Solomon Islands</v>
      </c>
    </row>
    <row r="6674" spans="1:8" x14ac:dyDescent="0.25">
      <c r="A6674" s="2">
        <v>17196</v>
      </c>
      <c r="B6674">
        <v>-26.66</v>
      </c>
      <c r="C6674">
        <v>-63.491999999999997</v>
      </c>
      <c r="D6674" t="s">
        <v>13</v>
      </c>
      <c r="E6674" t="s">
        <v>232</v>
      </c>
      <c r="F6674">
        <f t="shared" si="208"/>
        <v>1947</v>
      </c>
      <c r="G6674">
        <f t="shared" si="209"/>
        <v>1</v>
      </c>
      <c r="H6674" t="str">
        <f>IF(ISNUMBER(FIND(",", E6674)), TRIM(MID(E6674, FIND(",", E6674) + 1, LEN(E6674))), E6674)</f>
        <v>Argentina</v>
      </c>
    </row>
    <row r="6675" spans="1:8" x14ac:dyDescent="0.25">
      <c r="A6675" s="2">
        <v>17193</v>
      </c>
      <c r="B6675">
        <v>12.085000000000001</v>
      </c>
      <c r="C6675">
        <v>-86.221999999999994</v>
      </c>
      <c r="D6675" t="s">
        <v>13</v>
      </c>
      <c r="E6675" t="s">
        <v>270</v>
      </c>
      <c r="F6675">
        <f t="shared" si="208"/>
        <v>1947</v>
      </c>
      <c r="G6675">
        <f t="shared" si="209"/>
        <v>1</v>
      </c>
      <c r="H6675" t="str">
        <f>IF(ISNUMBER(FIND(",", E6675)), TRIM(MID(E6675, FIND(",", E6675) + 1, LEN(E6675))), E6675)</f>
        <v>Nicaragua</v>
      </c>
    </row>
    <row r="6676" spans="1:8" x14ac:dyDescent="0.25">
      <c r="A6676" s="2">
        <v>17188</v>
      </c>
      <c r="B6676">
        <v>-24.5</v>
      </c>
      <c r="C6676">
        <v>-70.3</v>
      </c>
      <c r="D6676" t="s">
        <v>17</v>
      </c>
      <c r="E6676" t="s">
        <v>289</v>
      </c>
      <c r="F6676">
        <f t="shared" si="208"/>
        <v>1947</v>
      </c>
      <c r="G6676">
        <f t="shared" si="209"/>
        <v>1</v>
      </c>
      <c r="H6676" t="str">
        <f>IF(ISNUMBER(FIND(",", E6676)), TRIM(MID(E6676, FIND(",", E6676) + 1, LEN(E6676))), E6676)</f>
        <v>Chile</v>
      </c>
    </row>
    <row r="6677" spans="1:8" x14ac:dyDescent="0.25">
      <c r="A6677" s="2">
        <v>17170</v>
      </c>
      <c r="B6677">
        <v>43.6</v>
      </c>
      <c r="C6677">
        <v>148.9</v>
      </c>
      <c r="D6677" t="s">
        <v>14</v>
      </c>
      <c r="E6677" t="s">
        <v>317</v>
      </c>
      <c r="F6677">
        <f t="shared" si="208"/>
        <v>1947</v>
      </c>
      <c r="G6677">
        <f t="shared" si="209"/>
        <v>1</v>
      </c>
      <c r="H6677" t="str">
        <f>IF(ISNUMBER(FIND(",", E6677)), TRIM(MID(E6677, FIND(",", E6677) + 1, LEN(E6677))), E6677)</f>
        <v>east of the Kuril Islands</v>
      </c>
    </row>
    <row r="6678" spans="1:8" x14ac:dyDescent="0.25">
      <c r="A6678" s="2">
        <v>17157</v>
      </c>
      <c r="B6678">
        <v>43.728000000000002</v>
      </c>
      <c r="C6678">
        <v>148.33799999999999</v>
      </c>
      <c r="D6678" t="s">
        <v>16</v>
      </c>
      <c r="E6678" t="s">
        <v>317</v>
      </c>
      <c r="F6678">
        <f t="shared" si="208"/>
        <v>1946</v>
      </c>
      <c r="G6678">
        <f t="shared" si="209"/>
        <v>12</v>
      </c>
      <c r="H6678" t="str">
        <f>IF(ISNUMBER(FIND(",", E6678)), TRIM(MID(E6678, FIND(",", E6678) + 1, LEN(E6678))), E6678)</f>
        <v>east of the Kuril Islands</v>
      </c>
    </row>
    <row r="6679" spans="1:8" x14ac:dyDescent="0.25">
      <c r="A6679" s="2">
        <v>17156</v>
      </c>
      <c r="B6679">
        <v>33.064</v>
      </c>
      <c r="C6679">
        <v>135.68600000000001</v>
      </c>
      <c r="D6679" t="s">
        <v>16</v>
      </c>
      <c r="E6679" t="s">
        <v>467</v>
      </c>
      <c r="F6679">
        <f t="shared" si="208"/>
        <v>1946</v>
      </c>
      <c r="G6679">
        <f t="shared" si="209"/>
        <v>12</v>
      </c>
      <c r="H6679" t="str">
        <f>IF(ISNUMBER(FIND(",", E6679)), TRIM(MID(E6679, FIND(",", E6679) + 1, LEN(E6679))), E6679)</f>
        <v>Japan</v>
      </c>
    </row>
    <row r="6680" spans="1:8" x14ac:dyDescent="0.25">
      <c r="A6680" s="2">
        <v>17155</v>
      </c>
      <c r="B6680">
        <v>24.75</v>
      </c>
      <c r="C6680">
        <v>122.5</v>
      </c>
      <c r="D6680" t="s">
        <v>17</v>
      </c>
      <c r="E6680" t="s">
        <v>363</v>
      </c>
      <c r="F6680">
        <f t="shared" si="208"/>
        <v>1946</v>
      </c>
      <c r="G6680">
        <f t="shared" si="209"/>
        <v>12</v>
      </c>
      <c r="H6680" t="str">
        <f>IF(ISNUMBER(FIND(",", E6680)), TRIM(MID(E6680, FIND(",", E6680) + 1, LEN(E6680))), E6680)</f>
        <v>Taiwan region</v>
      </c>
    </row>
    <row r="6681" spans="1:8" x14ac:dyDescent="0.25">
      <c r="A6681" s="2">
        <v>17140</v>
      </c>
      <c r="B6681">
        <v>22.5</v>
      </c>
      <c r="C6681">
        <v>122.5</v>
      </c>
      <c r="D6681" t="s">
        <v>14</v>
      </c>
      <c r="E6681" t="s">
        <v>363</v>
      </c>
      <c r="F6681">
        <f t="shared" si="208"/>
        <v>1946</v>
      </c>
      <c r="G6681">
        <f t="shared" si="209"/>
        <v>12</v>
      </c>
      <c r="H6681" t="str">
        <f>IF(ISNUMBER(FIND(",", E6681)), TRIM(MID(E6681, FIND(",", E6681) + 1, LEN(E6681))), E6681)</f>
        <v>Taiwan region</v>
      </c>
    </row>
    <row r="6682" spans="1:8" x14ac:dyDescent="0.25">
      <c r="A6682" s="2">
        <v>17134</v>
      </c>
      <c r="B6682">
        <v>-17.981000000000002</v>
      </c>
      <c r="C6682">
        <v>-175.06200000000001</v>
      </c>
      <c r="D6682" t="s">
        <v>13</v>
      </c>
      <c r="E6682" t="s">
        <v>239</v>
      </c>
      <c r="F6682">
        <f t="shared" si="208"/>
        <v>1946</v>
      </c>
      <c r="G6682">
        <f t="shared" si="209"/>
        <v>11</v>
      </c>
      <c r="H6682" t="str">
        <f>IF(ISNUMBER(FIND(",", E6682)), TRIM(MID(E6682, FIND(",", E6682) + 1, LEN(E6682))), E6682)</f>
        <v>Tonga</v>
      </c>
    </row>
    <row r="6683" spans="1:8" x14ac:dyDescent="0.25">
      <c r="A6683" s="2">
        <v>17118</v>
      </c>
      <c r="B6683">
        <v>-20.035</v>
      </c>
      <c r="C6683">
        <v>-173.02699999999999</v>
      </c>
      <c r="D6683" t="s">
        <v>16</v>
      </c>
      <c r="E6683" t="s">
        <v>239</v>
      </c>
      <c r="F6683">
        <f t="shared" si="208"/>
        <v>1946</v>
      </c>
      <c r="G6683">
        <f t="shared" si="209"/>
        <v>11</v>
      </c>
      <c r="H6683" t="str">
        <f>IF(ISNUMBER(FIND(",", E6683)), TRIM(MID(E6683, FIND(",", E6683) + 1, LEN(E6683))), E6683)</f>
        <v>Tonga</v>
      </c>
    </row>
    <row r="6684" spans="1:8" x14ac:dyDescent="0.25">
      <c r="A6684" s="2">
        <v>17116</v>
      </c>
      <c r="B6684">
        <v>-8.5</v>
      </c>
      <c r="C6684">
        <v>-77.5</v>
      </c>
      <c r="D6684" t="s">
        <v>16</v>
      </c>
      <c r="E6684" t="s">
        <v>198</v>
      </c>
      <c r="F6684">
        <f t="shared" si="208"/>
        <v>1946</v>
      </c>
      <c r="G6684">
        <f t="shared" si="209"/>
        <v>11</v>
      </c>
      <c r="H6684" t="str">
        <f>IF(ISNUMBER(FIND(",", E6684)), TRIM(MID(E6684, FIND(",", E6684) + 1, LEN(E6684))), E6684)</f>
        <v>central Peru</v>
      </c>
    </row>
    <row r="6685" spans="1:8" x14ac:dyDescent="0.25">
      <c r="A6685" s="2">
        <v>17110</v>
      </c>
      <c r="B6685">
        <v>39.844999999999999</v>
      </c>
      <c r="C6685">
        <v>54.667000000000002</v>
      </c>
      <c r="D6685" t="s">
        <v>16</v>
      </c>
      <c r="E6685" t="s">
        <v>509</v>
      </c>
      <c r="F6685">
        <f t="shared" si="208"/>
        <v>1946</v>
      </c>
      <c r="G6685">
        <f t="shared" si="209"/>
        <v>11</v>
      </c>
      <c r="H6685" t="str">
        <f>IF(ISNUMBER(FIND(",", E6685)), TRIM(MID(E6685, FIND(",", E6685) + 1, LEN(E6685))), E6685)</f>
        <v>Turkmenistan</v>
      </c>
    </row>
    <row r="6686" spans="1:8" x14ac:dyDescent="0.25">
      <c r="A6686" s="2">
        <v>17108</v>
      </c>
      <c r="B6686">
        <v>41.848999999999997</v>
      </c>
      <c r="C6686">
        <v>71.805000000000007</v>
      </c>
      <c r="D6686" t="s">
        <v>16</v>
      </c>
      <c r="E6686" t="s">
        <v>284</v>
      </c>
      <c r="F6686">
        <f t="shared" si="208"/>
        <v>1946</v>
      </c>
      <c r="G6686">
        <f t="shared" si="209"/>
        <v>11</v>
      </c>
      <c r="H6686" t="str">
        <f>IF(ISNUMBER(FIND(",", E6686)), TRIM(MID(E6686, FIND(",", E6686) + 1, LEN(E6686))), E6686)</f>
        <v>Kyrgyzstan</v>
      </c>
    </row>
    <row r="6687" spans="1:8" x14ac:dyDescent="0.25">
      <c r="A6687" s="2">
        <v>17107</v>
      </c>
      <c r="B6687">
        <v>51.584000000000003</v>
      </c>
      <c r="C6687">
        <v>-174.52500000000001</v>
      </c>
      <c r="D6687" t="s">
        <v>14</v>
      </c>
      <c r="E6687" t="s">
        <v>207</v>
      </c>
      <c r="F6687">
        <f t="shared" si="208"/>
        <v>1946</v>
      </c>
      <c r="G6687">
        <f t="shared" si="209"/>
        <v>11</v>
      </c>
      <c r="H6687" t="str">
        <f>IF(ISNUMBER(FIND(",", E6687)), TRIM(MID(E6687, FIND(",", E6687) + 1, LEN(E6687))), E6687)</f>
        <v>Aleutian Islands, Alaska</v>
      </c>
    </row>
    <row r="6688" spans="1:8" x14ac:dyDescent="0.25">
      <c r="A6688" s="2">
        <v>17105</v>
      </c>
      <c r="B6688">
        <v>54.25</v>
      </c>
      <c r="C6688">
        <v>-164</v>
      </c>
      <c r="D6688" t="s">
        <v>17</v>
      </c>
      <c r="E6688" t="s">
        <v>447</v>
      </c>
      <c r="F6688">
        <f t="shared" si="208"/>
        <v>1946</v>
      </c>
      <c r="G6688">
        <f t="shared" si="209"/>
        <v>10</v>
      </c>
      <c r="H6688" t="str">
        <f>IF(ISNUMBER(FIND(",", E6688)), TRIM(MID(E6688, FIND(",", E6688) + 1, LEN(E6688))), E6688)</f>
        <v>Alaska</v>
      </c>
    </row>
    <row r="6689" spans="1:8" x14ac:dyDescent="0.25">
      <c r="A6689" s="2">
        <v>17101</v>
      </c>
      <c r="B6689">
        <v>-60</v>
      </c>
      <c r="C6689">
        <v>-35</v>
      </c>
      <c r="D6689" t="s">
        <v>14</v>
      </c>
      <c r="E6689" t="s">
        <v>56</v>
      </c>
      <c r="F6689">
        <f t="shared" si="208"/>
        <v>1946</v>
      </c>
      <c r="G6689">
        <f t="shared" si="209"/>
        <v>10</v>
      </c>
      <c r="H6689" t="str">
        <f>IF(ISNUMBER(FIND(",", E6689)), TRIM(MID(E6689, FIND(",", E6689) + 1, LEN(E6689))), E6689)</f>
        <v>Scotia Sea</v>
      </c>
    </row>
    <row r="6690" spans="1:8" x14ac:dyDescent="0.25">
      <c r="A6690" s="2">
        <v>17097</v>
      </c>
      <c r="B6690">
        <v>-14.5</v>
      </c>
      <c r="C6690">
        <v>168</v>
      </c>
      <c r="D6690" t="s">
        <v>17</v>
      </c>
      <c r="E6690" t="s">
        <v>181</v>
      </c>
      <c r="F6690">
        <f t="shared" si="208"/>
        <v>1946</v>
      </c>
      <c r="G6690">
        <f t="shared" si="209"/>
        <v>10</v>
      </c>
      <c r="H6690" t="str">
        <f>IF(ISNUMBER(FIND(",", E6690)), TRIM(MID(E6690, FIND(",", E6690) + 1, LEN(E6690))), E6690)</f>
        <v>Vanuatu</v>
      </c>
    </row>
    <row r="6691" spans="1:8" x14ac:dyDescent="0.25">
      <c r="A6691" s="2">
        <v>17083</v>
      </c>
      <c r="B6691">
        <v>-25</v>
      </c>
      <c r="C6691">
        <v>178</v>
      </c>
      <c r="D6691" t="s">
        <v>17</v>
      </c>
      <c r="E6691" t="s">
        <v>256</v>
      </c>
      <c r="F6691">
        <f t="shared" si="208"/>
        <v>1946</v>
      </c>
      <c r="G6691">
        <f t="shared" si="209"/>
        <v>10</v>
      </c>
      <c r="H6691" t="str">
        <f>IF(ISNUMBER(FIND(",", E6691)), TRIM(MID(E6691, FIND(",", E6691) + 1, LEN(E6691))), E6691)</f>
        <v>south of the Fiji Islands</v>
      </c>
    </row>
    <row r="6692" spans="1:8" x14ac:dyDescent="0.25">
      <c r="A6692" s="2">
        <v>17077</v>
      </c>
      <c r="B6692">
        <v>51</v>
      </c>
      <c r="C6692">
        <v>159</v>
      </c>
      <c r="D6692" t="s">
        <v>17</v>
      </c>
      <c r="E6692" t="s">
        <v>318</v>
      </c>
      <c r="F6692">
        <f t="shared" si="208"/>
        <v>1946</v>
      </c>
      <c r="G6692">
        <f t="shared" si="209"/>
        <v>10</v>
      </c>
      <c r="H6692" t="str">
        <f>IF(ISNUMBER(FIND(",", E6692)), TRIM(MID(E6692, FIND(",", E6692) + 1, LEN(E6692))), E6692)</f>
        <v>Russia</v>
      </c>
    </row>
    <row r="6693" spans="1:8" x14ac:dyDescent="0.25">
      <c r="A6693" s="2">
        <v>17077</v>
      </c>
      <c r="B6693">
        <v>51</v>
      </c>
      <c r="C6693">
        <v>159</v>
      </c>
      <c r="D6693" t="s">
        <v>17</v>
      </c>
      <c r="E6693" t="s">
        <v>318</v>
      </c>
      <c r="F6693">
        <f t="shared" si="208"/>
        <v>1946</v>
      </c>
      <c r="G6693">
        <f t="shared" si="209"/>
        <v>10</v>
      </c>
      <c r="H6693" t="str">
        <f>IF(ISNUMBER(FIND(",", E6693)), TRIM(MID(E6693, FIND(",", E6693) + 1, LEN(E6693))), E6693)</f>
        <v>Russia</v>
      </c>
    </row>
    <row r="6694" spans="1:8" x14ac:dyDescent="0.25">
      <c r="A6694" s="2">
        <v>17075</v>
      </c>
      <c r="B6694">
        <v>-13</v>
      </c>
      <c r="C6694">
        <v>-76</v>
      </c>
      <c r="D6694" t="s">
        <v>13</v>
      </c>
      <c r="E6694" t="s">
        <v>258</v>
      </c>
      <c r="F6694">
        <f t="shared" si="208"/>
        <v>1946</v>
      </c>
      <c r="G6694">
        <f t="shared" si="209"/>
        <v>9</v>
      </c>
      <c r="H6694" t="str">
        <f>IF(ISNUMBER(FIND(",", E6694)), TRIM(MID(E6694, FIND(",", E6694) + 1, LEN(E6694))), E6694)</f>
        <v>near the coast of central Peru</v>
      </c>
    </row>
    <row r="6695" spans="1:8" x14ac:dyDescent="0.25">
      <c r="A6695" s="2">
        <v>17074</v>
      </c>
      <c r="B6695">
        <v>-4.87</v>
      </c>
      <c r="C6695">
        <v>153.14699999999999</v>
      </c>
      <c r="D6695" t="s">
        <v>16</v>
      </c>
      <c r="E6695" t="s">
        <v>183</v>
      </c>
      <c r="F6695">
        <f t="shared" si="208"/>
        <v>1946</v>
      </c>
      <c r="G6695">
        <f t="shared" si="209"/>
        <v>9</v>
      </c>
      <c r="H6695" t="str">
        <f>IF(ISNUMBER(FIND(",", E6695)), TRIM(MID(E6695, FIND(",", E6695) + 1, LEN(E6695))), E6695)</f>
        <v>Papua New Guinea</v>
      </c>
    </row>
    <row r="6696" spans="1:8" x14ac:dyDescent="0.25">
      <c r="A6696" s="2">
        <v>17071</v>
      </c>
      <c r="B6696">
        <v>-25</v>
      </c>
      <c r="C6696">
        <v>179</v>
      </c>
      <c r="D6696" t="s">
        <v>13</v>
      </c>
      <c r="E6696" t="s">
        <v>256</v>
      </c>
      <c r="F6696">
        <f t="shared" si="208"/>
        <v>1946</v>
      </c>
      <c r="G6696">
        <f t="shared" si="209"/>
        <v>9</v>
      </c>
      <c r="H6696" t="str">
        <f>IF(ISNUMBER(FIND(",", E6696)), TRIM(MID(E6696, FIND(",", E6696) + 1, LEN(E6696))), E6696)</f>
        <v>south of the Fiji Islands</v>
      </c>
    </row>
    <row r="6697" spans="1:8" x14ac:dyDescent="0.25">
      <c r="A6697" s="2">
        <v>17068</v>
      </c>
      <c r="B6697">
        <v>-6.5490000000000004</v>
      </c>
      <c r="C6697">
        <v>145.74199999999999</v>
      </c>
      <c r="D6697" t="s">
        <v>13</v>
      </c>
      <c r="E6697" t="s">
        <v>253</v>
      </c>
      <c r="F6697">
        <f t="shared" si="208"/>
        <v>1946</v>
      </c>
      <c r="G6697">
        <f t="shared" si="209"/>
        <v>9</v>
      </c>
      <c r="H6697" t="str">
        <f>IF(ISNUMBER(FIND(",", E6697)), TRIM(MID(E6697, FIND(",", E6697) + 1, LEN(E6697))), E6697)</f>
        <v>Papua New Guinea</v>
      </c>
    </row>
    <row r="6698" spans="1:8" x14ac:dyDescent="0.25">
      <c r="A6698" s="2">
        <v>17057</v>
      </c>
      <c r="B6698">
        <v>23.358000000000001</v>
      </c>
      <c r="C6698">
        <v>95.736999999999995</v>
      </c>
      <c r="D6698" t="s">
        <v>16</v>
      </c>
      <c r="E6698" t="s">
        <v>197</v>
      </c>
      <c r="F6698">
        <f t="shared" si="208"/>
        <v>1946</v>
      </c>
      <c r="G6698">
        <f t="shared" si="209"/>
        <v>9</v>
      </c>
      <c r="H6698" t="str">
        <f>IF(ISNUMBER(FIND(",", E6698)), TRIM(MID(E6698, FIND(",", E6698) + 1, LEN(E6698))), E6698)</f>
        <v>Myanmar</v>
      </c>
    </row>
    <row r="6699" spans="1:8" x14ac:dyDescent="0.25">
      <c r="A6699" s="2">
        <v>17057</v>
      </c>
      <c r="B6699">
        <v>23.927</v>
      </c>
      <c r="C6699">
        <v>96.959000000000003</v>
      </c>
      <c r="D6699" t="s">
        <v>16</v>
      </c>
      <c r="E6699" t="s">
        <v>197</v>
      </c>
      <c r="F6699">
        <f t="shared" si="208"/>
        <v>1946</v>
      </c>
      <c r="G6699">
        <f t="shared" si="209"/>
        <v>9</v>
      </c>
      <c r="H6699" t="str">
        <f>IF(ISNUMBER(FIND(",", E6699)), TRIM(MID(E6699, FIND(",", E6699) + 1, LEN(E6699))), E6699)</f>
        <v>Myanmar</v>
      </c>
    </row>
    <row r="6700" spans="1:8" x14ac:dyDescent="0.25">
      <c r="A6700" s="2">
        <v>17042</v>
      </c>
      <c r="B6700">
        <v>-26.547000000000001</v>
      </c>
      <c r="C6700">
        <v>-63.432000000000002</v>
      </c>
      <c r="D6700" t="s">
        <v>13</v>
      </c>
      <c r="E6700" t="s">
        <v>232</v>
      </c>
      <c r="F6700">
        <f t="shared" si="208"/>
        <v>1946</v>
      </c>
      <c r="G6700">
        <f t="shared" si="209"/>
        <v>8</v>
      </c>
      <c r="H6700" t="str">
        <f>IF(ISNUMBER(FIND(",", E6700)), TRIM(MID(E6700, FIND(",", E6700) + 1, LEN(E6700))), E6700)</f>
        <v>Argentina</v>
      </c>
    </row>
    <row r="6701" spans="1:8" x14ac:dyDescent="0.25">
      <c r="A6701" s="2">
        <v>17035</v>
      </c>
      <c r="B6701">
        <v>-24</v>
      </c>
      <c r="C6701">
        <v>-177</v>
      </c>
      <c r="D6701" t="s">
        <v>13</v>
      </c>
      <c r="E6701" t="s">
        <v>256</v>
      </c>
      <c r="F6701">
        <f t="shared" si="208"/>
        <v>1946</v>
      </c>
      <c r="G6701">
        <f t="shared" si="209"/>
        <v>8</v>
      </c>
      <c r="H6701" t="str">
        <f>IF(ISNUMBER(FIND(",", E6701)), TRIM(MID(E6701, FIND(",", E6701) + 1, LEN(E6701))), E6701)</f>
        <v>south of the Fiji Islands</v>
      </c>
    </row>
    <row r="6702" spans="1:8" x14ac:dyDescent="0.25">
      <c r="A6702" s="2">
        <v>17025</v>
      </c>
      <c r="B6702">
        <v>-8</v>
      </c>
      <c r="C6702">
        <v>156</v>
      </c>
      <c r="D6702" t="s">
        <v>17</v>
      </c>
      <c r="E6702" t="s">
        <v>221</v>
      </c>
      <c r="F6702">
        <f t="shared" si="208"/>
        <v>1946</v>
      </c>
      <c r="G6702">
        <f t="shared" si="209"/>
        <v>8</v>
      </c>
      <c r="H6702" t="str">
        <f>IF(ISNUMBER(FIND(",", E6702)), TRIM(MID(E6702, FIND(",", E6702) + 1, LEN(E6702))), E6702)</f>
        <v>Solomon Islands</v>
      </c>
    </row>
    <row r="6703" spans="1:8" x14ac:dyDescent="0.25">
      <c r="A6703" s="2">
        <v>17022</v>
      </c>
      <c r="B6703">
        <v>19.63</v>
      </c>
      <c r="C6703">
        <v>-69.631</v>
      </c>
      <c r="D6703" t="s">
        <v>16</v>
      </c>
      <c r="E6703" t="s">
        <v>601</v>
      </c>
      <c r="F6703">
        <f t="shared" si="208"/>
        <v>1946</v>
      </c>
      <c r="G6703">
        <f t="shared" si="209"/>
        <v>8</v>
      </c>
      <c r="H6703" t="str">
        <f>IF(ISNUMBER(FIND(",", E6703)), TRIM(MID(E6703, FIND(",", E6703) + 1, LEN(E6703))), E6703)</f>
        <v>Dominican Republic region</v>
      </c>
    </row>
    <row r="6704" spans="1:8" x14ac:dyDescent="0.25">
      <c r="A6704" s="2">
        <v>17018</v>
      </c>
      <c r="B6704">
        <v>18.959</v>
      </c>
      <c r="C6704">
        <v>-69</v>
      </c>
      <c r="D6704" t="s">
        <v>16</v>
      </c>
      <c r="E6704" t="s">
        <v>477</v>
      </c>
      <c r="F6704">
        <f t="shared" si="208"/>
        <v>1946</v>
      </c>
      <c r="G6704">
        <f t="shared" si="209"/>
        <v>8</v>
      </c>
      <c r="H6704" t="str">
        <f>IF(ISNUMBER(FIND(",", E6704)), TRIM(MID(E6704, FIND(",", E6704) + 1, LEN(E6704))), E6704)</f>
        <v>Dominican Republic</v>
      </c>
    </row>
    <row r="6705" spans="1:8" x14ac:dyDescent="0.25">
      <c r="A6705" s="2">
        <v>17016</v>
      </c>
      <c r="B6705">
        <v>-26.437000000000001</v>
      </c>
      <c r="C6705">
        <v>-70.813000000000002</v>
      </c>
      <c r="D6705" t="s">
        <v>14</v>
      </c>
      <c r="E6705" t="s">
        <v>439</v>
      </c>
      <c r="F6705">
        <f t="shared" si="208"/>
        <v>1946</v>
      </c>
      <c r="G6705">
        <f t="shared" si="209"/>
        <v>8</v>
      </c>
      <c r="H6705" t="str">
        <f>IF(ISNUMBER(FIND(",", E6705)), TRIM(MID(E6705, FIND(",", E6705) + 1, LEN(E6705))), E6705)</f>
        <v>Chile</v>
      </c>
    </row>
    <row r="6706" spans="1:8" x14ac:dyDescent="0.25">
      <c r="A6706" s="2">
        <v>17009</v>
      </c>
      <c r="B6706">
        <v>-19.75</v>
      </c>
      <c r="C6706">
        <v>-70.5</v>
      </c>
      <c r="D6706" t="s">
        <v>17</v>
      </c>
      <c r="E6706" t="s">
        <v>327</v>
      </c>
      <c r="F6706">
        <f t="shared" si="208"/>
        <v>1946</v>
      </c>
      <c r="G6706">
        <f t="shared" si="209"/>
        <v>7</v>
      </c>
      <c r="H6706" t="str">
        <f>IF(ISNUMBER(FIND(",", E6706)), TRIM(MID(E6706, FIND(",", E6706) + 1, LEN(E6706))), E6706)</f>
        <v>Chile</v>
      </c>
    </row>
    <row r="6707" spans="1:8" x14ac:dyDescent="0.25">
      <c r="A6707" s="2">
        <v>16995</v>
      </c>
      <c r="B6707">
        <v>53.5</v>
      </c>
      <c r="C6707">
        <v>-169</v>
      </c>
      <c r="D6707" t="s">
        <v>17</v>
      </c>
      <c r="E6707" t="s">
        <v>219</v>
      </c>
      <c r="F6707">
        <f t="shared" si="208"/>
        <v>1946</v>
      </c>
      <c r="G6707">
        <f t="shared" si="209"/>
        <v>7</v>
      </c>
      <c r="H6707" t="str">
        <f>IF(ISNUMBER(FIND(",", E6707)), TRIM(MID(E6707, FIND(",", E6707) + 1, LEN(E6707))), E6707)</f>
        <v>Aleutian Islands, Alaska</v>
      </c>
    </row>
    <row r="6708" spans="1:8" x14ac:dyDescent="0.25">
      <c r="A6708" s="2">
        <v>16994</v>
      </c>
      <c r="B6708">
        <v>17</v>
      </c>
      <c r="C6708">
        <v>-94.5</v>
      </c>
      <c r="D6708" t="s">
        <v>13</v>
      </c>
      <c r="E6708" t="s">
        <v>251</v>
      </c>
      <c r="F6708">
        <f t="shared" si="208"/>
        <v>1946</v>
      </c>
      <c r="G6708">
        <f t="shared" si="209"/>
        <v>7</v>
      </c>
      <c r="H6708" t="str">
        <f>IF(ISNUMBER(FIND(",", E6708)), TRIM(MID(E6708, FIND(",", E6708) + 1, LEN(E6708))), E6708)</f>
        <v>Mexico</v>
      </c>
    </row>
    <row r="6709" spans="1:8" x14ac:dyDescent="0.25">
      <c r="A6709" s="2">
        <v>16992</v>
      </c>
      <c r="B6709">
        <v>-19.170000000000002</v>
      </c>
      <c r="C6709">
        <v>169.31800000000001</v>
      </c>
      <c r="D6709" t="s">
        <v>13</v>
      </c>
      <c r="E6709" t="s">
        <v>181</v>
      </c>
      <c r="F6709">
        <f t="shared" si="208"/>
        <v>1946</v>
      </c>
      <c r="G6709">
        <f t="shared" si="209"/>
        <v>7</v>
      </c>
      <c r="H6709" t="str">
        <f>IF(ISNUMBER(FIND(",", E6709)), TRIM(MID(E6709, FIND(",", E6709) + 1, LEN(E6709))), E6709)</f>
        <v>Vanuatu</v>
      </c>
    </row>
    <row r="6710" spans="1:8" x14ac:dyDescent="0.25">
      <c r="A6710" s="2">
        <v>16976</v>
      </c>
      <c r="B6710">
        <v>49.762</v>
      </c>
      <c r="C6710">
        <v>-125.06100000000001</v>
      </c>
      <c r="D6710" t="s">
        <v>16</v>
      </c>
      <c r="E6710" t="s">
        <v>199</v>
      </c>
      <c r="F6710">
        <f t="shared" si="208"/>
        <v>1946</v>
      </c>
      <c r="G6710">
        <f t="shared" si="209"/>
        <v>6</v>
      </c>
      <c r="H6710" t="str">
        <f>IF(ISNUMBER(FIND(",", E6710)), TRIM(MID(E6710, FIND(",", E6710) + 1, LEN(E6710))), E6710)</f>
        <v>Canada region</v>
      </c>
    </row>
    <row r="6711" spans="1:8" x14ac:dyDescent="0.25">
      <c r="A6711" s="2">
        <v>16968</v>
      </c>
      <c r="B6711">
        <v>-2</v>
      </c>
      <c r="C6711">
        <v>128</v>
      </c>
      <c r="D6711" t="s">
        <v>17</v>
      </c>
      <c r="E6711" t="s">
        <v>311</v>
      </c>
      <c r="F6711">
        <f t="shared" si="208"/>
        <v>1946</v>
      </c>
      <c r="G6711">
        <f t="shared" si="209"/>
        <v>6</v>
      </c>
      <c r="H6711" t="str">
        <f>IF(ISNUMBER(FIND(",", E6711)), TRIM(MID(E6711, FIND(",", E6711) + 1, LEN(E6711))), E6711)</f>
        <v>Indonesia</v>
      </c>
    </row>
    <row r="6712" spans="1:8" x14ac:dyDescent="0.25">
      <c r="A6712" s="2">
        <v>16960</v>
      </c>
      <c r="B6712">
        <v>16.5</v>
      </c>
      <c r="C6712">
        <v>-94</v>
      </c>
      <c r="D6712" t="s">
        <v>13</v>
      </c>
      <c r="E6712" t="s">
        <v>421</v>
      </c>
      <c r="F6712">
        <f t="shared" si="208"/>
        <v>1946</v>
      </c>
      <c r="G6712">
        <f t="shared" si="209"/>
        <v>6</v>
      </c>
      <c r="H6712" t="str">
        <f>IF(ISNUMBER(FIND(",", E6712)), TRIM(MID(E6712, FIND(",", E6712) + 1, LEN(E6712))), E6712)</f>
        <v>Mexico</v>
      </c>
    </row>
    <row r="6713" spans="1:8" x14ac:dyDescent="0.25">
      <c r="A6713" s="2">
        <v>16943</v>
      </c>
      <c r="B6713">
        <v>14.5</v>
      </c>
      <c r="C6713">
        <v>-60.5</v>
      </c>
      <c r="D6713" t="s">
        <v>14</v>
      </c>
      <c r="E6713" t="s">
        <v>412</v>
      </c>
      <c r="F6713">
        <f t="shared" si="208"/>
        <v>1946</v>
      </c>
      <c r="G6713">
        <f t="shared" si="209"/>
        <v>5</v>
      </c>
      <c r="H6713" t="str">
        <f>IF(ISNUMBER(FIND(",", E6713)), TRIM(MID(E6713, FIND(",", E6713) + 1, LEN(E6713))), E6713)</f>
        <v>Windward Islands</v>
      </c>
    </row>
    <row r="6714" spans="1:8" x14ac:dyDescent="0.25">
      <c r="A6714" s="2">
        <v>16930</v>
      </c>
      <c r="B6714">
        <v>-0.52900000000000003</v>
      </c>
      <c r="C6714">
        <v>99.072000000000003</v>
      </c>
      <c r="D6714" t="s">
        <v>14</v>
      </c>
      <c r="E6714" t="s">
        <v>308</v>
      </c>
      <c r="F6714">
        <f t="shared" si="208"/>
        <v>1946</v>
      </c>
      <c r="G6714">
        <f t="shared" si="209"/>
        <v>5</v>
      </c>
      <c r="H6714" t="str">
        <f>IF(ISNUMBER(FIND(",", E6714)), TRIM(MID(E6714, FIND(",", E6714) + 1, LEN(E6714))), E6714)</f>
        <v>Indonesia</v>
      </c>
    </row>
    <row r="6715" spans="1:8" x14ac:dyDescent="0.25">
      <c r="A6715" s="2">
        <v>16925</v>
      </c>
      <c r="B6715">
        <v>-4.548</v>
      </c>
      <c r="C6715">
        <v>153.166</v>
      </c>
      <c r="D6715" t="s">
        <v>16</v>
      </c>
      <c r="E6715" t="s">
        <v>183</v>
      </c>
      <c r="F6715">
        <f t="shared" si="208"/>
        <v>1946</v>
      </c>
      <c r="G6715">
        <f t="shared" si="209"/>
        <v>5</v>
      </c>
      <c r="H6715" t="str">
        <f>IF(ISNUMBER(FIND(",", E6715)), TRIM(MID(E6715, FIND(",", E6715) + 1, LEN(E6715))), E6715)</f>
        <v>Papua New Guinea</v>
      </c>
    </row>
    <row r="6716" spans="1:8" x14ac:dyDescent="0.25">
      <c r="A6716" s="2">
        <v>16915</v>
      </c>
      <c r="B6716">
        <v>-50</v>
      </c>
      <c r="C6716">
        <v>140</v>
      </c>
      <c r="D6716" t="s">
        <v>17</v>
      </c>
      <c r="E6716" t="s">
        <v>235</v>
      </c>
      <c r="F6716">
        <f t="shared" si="208"/>
        <v>1946</v>
      </c>
      <c r="G6716">
        <f t="shared" si="209"/>
        <v>4</v>
      </c>
      <c r="H6716" t="str">
        <f>IF(ISNUMBER(FIND(",", E6716)), TRIM(MID(E6716, FIND(",", E6716) + 1, LEN(E6716))), E6716)</f>
        <v>western Indian-Antarctic Ridge</v>
      </c>
    </row>
    <row r="6717" spans="1:8" x14ac:dyDescent="0.25">
      <c r="A6717" s="2">
        <v>16903</v>
      </c>
      <c r="B6717">
        <v>-1.458</v>
      </c>
      <c r="C6717">
        <v>-14.252000000000001</v>
      </c>
      <c r="D6717" t="s">
        <v>16</v>
      </c>
      <c r="E6717" t="s">
        <v>378</v>
      </c>
      <c r="F6717">
        <f t="shared" si="208"/>
        <v>1946</v>
      </c>
      <c r="G6717">
        <f t="shared" si="209"/>
        <v>4</v>
      </c>
      <c r="H6717" t="str">
        <f>IF(ISNUMBER(FIND(",", E6717)), TRIM(MID(E6717, FIND(",", E6717) + 1, LEN(E6717))), E6717)</f>
        <v>north of Ascension Island</v>
      </c>
    </row>
    <row r="6718" spans="1:8" x14ac:dyDescent="0.25">
      <c r="A6718" s="2">
        <v>16893</v>
      </c>
      <c r="B6718">
        <v>53.362000000000002</v>
      </c>
      <c r="C6718">
        <v>-162.85400000000001</v>
      </c>
      <c r="D6718" t="s">
        <v>16</v>
      </c>
      <c r="E6718" t="s">
        <v>493</v>
      </c>
      <c r="F6718">
        <f t="shared" si="208"/>
        <v>1946</v>
      </c>
      <c r="G6718">
        <f t="shared" si="209"/>
        <v>4</v>
      </c>
      <c r="H6718" t="str">
        <f>IF(ISNUMBER(FIND(",", E6718)), TRIM(MID(E6718, FIND(",", E6718) + 1, LEN(E6718))), E6718)</f>
        <v>south of Alaska</v>
      </c>
    </row>
    <row r="6719" spans="1:8" x14ac:dyDescent="0.25">
      <c r="A6719" s="2">
        <v>16887</v>
      </c>
      <c r="B6719">
        <v>-3</v>
      </c>
      <c r="C6719">
        <v>102</v>
      </c>
      <c r="D6719" t="s">
        <v>17</v>
      </c>
      <c r="E6719" t="s">
        <v>308</v>
      </c>
      <c r="F6719">
        <f t="shared" si="208"/>
        <v>1946</v>
      </c>
      <c r="G6719">
        <f t="shared" si="209"/>
        <v>3</v>
      </c>
      <c r="H6719" t="str">
        <f>IF(ISNUMBER(FIND(",", E6719)), TRIM(MID(E6719, FIND(",", E6719) + 1, LEN(E6719))), E6719)</f>
        <v>Indonesia</v>
      </c>
    </row>
    <row r="6720" spans="1:8" x14ac:dyDescent="0.25">
      <c r="A6720" s="2">
        <v>16837</v>
      </c>
      <c r="B6720">
        <v>53</v>
      </c>
      <c r="C6720">
        <v>-176</v>
      </c>
      <c r="D6720" t="s">
        <v>17</v>
      </c>
      <c r="E6720" t="s">
        <v>207</v>
      </c>
      <c r="F6720">
        <f t="shared" si="208"/>
        <v>1946</v>
      </c>
      <c r="G6720">
        <f t="shared" si="209"/>
        <v>2</v>
      </c>
      <c r="H6720" t="str">
        <f>IF(ISNUMBER(FIND(",", E6720)), TRIM(MID(E6720, FIND(",", E6720) + 1, LEN(E6720))), E6720)</f>
        <v>Aleutian Islands, Alaska</v>
      </c>
    </row>
    <row r="6721" spans="1:8" x14ac:dyDescent="0.25">
      <c r="A6721" s="2">
        <v>16822</v>
      </c>
      <c r="B6721">
        <v>-17.5</v>
      </c>
      <c r="C6721">
        <v>167.5</v>
      </c>
      <c r="D6721" t="s">
        <v>14</v>
      </c>
      <c r="E6721" t="s">
        <v>181</v>
      </c>
      <c r="F6721">
        <f t="shared" si="208"/>
        <v>1946</v>
      </c>
      <c r="G6721">
        <f t="shared" si="209"/>
        <v>1</v>
      </c>
      <c r="H6721" t="str">
        <f>IF(ISNUMBER(FIND(",", E6721)), TRIM(MID(E6721, FIND(",", E6721) + 1, LEN(E6721))), E6721)</f>
        <v>Vanuatu</v>
      </c>
    </row>
    <row r="6722" spans="1:8" x14ac:dyDescent="0.25">
      <c r="A6722" s="2">
        <v>16819</v>
      </c>
      <c r="B6722">
        <v>-6.3970000000000002</v>
      </c>
      <c r="C6722">
        <v>147.19499999999999</v>
      </c>
      <c r="D6722" t="s">
        <v>13</v>
      </c>
      <c r="E6722" t="s">
        <v>243</v>
      </c>
      <c r="F6722">
        <f t="shared" ref="F6722:F6785" si="210">YEAR(A6722)</f>
        <v>1946</v>
      </c>
      <c r="G6722">
        <f t="shared" si="209"/>
        <v>1</v>
      </c>
      <c r="H6722" t="str">
        <f>IF(ISNUMBER(FIND(",", E6722)), TRIM(MID(E6722, FIND(",", E6722) + 1, LEN(E6722))), E6722)</f>
        <v>Papua New Guinea</v>
      </c>
    </row>
    <row r="6723" spans="1:8" x14ac:dyDescent="0.25">
      <c r="A6723" s="2">
        <v>16814</v>
      </c>
      <c r="B6723">
        <v>59.25</v>
      </c>
      <c r="C6723">
        <v>-147.25</v>
      </c>
      <c r="D6723" t="s">
        <v>14</v>
      </c>
      <c r="E6723" t="s">
        <v>195</v>
      </c>
      <c r="F6723">
        <f t="shared" si="210"/>
        <v>1946</v>
      </c>
      <c r="G6723">
        <f t="shared" ref="G6723:G6786" si="211">MONTH(A6723)</f>
        <v>1</v>
      </c>
      <c r="H6723" t="str">
        <f>IF(ISNUMBER(FIND(",", E6723)), TRIM(MID(E6723, FIND(",", E6723) + 1, LEN(E6723))), E6723)</f>
        <v>Gulf of Alaska</v>
      </c>
    </row>
    <row r="6724" spans="1:8" x14ac:dyDescent="0.25">
      <c r="A6724" s="2">
        <v>16813</v>
      </c>
      <c r="B6724">
        <v>44</v>
      </c>
      <c r="C6724">
        <v>129.5</v>
      </c>
      <c r="D6724" t="s">
        <v>13</v>
      </c>
      <c r="E6724" t="s">
        <v>491</v>
      </c>
      <c r="F6724">
        <f t="shared" si="210"/>
        <v>1946</v>
      </c>
      <c r="G6724">
        <f t="shared" si="211"/>
        <v>1</v>
      </c>
      <c r="H6724" t="str">
        <f>IF(ISNUMBER(FIND(",", E6724)), TRIM(MID(E6724, FIND(",", E6724) + 1, LEN(E6724))), E6724)</f>
        <v>China</v>
      </c>
    </row>
    <row r="6725" spans="1:8" x14ac:dyDescent="0.25">
      <c r="A6725" s="2">
        <v>16807</v>
      </c>
      <c r="B6725">
        <v>-15.323</v>
      </c>
      <c r="C6725">
        <v>167.04900000000001</v>
      </c>
      <c r="D6725" t="s">
        <v>16</v>
      </c>
      <c r="E6725" t="s">
        <v>181</v>
      </c>
      <c r="F6725">
        <f t="shared" si="210"/>
        <v>1946</v>
      </c>
      <c r="G6725">
        <f t="shared" si="211"/>
        <v>1</v>
      </c>
      <c r="H6725" t="str">
        <f>IF(ISNUMBER(FIND(",", E6725)), TRIM(MID(E6725, FIND(",", E6725) + 1, LEN(E6725))), E6725)</f>
        <v>Vanuatu</v>
      </c>
    </row>
    <row r="6726" spans="1:8" x14ac:dyDescent="0.25">
      <c r="A6726" s="2">
        <v>16799</v>
      </c>
      <c r="B6726">
        <v>-6.0030000000000001</v>
      </c>
      <c r="C6726">
        <v>150.61799999999999</v>
      </c>
      <c r="D6726" t="s">
        <v>16</v>
      </c>
      <c r="E6726" t="s">
        <v>190</v>
      </c>
      <c r="F6726">
        <f t="shared" si="210"/>
        <v>1945</v>
      </c>
      <c r="G6726">
        <f t="shared" si="211"/>
        <v>12</v>
      </c>
      <c r="H6726" t="str">
        <f>IF(ISNUMBER(FIND(",", E6726)), TRIM(MID(E6726, FIND(",", E6726) + 1, LEN(E6726))), E6726)</f>
        <v>Papua New Guinea</v>
      </c>
    </row>
    <row r="6727" spans="1:8" x14ac:dyDescent="0.25">
      <c r="A6727" s="2">
        <v>16798</v>
      </c>
      <c r="B6727">
        <v>-6</v>
      </c>
      <c r="C6727">
        <v>151</v>
      </c>
      <c r="D6727" t="s">
        <v>14</v>
      </c>
      <c r="E6727" t="s">
        <v>190</v>
      </c>
      <c r="F6727">
        <f t="shared" si="210"/>
        <v>1945</v>
      </c>
      <c r="G6727">
        <f t="shared" si="211"/>
        <v>12</v>
      </c>
      <c r="H6727" t="str">
        <f>IF(ISNUMBER(FIND(",", E6727)), TRIM(MID(E6727, FIND(",", E6727) + 1, LEN(E6727))), E6727)</f>
        <v>Papua New Guinea</v>
      </c>
    </row>
    <row r="6728" spans="1:8" x14ac:dyDescent="0.25">
      <c r="A6728" s="2">
        <v>16779</v>
      </c>
      <c r="B6728">
        <v>-5.74</v>
      </c>
      <c r="C6728">
        <v>150.374</v>
      </c>
      <c r="D6728" t="s">
        <v>14</v>
      </c>
      <c r="E6728" t="s">
        <v>190</v>
      </c>
      <c r="F6728">
        <f t="shared" si="210"/>
        <v>1945</v>
      </c>
      <c r="G6728">
        <f t="shared" si="211"/>
        <v>12</v>
      </c>
      <c r="H6728" t="str">
        <f>IF(ISNUMBER(FIND(",", E6728)), TRIM(MID(E6728, FIND(",", E6728) + 1, LEN(E6728))), E6728)</f>
        <v>Papua New Guinea</v>
      </c>
    </row>
    <row r="6729" spans="1:8" x14ac:dyDescent="0.25">
      <c r="A6729" s="2">
        <v>16768</v>
      </c>
      <c r="B6729">
        <v>24.855</v>
      </c>
      <c r="C6729">
        <v>63.545000000000002</v>
      </c>
      <c r="D6729" t="s">
        <v>16</v>
      </c>
      <c r="E6729" t="s">
        <v>703</v>
      </c>
      <c r="F6729">
        <f t="shared" si="210"/>
        <v>1945</v>
      </c>
      <c r="G6729">
        <f t="shared" si="211"/>
        <v>11</v>
      </c>
      <c r="H6729" t="str">
        <f>IF(ISNUMBER(FIND(",", E6729)), TRIM(MID(E6729, FIND(",", E6729) + 1, LEN(E6729))), E6729)</f>
        <v>off the coast of Pakistan</v>
      </c>
    </row>
    <row r="6730" spans="1:8" x14ac:dyDescent="0.25">
      <c r="A6730" s="2">
        <v>16767</v>
      </c>
      <c r="B6730">
        <v>-21</v>
      </c>
      <c r="C6730">
        <v>180</v>
      </c>
      <c r="D6730" t="s">
        <v>13</v>
      </c>
      <c r="F6730">
        <f t="shared" si="210"/>
        <v>1945</v>
      </c>
      <c r="G6730">
        <f t="shared" si="211"/>
        <v>11</v>
      </c>
      <c r="H6730">
        <f>IF(ISNUMBER(FIND(",", E6730)), TRIM(MID(E6730, FIND(",", E6730) + 1, LEN(E6730))), E6730)</f>
        <v>0</v>
      </c>
    </row>
    <row r="6731" spans="1:8" x14ac:dyDescent="0.25">
      <c r="A6731" s="2">
        <v>16744</v>
      </c>
      <c r="B6731">
        <v>58.5</v>
      </c>
      <c r="C6731">
        <v>-151</v>
      </c>
      <c r="D6731" t="s">
        <v>17</v>
      </c>
      <c r="E6731" t="s">
        <v>195</v>
      </c>
      <c r="F6731">
        <f t="shared" si="210"/>
        <v>1945</v>
      </c>
      <c r="G6731">
        <f t="shared" si="211"/>
        <v>11</v>
      </c>
      <c r="H6731" t="str">
        <f>IF(ISNUMBER(FIND(",", E6731)), TRIM(MID(E6731, FIND(",", E6731) + 1, LEN(E6731))), E6731)</f>
        <v>Gulf of Alaska</v>
      </c>
    </row>
    <row r="6732" spans="1:8" x14ac:dyDescent="0.25">
      <c r="A6732" s="2">
        <v>16738</v>
      </c>
      <c r="B6732">
        <v>-13.75</v>
      </c>
      <c r="C6732">
        <v>167.5</v>
      </c>
      <c r="D6732" t="s">
        <v>17</v>
      </c>
      <c r="E6732" t="s">
        <v>181</v>
      </c>
      <c r="F6732">
        <f t="shared" si="210"/>
        <v>1945</v>
      </c>
      <c r="G6732">
        <f t="shared" si="211"/>
        <v>10</v>
      </c>
      <c r="H6732" t="str">
        <f>IF(ISNUMBER(FIND(",", E6732)), TRIM(MID(E6732, FIND(",", E6732) + 1, LEN(E6732))), E6732)</f>
        <v>Vanuatu</v>
      </c>
    </row>
    <row r="6733" spans="1:8" x14ac:dyDescent="0.25">
      <c r="A6733" s="2">
        <v>16737</v>
      </c>
      <c r="B6733">
        <v>15</v>
      </c>
      <c r="C6733">
        <v>-91.25</v>
      </c>
      <c r="D6733" t="s">
        <v>17</v>
      </c>
      <c r="E6733" t="s">
        <v>371</v>
      </c>
      <c r="F6733">
        <f t="shared" si="210"/>
        <v>1945</v>
      </c>
      <c r="G6733">
        <f t="shared" si="211"/>
        <v>10</v>
      </c>
      <c r="H6733" t="str">
        <f>IF(ISNUMBER(FIND(",", E6733)), TRIM(MID(E6733, FIND(",", E6733) + 1, LEN(E6733))), E6733)</f>
        <v>Guatemala</v>
      </c>
    </row>
    <row r="6734" spans="1:8" x14ac:dyDescent="0.25">
      <c r="A6734" s="2">
        <v>16726</v>
      </c>
      <c r="B6734">
        <v>-0.25</v>
      </c>
      <c r="C6734">
        <v>125</v>
      </c>
      <c r="D6734" t="s">
        <v>14</v>
      </c>
      <c r="E6734" t="s">
        <v>186</v>
      </c>
      <c r="F6734">
        <f t="shared" si="210"/>
        <v>1945</v>
      </c>
      <c r="G6734">
        <f t="shared" si="211"/>
        <v>10</v>
      </c>
      <c r="H6734" t="str">
        <f>IF(ISNUMBER(FIND(",", E6734)), TRIM(MID(E6734, FIND(",", E6734) + 1, LEN(E6734))), E6734)</f>
        <v>Molucca Sea</v>
      </c>
    </row>
    <row r="6735" spans="1:8" x14ac:dyDescent="0.25">
      <c r="A6735" s="2">
        <v>16719</v>
      </c>
      <c r="B6735">
        <v>43.356000000000002</v>
      </c>
      <c r="C6735">
        <v>147.51499999999999</v>
      </c>
      <c r="D6735" t="s">
        <v>13</v>
      </c>
      <c r="E6735" t="s">
        <v>191</v>
      </c>
      <c r="F6735">
        <f t="shared" si="210"/>
        <v>1945</v>
      </c>
      <c r="G6735">
        <f t="shared" si="211"/>
        <v>10</v>
      </c>
      <c r="H6735" t="str">
        <f>IF(ISNUMBER(FIND(",", E6735)), TRIM(MID(E6735, FIND(",", E6735) + 1, LEN(E6735))), E6735)</f>
        <v>Kuril Islands</v>
      </c>
    </row>
    <row r="6736" spans="1:8" x14ac:dyDescent="0.25">
      <c r="A6736" s="2">
        <v>16717</v>
      </c>
      <c r="B6736">
        <v>12.25</v>
      </c>
      <c r="C6736">
        <v>-89.25</v>
      </c>
      <c r="D6736" t="s">
        <v>17</v>
      </c>
      <c r="E6736" t="s">
        <v>215</v>
      </c>
      <c r="F6736">
        <f t="shared" si="210"/>
        <v>1945</v>
      </c>
      <c r="G6736">
        <f t="shared" si="211"/>
        <v>10</v>
      </c>
      <c r="H6736" t="str">
        <f>IF(ISNUMBER(FIND(",", E6736)), TRIM(MID(E6736, FIND(",", E6736) + 1, LEN(E6736))), E6736)</f>
        <v>off the coast of El Salvador</v>
      </c>
    </row>
    <row r="6737" spans="1:8" x14ac:dyDescent="0.25">
      <c r="A6737" s="2">
        <v>16702</v>
      </c>
      <c r="B6737">
        <v>-4</v>
      </c>
      <c r="C6737">
        <v>147</v>
      </c>
      <c r="D6737" t="s">
        <v>14</v>
      </c>
      <c r="E6737" t="s">
        <v>380</v>
      </c>
      <c r="F6737">
        <f t="shared" si="210"/>
        <v>1945</v>
      </c>
      <c r="G6737">
        <f t="shared" si="211"/>
        <v>9</v>
      </c>
      <c r="H6737" t="str">
        <f>IF(ISNUMBER(FIND(",", E6737)), TRIM(MID(E6737, FIND(",", E6737) + 1, LEN(E6737))), E6737)</f>
        <v>Bismarck Sea</v>
      </c>
    </row>
    <row r="6738" spans="1:8" x14ac:dyDescent="0.25">
      <c r="A6738" s="2">
        <v>16699</v>
      </c>
      <c r="B6738">
        <v>42.5</v>
      </c>
      <c r="C6738">
        <v>144.4</v>
      </c>
      <c r="D6738" t="s">
        <v>14</v>
      </c>
      <c r="E6738" t="s">
        <v>265</v>
      </c>
      <c r="F6738">
        <f t="shared" si="210"/>
        <v>1945</v>
      </c>
      <c r="G6738">
        <f t="shared" si="211"/>
        <v>9</v>
      </c>
      <c r="H6738" t="str">
        <f>IF(ISNUMBER(FIND(",", E6738)), TRIM(MID(E6738, FIND(",", E6738) + 1, LEN(E6738))), E6738)</f>
        <v>Japan region</v>
      </c>
    </row>
    <row r="6739" spans="1:8" x14ac:dyDescent="0.25">
      <c r="A6739" s="2">
        <v>16693</v>
      </c>
      <c r="B6739">
        <v>-33.83</v>
      </c>
      <c r="C6739">
        <v>-70.409000000000006</v>
      </c>
      <c r="D6739" t="s">
        <v>13</v>
      </c>
      <c r="E6739" t="s">
        <v>515</v>
      </c>
      <c r="F6739">
        <f t="shared" si="210"/>
        <v>1945</v>
      </c>
      <c r="G6739">
        <f t="shared" si="211"/>
        <v>9</v>
      </c>
      <c r="H6739" t="str">
        <f>IF(ISNUMBER(FIND(",", E6739)), TRIM(MID(E6739, FIND(",", E6739) + 1, LEN(E6739))), E6739)</f>
        <v>Chile</v>
      </c>
    </row>
    <row r="6740" spans="1:8" x14ac:dyDescent="0.25">
      <c r="A6740" s="2">
        <v>16689</v>
      </c>
      <c r="B6740">
        <v>-17</v>
      </c>
      <c r="C6740">
        <v>167</v>
      </c>
      <c r="D6740" t="s">
        <v>14</v>
      </c>
      <c r="E6740" t="s">
        <v>181</v>
      </c>
      <c r="F6740">
        <f t="shared" si="210"/>
        <v>1945</v>
      </c>
      <c r="G6740">
        <f t="shared" si="211"/>
        <v>9</v>
      </c>
      <c r="H6740" t="str">
        <f>IF(ISNUMBER(FIND(",", E6740)), TRIM(MID(E6740, FIND(",", E6740) + 1, LEN(E6740))), E6740)</f>
        <v>Vanuatu</v>
      </c>
    </row>
    <row r="6741" spans="1:8" x14ac:dyDescent="0.25">
      <c r="A6741" s="2">
        <v>16685</v>
      </c>
      <c r="B6741">
        <v>-5.1820000000000004</v>
      </c>
      <c r="C6741">
        <v>152.68600000000001</v>
      </c>
      <c r="D6741" t="s">
        <v>14</v>
      </c>
      <c r="E6741" t="s">
        <v>190</v>
      </c>
      <c r="F6741">
        <f t="shared" si="210"/>
        <v>1945</v>
      </c>
      <c r="G6741">
        <f t="shared" si="211"/>
        <v>9</v>
      </c>
      <c r="H6741" t="str">
        <f>IF(ISNUMBER(FIND(",", E6741)), TRIM(MID(E6741, FIND(",", E6741) + 1, LEN(E6741))), E6741)</f>
        <v>Papua New Guinea</v>
      </c>
    </row>
    <row r="6742" spans="1:8" x14ac:dyDescent="0.25">
      <c r="A6742" s="2">
        <v>16681</v>
      </c>
      <c r="B6742">
        <v>-46.994</v>
      </c>
      <c r="C6742">
        <v>165.83500000000001</v>
      </c>
      <c r="D6742" t="s">
        <v>14</v>
      </c>
      <c r="E6742" t="s">
        <v>361</v>
      </c>
      <c r="F6742">
        <f t="shared" si="210"/>
        <v>1945</v>
      </c>
      <c r="G6742">
        <f t="shared" si="211"/>
        <v>9</v>
      </c>
      <c r="H6742" t="str">
        <f>IF(ISNUMBER(FIND(",", E6742)), TRIM(MID(E6742, FIND(",", E6742) + 1, LEN(E6742))), E6742)</f>
        <v>off the west coast of the South Island of New Zealand</v>
      </c>
    </row>
    <row r="6743" spans="1:8" x14ac:dyDescent="0.25">
      <c r="A6743" s="2">
        <v>16678</v>
      </c>
      <c r="B6743">
        <v>-13.925000000000001</v>
      </c>
      <c r="C6743">
        <v>167.60599999999999</v>
      </c>
      <c r="D6743" t="s">
        <v>14</v>
      </c>
      <c r="E6743" t="s">
        <v>181</v>
      </c>
      <c r="F6743">
        <f t="shared" si="210"/>
        <v>1945</v>
      </c>
      <c r="G6743">
        <f t="shared" si="211"/>
        <v>8</v>
      </c>
      <c r="H6743" t="str">
        <f>IF(ISNUMBER(FIND(",", E6743)), TRIM(MID(E6743, FIND(",", E6743) + 1, LEN(E6743))), E6743)</f>
        <v>Vanuatu</v>
      </c>
    </row>
    <row r="6744" spans="1:8" x14ac:dyDescent="0.25">
      <c r="A6744" s="2">
        <v>16677</v>
      </c>
      <c r="B6744">
        <v>31</v>
      </c>
      <c r="C6744">
        <v>140</v>
      </c>
      <c r="D6744" t="s">
        <v>14</v>
      </c>
      <c r="E6744" t="s">
        <v>88</v>
      </c>
      <c r="F6744">
        <f t="shared" si="210"/>
        <v>1945</v>
      </c>
      <c r="G6744">
        <f t="shared" si="211"/>
        <v>8</v>
      </c>
      <c r="H6744" t="str">
        <f>IF(ISNUMBER(FIND(",", E6744)), TRIM(MID(E6744, FIND(",", E6744) + 1, LEN(E6744))), E6744)</f>
        <v>Japan region</v>
      </c>
    </row>
    <row r="6745" spans="1:8" x14ac:dyDescent="0.25">
      <c r="A6745" s="2">
        <v>16670</v>
      </c>
      <c r="B6745">
        <v>-10.5</v>
      </c>
      <c r="C6745">
        <v>-75</v>
      </c>
      <c r="D6745" t="s">
        <v>17</v>
      </c>
      <c r="E6745" t="s">
        <v>198</v>
      </c>
      <c r="F6745">
        <f t="shared" si="210"/>
        <v>1945</v>
      </c>
      <c r="G6745">
        <f t="shared" si="211"/>
        <v>8</v>
      </c>
      <c r="H6745" t="str">
        <f>IF(ISNUMBER(FIND(",", E6745)), TRIM(MID(E6745, FIND(",", E6745) + 1, LEN(E6745))), E6745)</f>
        <v>central Peru</v>
      </c>
    </row>
    <row r="6746" spans="1:8" x14ac:dyDescent="0.25">
      <c r="A6746" s="2">
        <v>16663</v>
      </c>
      <c r="B6746">
        <v>27</v>
      </c>
      <c r="C6746">
        <v>129.5</v>
      </c>
      <c r="D6746" t="s">
        <v>17</v>
      </c>
      <c r="E6746" t="s">
        <v>340</v>
      </c>
      <c r="F6746">
        <f t="shared" si="210"/>
        <v>1945</v>
      </c>
      <c r="G6746">
        <f t="shared" si="211"/>
        <v>8</v>
      </c>
      <c r="H6746" t="str">
        <f>IF(ISNUMBER(FIND(",", E6746)), TRIM(MID(E6746, FIND(",", E6746) + 1, LEN(E6746))), E6746)</f>
        <v>Japan</v>
      </c>
    </row>
    <row r="6747" spans="1:8" x14ac:dyDescent="0.25">
      <c r="A6747" s="2">
        <v>16657</v>
      </c>
      <c r="B6747">
        <v>11.625</v>
      </c>
      <c r="C6747">
        <v>92.153999999999996</v>
      </c>
      <c r="D6747" t="s">
        <v>17</v>
      </c>
      <c r="E6747" t="s">
        <v>323</v>
      </c>
      <c r="F6747">
        <f t="shared" si="210"/>
        <v>1945</v>
      </c>
      <c r="G6747">
        <f t="shared" si="211"/>
        <v>8</v>
      </c>
      <c r="H6747" t="str">
        <f>IF(ISNUMBER(FIND(",", E6747)), TRIM(MID(E6747, FIND(",", E6747) + 1, LEN(E6747))), E6747)</f>
        <v>India region</v>
      </c>
    </row>
    <row r="6748" spans="1:8" x14ac:dyDescent="0.25">
      <c r="A6748" s="2">
        <v>16641</v>
      </c>
      <c r="B6748">
        <v>5.2290000000000001</v>
      </c>
      <c r="C6748">
        <v>96.028999999999996</v>
      </c>
      <c r="D6748" t="s">
        <v>17</v>
      </c>
      <c r="E6748" t="s">
        <v>226</v>
      </c>
      <c r="F6748">
        <f t="shared" si="210"/>
        <v>1945</v>
      </c>
      <c r="G6748">
        <f t="shared" si="211"/>
        <v>7</v>
      </c>
      <c r="H6748" t="str">
        <f>IF(ISNUMBER(FIND(",", E6748)), TRIM(MID(E6748, FIND(",", E6748) + 1, LEN(E6748))), E6748)</f>
        <v>Indonesia</v>
      </c>
    </row>
    <row r="6749" spans="1:8" x14ac:dyDescent="0.25">
      <c r="A6749" s="2">
        <v>16633</v>
      </c>
      <c r="B6749">
        <v>17.803999999999998</v>
      </c>
      <c r="C6749">
        <v>145.98699999999999</v>
      </c>
      <c r="D6749" t="s">
        <v>13</v>
      </c>
      <c r="E6749" t="s">
        <v>546</v>
      </c>
      <c r="F6749">
        <f t="shared" si="210"/>
        <v>1945</v>
      </c>
      <c r="G6749">
        <f t="shared" si="211"/>
        <v>7</v>
      </c>
      <c r="H6749" t="str">
        <f>IF(ISNUMBER(FIND(",", E6749)), TRIM(MID(E6749, FIND(",", E6749) + 1, LEN(E6749))), E6749)</f>
        <v>Northern Mariana Islands</v>
      </c>
    </row>
    <row r="6750" spans="1:8" x14ac:dyDescent="0.25">
      <c r="A6750" s="2">
        <v>16618</v>
      </c>
      <c r="B6750">
        <v>17</v>
      </c>
      <c r="C6750">
        <v>-115</v>
      </c>
      <c r="D6750" t="s">
        <v>17</v>
      </c>
      <c r="E6750" t="s">
        <v>271</v>
      </c>
      <c r="F6750">
        <f t="shared" si="210"/>
        <v>1945</v>
      </c>
      <c r="G6750">
        <f t="shared" si="211"/>
        <v>6</v>
      </c>
      <c r="H6750" t="str">
        <f>IF(ISNUMBER(FIND(",", E6750)), TRIM(MID(E6750, FIND(",", E6750) + 1, LEN(E6750))), E6750)</f>
        <v>Revilla Gigedo Islands region</v>
      </c>
    </row>
    <row r="6751" spans="1:8" x14ac:dyDescent="0.25">
      <c r="A6751" s="2">
        <v>16615</v>
      </c>
      <c r="B6751">
        <v>27</v>
      </c>
      <c r="C6751">
        <v>-111</v>
      </c>
      <c r="D6751" t="s">
        <v>14</v>
      </c>
      <c r="E6751" t="s">
        <v>208</v>
      </c>
      <c r="F6751">
        <f t="shared" si="210"/>
        <v>1945</v>
      </c>
      <c r="G6751">
        <f t="shared" si="211"/>
        <v>6</v>
      </c>
      <c r="H6751" t="str">
        <f>IF(ISNUMBER(FIND(",", E6751)), TRIM(MID(E6751, FIND(",", E6751) + 1, LEN(E6751))), E6751)</f>
        <v>Mexico</v>
      </c>
    </row>
    <row r="6752" spans="1:8" x14ac:dyDescent="0.25">
      <c r="A6752" s="2">
        <v>16610</v>
      </c>
      <c r="B6752">
        <v>44</v>
      </c>
      <c r="C6752">
        <v>146</v>
      </c>
      <c r="D6752" t="s">
        <v>13</v>
      </c>
      <c r="E6752" t="s">
        <v>191</v>
      </c>
      <c r="F6752">
        <f t="shared" si="210"/>
        <v>1945</v>
      </c>
      <c r="G6752">
        <f t="shared" si="211"/>
        <v>6</v>
      </c>
      <c r="H6752" t="str">
        <f>IF(ISNUMBER(FIND(",", E6752)), TRIM(MID(E6752, FIND(",", E6752) + 1, LEN(E6752))), E6752)</f>
        <v>Kuril Islands</v>
      </c>
    </row>
    <row r="6753" spans="1:8" x14ac:dyDescent="0.25">
      <c r="A6753" s="2">
        <v>16591</v>
      </c>
      <c r="B6753">
        <v>8.4</v>
      </c>
      <c r="C6753">
        <v>-82.7</v>
      </c>
      <c r="D6753" t="s">
        <v>17</v>
      </c>
      <c r="E6753" t="s">
        <v>379</v>
      </c>
      <c r="F6753">
        <f t="shared" si="210"/>
        <v>1945</v>
      </c>
      <c r="G6753">
        <f t="shared" si="211"/>
        <v>6</v>
      </c>
      <c r="H6753" t="str">
        <f>IF(ISNUMBER(FIND(",", E6753)), TRIM(MID(E6753, FIND(",", E6753) + 1, LEN(E6753))), E6753)</f>
        <v>Panama-Costa Rica border region</v>
      </c>
    </row>
    <row r="6754" spans="1:8" x14ac:dyDescent="0.25">
      <c r="A6754" s="2">
        <v>16588</v>
      </c>
      <c r="B6754">
        <v>37.799999999999997</v>
      </c>
      <c r="C6754">
        <v>142.6</v>
      </c>
      <c r="D6754" t="s">
        <v>14</v>
      </c>
      <c r="E6754" t="s">
        <v>189</v>
      </c>
      <c r="F6754">
        <f t="shared" si="210"/>
        <v>1945</v>
      </c>
      <c r="G6754">
        <f t="shared" si="211"/>
        <v>5</v>
      </c>
      <c r="H6754" t="str">
        <f>IF(ISNUMBER(FIND(",", E6754)), TRIM(MID(E6754, FIND(",", E6754) + 1, LEN(E6754))), E6754)</f>
        <v>Japan</v>
      </c>
    </row>
    <row r="6755" spans="1:8" x14ac:dyDescent="0.25">
      <c r="A6755" s="2">
        <v>16566</v>
      </c>
      <c r="B6755">
        <v>-7.5</v>
      </c>
      <c r="C6755">
        <v>124</v>
      </c>
      <c r="D6755" t="s">
        <v>17</v>
      </c>
      <c r="E6755" t="s">
        <v>187</v>
      </c>
      <c r="F6755">
        <f t="shared" si="210"/>
        <v>1945</v>
      </c>
      <c r="G6755">
        <f t="shared" si="211"/>
        <v>5</v>
      </c>
      <c r="H6755" t="str">
        <f>IF(ISNUMBER(FIND(",", E6755)), TRIM(MID(E6755, FIND(",", E6755) + 1, LEN(E6755))), E6755)</f>
        <v>Banda Sea</v>
      </c>
    </row>
    <row r="6756" spans="1:8" x14ac:dyDescent="0.25">
      <c r="A6756" s="2">
        <v>16550</v>
      </c>
      <c r="B6756">
        <v>-4.5</v>
      </c>
      <c r="C6756">
        <v>153</v>
      </c>
      <c r="D6756" t="s">
        <v>17</v>
      </c>
      <c r="E6756" t="s">
        <v>183</v>
      </c>
      <c r="F6756">
        <f t="shared" si="210"/>
        <v>1945</v>
      </c>
      <c r="G6756">
        <f t="shared" si="211"/>
        <v>4</v>
      </c>
      <c r="H6756" t="str">
        <f>IF(ISNUMBER(FIND(",", E6756)), TRIM(MID(E6756, FIND(",", E6756) + 1, LEN(E6756))), E6756)</f>
        <v>Papua New Guinea</v>
      </c>
    </row>
    <row r="6757" spans="1:8" x14ac:dyDescent="0.25">
      <c r="A6757" s="2">
        <v>16549</v>
      </c>
      <c r="B6757">
        <v>5</v>
      </c>
      <c r="C6757">
        <v>123</v>
      </c>
      <c r="D6757" t="s">
        <v>17</v>
      </c>
      <c r="E6757" t="s">
        <v>203</v>
      </c>
      <c r="F6757">
        <f t="shared" si="210"/>
        <v>1945</v>
      </c>
      <c r="G6757">
        <f t="shared" si="211"/>
        <v>4</v>
      </c>
      <c r="H6757" t="str">
        <f>IF(ISNUMBER(FIND(",", E6757)), TRIM(MID(E6757, FIND(",", E6757) + 1, LEN(E6757))), E6757)</f>
        <v>Celebes Sea</v>
      </c>
    </row>
    <row r="6758" spans="1:8" x14ac:dyDescent="0.25">
      <c r="A6758" s="2">
        <v>16546</v>
      </c>
      <c r="B6758">
        <v>-21</v>
      </c>
      <c r="C6758">
        <v>169.5</v>
      </c>
      <c r="D6758" t="s">
        <v>14</v>
      </c>
      <c r="E6758" t="s">
        <v>181</v>
      </c>
      <c r="F6758">
        <f t="shared" si="210"/>
        <v>1945</v>
      </c>
      <c r="G6758">
        <f t="shared" si="211"/>
        <v>4</v>
      </c>
      <c r="H6758" t="str">
        <f>IF(ISNUMBER(FIND(",", E6758)), TRIM(MID(E6758, FIND(",", E6758) + 1, LEN(E6758))), E6758)</f>
        <v>Vanuatu</v>
      </c>
    </row>
    <row r="6759" spans="1:8" x14ac:dyDescent="0.25">
      <c r="A6759" s="2">
        <v>16542</v>
      </c>
      <c r="B6759">
        <v>57</v>
      </c>
      <c r="C6759">
        <v>164</v>
      </c>
      <c r="D6759" t="s">
        <v>17</v>
      </c>
      <c r="E6759" t="s">
        <v>225</v>
      </c>
      <c r="F6759">
        <f t="shared" si="210"/>
        <v>1945</v>
      </c>
      <c r="G6759">
        <f t="shared" si="211"/>
        <v>4</v>
      </c>
      <c r="H6759" t="str">
        <f>IF(ISNUMBER(FIND(",", E6759)), TRIM(MID(E6759, FIND(",", E6759) + 1, LEN(E6759))), E6759)</f>
        <v>Russia</v>
      </c>
    </row>
    <row r="6760" spans="1:8" x14ac:dyDescent="0.25">
      <c r="A6760" s="2">
        <v>16542</v>
      </c>
      <c r="B6760">
        <v>57.192999999999998</v>
      </c>
      <c r="C6760">
        <v>163.88200000000001</v>
      </c>
      <c r="D6760" t="s">
        <v>16</v>
      </c>
      <c r="E6760" t="s">
        <v>225</v>
      </c>
      <c r="F6760">
        <f t="shared" si="210"/>
        <v>1945</v>
      </c>
      <c r="G6760">
        <f t="shared" si="211"/>
        <v>4</v>
      </c>
      <c r="H6760" t="str">
        <f>IF(ISNUMBER(FIND(",", E6760)), TRIM(MID(E6760, FIND(",", E6760) + 1, LEN(E6760))), E6760)</f>
        <v>Russia</v>
      </c>
    </row>
    <row r="6761" spans="1:8" x14ac:dyDescent="0.25">
      <c r="A6761" s="2">
        <v>16519</v>
      </c>
      <c r="B6761">
        <v>-61.326999999999998</v>
      </c>
      <c r="C6761">
        <v>154.83600000000001</v>
      </c>
      <c r="D6761" t="s">
        <v>14</v>
      </c>
      <c r="E6761" t="s">
        <v>283</v>
      </c>
      <c r="F6761">
        <f t="shared" si="210"/>
        <v>1945</v>
      </c>
      <c r="G6761">
        <f t="shared" si="211"/>
        <v>3</v>
      </c>
      <c r="H6761" t="str">
        <f>IF(ISNUMBER(FIND(",", E6761)), TRIM(MID(E6761, FIND(",", E6761) + 1, LEN(E6761))), E6761)</f>
        <v>Balleny Islands region</v>
      </c>
    </row>
    <row r="6762" spans="1:8" x14ac:dyDescent="0.25">
      <c r="A6762" s="2">
        <v>16513</v>
      </c>
      <c r="B6762">
        <v>6.6</v>
      </c>
      <c r="C6762">
        <v>-78.5</v>
      </c>
      <c r="D6762" t="s">
        <v>17</v>
      </c>
      <c r="E6762" t="s">
        <v>231</v>
      </c>
      <c r="F6762">
        <f t="shared" si="210"/>
        <v>1945</v>
      </c>
      <c r="G6762">
        <f t="shared" si="211"/>
        <v>3</v>
      </c>
      <c r="H6762" t="str">
        <f>IF(ISNUMBER(FIND(",", E6762)), TRIM(MID(E6762, FIND(",", E6762) + 1, LEN(E6762))), E6762)</f>
        <v>south of Panama</v>
      </c>
    </row>
    <row r="6763" spans="1:8" x14ac:dyDescent="0.25">
      <c r="A6763" s="2">
        <v>16507</v>
      </c>
      <c r="B6763">
        <v>37</v>
      </c>
      <c r="C6763">
        <v>142</v>
      </c>
      <c r="D6763" t="s">
        <v>14</v>
      </c>
      <c r="E6763" t="s">
        <v>227</v>
      </c>
      <c r="F6763">
        <f t="shared" si="210"/>
        <v>1945</v>
      </c>
      <c r="G6763">
        <f t="shared" si="211"/>
        <v>3</v>
      </c>
      <c r="H6763" t="str">
        <f>IF(ISNUMBER(FIND(",", E6763)), TRIM(MID(E6763, FIND(",", E6763) + 1, LEN(E6763))), E6763)</f>
        <v>Japan</v>
      </c>
    </row>
    <row r="6764" spans="1:8" x14ac:dyDescent="0.25">
      <c r="A6764" s="2">
        <v>16507</v>
      </c>
      <c r="B6764">
        <v>5</v>
      </c>
      <c r="C6764">
        <v>126.5</v>
      </c>
      <c r="D6764" t="s">
        <v>17</v>
      </c>
      <c r="E6764" t="s">
        <v>200</v>
      </c>
      <c r="F6764">
        <f t="shared" si="210"/>
        <v>1945</v>
      </c>
      <c r="G6764">
        <f t="shared" si="211"/>
        <v>3</v>
      </c>
      <c r="H6764" t="str">
        <f>IF(ISNUMBER(FIND(",", E6764)), TRIM(MID(E6764, FIND(",", E6764) + 1, LEN(E6764))), E6764)</f>
        <v>Philippines</v>
      </c>
    </row>
    <row r="6765" spans="1:8" x14ac:dyDescent="0.25">
      <c r="A6765" s="2">
        <v>16494</v>
      </c>
      <c r="B6765">
        <v>26</v>
      </c>
      <c r="C6765">
        <v>143.5</v>
      </c>
      <c r="D6765" t="s">
        <v>14</v>
      </c>
      <c r="E6765" t="s">
        <v>519</v>
      </c>
      <c r="F6765">
        <f t="shared" si="210"/>
        <v>1945</v>
      </c>
      <c r="G6765">
        <f t="shared" si="211"/>
        <v>2</v>
      </c>
      <c r="H6765" t="str">
        <f>IF(ISNUMBER(FIND(",", E6765)), TRIM(MID(E6765, FIND(",", E6765) + 1, LEN(E6765))), E6765)</f>
        <v>Japan region</v>
      </c>
    </row>
    <row r="6766" spans="1:8" x14ac:dyDescent="0.25">
      <c r="A6766" s="2">
        <v>16486</v>
      </c>
      <c r="B6766">
        <v>42</v>
      </c>
      <c r="C6766">
        <v>143</v>
      </c>
      <c r="D6766" t="s">
        <v>14</v>
      </c>
      <c r="E6766" t="s">
        <v>265</v>
      </c>
      <c r="F6766">
        <f t="shared" si="210"/>
        <v>1945</v>
      </c>
      <c r="G6766">
        <f t="shared" si="211"/>
        <v>2</v>
      </c>
      <c r="H6766" t="str">
        <f>IF(ISNUMBER(FIND(",", E6766)), TRIM(MID(E6766, FIND(",", E6766) + 1, LEN(E6766))), E6766)</f>
        <v>Japan region</v>
      </c>
    </row>
    <row r="6767" spans="1:8" x14ac:dyDescent="0.25">
      <c r="A6767" s="2">
        <v>16478</v>
      </c>
      <c r="B6767">
        <v>41.073999999999998</v>
      </c>
      <c r="C6767">
        <v>142.261</v>
      </c>
      <c r="D6767" t="s">
        <v>14</v>
      </c>
      <c r="E6767" t="s">
        <v>265</v>
      </c>
      <c r="F6767">
        <f t="shared" si="210"/>
        <v>1945</v>
      </c>
      <c r="G6767">
        <f t="shared" si="211"/>
        <v>2</v>
      </c>
      <c r="H6767" t="str">
        <f>IF(ISNUMBER(FIND(",", E6767)), TRIM(MID(E6767, FIND(",", E6767) + 1, LEN(E6767))), E6767)</f>
        <v>Japan region</v>
      </c>
    </row>
    <row r="6768" spans="1:8" x14ac:dyDescent="0.25">
      <c r="A6768" s="2">
        <v>16469</v>
      </c>
      <c r="B6768">
        <v>-21.545000000000002</v>
      </c>
      <c r="C6768">
        <v>169.05099999999999</v>
      </c>
      <c r="D6768" t="s">
        <v>13</v>
      </c>
      <c r="E6768" t="s">
        <v>254</v>
      </c>
      <c r="F6768">
        <f t="shared" si="210"/>
        <v>1945</v>
      </c>
      <c r="G6768">
        <f t="shared" si="211"/>
        <v>2</v>
      </c>
      <c r="H6768" t="str">
        <f>IF(ISNUMBER(FIND(",", E6768)), TRIM(MID(E6768, FIND(",", E6768) + 1, LEN(E6768))), E6768)</f>
        <v>southeast of the Loyalty Islands</v>
      </c>
    </row>
    <row r="6769" spans="1:8" x14ac:dyDescent="0.25">
      <c r="A6769" s="2">
        <v>16469</v>
      </c>
      <c r="B6769">
        <v>-21.597999999999999</v>
      </c>
      <c r="C6769">
        <v>169.762</v>
      </c>
      <c r="D6769" t="s">
        <v>13</v>
      </c>
      <c r="E6769" t="s">
        <v>254</v>
      </c>
      <c r="F6769">
        <f t="shared" si="210"/>
        <v>1945</v>
      </c>
      <c r="G6769">
        <f t="shared" si="211"/>
        <v>2</v>
      </c>
      <c r="H6769" t="str">
        <f>IF(ISNUMBER(FIND(",", E6769)), TRIM(MID(E6769, FIND(",", E6769) + 1, LEN(E6769))), E6769)</f>
        <v>southeast of the Loyalty Islands</v>
      </c>
    </row>
    <row r="6770" spans="1:8" x14ac:dyDescent="0.25">
      <c r="A6770" s="2">
        <v>16449</v>
      </c>
      <c r="B6770">
        <v>34.75</v>
      </c>
      <c r="C6770">
        <v>136.75</v>
      </c>
      <c r="D6770" t="s">
        <v>14</v>
      </c>
      <c r="E6770" t="s">
        <v>502</v>
      </c>
      <c r="F6770">
        <f t="shared" si="210"/>
        <v>1945</v>
      </c>
      <c r="G6770">
        <f t="shared" si="211"/>
        <v>1</v>
      </c>
      <c r="H6770" t="str">
        <f>IF(ISNUMBER(FIND(",", E6770)), TRIM(MID(E6770, FIND(",", E6770) + 1, LEN(E6770))), E6770)</f>
        <v>Japan</v>
      </c>
    </row>
    <row r="6771" spans="1:8" x14ac:dyDescent="0.25">
      <c r="A6771" s="2">
        <v>16434</v>
      </c>
      <c r="B6771">
        <v>-6</v>
      </c>
      <c r="C6771">
        <v>149.5</v>
      </c>
      <c r="D6771" t="s">
        <v>17</v>
      </c>
      <c r="E6771" t="s">
        <v>190</v>
      </c>
      <c r="F6771">
        <f t="shared" si="210"/>
        <v>1944</v>
      </c>
      <c r="G6771">
        <f t="shared" si="211"/>
        <v>12</v>
      </c>
      <c r="H6771" t="str">
        <f>IF(ISNUMBER(FIND(",", E6771)), TRIM(MID(E6771, FIND(",", E6771) + 1, LEN(E6771))), E6771)</f>
        <v>Papua New Guinea</v>
      </c>
    </row>
    <row r="6772" spans="1:8" x14ac:dyDescent="0.25">
      <c r="A6772" s="2">
        <v>16433</v>
      </c>
      <c r="B6772">
        <v>-6.5</v>
      </c>
      <c r="C6772">
        <v>152</v>
      </c>
      <c r="D6772" t="s">
        <v>13</v>
      </c>
      <c r="E6772" t="s">
        <v>190</v>
      </c>
      <c r="F6772">
        <f t="shared" si="210"/>
        <v>1944</v>
      </c>
      <c r="G6772">
        <f t="shared" si="211"/>
        <v>12</v>
      </c>
      <c r="H6772" t="str">
        <f>IF(ISNUMBER(FIND(",", E6772)), TRIM(MID(E6772, FIND(",", E6772) + 1, LEN(E6772))), E6772)</f>
        <v>Papua New Guinea</v>
      </c>
    </row>
    <row r="6773" spans="1:8" x14ac:dyDescent="0.25">
      <c r="A6773" s="2">
        <v>16425</v>
      </c>
      <c r="B6773">
        <v>39</v>
      </c>
      <c r="C6773">
        <v>124</v>
      </c>
      <c r="D6773" t="s">
        <v>17</v>
      </c>
      <c r="E6773" t="s">
        <v>705</v>
      </c>
      <c r="F6773">
        <f t="shared" si="210"/>
        <v>1944</v>
      </c>
      <c r="G6773">
        <f t="shared" si="211"/>
        <v>12</v>
      </c>
      <c r="H6773" t="str">
        <f>IF(ISNUMBER(FIND(",", E6773)), TRIM(MID(E6773, FIND(",", E6773) + 1, LEN(E6773))), E6773)</f>
        <v>Korea Bay</v>
      </c>
    </row>
    <row r="6774" spans="1:8" x14ac:dyDescent="0.25">
      <c r="A6774" s="2">
        <v>16418</v>
      </c>
      <c r="B6774">
        <v>34</v>
      </c>
      <c r="C6774">
        <v>137.1</v>
      </c>
      <c r="D6774" t="s">
        <v>14</v>
      </c>
      <c r="E6774" t="s">
        <v>360</v>
      </c>
      <c r="F6774">
        <f t="shared" si="210"/>
        <v>1944</v>
      </c>
      <c r="G6774">
        <f t="shared" si="211"/>
        <v>12</v>
      </c>
      <c r="H6774" t="str">
        <f>IF(ISNUMBER(FIND(",", E6774)), TRIM(MID(E6774, FIND(",", E6774) + 1, LEN(E6774))), E6774)</f>
        <v>Japan</v>
      </c>
    </row>
    <row r="6775" spans="1:8" x14ac:dyDescent="0.25">
      <c r="A6775" s="2">
        <v>16418</v>
      </c>
      <c r="B6775">
        <v>51.5</v>
      </c>
      <c r="C6775">
        <v>179.5</v>
      </c>
      <c r="D6775" t="s">
        <v>14</v>
      </c>
      <c r="E6775" t="s">
        <v>366</v>
      </c>
      <c r="F6775">
        <f t="shared" si="210"/>
        <v>1944</v>
      </c>
      <c r="G6775">
        <f t="shared" si="211"/>
        <v>12</v>
      </c>
      <c r="H6775" t="str">
        <f>IF(ISNUMBER(FIND(",", E6775)), TRIM(MID(E6775, FIND(",", E6775) + 1, LEN(E6775))), E6775)</f>
        <v>Aleutian Islands, Alaska</v>
      </c>
    </row>
    <row r="6776" spans="1:8" x14ac:dyDescent="0.25">
      <c r="A6776" s="2">
        <v>16416</v>
      </c>
      <c r="B6776">
        <v>-17.852</v>
      </c>
      <c r="C6776">
        <v>167.53200000000001</v>
      </c>
      <c r="D6776" t="s">
        <v>14</v>
      </c>
      <c r="E6776" t="s">
        <v>181</v>
      </c>
      <c r="F6776">
        <f t="shared" si="210"/>
        <v>1944</v>
      </c>
      <c r="G6776">
        <f t="shared" si="211"/>
        <v>12</v>
      </c>
      <c r="H6776" t="str">
        <f>IF(ISNUMBER(FIND(",", E6776)), TRIM(MID(E6776, FIND(",", E6776) + 1, LEN(E6776))), E6776)</f>
        <v>Vanuatu</v>
      </c>
    </row>
    <row r="6777" spans="1:8" x14ac:dyDescent="0.25">
      <c r="A6777" s="2">
        <v>16416</v>
      </c>
      <c r="B6777">
        <v>-24.5</v>
      </c>
      <c r="C6777">
        <v>65.5</v>
      </c>
      <c r="D6777" t="s">
        <v>17</v>
      </c>
      <c r="E6777" t="s">
        <v>220</v>
      </c>
      <c r="F6777">
        <f t="shared" si="210"/>
        <v>1944</v>
      </c>
      <c r="G6777">
        <f t="shared" si="211"/>
        <v>12</v>
      </c>
      <c r="H6777" t="str">
        <f>IF(ISNUMBER(FIND(",", E6777)), TRIM(MID(E6777, FIND(",", E6777) + 1, LEN(E6777))), E6777)</f>
        <v>Mauritius - Reunion region</v>
      </c>
    </row>
    <row r="6778" spans="1:8" x14ac:dyDescent="0.25">
      <c r="A6778" s="2">
        <v>16413</v>
      </c>
      <c r="B6778">
        <v>33.700000000000003</v>
      </c>
      <c r="C6778">
        <v>136.19999999999999</v>
      </c>
      <c r="D6778" t="s">
        <v>14</v>
      </c>
      <c r="E6778" t="s">
        <v>467</v>
      </c>
      <c r="F6778">
        <f t="shared" si="210"/>
        <v>1944</v>
      </c>
      <c r="G6778">
        <f t="shared" si="211"/>
        <v>12</v>
      </c>
      <c r="H6778" t="str">
        <f>IF(ISNUMBER(FIND(",", E6778)), TRIM(MID(E6778, FIND(",", E6778) + 1, LEN(E6778))), E6778)</f>
        <v>Japan</v>
      </c>
    </row>
    <row r="6779" spans="1:8" x14ac:dyDescent="0.25">
      <c r="A6779" s="2">
        <v>16413</v>
      </c>
      <c r="B6779">
        <v>33.646999999999998</v>
      </c>
      <c r="C6779">
        <v>136.25</v>
      </c>
      <c r="D6779" t="s">
        <v>16</v>
      </c>
      <c r="E6779" t="s">
        <v>467</v>
      </c>
      <c r="F6779">
        <f t="shared" si="210"/>
        <v>1944</v>
      </c>
      <c r="G6779">
        <f t="shared" si="211"/>
        <v>12</v>
      </c>
      <c r="H6779" t="str">
        <f>IF(ISNUMBER(FIND(",", E6779)), TRIM(MID(E6779, FIND(",", E6779) + 1, LEN(E6779))), E6779)</f>
        <v>Japan</v>
      </c>
    </row>
    <row r="6780" spans="1:8" x14ac:dyDescent="0.25">
      <c r="A6780" s="2">
        <v>16410</v>
      </c>
      <c r="B6780">
        <v>14.5</v>
      </c>
      <c r="C6780">
        <v>146.5</v>
      </c>
      <c r="D6780" t="s">
        <v>17</v>
      </c>
      <c r="E6780" t="s">
        <v>456</v>
      </c>
      <c r="F6780">
        <f t="shared" si="210"/>
        <v>1944</v>
      </c>
      <c r="G6780">
        <f t="shared" si="211"/>
        <v>12</v>
      </c>
      <c r="H6780" t="str">
        <f>IF(ISNUMBER(FIND(",", E6780)), TRIM(MID(E6780, FIND(",", E6780) + 1, LEN(E6780))), E6780)</f>
        <v>Northern Mariana Islands</v>
      </c>
    </row>
    <row r="6781" spans="1:8" x14ac:dyDescent="0.25">
      <c r="A6781" s="2">
        <v>16406</v>
      </c>
      <c r="B6781">
        <v>-23</v>
      </c>
      <c r="C6781">
        <v>-179</v>
      </c>
      <c r="D6781" t="s">
        <v>17</v>
      </c>
      <c r="E6781" t="s">
        <v>256</v>
      </c>
      <c r="F6781">
        <f t="shared" si="210"/>
        <v>1944</v>
      </c>
      <c r="G6781">
        <f t="shared" si="211"/>
        <v>11</v>
      </c>
      <c r="H6781" t="str">
        <f>IF(ISNUMBER(FIND(",", E6781)), TRIM(MID(E6781, FIND(",", E6781) + 1, LEN(E6781))), E6781)</f>
        <v>south of the Fiji Islands</v>
      </c>
    </row>
    <row r="6782" spans="1:8" x14ac:dyDescent="0.25">
      <c r="A6782" s="2">
        <v>16405</v>
      </c>
      <c r="B6782">
        <v>-19.091000000000001</v>
      </c>
      <c r="C6782">
        <v>169.072</v>
      </c>
      <c r="D6782" t="s">
        <v>13</v>
      </c>
      <c r="E6782" t="s">
        <v>181</v>
      </c>
      <c r="F6782">
        <f t="shared" si="210"/>
        <v>1944</v>
      </c>
      <c r="G6782">
        <f t="shared" si="211"/>
        <v>11</v>
      </c>
      <c r="H6782" t="str">
        <f>IF(ISNUMBER(FIND(",", E6782)), TRIM(MID(E6782, FIND(",", E6782) + 1, LEN(E6782))), E6782)</f>
        <v>Vanuatu</v>
      </c>
    </row>
    <row r="6783" spans="1:8" x14ac:dyDescent="0.25">
      <c r="A6783" s="2">
        <v>16400</v>
      </c>
      <c r="B6783">
        <v>-18.96</v>
      </c>
      <c r="C6783">
        <v>169.22399999999999</v>
      </c>
      <c r="D6783" t="s">
        <v>13</v>
      </c>
      <c r="E6783" t="s">
        <v>181</v>
      </c>
      <c r="F6783">
        <f t="shared" si="210"/>
        <v>1944</v>
      </c>
      <c r="G6783">
        <f t="shared" si="211"/>
        <v>11</v>
      </c>
      <c r="H6783" t="str">
        <f>IF(ISNUMBER(FIND(",", E6783)), TRIM(MID(E6783, FIND(",", E6783) + 1, LEN(E6783))), E6783)</f>
        <v>Vanuatu</v>
      </c>
    </row>
    <row r="6784" spans="1:8" x14ac:dyDescent="0.25">
      <c r="A6784" s="2">
        <v>16392</v>
      </c>
      <c r="B6784">
        <v>-11.863</v>
      </c>
      <c r="C6784">
        <v>166.37200000000001</v>
      </c>
      <c r="D6784" t="s">
        <v>16</v>
      </c>
      <c r="E6784" t="s">
        <v>211</v>
      </c>
      <c r="F6784">
        <f t="shared" si="210"/>
        <v>1944</v>
      </c>
      <c r="G6784">
        <f t="shared" si="211"/>
        <v>11</v>
      </c>
      <c r="H6784" t="str">
        <f>IF(ISNUMBER(FIND(",", E6784)), TRIM(MID(E6784, FIND(",", E6784) + 1, LEN(E6784))), E6784)</f>
        <v>Santa Cruz Islands</v>
      </c>
    </row>
    <row r="6785" spans="1:8" x14ac:dyDescent="0.25">
      <c r="A6785" s="2">
        <v>16391</v>
      </c>
      <c r="B6785">
        <v>4.7960000000000003</v>
      </c>
      <c r="C6785">
        <v>127.54</v>
      </c>
      <c r="D6785" t="s">
        <v>14</v>
      </c>
      <c r="E6785" t="s">
        <v>372</v>
      </c>
      <c r="F6785">
        <f t="shared" si="210"/>
        <v>1944</v>
      </c>
      <c r="G6785">
        <f t="shared" si="211"/>
        <v>11</v>
      </c>
      <c r="H6785" t="str">
        <f>IF(ISNUMBER(FIND(",", E6785)), TRIM(MID(E6785, FIND(",", E6785) + 1, LEN(E6785))), E6785)</f>
        <v>Indonesia</v>
      </c>
    </row>
    <row r="6786" spans="1:8" x14ac:dyDescent="0.25">
      <c r="A6786" s="2">
        <v>16374</v>
      </c>
      <c r="B6786">
        <v>31.5</v>
      </c>
      <c r="C6786">
        <v>83.5</v>
      </c>
      <c r="D6786" t="s">
        <v>17</v>
      </c>
      <c r="E6786" t="s">
        <v>388</v>
      </c>
      <c r="F6786">
        <f t="shared" ref="F6786:F6849" si="212">YEAR(A6786)</f>
        <v>1944</v>
      </c>
      <c r="G6786">
        <f t="shared" si="211"/>
        <v>10</v>
      </c>
      <c r="H6786" t="str">
        <f>IF(ISNUMBER(FIND(",", E6786)), TRIM(MID(E6786, FIND(",", E6786) + 1, LEN(E6786))), E6786)</f>
        <v>western Xizang</v>
      </c>
    </row>
    <row r="6787" spans="1:8" x14ac:dyDescent="0.25">
      <c r="A6787" s="2">
        <v>16368</v>
      </c>
      <c r="B6787">
        <v>0.5</v>
      </c>
      <c r="C6787">
        <v>-80.5</v>
      </c>
      <c r="D6787" t="s">
        <v>17</v>
      </c>
      <c r="E6787" t="s">
        <v>457</v>
      </c>
      <c r="F6787">
        <f t="shared" si="212"/>
        <v>1944</v>
      </c>
      <c r="G6787">
        <f t="shared" ref="G6787:G6850" si="213">MONTH(A6787)</f>
        <v>10</v>
      </c>
      <c r="H6787" t="str">
        <f>IF(ISNUMBER(FIND(",", E6787)), TRIM(MID(E6787, FIND(",", E6787) + 1, LEN(E6787))), E6787)</f>
        <v>near the coast of Ecuador</v>
      </c>
    </row>
    <row r="6788" spans="1:8" x14ac:dyDescent="0.25">
      <c r="A6788" s="2">
        <v>16362</v>
      </c>
      <c r="B6788">
        <v>31.5</v>
      </c>
      <c r="C6788">
        <v>83.5</v>
      </c>
      <c r="D6788" t="s">
        <v>17</v>
      </c>
      <c r="E6788" t="s">
        <v>388</v>
      </c>
      <c r="F6788">
        <f t="shared" si="212"/>
        <v>1944</v>
      </c>
      <c r="G6788">
        <f t="shared" si="213"/>
        <v>10</v>
      </c>
      <c r="H6788" t="str">
        <f>IF(ISNUMBER(FIND(",", E6788)), TRIM(MID(E6788, FIND(",", E6788) + 1, LEN(E6788))), E6788)</f>
        <v>western Xizang</v>
      </c>
    </row>
    <row r="6789" spans="1:8" x14ac:dyDescent="0.25">
      <c r="A6789" s="2">
        <v>16359</v>
      </c>
      <c r="B6789">
        <v>1.5</v>
      </c>
      <c r="C6789">
        <v>127</v>
      </c>
      <c r="D6789" t="s">
        <v>17</v>
      </c>
      <c r="E6789" t="s">
        <v>476</v>
      </c>
      <c r="F6789">
        <f t="shared" si="212"/>
        <v>1944</v>
      </c>
      <c r="G6789">
        <f t="shared" si="213"/>
        <v>10</v>
      </c>
      <c r="H6789" t="str">
        <f>IF(ISNUMBER(FIND(",", E6789)), TRIM(MID(E6789, FIND(",", E6789) + 1, LEN(E6789))), E6789)</f>
        <v>North Pacific Ocean</v>
      </c>
    </row>
    <row r="6790" spans="1:8" x14ac:dyDescent="0.25">
      <c r="A6790" s="2">
        <v>16356</v>
      </c>
      <c r="B6790">
        <v>-15</v>
      </c>
      <c r="C6790">
        <v>-173</v>
      </c>
      <c r="D6790" t="s">
        <v>17</v>
      </c>
      <c r="E6790" t="s">
        <v>352</v>
      </c>
      <c r="F6790">
        <f t="shared" si="212"/>
        <v>1944</v>
      </c>
      <c r="G6790">
        <f t="shared" si="213"/>
        <v>10</v>
      </c>
      <c r="H6790" t="str">
        <f>IF(ISNUMBER(FIND(",", E6790)), TRIM(MID(E6790, FIND(",", E6790) + 1, LEN(E6790))), E6790)</f>
        <v>Samoa Islands region</v>
      </c>
    </row>
    <row r="6791" spans="1:8" x14ac:dyDescent="0.25">
      <c r="A6791" s="2">
        <v>16350</v>
      </c>
      <c r="B6791">
        <v>-22.036999999999999</v>
      </c>
      <c r="C6791">
        <v>171.62100000000001</v>
      </c>
      <c r="D6791" t="s">
        <v>13</v>
      </c>
      <c r="E6791" t="s">
        <v>254</v>
      </c>
      <c r="F6791">
        <f t="shared" si="212"/>
        <v>1944</v>
      </c>
      <c r="G6791">
        <f t="shared" si="213"/>
        <v>10</v>
      </c>
      <c r="H6791" t="str">
        <f>IF(ISNUMBER(FIND(",", E6791)), TRIM(MID(E6791, FIND(",", E6791) + 1, LEN(E6791))), E6791)</f>
        <v>southeast of the Loyalty Islands</v>
      </c>
    </row>
    <row r="6792" spans="1:8" x14ac:dyDescent="0.25">
      <c r="A6792" s="2">
        <v>16350</v>
      </c>
      <c r="B6792">
        <v>-4.5</v>
      </c>
      <c r="C6792">
        <v>152.5</v>
      </c>
      <c r="D6792" t="s">
        <v>17</v>
      </c>
      <c r="E6792" t="s">
        <v>190</v>
      </c>
      <c r="F6792">
        <f t="shared" si="212"/>
        <v>1944</v>
      </c>
      <c r="G6792">
        <f t="shared" si="213"/>
        <v>10</v>
      </c>
      <c r="H6792" t="str">
        <f>IF(ISNUMBER(FIND(",", E6792)), TRIM(MID(E6792, FIND(",", E6792) + 1, LEN(E6792))), E6792)</f>
        <v>Papua New Guinea</v>
      </c>
    </row>
    <row r="6793" spans="1:8" x14ac:dyDescent="0.25">
      <c r="A6793" s="2">
        <v>16347</v>
      </c>
      <c r="B6793">
        <v>42.5</v>
      </c>
      <c r="C6793">
        <v>142.5</v>
      </c>
      <c r="D6793" t="s">
        <v>13</v>
      </c>
      <c r="E6793" t="s">
        <v>265</v>
      </c>
      <c r="F6793">
        <f t="shared" si="212"/>
        <v>1944</v>
      </c>
      <c r="G6793">
        <f t="shared" si="213"/>
        <v>10</v>
      </c>
      <c r="H6793" t="str">
        <f>IF(ISNUMBER(FIND(",", E6793)), TRIM(MID(E6793, FIND(",", E6793) + 1, LEN(E6793))), E6793)</f>
        <v>Japan region</v>
      </c>
    </row>
    <row r="6794" spans="1:8" x14ac:dyDescent="0.25">
      <c r="A6794" s="2">
        <v>16342</v>
      </c>
      <c r="B6794">
        <v>39</v>
      </c>
      <c r="C6794">
        <v>73.5</v>
      </c>
      <c r="D6794" t="s">
        <v>14</v>
      </c>
      <c r="E6794" t="s">
        <v>306</v>
      </c>
      <c r="F6794">
        <f t="shared" si="212"/>
        <v>1944</v>
      </c>
      <c r="G6794">
        <f t="shared" si="213"/>
        <v>9</v>
      </c>
      <c r="H6794" t="str">
        <f>IF(ISNUMBER(FIND(",", E6794)), TRIM(MID(E6794, FIND(",", E6794) + 1, LEN(E6794))), E6794)</f>
        <v>Tajikistan</v>
      </c>
    </row>
    <row r="6795" spans="1:8" x14ac:dyDescent="0.25">
      <c r="A6795" s="2">
        <v>16338</v>
      </c>
      <c r="B6795">
        <v>53.186999999999998</v>
      </c>
      <c r="C6795">
        <v>160.4</v>
      </c>
      <c r="D6795" t="s">
        <v>16</v>
      </c>
      <c r="E6795" t="s">
        <v>225</v>
      </c>
      <c r="F6795">
        <f t="shared" si="212"/>
        <v>1944</v>
      </c>
      <c r="G6795">
        <f t="shared" si="213"/>
        <v>9</v>
      </c>
      <c r="H6795" t="str">
        <f>IF(ISNUMBER(FIND(",", E6795)), TRIM(MID(E6795, FIND(",", E6795) + 1, LEN(E6795))), E6795)</f>
        <v>Russia</v>
      </c>
    </row>
    <row r="6796" spans="1:8" x14ac:dyDescent="0.25">
      <c r="A6796" s="2">
        <v>16329</v>
      </c>
      <c r="B6796">
        <v>-8.5</v>
      </c>
      <c r="C6796">
        <v>108.5</v>
      </c>
      <c r="D6796" t="s">
        <v>17</v>
      </c>
      <c r="E6796" t="s">
        <v>358</v>
      </c>
      <c r="F6796">
        <f t="shared" si="212"/>
        <v>1944</v>
      </c>
      <c r="G6796">
        <f t="shared" si="213"/>
        <v>9</v>
      </c>
      <c r="H6796" t="str">
        <f>IF(ISNUMBER(FIND(",", E6796)), TRIM(MID(E6796, FIND(",", E6796) + 1, LEN(E6796))), E6796)</f>
        <v>Indonesia</v>
      </c>
    </row>
    <row r="6797" spans="1:8" x14ac:dyDescent="0.25">
      <c r="A6797" s="2">
        <v>16326</v>
      </c>
      <c r="B6797">
        <v>1.5</v>
      </c>
      <c r="C6797">
        <v>127</v>
      </c>
      <c r="D6797" t="s">
        <v>14</v>
      </c>
      <c r="E6797" t="s">
        <v>476</v>
      </c>
      <c r="F6797">
        <f t="shared" si="212"/>
        <v>1944</v>
      </c>
      <c r="G6797">
        <f t="shared" si="213"/>
        <v>9</v>
      </c>
      <c r="H6797" t="str">
        <f>IF(ISNUMBER(FIND(",", E6797)), TRIM(MID(E6797, FIND(",", E6797) + 1, LEN(E6797))), E6797)</f>
        <v>North Pacific Ocean</v>
      </c>
    </row>
    <row r="6798" spans="1:8" x14ac:dyDescent="0.25">
      <c r="A6798" s="2">
        <v>16318</v>
      </c>
      <c r="B6798">
        <v>-57</v>
      </c>
      <c r="C6798">
        <v>-122</v>
      </c>
      <c r="D6798" t="s">
        <v>14</v>
      </c>
      <c r="E6798" t="s">
        <v>268</v>
      </c>
      <c r="F6798">
        <f t="shared" si="212"/>
        <v>1944</v>
      </c>
      <c r="G6798">
        <f t="shared" si="213"/>
        <v>9</v>
      </c>
      <c r="H6798" t="str">
        <f>IF(ISNUMBER(FIND(",", E6798)), TRIM(MID(E6798, FIND(",", E6798) + 1, LEN(E6798))), E6798)</f>
        <v>southern East Pacific Rise</v>
      </c>
    </row>
    <row r="6799" spans="1:8" x14ac:dyDescent="0.25">
      <c r="A6799" s="2">
        <v>16314</v>
      </c>
      <c r="B6799">
        <v>-17.5</v>
      </c>
      <c r="C6799">
        <v>167.5</v>
      </c>
      <c r="D6799" t="s">
        <v>17</v>
      </c>
      <c r="E6799" t="s">
        <v>181</v>
      </c>
      <c r="F6799">
        <f t="shared" si="212"/>
        <v>1944</v>
      </c>
      <c r="G6799">
        <f t="shared" si="213"/>
        <v>8</v>
      </c>
      <c r="H6799" t="str">
        <f>IF(ISNUMBER(FIND(",", E6799)), TRIM(MID(E6799, FIND(",", E6799) + 1, LEN(E6799))), E6799)</f>
        <v>Vanuatu</v>
      </c>
    </row>
    <row r="6800" spans="1:8" x14ac:dyDescent="0.25">
      <c r="A6800" s="2">
        <v>16302</v>
      </c>
      <c r="B6800">
        <v>38</v>
      </c>
      <c r="C6800">
        <v>140</v>
      </c>
      <c r="D6800" t="s">
        <v>17</v>
      </c>
      <c r="E6800" t="s">
        <v>293</v>
      </c>
      <c r="F6800">
        <f t="shared" si="212"/>
        <v>1944</v>
      </c>
      <c r="G6800">
        <f t="shared" si="213"/>
        <v>8</v>
      </c>
      <c r="H6800" t="str">
        <f>IF(ISNUMBER(FIND(",", E6800)), TRIM(MID(E6800, FIND(",", E6800) + 1, LEN(E6800))), E6800)</f>
        <v>Japan</v>
      </c>
    </row>
    <row r="6801" spans="1:8" x14ac:dyDescent="0.25">
      <c r="A6801" s="2">
        <v>16299</v>
      </c>
      <c r="B6801">
        <v>13</v>
      </c>
      <c r="C6801">
        <v>143</v>
      </c>
      <c r="D6801" t="s">
        <v>17</v>
      </c>
      <c r="E6801" t="s">
        <v>403</v>
      </c>
      <c r="F6801">
        <f t="shared" si="212"/>
        <v>1944</v>
      </c>
      <c r="G6801">
        <f t="shared" si="213"/>
        <v>8</v>
      </c>
      <c r="H6801" t="str">
        <f>IF(ISNUMBER(FIND(",", E6801)), TRIM(MID(E6801, FIND(",", E6801) + 1, LEN(E6801))), E6801)</f>
        <v>Guam region</v>
      </c>
    </row>
    <row r="6802" spans="1:8" x14ac:dyDescent="0.25">
      <c r="A6802" s="2">
        <v>16280</v>
      </c>
      <c r="B6802">
        <v>54.276000000000003</v>
      </c>
      <c r="C6802">
        <v>-165.249</v>
      </c>
      <c r="D6802" t="s">
        <v>13</v>
      </c>
      <c r="E6802" t="s">
        <v>219</v>
      </c>
      <c r="F6802">
        <f t="shared" si="212"/>
        <v>1944</v>
      </c>
      <c r="G6802">
        <f t="shared" si="213"/>
        <v>7</v>
      </c>
      <c r="H6802" t="str">
        <f>IF(ISNUMBER(FIND(",", E6802)), TRIM(MID(E6802, FIND(",", E6802) + 1, LEN(E6802))), E6802)</f>
        <v>Aleutian Islands, Alaska</v>
      </c>
    </row>
    <row r="6803" spans="1:8" x14ac:dyDescent="0.25">
      <c r="A6803" s="2">
        <v>16263</v>
      </c>
      <c r="B6803">
        <v>-14.5</v>
      </c>
      <c r="C6803">
        <v>-175.5</v>
      </c>
      <c r="D6803" t="s">
        <v>17</v>
      </c>
      <c r="E6803" t="s">
        <v>352</v>
      </c>
      <c r="F6803">
        <f t="shared" si="212"/>
        <v>1944</v>
      </c>
      <c r="G6803">
        <f t="shared" si="213"/>
        <v>7</v>
      </c>
      <c r="H6803" t="str">
        <f>IF(ISNUMBER(FIND(",", E6803)), TRIM(MID(E6803, FIND(",", E6803) + 1, LEN(E6803))), E6803)</f>
        <v>Samoa Islands region</v>
      </c>
    </row>
    <row r="6804" spans="1:8" x14ac:dyDescent="0.25">
      <c r="A6804" s="2">
        <v>16251</v>
      </c>
      <c r="B6804">
        <v>14.215999999999999</v>
      </c>
      <c r="C6804">
        <v>-92.843999999999994</v>
      </c>
      <c r="D6804" t="s">
        <v>14</v>
      </c>
      <c r="E6804" t="s">
        <v>238</v>
      </c>
      <c r="F6804">
        <f t="shared" si="212"/>
        <v>1944</v>
      </c>
      <c r="G6804">
        <f t="shared" si="213"/>
        <v>6</v>
      </c>
      <c r="H6804" t="str">
        <f>IF(ISNUMBER(FIND(",", E6804)), TRIM(MID(E6804, FIND(",", E6804) + 1, LEN(E6804))), E6804)</f>
        <v>Mexico</v>
      </c>
    </row>
    <row r="6805" spans="1:8" x14ac:dyDescent="0.25">
      <c r="A6805" s="2">
        <v>16248</v>
      </c>
      <c r="B6805">
        <v>-22</v>
      </c>
      <c r="C6805">
        <v>169.5</v>
      </c>
      <c r="D6805" t="s">
        <v>17</v>
      </c>
      <c r="E6805" t="s">
        <v>254</v>
      </c>
      <c r="F6805">
        <f t="shared" si="212"/>
        <v>1944</v>
      </c>
      <c r="G6805">
        <f t="shared" si="213"/>
        <v>6</v>
      </c>
      <c r="H6805" t="str">
        <f>IF(ISNUMBER(FIND(",", E6805)), TRIM(MID(E6805, FIND(",", E6805) + 1, LEN(E6805))), E6805)</f>
        <v>southeast of the Loyalty Islands</v>
      </c>
    </row>
    <row r="6806" spans="1:8" x14ac:dyDescent="0.25">
      <c r="A6806" s="2">
        <v>16244</v>
      </c>
      <c r="B6806">
        <v>-21.616</v>
      </c>
      <c r="C6806">
        <v>169.316</v>
      </c>
      <c r="D6806" t="s">
        <v>14</v>
      </c>
      <c r="E6806" t="s">
        <v>254</v>
      </c>
      <c r="F6806">
        <f t="shared" si="212"/>
        <v>1944</v>
      </c>
      <c r="G6806">
        <f t="shared" si="213"/>
        <v>6</v>
      </c>
      <c r="H6806" t="str">
        <f>IF(ISNUMBER(FIND(",", E6806)), TRIM(MID(E6806, FIND(",", E6806) + 1, LEN(E6806))), E6806)</f>
        <v>southeast of the Loyalty Islands</v>
      </c>
    </row>
    <row r="6807" spans="1:8" x14ac:dyDescent="0.25">
      <c r="A6807" s="2">
        <v>16217</v>
      </c>
      <c r="B6807">
        <v>-2.3889999999999998</v>
      </c>
      <c r="C6807">
        <v>152.733</v>
      </c>
      <c r="D6807" t="s">
        <v>16</v>
      </c>
      <c r="E6807" t="s">
        <v>183</v>
      </c>
      <c r="F6807">
        <f t="shared" si="212"/>
        <v>1944</v>
      </c>
      <c r="G6807">
        <f t="shared" si="213"/>
        <v>5</v>
      </c>
      <c r="H6807" t="str">
        <f>IF(ISNUMBER(FIND(",", E6807)), TRIM(MID(E6807, FIND(",", E6807) + 1, LEN(E6807))), E6807)</f>
        <v>Papua New Guinea</v>
      </c>
    </row>
    <row r="6808" spans="1:8" x14ac:dyDescent="0.25">
      <c r="A6808" s="2">
        <v>16217</v>
      </c>
      <c r="B6808">
        <v>-21.641999999999999</v>
      </c>
      <c r="C6808">
        <v>-179.05</v>
      </c>
      <c r="D6808" t="s">
        <v>13</v>
      </c>
      <c r="E6808" t="s">
        <v>53</v>
      </c>
      <c r="F6808">
        <f t="shared" si="212"/>
        <v>1944</v>
      </c>
      <c r="G6808">
        <f t="shared" si="213"/>
        <v>5</v>
      </c>
      <c r="H6808" t="str">
        <f>IF(ISNUMBER(FIND(",", E6808)), TRIM(MID(E6808, FIND(",", E6808) + 1, LEN(E6808))), E6808)</f>
        <v>Fiji region</v>
      </c>
    </row>
    <row r="6809" spans="1:8" x14ac:dyDescent="0.25">
      <c r="A6809" s="2">
        <v>16211</v>
      </c>
      <c r="B6809">
        <v>-1.9870000000000001</v>
      </c>
      <c r="C6809">
        <v>152.66999999999999</v>
      </c>
      <c r="D6809" t="s">
        <v>14</v>
      </c>
      <c r="E6809" t="s">
        <v>183</v>
      </c>
      <c r="F6809">
        <f t="shared" si="212"/>
        <v>1944</v>
      </c>
      <c r="G6809">
        <f t="shared" si="213"/>
        <v>5</v>
      </c>
      <c r="H6809" t="str">
        <f>IF(ISNUMBER(FIND(",", E6809)), TRIM(MID(E6809, FIND(",", E6809) + 1, LEN(E6809))), E6809)</f>
        <v>Papua New Guinea</v>
      </c>
    </row>
    <row r="6810" spans="1:8" x14ac:dyDescent="0.25">
      <c r="A6810" s="2">
        <v>16189</v>
      </c>
      <c r="B6810">
        <v>-1.1679999999999999</v>
      </c>
      <c r="C6810">
        <v>133.14599999999999</v>
      </c>
      <c r="D6810" t="s">
        <v>16</v>
      </c>
      <c r="E6810" t="s">
        <v>210</v>
      </c>
      <c r="F6810">
        <f t="shared" si="212"/>
        <v>1944</v>
      </c>
      <c r="G6810">
        <f t="shared" si="213"/>
        <v>4</v>
      </c>
      <c r="H6810" t="str">
        <f>IF(ISNUMBER(FIND(",", E6810)), TRIM(MID(E6810, FIND(",", E6810) + 1, LEN(E6810))), E6810)</f>
        <v>Indonesia</v>
      </c>
    </row>
    <row r="6811" spans="1:8" x14ac:dyDescent="0.25">
      <c r="A6811" s="2">
        <v>16188</v>
      </c>
      <c r="B6811">
        <v>-1</v>
      </c>
      <c r="C6811">
        <v>134</v>
      </c>
      <c r="D6811" t="s">
        <v>14</v>
      </c>
      <c r="E6811" t="s">
        <v>241</v>
      </c>
      <c r="F6811">
        <f t="shared" si="212"/>
        <v>1944</v>
      </c>
      <c r="G6811">
        <f t="shared" si="213"/>
        <v>4</v>
      </c>
      <c r="H6811" t="str">
        <f>IF(ISNUMBER(FIND(",", E6811)), TRIM(MID(E6811, FIND(",", E6811) + 1, LEN(E6811))), E6811)</f>
        <v>Indonesia</v>
      </c>
    </row>
    <row r="6812" spans="1:8" x14ac:dyDescent="0.25">
      <c r="A6812" s="2">
        <v>16162</v>
      </c>
      <c r="B6812">
        <v>-5.5110000000000001</v>
      </c>
      <c r="C6812">
        <v>131.45599999999999</v>
      </c>
      <c r="D6812" t="s">
        <v>14</v>
      </c>
      <c r="E6812" t="s">
        <v>187</v>
      </c>
      <c r="F6812">
        <f t="shared" si="212"/>
        <v>1944</v>
      </c>
      <c r="G6812">
        <f t="shared" si="213"/>
        <v>3</v>
      </c>
      <c r="H6812" t="str">
        <f>IF(ISNUMBER(FIND(",", E6812)), TRIM(MID(E6812, FIND(",", E6812) + 1, LEN(E6812))), E6812)</f>
        <v>Banda Sea</v>
      </c>
    </row>
    <row r="6813" spans="1:8" x14ac:dyDescent="0.25">
      <c r="A6813" s="2">
        <v>16153</v>
      </c>
      <c r="B6813">
        <v>-8.1720000000000006</v>
      </c>
      <c r="C6813">
        <v>123.59399999999999</v>
      </c>
      <c r="D6813" t="s">
        <v>13</v>
      </c>
      <c r="E6813" t="s">
        <v>399</v>
      </c>
      <c r="F6813">
        <f t="shared" si="212"/>
        <v>1944</v>
      </c>
      <c r="G6813">
        <f t="shared" si="213"/>
        <v>3</v>
      </c>
      <c r="H6813" t="str">
        <f>IF(ISNUMBER(FIND(",", E6813)), TRIM(MID(E6813, FIND(",", E6813) + 1, LEN(E6813))), E6813)</f>
        <v>Indonesia</v>
      </c>
    </row>
    <row r="6814" spans="1:8" x14ac:dyDescent="0.25">
      <c r="A6814" s="2">
        <v>16140</v>
      </c>
      <c r="B6814">
        <v>43.222999999999999</v>
      </c>
      <c r="C6814">
        <v>84.031000000000006</v>
      </c>
      <c r="D6814" t="s">
        <v>14</v>
      </c>
      <c r="E6814" t="s">
        <v>224</v>
      </c>
      <c r="F6814">
        <f t="shared" si="212"/>
        <v>1944</v>
      </c>
      <c r="G6814">
        <f t="shared" si="213"/>
        <v>3</v>
      </c>
      <c r="H6814" t="str">
        <f>IF(ISNUMBER(FIND(",", E6814)), TRIM(MID(E6814, FIND(",", E6814) + 1, LEN(E6814))), E6814)</f>
        <v>China</v>
      </c>
    </row>
    <row r="6815" spans="1:8" x14ac:dyDescent="0.25">
      <c r="A6815" s="2">
        <v>16131</v>
      </c>
      <c r="B6815">
        <v>-0.13600000000000001</v>
      </c>
      <c r="C6815">
        <v>75.278999999999996</v>
      </c>
      <c r="D6815" t="s">
        <v>14</v>
      </c>
      <c r="E6815" t="s">
        <v>706</v>
      </c>
      <c r="F6815">
        <f t="shared" si="212"/>
        <v>1944</v>
      </c>
      <c r="G6815">
        <f t="shared" si="213"/>
        <v>2</v>
      </c>
      <c r="H6815" t="str">
        <f>IF(ISNUMBER(FIND(",", E6815)), TRIM(MID(E6815, FIND(",", E6815) + 1, LEN(E6815))), E6815)</f>
        <v>Maldive Islands region</v>
      </c>
    </row>
    <row r="6816" spans="1:8" x14ac:dyDescent="0.25">
      <c r="A6816" s="2">
        <v>16131</v>
      </c>
      <c r="B6816">
        <v>-14.227</v>
      </c>
      <c r="C6816">
        <v>-70.450999999999993</v>
      </c>
      <c r="D6816" t="s">
        <v>13</v>
      </c>
      <c r="E6816" t="s">
        <v>229</v>
      </c>
      <c r="F6816">
        <f t="shared" si="212"/>
        <v>1944</v>
      </c>
      <c r="G6816">
        <f t="shared" si="213"/>
        <v>2</v>
      </c>
      <c r="H6816" t="str">
        <f>IF(ISNUMBER(FIND(",", E6816)), TRIM(MID(E6816, FIND(",", E6816) + 1, LEN(E6816))), E6816)</f>
        <v>southern Peru</v>
      </c>
    </row>
    <row r="6817" spans="1:8" x14ac:dyDescent="0.25">
      <c r="A6817" s="2">
        <v>16107</v>
      </c>
      <c r="B6817">
        <v>22.5</v>
      </c>
      <c r="C6817">
        <v>122.5</v>
      </c>
      <c r="D6817" t="s">
        <v>14</v>
      </c>
      <c r="E6817" t="s">
        <v>363</v>
      </c>
      <c r="F6817">
        <f t="shared" si="212"/>
        <v>1944</v>
      </c>
      <c r="G6817">
        <f t="shared" si="213"/>
        <v>2</v>
      </c>
      <c r="H6817" t="str">
        <f>IF(ISNUMBER(FIND(",", E6817)), TRIM(MID(E6817, FIND(",", E6817) + 1, LEN(E6817))), E6817)</f>
        <v>Taiwan region</v>
      </c>
    </row>
    <row r="6818" spans="1:8" x14ac:dyDescent="0.25">
      <c r="A6818" s="2">
        <v>16103</v>
      </c>
      <c r="B6818">
        <v>41.8</v>
      </c>
      <c r="C6818">
        <v>142.1</v>
      </c>
      <c r="D6818" t="s">
        <v>14</v>
      </c>
      <c r="E6818" t="s">
        <v>265</v>
      </c>
      <c r="F6818">
        <f t="shared" si="212"/>
        <v>1944</v>
      </c>
      <c r="G6818">
        <f t="shared" si="213"/>
        <v>2</v>
      </c>
      <c r="H6818" t="str">
        <f>IF(ISNUMBER(FIND(",", E6818)), TRIM(MID(E6818, FIND(",", E6818) + 1, LEN(E6818))), E6818)</f>
        <v>Japan region</v>
      </c>
    </row>
    <row r="6819" spans="1:8" x14ac:dyDescent="0.25">
      <c r="A6819" s="2">
        <v>16103</v>
      </c>
      <c r="B6819">
        <v>40.844000000000001</v>
      </c>
      <c r="C6819">
        <v>33.292000000000002</v>
      </c>
      <c r="D6819" t="s">
        <v>16</v>
      </c>
      <c r="E6819" t="s">
        <v>517</v>
      </c>
      <c r="F6819">
        <f t="shared" si="212"/>
        <v>1944</v>
      </c>
      <c r="G6819">
        <f t="shared" si="213"/>
        <v>2</v>
      </c>
      <c r="H6819" t="str">
        <f>IF(ISNUMBER(FIND(",", E6819)), TRIM(MID(E6819, FIND(",", E6819) + 1, LEN(E6819))), E6819)</f>
        <v>central Turkey</v>
      </c>
    </row>
    <row r="6820" spans="1:8" x14ac:dyDescent="0.25">
      <c r="A6820" s="2">
        <v>16086</v>
      </c>
      <c r="B6820">
        <v>-31.414999999999999</v>
      </c>
      <c r="C6820">
        <v>-68.42</v>
      </c>
      <c r="D6820" t="s">
        <v>16</v>
      </c>
      <c r="E6820" t="s">
        <v>339</v>
      </c>
      <c r="F6820">
        <f t="shared" si="212"/>
        <v>1944</v>
      </c>
      <c r="G6820">
        <f t="shared" si="213"/>
        <v>1</v>
      </c>
      <c r="H6820" t="str">
        <f>IF(ISNUMBER(FIND(",", E6820)), TRIM(MID(E6820, FIND(",", E6820) + 1, LEN(E6820))), E6820)</f>
        <v>Argentina</v>
      </c>
    </row>
    <row r="6821" spans="1:8" x14ac:dyDescent="0.25">
      <c r="A6821" s="2">
        <v>16081</v>
      </c>
      <c r="B6821">
        <v>17</v>
      </c>
      <c r="C6821">
        <v>-101</v>
      </c>
      <c r="D6821" t="s">
        <v>17</v>
      </c>
      <c r="E6821" t="s">
        <v>474</v>
      </c>
      <c r="F6821">
        <f t="shared" si="212"/>
        <v>1944</v>
      </c>
      <c r="G6821">
        <f t="shared" si="213"/>
        <v>1</v>
      </c>
      <c r="H6821" t="str">
        <f>IF(ISNUMBER(FIND(",", E6821)), TRIM(MID(E6821, FIND(",", E6821) + 1, LEN(E6821))), E6821)</f>
        <v>Mexico</v>
      </c>
    </row>
    <row r="6822" spans="1:8" x14ac:dyDescent="0.25">
      <c r="A6822" s="2">
        <v>16078</v>
      </c>
      <c r="B6822">
        <v>-4.4020000000000001</v>
      </c>
      <c r="C6822">
        <v>143.82499999999999</v>
      </c>
      <c r="D6822" t="s">
        <v>13</v>
      </c>
      <c r="E6822" t="s">
        <v>253</v>
      </c>
      <c r="F6822">
        <f t="shared" si="212"/>
        <v>1944</v>
      </c>
      <c r="G6822">
        <f t="shared" si="213"/>
        <v>1</v>
      </c>
      <c r="H6822" t="str">
        <f>IF(ISNUMBER(FIND(",", E6822)), TRIM(MID(E6822, FIND(",", E6822) + 1, LEN(E6822))), E6822)</f>
        <v>Papua New Guinea</v>
      </c>
    </row>
    <row r="6823" spans="1:8" x14ac:dyDescent="0.25">
      <c r="A6823" s="2">
        <v>16076</v>
      </c>
      <c r="B6823">
        <v>-3.5</v>
      </c>
      <c r="C6823">
        <v>102</v>
      </c>
      <c r="D6823" t="s">
        <v>14</v>
      </c>
      <c r="E6823" t="s">
        <v>308</v>
      </c>
      <c r="F6823">
        <f t="shared" si="212"/>
        <v>1944</v>
      </c>
      <c r="G6823">
        <f t="shared" si="213"/>
        <v>1</v>
      </c>
      <c r="H6823" t="str">
        <f>IF(ISNUMBER(FIND(",", E6823)), TRIM(MID(E6823, FIND(",", E6823) + 1, LEN(E6823))), E6823)</f>
        <v>Indonesia</v>
      </c>
    </row>
    <row r="6824" spans="1:8" x14ac:dyDescent="0.25">
      <c r="A6824" s="2">
        <v>16063</v>
      </c>
      <c r="B6824">
        <v>-5.4450000000000003</v>
      </c>
      <c r="C6824">
        <v>153.96100000000001</v>
      </c>
      <c r="D6824" t="s">
        <v>16</v>
      </c>
      <c r="E6824" t="s">
        <v>183</v>
      </c>
      <c r="F6824">
        <f t="shared" si="212"/>
        <v>1943</v>
      </c>
      <c r="G6824">
        <f t="shared" si="213"/>
        <v>12</v>
      </c>
      <c r="H6824" t="str">
        <f>IF(ISNUMBER(FIND(",", E6824)), TRIM(MID(E6824, FIND(",", E6824) + 1, LEN(E6824))), E6824)</f>
        <v>Papua New Guinea</v>
      </c>
    </row>
    <row r="6825" spans="1:8" x14ac:dyDescent="0.25">
      <c r="A6825" s="2">
        <v>16042</v>
      </c>
      <c r="B6825">
        <v>22.9</v>
      </c>
      <c r="C6825">
        <v>121.5</v>
      </c>
      <c r="D6825" t="s">
        <v>14</v>
      </c>
      <c r="E6825" t="s">
        <v>363</v>
      </c>
      <c r="F6825">
        <f t="shared" si="212"/>
        <v>1943</v>
      </c>
      <c r="G6825">
        <f t="shared" si="213"/>
        <v>12</v>
      </c>
      <c r="H6825" t="str">
        <f>IF(ISNUMBER(FIND(",", E6825)), TRIM(MID(E6825, FIND(",", E6825) + 1, LEN(E6825))), E6825)</f>
        <v>Taiwan region</v>
      </c>
    </row>
    <row r="6826" spans="1:8" x14ac:dyDescent="0.25">
      <c r="A6826" s="2">
        <v>16041</v>
      </c>
      <c r="B6826">
        <v>-20.855</v>
      </c>
      <c r="C6826">
        <v>-68.718000000000004</v>
      </c>
      <c r="D6826" t="s">
        <v>13</v>
      </c>
      <c r="E6826" t="s">
        <v>237</v>
      </c>
      <c r="F6826">
        <f t="shared" si="212"/>
        <v>1943</v>
      </c>
      <c r="G6826">
        <f t="shared" si="213"/>
        <v>12</v>
      </c>
      <c r="H6826" t="str">
        <f>IF(ISNUMBER(FIND(",", E6826)), TRIM(MID(E6826, FIND(",", E6826) + 1, LEN(E6826))), E6826)</f>
        <v>Chile</v>
      </c>
    </row>
    <row r="6827" spans="1:8" x14ac:dyDescent="0.25">
      <c r="A6827" s="2">
        <v>16041</v>
      </c>
      <c r="B6827">
        <v>-4.218</v>
      </c>
      <c r="C6827">
        <v>143.76400000000001</v>
      </c>
      <c r="D6827" t="s">
        <v>13</v>
      </c>
      <c r="E6827" t="s">
        <v>253</v>
      </c>
      <c r="F6827">
        <f t="shared" si="212"/>
        <v>1943</v>
      </c>
      <c r="G6827">
        <f t="shared" si="213"/>
        <v>12</v>
      </c>
      <c r="H6827" t="str">
        <f>IF(ISNUMBER(FIND(",", E6827)), TRIM(MID(E6827, FIND(",", E6827) + 1, LEN(E6827))), E6827)</f>
        <v>Papua New Guinea</v>
      </c>
    </row>
    <row r="6828" spans="1:8" x14ac:dyDescent="0.25">
      <c r="A6828" s="2">
        <v>16039</v>
      </c>
      <c r="B6828">
        <v>-29.5</v>
      </c>
      <c r="C6828">
        <v>-68.5</v>
      </c>
      <c r="D6828" t="s">
        <v>17</v>
      </c>
      <c r="E6828" t="s">
        <v>492</v>
      </c>
      <c r="F6828">
        <f t="shared" si="212"/>
        <v>1943</v>
      </c>
      <c r="G6828">
        <f t="shared" si="213"/>
        <v>11</v>
      </c>
      <c r="H6828" t="str">
        <f>IF(ISNUMBER(FIND(",", E6828)), TRIM(MID(E6828, FIND(",", E6828) + 1, LEN(E6828))), E6828)</f>
        <v>Argentina</v>
      </c>
    </row>
    <row r="6829" spans="1:8" x14ac:dyDescent="0.25">
      <c r="A6829" s="2">
        <v>16036</v>
      </c>
      <c r="B6829">
        <v>40.911999999999999</v>
      </c>
      <c r="C6829">
        <v>33.392000000000003</v>
      </c>
      <c r="D6829" t="s">
        <v>16</v>
      </c>
      <c r="E6829" t="s">
        <v>517</v>
      </c>
      <c r="F6829">
        <f t="shared" si="212"/>
        <v>1943</v>
      </c>
      <c r="G6829">
        <f t="shared" si="213"/>
        <v>11</v>
      </c>
      <c r="H6829" t="str">
        <f>IF(ISNUMBER(FIND(",", E6829)), TRIM(MID(E6829, FIND(",", E6829) + 1, LEN(E6829))), E6829)</f>
        <v>central Turkey</v>
      </c>
    </row>
    <row r="6830" spans="1:8" x14ac:dyDescent="0.25">
      <c r="A6830" s="2">
        <v>16036</v>
      </c>
      <c r="B6830">
        <v>-0.749</v>
      </c>
      <c r="C6830">
        <v>100.693</v>
      </c>
      <c r="D6830" t="s">
        <v>13</v>
      </c>
      <c r="E6830" t="s">
        <v>308</v>
      </c>
      <c r="F6830">
        <f t="shared" si="212"/>
        <v>1943</v>
      </c>
      <c r="G6830">
        <f t="shared" si="213"/>
        <v>11</v>
      </c>
      <c r="H6830" t="str">
        <f>IF(ISNUMBER(FIND(",", E6830)), TRIM(MID(E6830, FIND(",", E6830) + 1, LEN(E6830))), E6830)</f>
        <v>Indonesia</v>
      </c>
    </row>
    <row r="6831" spans="1:8" x14ac:dyDescent="0.25">
      <c r="A6831" s="2">
        <v>16034</v>
      </c>
      <c r="B6831">
        <v>22.5</v>
      </c>
      <c r="C6831">
        <v>122</v>
      </c>
      <c r="D6831" t="s">
        <v>17</v>
      </c>
      <c r="E6831" t="s">
        <v>363</v>
      </c>
      <c r="F6831">
        <f t="shared" si="212"/>
        <v>1943</v>
      </c>
      <c r="G6831">
        <f t="shared" si="213"/>
        <v>11</v>
      </c>
      <c r="H6831" t="str">
        <f>IF(ISNUMBER(FIND(",", E6831)), TRIM(MID(E6831, FIND(",", E6831) + 1, LEN(E6831))), E6831)</f>
        <v>Taiwan region</v>
      </c>
    </row>
    <row r="6832" spans="1:8" x14ac:dyDescent="0.25">
      <c r="A6832" s="2">
        <v>16027</v>
      </c>
      <c r="B6832">
        <v>33.5</v>
      </c>
      <c r="C6832">
        <v>138</v>
      </c>
      <c r="D6832" t="s">
        <v>13</v>
      </c>
      <c r="E6832" t="s">
        <v>88</v>
      </c>
      <c r="F6832">
        <f t="shared" si="212"/>
        <v>1943</v>
      </c>
      <c r="G6832">
        <f t="shared" si="213"/>
        <v>11</v>
      </c>
      <c r="H6832" t="str">
        <f>IF(ISNUMBER(FIND(",", E6832)), TRIM(MID(E6832, FIND(",", E6832) + 1, LEN(E6832))), E6832)</f>
        <v>Japan region</v>
      </c>
    </row>
    <row r="6833" spans="1:8" x14ac:dyDescent="0.25">
      <c r="A6833" s="2">
        <v>16023</v>
      </c>
      <c r="B6833">
        <v>-19.443999999999999</v>
      </c>
      <c r="C6833">
        <v>170.078</v>
      </c>
      <c r="D6833" t="s">
        <v>16</v>
      </c>
      <c r="E6833" t="s">
        <v>181</v>
      </c>
      <c r="F6833">
        <f t="shared" si="212"/>
        <v>1943</v>
      </c>
      <c r="G6833">
        <f t="shared" si="213"/>
        <v>11</v>
      </c>
      <c r="H6833" t="str">
        <f>IF(ISNUMBER(FIND(",", E6833)), TRIM(MID(E6833, FIND(",", E6833) + 1, LEN(E6833))), E6833)</f>
        <v>Vanuatu</v>
      </c>
    </row>
    <row r="6834" spans="1:8" x14ac:dyDescent="0.25">
      <c r="A6834" s="2">
        <v>16019</v>
      </c>
      <c r="B6834">
        <v>44</v>
      </c>
      <c r="C6834">
        <v>147.5</v>
      </c>
      <c r="D6834" t="s">
        <v>17</v>
      </c>
      <c r="E6834" t="s">
        <v>191</v>
      </c>
      <c r="F6834">
        <f t="shared" si="212"/>
        <v>1943</v>
      </c>
      <c r="G6834">
        <f t="shared" si="213"/>
        <v>11</v>
      </c>
      <c r="H6834" t="str">
        <f>IF(ISNUMBER(FIND(",", E6834)), TRIM(MID(E6834, FIND(",", E6834) + 1, LEN(E6834))), E6834)</f>
        <v>Kuril Islands</v>
      </c>
    </row>
    <row r="6835" spans="1:8" x14ac:dyDescent="0.25">
      <c r="A6835" s="2">
        <v>16016</v>
      </c>
      <c r="B6835">
        <v>-5.4539999999999997</v>
      </c>
      <c r="C6835">
        <v>134.196</v>
      </c>
      <c r="D6835" t="s">
        <v>16</v>
      </c>
      <c r="E6835" t="s">
        <v>506</v>
      </c>
      <c r="F6835">
        <f t="shared" si="212"/>
        <v>1943</v>
      </c>
      <c r="G6835">
        <f t="shared" si="213"/>
        <v>11</v>
      </c>
      <c r="H6835" t="str">
        <f>IF(ISNUMBER(FIND(",", E6835)), TRIM(MID(E6835, FIND(",", E6835) + 1, LEN(E6835))), E6835)</f>
        <v>Indonesia</v>
      </c>
    </row>
    <row r="6836" spans="1:8" x14ac:dyDescent="0.25">
      <c r="A6836" s="2">
        <v>16013</v>
      </c>
      <c r="B6836">
        <v>61.625999999999998</v>
      </c>
      <c r="C6836">
        <v>-150.995</v>
      </c>
      <c r="D6836" t="s">
        <v>16</v>
      </c>
      <c r="E6836" t="s">
        <v>497</v>
      </c>
      <c r="F6836">
        <f t="shared" si="212"/>
        <v>1943</v>
      </c>
      <c r="G6836">
        <f t="shared" si="213"/>
        <v>11</v>
      </c>
      <c r="H6836" t="str">
        <f>IF(ISNUMBER(FIND(",", E6836)), TRIM(MID(E6836, FIND(",", E6836) + 1, LEN(E6836))), E6836)</f>
        <v>Southern Alaska</v>
      </c>
    </row>
    <row r="6837" spans="1:8" x14ac:dyDescent="0.25">
      <c r="A6837" s="2">
        <v>16012</v>
      </c>
      <c r="B6837">
        <v>-56.585999999999999</v>
      </c>
      <c r="C6837">
        <v>-26.263000000000002</v>
      </c>
      <c r="D6837" t="s">
        <v>16</v>
      </c>
      <c r="E6837" t="s">
        <v>260</v>
      </c>
      <c r="F6837">
        <f t="shared" si="212"/>
        <v>1943</v>
      </c>
      <c r="G6837">
        <f t="shared" si="213"/>
        <v>11</v>
      </c>
      <c r="H6837" t="str">
        <f>IF(ISNUMBER(FIND(",", E6837)), TRIM(MID(E6837, FIND(",", E6837) + 1, LEN(E6837))), E6837)</f>
        <v>South Sandwich Islands region</v>
      </c>
    </row>
    <row r="6838" spans="1:8" x14ac:dyDescent="0.25">
      <c r="A6838" s="2">
        <v>16003</v>
      </c>
      <c r="B6838">
        <v>-22</v>
      </c>
      <c r="C6838">
        <v>-174</v>
      </c>
      <c r="D6838" t="s">
        <v>14</v>
      </c>
      <c r="E6838" t="s">
        <v>239</v>
      </c>
      <c r="F6838">
        <f t="shared" si="212"/>
        <v>1943</v>
      </c>
      <c r="G6838">
        <f t="shared" si="213"/>
        <v>10</v>
      </c>
      <c r="H6838" t="str">
        <f>IF(ISNUMBER(FIND(",", E6838)), TRIM(MID(E6838, FIND(",", E6838) + 1, LEN(E6838))), E6838)</f>
        <v>Tonga</v>
      </c>
    </row>
    <row r="6839" spans="1:8" x14ac:dyDescent="0.25">
      <c r="A6839" s="2">
        <v>16002</v>
      </c>
      <c r="B6839">
        <v>26.556000000000001</v>
      </c>
      <c r="C6839">
        <v>93.855000000000004</v>
      </c>
      <c r="D6839" t="s">
        <v>16</v>
      </c>
      <c r="E6839" t="s">
        <v>707</v>
      </c>
      <c r="F6839">
        <f t="shared" si="212"/>
        <v>1943</v>
      </c>
      <c r="G6839">
        <f t="shared" si="213"/>
        <v>10</v>
      </c>
      <c r="H6839" t="str">
        <f>IF(ISNUMBER(FIND(",", E6839)), TRIM(MID(E6839, FIND(",", E6839) + 1, LEN(E6839))), E6839)</f>
        <v>India</v>
      </c>
    </row>
    <row r="6840" spans="1:8" x14ac:dyDescent="0.25">
      <c r="A6840" s="2">
        <v>16000</v>
      </c>
      <c r="B6840">
        <v>-15</v>
      </c>
      <c r="C6840">
        <v>-177.5</v>
      </c>
      <c r="D6840" t="s">
        <v>14</v>
      </c>
      <c r="E6840" t="s">
        <v>53</v>
      </c>
      <c r="F6840">
        <f t="shared" si="212"/>
        <v>1943</v>
      </c>
      <c r="G6840">
        <f t="shared" si="213"/>
        <v>10</v>
      </c>
      <c r="H6840" t="str">
        <f>IF(ISNUMBER(FIND(",", E6840)), TRIM(MID(E6840, FIND(",", E6840) + 1, LEN(E6840))), E6840)</f>
        <v>Fiji region</v>
      </c>
    </row>
    <row r="6841" spans="1:8" x14ac:dyDescent="0.25">
      <c r="A6841" s="2">
        <v>15976</v>
      </c>
      <c r="B6841">
        <v>-30.122</v>
      </c>
      <c r="C6841">
        <v>-177.86500000000001</v>
      </c>
      <c r="D6841" t="s">
        <v>13</v>
      </c>
      <c r="E6841" t="s">
        <v>288</v>
      </c>
      <c r="F6841">
        <f t="shared" si="212"/>
        <v>1943</v>
      </c>
      <c r="G6841">
        <f t="shared" si="213"/>
        <v>9</v>
      </c>
      <c r="H6841" t="str">
        <f>IF(ISNUMBER(FIND(",", E6841)), TRIM(MID(E6841, FIND(",", E6841) + 1, LEN(E6841))), E6841)</f>
        <v>New Zealand</v>
      </c>
    </row>
    <row r="6842" spans="1:8" x14ac:dyDescent="0.25">
      <c r="A6842" s="2">
        <v>15973</v>
      </c>
      <c r="B6842">
        <v>36.5</v>
      </c>
      <c r="C6842">
        <v>74</v>
      </c>
      <c r="D6842" t="s">
        <v>17</v>
      </c>
      <c r="E6842" t="s">
        <v>484</v>
      </c>
      <c r="F6842">
        <f t="shared" si="212"/>
        <v>1943</v>
      </c>
      <c r="G6842">
        <f t="shared" si="213"/>
        <v>9</v>
      </c>
      <c r="H6842" t="str">
        <f>IF(ISNUMBER(FIND(",", E6842)), TRIM(MID(E6842, FIND(",", E6842) + 1, LEN(E6842))), E6842)</f>
        <v>northwestern Kashmir</v>
      </c>
    </row>
    <row r="6843" spans="1:8" x14ac:dyDescent="0.25">
      <c r="A6843" s="2">
        <v>15972</v>
      </c>
      <c r="B6843">
        <v>15</v>
      </c>
      <c r="C6843">
        <v>-91.5</v>
      </c>
      <c r="D6843" t="s">
        <v>17</v>
      </c>
      <c r="E6843" t="s">
        <v>371</v>
      </c>
      <c r="F6843">
        <f t="shared" si="212"/>
        <v>1943</v>
      </c>
      <c r="G6843">
        <f t="shared" si="213"/>
        <v>9</v>
      </c>
      <c r="H6843" t="str">
        <f>IF(ISNUMBER(FIND(",", E6843)), TRIM(MID(E6843, FIND(",", E6843) + 1, LEN(E6843))), E6843)</f>
        <v>Guatemala</v>
      </c>
    </row>
    <row r="6844" spans="1:8" x14ac:dyDescent="0.25">
      <c r="A6844" s="2">
        <v>15971</v>
      </c>
      <c r="B6844">
        <v>-35.5</v>
      </c>
      <c r="C6844">
        <v>-178.5</v>
      </c>
      <c r="D6844" t="s">
        <v>17</v>
      </c>
      <c r="E6844" t="s">
        <v>276</v>
      </c>
      <c r="F6844">
        <f t="shared" si="212"/>
        <v>1943</v>
      </c>
      <c r="G6844">
        <f t="shared" si="213"/>
        <v>9</v>
      </c>
      <c r="H6844" t="str">
        <f>IF(ISNUMBER(FIND(",", E6844)), TRIM(MID(E6844, FIND(",", E6844) + 1, LEN(E6844))), E6844)</f>
        <v>east of the North Island of New Zealand</v>
      </c>
    </row>
    <row r="6845" spans="1:8" x14ac:dyDescent="0.25">
      <c r="A6845" s="2">
        <v>15963</v>
      </c>
      <c r="B6845">
        <v>-30.094000000000001</v>
      </c>
      <c r="C6845">
        <v>-177.53700000000001</v>
      </c>
      <c r="D6845" t="s">
        <v>14</v>
      </c>
      <c r="E6845" t="s">
        <v>288</v>
      </c>
      <c r="F6845">
        <f t="shared" si="212"/>
        <v>1943</v>
      </c>
      <c r="G6845">
        <f t="shared" si="213"/>
        <v>9</v>
      </c>
      <c r="H6845" t="str">
        <f>IF(ISNUMBER(FIND(",", E6845)), TRIM(MID(E6845, FIND(",", E6845) + 1, LEN(E6845))), E6845)</f>
        <v>New Zealand</v>
      </c>
    </row>
    <row r="6846" spans="1:8" x14ac:dyDescent="0.25">
      <c r="A6846" s="2">
        <v>15963</v>
      </c>
      <c r="B6846">
        <v>-22.516999999999999</v>
      </c>
      <c r="C6846">
        <v>170.44499999999999</v>
      </c>
      <c r="D6846" t="s">
        <v>14</v>
      </c>
      <c r="E6846" t="s">
        <v>254</v>
      </c>
      <c r="F6846">
        <f t="shared" si="212"/>
        <v>1943</v>
      </c>
      <c r="G6846">
        <f t="shared" si="213"/>
        <v>9</v>
      </c>
      <c r="H6846" t="str">
        <f>IF(ISNUMBER(FIND(",", E6846)), TRIM(MID(E6846, FIND(",", E6846) + 1, LEN(E6846))), E6846)</f>
        <v>southeast of the Loyalty Islands</v>
      </c>
    </row>
    <row r="6847" spans="1:8" x14ac:dyDescent="0.25">
      <c r="A6847" s="2">
        <v>15963</v>
      </c>
      <c r="B6847">
        <v>-22.332000000000001</v>
      </c>
      <c r="C6847">
        <v>170.35900000000001</v>
      </c>
      <c r="D6847" t="s">
        <v>16</v>
      </c>
      <c r="E6847" t="s">
        <v>254</v>
      </c>
      <c r="F6847">
        <f t="shared" si="212"/>
        <v>1943</v>
      </c>
      <c r="G6847">
        <f t="shared" si="213"/>
        <v>9</v>
      </c>
      <c r="H6847" t="str">
        <f>IF(ISNUMBER(FIND(",", E6847)), TRIM(MID(E6847, FIND(",", E6847) + 1, LEN(E6847))), E6847)</f>
        <v>southeast of the Loyalty Islands</v>
      </c>
    </row>
    <row r="6848" spans="1:8" x14ac:dyDescent="0.25">
      <c r="A6848" s="2">
        <v>15960</v>
      </c>
      <c r="B6848">
        <v>-15</v>
      </c>
      <c r="C6848">
        <v>-174</v>
      </c>
      <c r="D6848" t="s">
        <v>17</v>
      </c>
      <c r="E6848" t="s">
        <v>239</v>
      </c>
      <c r="F6848">
        <f t="shared" si="212"/>
        <v>1943</v>
      </c>
      <c r="G6848">
        <f t="shared" si="213"/>
        <v>9</v>
      </c>
      <c r="H6848" t="str">
        <f>IF(ISNUMBER(FIND(",", E6848)), TRIM(MID(E6848, FIND(",", E6848) + 1, LEN(E6848))), E6848)</f>
        <v>Tonga</v>
      </c>
    </row>
    <row r="6849" spans="1:8" x14ac:dyDescent="0.25">
      <c r="A6849" s="2">
        <v>15959</v>
      </c>
      <c r="B6849">
        <v>35.36</v>
      </c>
      <c r="C6849">
        <v>134.07599999999999</v>
      </c>
      <c r="D6849" t="s">
        <v>16</v>
      </c>
      <c r="E6849" t="s">
        <v>502</v>
      </c>
      <c r="F6849">
        <f t="shared" si="212"/>
        <v>1943</v>
      </c>
      <c r="G6849">
        <f t="shared" si="213"/>
        <v>9</v>
      </c>
      <c r="H6849" t="str">
        <f>IF(ISNUMBER(FIND(",", E6849)), TRIM(MID(E6849, FIND(",", E6849) + 1, LEN(E6849))), E6849)</f>
        <v>Japan</v>
      </c>
    </row>
    <row r="6850" spans="1:8" x14ac:dyDescent="0.25">
      <c r="A6850" s="2">
        <v>15955</v>
      </c>
      <c r="B6850">
        <v>-54.228000000000002</v>
      </c>
      <c r="C6850">
        <v>159.18299999999999</v>
      </c>
      <c r="D6850" t="s">
        <v>16</v>
      </c>
      <c r="E6850" t="s">
        <v>350</v>
      </c>
      <c r="F6850">
        <f t="shared" ref="F6850:F6913" si="214">YEAR(A6850)</f>
        <v>1943</v>
      </c>
      <c r="G6850">
        <f t="shared" si="213"/>
        <v>9</v>
      </c>
      <c r="H6850" t="str">
        <f>IF(ISNUMBER(FIND(",", E6850)), TRIM(MID(E6850, FIND(",", E6850) + 1, LEN(E6850))), E6850)</f>
        <v>Macquarie Island region</v>
      </c>
    </row>
    <row r="6851" spans="1:8" x14ac:dyDescent="0.25">
      <c r="A6851" s="2">
        <v>15949</v>
      </c>
      <c r="B6851">
        <v>14.25</v>
      </c>
      <c r="C6851">
        <v>-91.5</v>
      </c>
      <c r="D6851" t="s">
        <v>17</v>
      </c>
      <c r="E6851" t="s">
        <v>371</v>
      </c>
      <c r="F6851">
        <f t="shared" si="214"/>
        <v>1943</v>
      </c>
      <c r="G6851">
        <f t="shared" ref="G6851:G6914" si="215">MONTH(A6851)</f>
        <v>8</v>
      </c>
      <c r="H6851" t="str">
        <f>IF(ISNUMBER(FIND(",", E6851)), TRIM(MID(E6851, FIND(",", E6851) + 1, LEN(E6851))), E6851)</f>
        <v>Guatemala</v>
      </c>
    </row>
    <row r="6852" spans="1:8" x14ac:dyDescent="0.25">
      <c r="A6852" s="2">
        <v>15920</v>
      </c>
      <c r="B6852">
        <v>-45</v>
      </c>
      <c r="C6852">
        <v>167</v>
      </c>
      <c r="D6852" t="s">
        <v>17</v>
      </c>
      <c r="E6852" t="s">
        <v>361</v>
      </c>
      <c r="F6852">
        <f t="shared" si="214"/>
        <v>1943</v>
      </c>
      <c r="G6852">
        <f t="shared" si="215"/>
        <v>8</v>
      </c>
      <c r="H6852" t="str">
        <f>IF(ISNUMBER(FIND(",", E6852)), TRIM(MID(E6852, FIND(",", E6852) + 1, LEN(E6852))), E6852)</f>
        <v>off the west coast of the South Island of New Zealand</v>
      </c>
    </row>
    <row r="6853" spans="1:8" x14ac:dyDescent="0.25">
      <c r="A6853" s="2">
        <v>15919</v>
      </c>
      <c r="B6853">
        <v>-20</v>
      </c>
      <c r="C6853">
        <v>170</v>
      </c>
      <c r="D6853" t="s">
        <v>13</v>
      </c>
      <c r="E6853" t="s">
        <v>181</v>
      </c>
      <c r="F6853">
        <f t="shared" si="214"/>
        <v>1943</v>
      </c>
      <c r="G6853">
        <f t="shared" si="215"/>
        <v>8</v>
      </c>
      <c r="H6853" t="str">
        <f>IF(ISNUMBER(FIND(",", E6853)), TRIM(MID(E6853, FIND(",", E6853) + 1, LEN(E6853))), E6853)</f>
        <v>Vanuatu</v>
      </c>
    </row>
    <row r="6854" spans="1:8" x14ac:dyDescent="0.25">
      <c r="A6854" s="2">
        <v>15916</v>
      </c>
      <c r="B6854">
        <v>19.09</v>
      </c>
      <c r="C6854">
        <v>-66.983000000000004</v>
      </c>
      <c r="D6854" t="s">
        <v>16</v>
      </c>
      <c r="E6854" t="s">
        <v>708</v>
      </c>
      <c r="F6854">
        <f t="shared" si="214"/>
        <v>1943</v>
      </c>
      <c r="G6854">
        <f t="shared" si="215"/>
        <v>7</v>
      </c>
      <c r="H6854" t="str">
        <f>IF(ISNUMBER(FIND(",", E6854)), TRIM(MID(E6854, FIND(",", E6854) + 1, LEN(E6854))), E6854)</f>
        <v>Puerto Rico region</v>
      </c>
    </row>
    <row r="6855" spans="1:8" x14ac:dyDescent="0.25">
      <c r="A6855" s="2">
        <v>15910</v>
      </c>
      <c r="B6855">
        <v>-8.5459999999999994</v>
      </c>
      <c r="C6855">
        <v>109.76</v>
      </c>
      <c r="D6855" t="s">
        <v>13</v>
      </c>
      <c r="E6855" t="s">
        <v>358</v>
      </c>
      <c r="F6855">
        <f t="shared" si="214"/>
        <v>1943</v>
      </c>
      <c r="G6855">
        <f t="shared" si="215"/>
        <v>7</v>
      </c>
      <c r="H6855" t="str">
        <f>IF(ISNUMBER(FIND(",", E6855)), TRIM(MID(E6855, FIND(",", E6855) + 1, LEN(E6855))), E6855)</f>
        <v>Indonesia</v>
      </c>
    </row>
    <row r="6856" spans="1:8" x14ac:dyDescent="0.25">
      <c r="A6856" s="2">
        <v>15898</v>
      </c>
      <c r="B6856">
        <v>-32.5</v>
      </c>
      <c r="C6856">
        <v>-178.5</v>
      </c>
      <c r="D6856" t="s">
        <v>13</v>
      </c>
      <c r="E6856" t="s">
        <v>262</v>
      </c>
      <c r="F6856">
        <f t="shared" si="214"/>
        <v>1943</v>
      </c>
      <c r="G6856">
        <f t="shared" si="215"/>
        <v>7</v>
      </c>
      <c r="H6856" t="str">
        <f>IF(ISNUMBER(FIND(",", E6856)), TRIM(MID(E6856, FIND(",", E6856) + 1, LEN(E6856))), E6856)</f>
        <v>south of the Kermadec Islands</v>
      </c>
    </row>
    <row r="6857" spans="1:8" x14ac:dyDescent="0.25">
      <c r="A6857" s="2">
        <v>15892</v>
      </c>
      <c r="B6857">
        <v>-16</v>
      </c>
      <c r="C6857">
        <v>-74</v>
      </c>
      <c r="D6857" t="s">
        <v>17</v>
      </c>
      <c r="E6857" t="s">
        <v>499</v>
      </c>
      <c r="F6857">
        <f t="shared" si="214"/>
        <v>1943</v>
      </c>
      <c r="G6857">
        <f t="shared" si="215"/>
        <v>7</v>
      </c>
      <c r="H6857" t="str">
        <f>IF(ISNUMBER(FIND(",", E6857)), TRIM(MID(E6857, FIND(",", E6857) + 1, LEN(E6857))), E6857)</f>
        <v>near the coast of southern Peru</v>
      </c>
    </row>
    <row r="6858" spans="1:8" x14ac:dyDescent="0.25">
      <c r="A6858" s="2">
        <v>15887</v>
      </c>
      <c r="B6858">
        <v>-7</v>
      </c>
      <c r="C6858">
        <v>122</v>
      </c>
      <c r="D6858" t="s">
        <v>17</v>
      </c>
      <c r="E6858" t="s">
        <v>438</v>
      </c>
      <c r="F6858">
        <f t="shared" si="214"/>
        <v>1943</v>
      </c>
      <c r="G6858">
        <f t="shared" si="215"/>
        <v>6</v>
      </c>
      <c r="H6858" t="str">
        <f>IF(ISNUMBER(FIND(",", E6858)), TRIM(MID(E6858, FIND(",", E6858) + 1, LEN(E6858))), E6858)</f>
        <v>Flores Sea</v>
      </c>
    </row>
    <row r="6859" spans="1:8" x14ac:dyDescent="0.25">
      <c r="A6859" s="2">
        <v>15870</v>
      </c>
      <c r="B6859">
        <v>41</v>
      </c>
      <c r="C6859">
        <v>143.30000000000001</v>
      </c>
      <c r="D6859" t="s">
        <v>14</v>
      </c>
      <c r="E6859" t="s">
        <v>189</v>
      </c>
      <c r="F6859">
        <f t="shared" si="214"/>
        <v>1943</v>
      </c>
      <c r="G6859">
        <f t="shared" si="215"/>
        <v>6</v>
      </c>
      <c r="H6859" t="str">
        <f>IF(ISNUMBER(FIND(",", E6859)), TRIM(MID(E6859, FIND(",", E6859) + 1, LEN(E6859))), E6859)</f>
        <v>Japan</v>
      </c>
    </row>
    <row r="6860" spans="1:8" x14ac:dyDescent="0.25">
      <c r="A6860" s="2">
        <v>15870</v>
      </c>
      <c r="B6860">
        <v>40.98</v>
      </c>
      <c r="C6860">
        <v>143.31299999999999</v>
      </c>
      <c r="D6860" t="s">
        <v>16</v>
      </c>
      <c r="E6860" t="s">
        <v>189</v>
      </c>
      <c r="F6860">
        <f t="shared" si="214"/>
        <v>1943</v>
      </c>
      <c r="G6860">
        <f t="shared" si="215"/>
        <v>6</v>
      </c>
      <c r="H6860" t="str">
        <f>IF(ISNUMBER(FIND(",", E6860)), TRIM(MID(E6860, FIND(",", E6860) + 1, LEN(E6860))), E6860)</f>
        <v>Japan</v>
      </c>
    </row>
    <row r="6861" spans="1:8" x14ac:dyDescent="0.25">
      <c r="A6861" s="2">
        <v>15866</v>
      </c>
      <c r="B6861">
        <v>-1.726</v>
      </c>
      <c r="C6861">
        <v>101.08799999999999</v>
      </c>
      <c r="D6861" t="s">
        <v>16</v>
      </c>
      <c r="E6861" t="s">
        <v>308</v>
      </c>
      <c r="F6861">
        <f t="shared" si="214"/>
        <v>1943</v>
      </c>
      <c r="G6861">
        <f t="shared" si="215"/>
        <v>6</v>
      </c>
      <c r="H6861" t="str">
        <f>IF(ISNUMBER(FIND(",", E6861)), TRIM(MID(E6861, FIND(",", E6861) + 1, LEN(E6861))), E6861)</f>
        <v>Indonesia</v>
      </c>
    </row>
    <row r="6862" spans="1:8" x14ac:dyDescent="0.25">
      <c r="A6862" s="2">
        <v>15865</v>
      </c>
      <c r="B6862">
        <v>-2.9329999999999998</v>
      </c>
      <c r="C6862">
        <v>101.739</v>
      </c>
      <c r="D6862" t="s">
        <v>16</v>
      </c>
      <c r="E6862" t="s">
        <v>308</v>
      </c>
      <c r="F6862">
        <f t="shared" si="214"/>
        <v>1943</v>
      </c>
      <c r="G6862">
        <f t="shared" si="215"/>
        <v>6</v>
      </c>
      <c r="H6862" t="str">
        <f>IF(ISNUMBER(FIND(",", E6862)), TRIM(MID(E6862, FIND(",", E6862) + 1, LEN(E6862))), E6862)</f>
        <v>Indonesia</v>
      </c>
    </row>
    <row r="6863" spans="1:8" x14ac:dyDescent="0.25">
      <c r="A6863" s="2">
        <v>15851</v>
      </c>
      <c r="B6863">
        <v>7.4720000000000004</v>
      </c>
      <c r="C6863">
        <v>127.25</v>
      </c>
      <c r="D6863" t="s">
        <v>16</v>
      </c>
      <c r="E6863" t="s">
        <v>213</v>
      </c>
      <c r="F6863">
        <f t="shared" si="214"/>
        <v>1943</v>
      </c>
      <c r="G6863">
        <f t="shared" si="215"/>
        <v>5</v>
      </c>
      <c r="H6863" t="str">
        <f>IF(ISNUMBER(FIND(",", E6863)), TRIM(MID(E6863, FIND(",", E6863) + 1, LEN(E6863))), E6863)</f>
        <v>Philippine Islands region</v>
      </c>
    </row>
    <row r="6864" spans="1:8" x14ac:dyDescent="0.25">
      <c r="A6864" s="2">
        <v>15848</v>
      </c>
      <c r="B6864">
        <v>-30.75</v>
      </c>
      <c r="C6864">
        <v>-72</v>
      </c>
      <c r="D6864" t="s">
        <v>17</v>
      </c>
      <c r="E6864" t="s">
        <v>442</v>
      </c>
      <c r="F6864">
        <f t="shared" si="214"/>
        <v>1943</v>
      </c>
      <c r="G6864">
        <f t="shared" si="215"/>
        <v>5</v>
      </c>
      <c r="H6864" t="str">
        <f>IF(ISNUMBER(FIND(",", E6864)), TRIM(MID(E6864, FIND(",", E6864) + 1, LEN(E6864))), E6864)</f>
        <v>Chile</v>
      </c>
    </row>
    <row r="6865" spans="1:8" x14ac:dyDescent="0.25">
      <c r="A6865" s="2">
        <v>15829</v>
      </c>
      <c r="B6865">
        <v>12.836</v>
      </c>
      <c r="C6865">
        <v>124.59699999999999</v>
      </c>
      <c r="D6865" t="s">
        <v>16</v>
      </c>
      <c r="E6865" t="s">
        <v>394</v>
      </c>
      <c r="F6865">
        <f t="shared" si="214"/>
        <v>1943</v>
      </c>
      <c r="G6865">
        <f t="shared" si="215"/>
        <v>5</v>
      </c>
      <c r="H6865" t="str">
        <f>IF(ISNUMBER(FIND(",", E6865)), TRIM(MID(E6865, FIND(",", E6865) + 1, LEN(E6865))), E6865)</f>
        <v>Philippines</v>
      </c>
    </row>
    <row r="6866" spans="1:8" x14ac:dyDescent="0.25">
      <c r="A6866" s="2">
        <v>15828</v>
      </c>
      <c r="B6866">
        <v>6.7009999999999996</v>
      </c>
      <c r="C6866">
        <v>-80.400000000000006</v>
      </c>
      <c r="D6866" t="s">
        <v>14</v>
      </c>
      <c r="E6866" t="s">
        <v>231</v>
      </c>
      <c r="F6866">
        <f t="shared" si="214"/>
        <v>1943</v>
      </c>
      <c r="G6866">
        <f t="shared" si="215"/>
        <v>5</v>
      </c>
      <c r="H6866" t="str">
        <f>IF(ISNUMBER(FIND(",", E6866)), TRIM(MID(E6866, FIND(",", E6866) + 1, LEN(E6866))), E6866)</f>
        <v>south of Panama</v>
      </c>
    </row>
    <row r="6867" spans="1:8" x14ac:dyDescent="0.25">
      <c r="A6867" s="2">
        <v>15807</v>
      </c>
      <c r="B6867">
        <v>36.299999999999997</v>
      </c>
      <c r="C6867">
        <v>141.5</v>
      </c>
      <c r="D6867" t="s">
        <v>14</v>
      </c>
      <c r="E6867" t="s">
        <v>227</v>
      </c>
      <c r="F6867">
        <f t="shared" si="214"/>
        <v>1943</v>
      </c>
      <c r="G6867">
        <f t="shared" si="215"/>
        <v>4</v>
      </c>
      <c r="H6867" t="str">
        <f>IF(ISNUMBER(FIND(",", E6867)), TRIM(MID(E6867, FIND(",", E6867) + 1, LEN(E6867))), E6867)</f>
        <v>Japan</v>
      </c>
    </row>
    <row r="6868" spans="1:8" x14ac:dyDescent="0.25">
      <c r="A6868" s="2">
        <v>15805</v>
      </c>
      <c r="B6868">
        <v>19</v>
      </c>
      <c r="C6868">
        <v>146</v>
      </c>
      <c r="D6868" t="s">
        <v>13</v>
      </c>
      <c r="E6868" t="s">
        <v>416</v>
      </c>
      <c r="F6868">
        <f t="shared" si="214"/>
        <v>1943</v>
      </c>
      <c r="G6868">
        <f t="shared" si="215"/>
        <v>4</v>
      </c>
      <c r="H6868" t="str">
        <f>IF(ISNUMBER(FIND(",", E6868)), TRIM(MID(E6868, FIND(",", E6868) + 1, LEN(E6868))), E6868)</f>
        <v>Northern Mariana Islands</v>
      </c>
    </row>
    <row r="6869" spans="1:8" x14ac:dyDescent="0.25">
      <c r="A6869" s="2">
        <v>15802</v>
      </c>
      <c r="B6869">
        <v>-31.369</v>
      </c>
      <c r="C6869">
        <v>-71.433000000000007</v>
      </c>
      <c r="D6869" t="s">
        <v>16</v>
      </c>
      <c r="E6869" t="s">
        <v>193</v>
      </c>
      <c r="F6869">
        <f t="shared" si="214"/>
        <v>1943</v>
      </c>
      <c r="G6869">
        <f t="shared" si="215"/>
        <v>4</v>
      </c>
      <c r="H6869" t="str">
        <f>IF(ISNUMBER(FIND(",", E6869)), TRIM(MID(E6869, FIND(",", E6869) + 1, LEN(E6869))), E6869)</f>
        <v>Chile</v>
      </c>
    </row>
    <row r="6870" spans="1:8" x14ac:dyDescent="0.25">
      <c r="A6870" s="2">
        <v>15797</v>
      </c>
      <c r="B6870">
        <v>-6.0449999999999999</v>
      </c>
      <c r="C6870">
        <v>105.98699999999999</v>
      </c>
      <c r="D6870" t="s">
        <v>14</v>
      </c>
      <c r="E6870" t="s">
        <v>278</v>
      </c>
      <c r="F6870">
        <f t="shared" si="214"/>
        <v>1943</v>
      </c>
      <c r="G6870">
        <f t="shared" si="215"/>
        <v>4</v>
      </c>
      <c r="H6870" t="str">
        <f>IF(ISNUMBER(FIND(",", E6870)), TRIM(MID(E6870, FIND(",", E6870) + 1, LEN(E6870))), E6870)</f>
        <v>Indonesia</v>
      </c>
    </row>
    <row r="6871" spans="1:8" x14ac:dyDescent="0.25">
      <c r="A6871" s="2">
        <v>15791</v>
      </c>
      <c r="B6871">
        <v>-23</v>
      </c>
      <c r="C6871">
        <v>-176.5</v>
      </c>
      <c r="D6871" t="s">
        <v>17</v>
      </c>
      <c r="E6871" t="s">
        <v>256</v>
      </c>
      <c r="F6871">
        <f t="shared" si="214"/>
        <v>1943</v>
      </c>
      <c r="G6871">
        <f t="shared" si="215"/>
        <v>3</v>
      </c>
      <c r="H6871" t="str">
        <f>IF(ISNUMBER(FIND(",", E6871)), TRIM(MID(E6871, FIND(",", E6871) + 1, LEN(E6871))), E6871)</f>
        <v>south of the Fiji Islands</v>
      </c>
    </row>
    <row r="6872" spans="1:8" x14ac:dyDescent="0.25">
      <c r="A6872" s="2">
        <v>15790</v>
      </c>
      <c r="B6872">
        <v>-60.106000000000002</v>
      </c>
      <c r="C6872">
        <v>-27.542000000000002</v>
      </c>
      <c r="D6872" t="s">
        <v>14</v>
      </c>
      <c r="E6872" t="s">
        <v>260</v>
      </c>
      <c r="F6872">
        <f t="shared" si="214"/>
        <v>1943</v>
      </c>
      <c r="G6872">
        <f t="shared" si="215"/>
        <v>3</v>
      </c>
      <c r="H6872" t="str">
        <f>IF(ISNUMBER(FIND(",", E6872)), TRIM(MID(E6872, FIND(",", E6872) + 1, LEN(E6872))), E6872)</f>
        <v>South Sandwich Islands region</v>
      </c>
    </row>
    <row r="6873" spans="1:8" x14ac:dyDescent="0.25">
      <c r="A6873" s="2">
        <v>15786</v>
      </c>
      <c r="B6873">
        <v>-5.8070000000000004</v>
      </c>
      <c r="C6873">
        <v>150.88200000000001</v>
      </c>
      <c r="D6873" t="s">
        <v>14</v>
      </c>
      <c r="E6873" t="s">
        <v>190</v>
      </c>
      <c r="F6873">
        <f t="shared" si="214"/>
        <v>1943</v>
      </c>
      <c r="G6873">
        <f t="shared" si="215"/>
        <v>3</v>
      </c>
      <c r="H6873" t="str">
        <f>IF(ISNUMBER(FIND(",", E6873)), TRIM(MID(E6873, FIND(",", E6873) + 1, LEN(E6873))), E6873)</f>
        <v>Papua New Guinea</v>
      </c>
    </row>
    <row r="6874" spans="1:8" x14ac:dyDescent="0.25">
      <c r="A6874" s="2">
        <v>15780</v>
      </c>
      <c r="B6874">
        <v>-14.5</v>
      </c>
      <c r="C6874">
        <v>-177</v>
      </c>
      <c r="D6874" t="s">
        <v>17</v>
      </c>
      <c r="E6874" t="s">
        <v>53</v>
      </c>
      <c r="F6874">
        <f t="shared" si="214"/>
        <v>1943</v>
      </c>
      <c r="G6874">
        <f t="shared" si="215"/>
        <v>3</v>
      </c>
      <c r="H6874" t="str">
        <f>IF(ISNUMBER(FIND(",", E6874)), TRIM(MID(E6874, FIND(",", E6874) + 1, LEN(E6874))), E6874)</f>
        <v>Fiji region</v>
      </c>
    </row>
    <row r="6875" spans="1:8" x14ac:dyDescent="0.25">
      <c r="A6875" s="2">
        <v>15780</v>
      </c>
      <c r="B6875">
        <v>9.5</v>
      </c>
      <c r="C6875">
        <v>142</v>
      </c>
      <c r="D6875" t="s">
        <v>17</v>
      </c>
      <c r="E6875" t="s">
        <v>458</v>
      </c>
      <c r="F6875">
        <f t="shared" si="214"/>
        <v>1943</v>
      </c>
      <c r="G6875">
        <f t="shared" si="215"/>
        <v>3</v>
      </c>
      <c r="H6875" t="str">
        <f>IF(ISNUMBER(FIND(",", E6875)), TRIM(MID(E6875, FIND(",", E6875) + 1, LEN(E6875))), E6875)</f>
        <v>Federated States of Micronesia</v>
      </c>
    </row>
    <row r="6876" spans="1:8" x14ac:dyDescent="0.25">
      <c r="A6876" s="2">
        <v>15780</v>
      </c>
      <c r="B6876">
        <v>-22</v>
      </c>
      <c r="C6876">
        <v>169.5</v>
      </c>
      <c r="D6876" t="s">
        <v>14</v>
      </c>
      <c r="E6876" t="s">
        <v>254</v>
      </c>
      <c r="F6876">
        <f t="shared" si="214"/>
        <v>1943</v>
      </c>
      <c r="G6876">
        <f t="shared" si="215"/>
        <v>3</v>
      </c>
      <c r="H6876" t="str">
        <f>IF(ISNUMBER(FIND(",", E6876)), TRIM(MID(E6876, FIND(",", E6876) + 1, LEN(E6876))), E6876)</f>
        <v>southeast of the Loyalty Islands</v>
      </c>
    </row>
    <row r="6877" spans="1:8" x14ac:dyDescent="0.25">
      <c r="A6877" s="2">
        <v>15779</v>
      </c>
      <c r="B6877">
        <v>-19.446999999999999</v>
      </c>
      <c r="C6877">
        <v>-69.131</v>
      </c>
      <c r="D6877" t="s">
        <v>13</v>
      </c>
      <c r="E6877" t="s">
        <v>237</v>
      </c>
      <c r="F6877">
        <f t="shared" si="214"/>
        <v>1943</v>
      </c>
      <c r="G6877">
        <f t="shared" si="215"/>
        <v>3</v>
      </c>
      <c r="H6877" t="str">
        <f>IF(ISNUMBER(FIND(",", E6877)), TRIM(MID(E6877, FIND(",", E6877) + 1, LEN(E6877))), E6877)</f>
        <v>Chile</v>
      </c>
    </row>
    <row r="6878" spans="1:8" x14ac:dyDescent="0.25">
      <c r="A6878" s="2">
        <v>15779</v>
      </c>
      <c r="B6878">
        <v>-22</v>
      </c>
      <c r="C6878">
        <v>169.5</v>
      </c>
      <c r="D6878" t="s">
        <v>14</v>
      </c>
      <c r="E6878" t="s">
        <v>254</v>
      </c>
      <c r="F6878">
        <f t="shared" si="214"/>
        <v>1943</v>
      </c>
      <c r="G6878">
        <f t="shared" si="215"/>
        <v>3</v>
      </c>
      <c r="H6878" t="str">
        <f>IF(ISNUMBER(FIND(",", E6878)), TRIM(MID(E6878, FIND(",", E6878) + 1, LEN(E6878))), E6878)</f>
        <v>southeast of the Loyalty Islands</v>
      </c>
    </row>
    <row r="6879" spans="1:8" x14ac:dyDescent="0.25">
      <c r="A6879" s="2">
        <v>15776</v>
      </c>
      <c r="B6879">
        <v>-22</v>
      </c>
      <c r="C6879">
        <v>170</v>
      </c>
      <c r="D6879" t="s">
        <v>17</v>
      </c>
      <c r="E6879" t="s">
        <v>254</v>
      </c>
      <c r="F6879">
        <f t="shared" si="214"/>
        <v>1943</v>
      </c>
      <c r="G6879">
        <f t="shared" si="215"/>
        <v>3</v>
      </c>
      <c r="H6879" t="str">
        <f>IF(ISNUMBER(FIND(",", E6879)), TRIM(MID(E6879, FIND(",", E6879) + 1, LEN(E6879))), E6879)</f>
        <v>southeast of the Loyalty Islands</v>
      </c>
    </row>
    <row r="6880" spans="1:8" x14ac:dyDescent="0.25">
      <c r="A6880" s="2">
        <v>15774</v>
      </c>
      <c r="B6880">
        <v>-60.665999999999997</v>
      </c>
      <c r="C6880">
        <v>-27.992999999999999</v>
      </c>
      <c r="D6880" t="s">
        <v>16</v>
      </c>
      <c r="E6880" t="s">
        <v>260</v>
      </c>
      <c r="F6880">
        <f t="shared" si="214"/>
        <v>1943</v>
      </c>
      <c r="G6880">
        <f t="shared" si="215"/>
        <v>3</v>
      </c>
      <c r="H6880" t="str">
        <f>IF(ISNUMBER(FIND(",", E6880)), TRIM(MID(E6880, FIND(",", E6880) + 1, LEN(E6880))), E6880)</f>
        <v>South Sandwich Islands region</v>
      </c>
    </row>
    <row r="6881" spans="1:8" x14ac:dyDescent="0.25">
      <c r="A6881" s="2">
        <v>15770</v>
      </c>
      <c r="B6881">
        <v>5.25</v>
      </c>
      <c r="C6881">
        <v>-82.5</v>
      </c>
      <c r="D6881" t="s">
        <v>17</v>
      </c>
      <c r="E6881" t="s">
        <v>231</v>
      </c>
      <c r="F6881">
        <f t="shared" si="214"/>
        <v>1943</v>
      </c>
      <c r="G6881">
        <f t="shared" si="215"/>
        <v>3</v>
      </c>
      <c r="H6881" t="str">
        <f>IF(ISNUMBER(FIND(",", E6881)), TRIM(MID(E6881, FIND(",", E6881) + 1, LEN(E6881))), E6881)</f>
        <v>south of Panama</v>
      </c>
    </row>
    <row r="6882" spans="1:8" x14ac:dyDescent="0.25">
      <c r="A6882" s="2">
        <v>15765</v>
      </c>
      <c r="B6882">
        <v>36.396999999999998</v>
      </c>
      <c r="C6882">
        <v>70.662999999999997</v>
      </c>
      <c r="D6882" t="s">
        <v>13</v>
      </c>
      <c r="E6882" t="s">
        <v>314</v>
      </c>
      <c r="F6882">
        <f t="shared" si="214"/>
        <v>1943</v>
      </c>
      <c r="G6882">
        <f t="shared" si="215"/>
        <v>2</v>
      </c>
      <c r="H6882" t="str">
        <f>IF(ISNUMBER(FIND(",", E6882)), TRIM(MID(E6882, FIND(",", E6882) + 1, LEN(E6882))), E6882)</f>
        <v>Afghanistan</v>
      </c>
    </row>
    <row r="6883" spans="1:8" x14ac:dyDescent="0.25">
      <c r="A6883" s="2">
        <v>15759</v>
      </c>
      <c r="B6883">
        <v>17.433</v>
      </c>
      <c r="C6883">
        <v>-101.307</v>
      </c>
      <c r="D6883" t="s">
        <v>16</v>
      </c>
      <c r="E6883" t="s">
        <v>474</v>
      </c>
      <c r="F6883">
        <f t="shared" si="214"/>
        <v>1943</v>
      </c>
      <c r="G6883">
        <f t="shared" si="215"/>
        <v>2</v>
      </c>
      <c r="H6883" t="str">
        <f>IF(ISNUMBER(FIND(",", E6883)), TRIM(MID(E6883, FIND(",", E6883) + 1, LEN(E6883))), E6883)</f>
        <v>Mexico</v>
      </c>
    </row>
    <row r="6884" spans="1:8" x14ac:dyDescent="0.25">
      <c r="A6884" s="2">
        <v>15753</v>
      </c>
      <c r="B6884">
        <v>-15</v>
      </c>
      <c r="C6884">
        <v>-72</v>
      </c>
      <c r="D6884" t="s">
        <v>13</v>
      </c>
      <c r="E6884" t="s">
        <v>229</v>
      </c>
      <c r="F6884">
        <f t="shared" si="214"/>
        <v>1943</v>
      </c>
      <c r="G6884">
        <f t="shared" si="215"/>
        <v>2</v>
      </c>
      <c r="H6884" t="str">
        <f>IF(ISNUMBER(FIND(",", E6884)), TRIM(MID(E6884, FIND(",", E6884) + 1, LEN(E6884))), E6884)</f>
        <v>southern Peru</v>
      </c>
    </row>
    <row r="6885" spans="1:8" x14ac:dyDescent="0.25">
      <c r="A6885" s="2">
        <v>15736</v>
      </c>
      <c r="B6885">
        <v>-2</v>
      </c>
      <c r="C6885">
        <v>-80.5</v>
      </c>
      <c r="D6885" t="s">
        <v>17</v>
      </c>
      <c r="E6885" t="s">
        <v>457</v>
      </c>
      <c r="F6885">
        <f t="shared" si="214"/>
        <v>1943</v>
      </c>
      <c r="G6885">
        <f t="shared" si="215"/>
        <v>1</v>
      </c>
      <c r="H6885" t="str">
        <f>IF(ISNUMBER(FIND(",", E6885)), TRIM(MID(E6885, FIND(",", E6885) + 1, LEN(E6885))), E6885)</f>
        <v>near the coast of Ecuador</v>
      </c>
    </row>
    <row r="6886" spans="1:8" x14ac:dyDescent="0.25">
      <c r="A6886" s="2">
        <v>15697</v>
      </c>
      <c r="B6886">
        <v>-15.617000000000001</v>
      </c>
      <c r="C6886">
        <v>-175.398</v>
      </c>
      <c r="D6886" t="s">
        <v>17</v>
      </c>
      <c r="E6886" t="s">
        <v>239</v>
      </c>
      <c r="F6886">
        <f t="shared" si="214"/>
        <v>1942</v>
      </c>
      <c r="G6886">
        <f t="shared" si="215"/>
        <v>12</v>
      </c>
      <c r="H6886" t="str">
        <f>IF(ISNUMBER(FIND(",", E6886)), TRIM(MID(E6886, FIND(",", E6886) + 1, LEN(E6886))), E6886)</f>
        <v>Tonga</v>
      </c>
    </row>
    <row r="6887" spans="1:8" x14ac:dyDescent="0.25">
      <c r="A6887" s="2">
        <v>15695</v>
      </c>
      <c r="B6887">
        <v>40.670999999999999</v>
      </c>
      <c r="C6887">
        <v>36.450000000000003</v>
      </c>
      <c r="D6887" t="s">
        <v>16</v>
      </c>
      <c r="E6887" t="s">
        <v>517</v>
      </c>
      <c r="F6887">
        <f t="shared" si="214"/>
        <v>1942</v>
      </c>
      <c r="G6887">
        <f t="shared" si="215"/>
        <v>12</v>
      </c>
      <c r="H6887" t="str">
        <f>IF(ISNUMBER(FIND(",", E6887)), TRIM(MID(E6887, FIND(",", E6887) + 1, LEN(E6887))), E6887)</f>
        <v>central Turkey</v>
      </c>
    </row>
    <row r="6888" spans="1:8" x14ac:dyDescent="0.25">
      <c r="A6888" s="2">
        <v>15694</v>
      </c>
      <c r="B6888">
        <v>31.257999999999999</v>
      </c>
      <c r="C6888">
        <v>141.61600000000001</v>
      </c>
      <c r="D6888" t="s">
        <v>14</v>
      </c>
      <c r="E6888" t="s">
        <v>88</v>
      </c>
      <c r="F6888">
        <f t="shared" si="214"/>
        <v>1942</v>
      </c>
      <c r="G6888">
        <f t="shared" si="215"/>
        <v>12</v>
      </c>
      <c r="H6888" t="str">
        <f>IF(ISNUMBER(FIND(",", E6888)), TRIM(MID(E6888, FIND(",", E6888) + 1, LEN(E6888))), E6888)</f>
        <v>Japan region</v>
      </c>
    </row>
    <row r="6889" spans="1:8" x14ac:dyDescent="0.25">
      <c r="A6889" s="2">
        <v>15673</v>
      </c>
      <c r="B6889">
        <v>7.28</v>
      </c>
      <c r="C6889">
        <v>-35.643999999999998</v>
      </c>
      <c r="D6889" t="s">
        <v>14</v>
      </c>
      <c r="E6889" t="s">
        <v>291</v>
      </c>
      <c r="F6889">
        <f t="shared" si="214"/>
        <v>1942</v>
      </c>
      <c r="G6889">
        <f t="shared" si="215"/>
        <v>11</v>
      </c>
      <c r="H6889" t="str">
        <f>IF(ISNUMBER(FIND(",", E6889)), TRIM(MID(E6889, FIND(",", E6889) + 1, LEN(E6889))), E6889)</f>
        <v>central Mid-Atlantic Ridge</v>
      </c>
    </row>
    <row r="6890" spans="1:8" x14ac:dyDescent="0.25">
      <c r="A6890" s="2">
        <v>15671</v>
      </c>
      <c r="B6890">
        <v>45.405000000000001</v>
      </c>
      <c r="C6890">
        <v>150.17500000000001</v>
      </c>
      <c r="D6890" t="s">
        <v>13</v>
      </c>
      <c r="E6890" t="s">
        <v>191</v>
      </c>
      <c r="F6890">
        <f t="shared" si="214"/>
        <v>1942</v>
      </c>
      <c r="G6890">
        <f t="shared" si="215"/>
        <v>11</v>
      </c>
      <c r="H6890" t="str">
        <f>IF(ISNUMBER(FIND(",", E6890)), TRIM(MID(E6890, FIND(",", E6890) + 1, LEN(E6890))), E6890)</f>
        <v>Kuril Islands</v>
      </c>
    </row>
    <row r="6891" spans="1:8" x14ac:dyDescent="0.25">
      <c r="A6891" s="2">
        <v>15660</v>
      </c>
      <c r="B6891">
        <v>36.369</v>
      </c>
      <c r="C6891">
        <v>141.43299999999999</v>
      </c>
      <c r="D6891" t="s">
        <v>14</v>
      </c>
      <c r="E6891" t="s">
        <v>227</v>
      </c>
      <c r="F6891">
        <f t="shared" si="214"/>
        <v>1942</v>
      </c>
      <c r="G6891">
        <f t="shared" si="215"/>
        <v>11</v>
      </c>
      <c r="H6891" t="str">
        <f>IF(ISNUMBER(FIND(",", E6891)), TRIM(MID(E6891, FIND(",", E6891) + 1, LEN(E6891))), E6891)</f>
        <v>Japan</v>
      </c>
    </row>
    <row r="6892" spans="1:8" x14ac:dyDescent="0.25">
      <c r="A6892" s="2">
        <v>15657</v>
      </c>
      <c r="B6892">
        <v>16.591999999999999</v>
      </c>
      <c r="C6892">
        <v>-94.296000000000006</v>
      </c>
      <c r="D6892" t="s">
        <v>17</v>
      </c>
      <c r="E6892" t="s">
        <v>251</v>
      </c>
      <c r="F6892">
        <f t="shared" si="214"/>
        <v>1942</v>
      </c>
      <c r="G6892">
        <f t="shared" si="215"/>
        <v>11</v>
      </c>
      <c r="H6892" t="str">
        <f>IF(ISNUMBER(FIND(",", E6892)), TRIM(MID(E6892, FIND(",", E6892) + 1, LEN(E6892))), E6892)</f>
        <v>Mexico</v>
      </c>
    </row>
    <row r="6893" spans="1:8" x14ac:dyDescent="0.25">
      <c r="A6893" s="2">
        <v>15655</v>
      </c>
      <c r="B6893">
        <v>-49.725999999999999</v>
      </c>
      <c r="C6893">
        <v>29.946999999999999</v>
      </c>
      <c r="D6893" t="s">
        <v>16</v>
      </c>
      <c r="E6893" t="s">
        <v>465</v>
      </c>
      <c r="F6893">
        <f t="shared" si="214"/>
        <v>1942</v>
      </c>
      <c r="G6893">
        <f t="shared" si="215"/>
        <v>11</v>
      </c>
      <c r="H6893" t="str">
        <f>IF(ISNUMBER(FIND(",", E6893)), TRIM(MID(E6893, FIND(",", E6893) + 1, LEN(E6893))), E6893)</f>
        <v>south of Africa</v>
      </c>
    </row>
    <row r="6894" spans="1:8" x14ac:dyDescent="0.25">
      <c r="A6894" s="2">
        <v>15652</v>
      </c>
      <c r="B6894">
        <v>-9.0299999999999994</v>
      </c>
      <c r="C6894">
        <v>123.06</v>
      </c>
      <c r="D6894" t="s">
        <v>17</v>
      </c>
      <c r="E6894" t="s">
        <v>645</v>
      </c>
      <c r="F6894">
        <f t="shared" si="214"/>
        <v>1942</v>
      </c>
      <c r="G6894">
        <f t="shared" si="215"/>
        <v>11</v>
      </c>
      <c r="H6894" t="str">
        <f>IF(ISNUMBER(FIND(",", E6894)), TRIM(MID(E6894, FIND(",", E6894) + 1, LEN(E6894))), E6894)</f>
        <v>Indonesia</v>
      </c>
    </row>
    <row r="6895" spans="1:8" x14ac:dyDescent="0.25">
      <c r="A6895" s="2">
        <v>15651</v>
      </c>
      <c r="B6895">
        <v>-6.5209999999999999</v>
      </c>
      <c r="C6895">
        <v>-76.768000000000001</v>
      </c>
      <c r="D6895" t="s">
        <v>17</v>
      </c>
      <c r="E6895" t="s">
        <v>277</v>
      </c>
      <c r="F6895">
        <f t="shared" si="214"/>
        <v>1942</v>
      </c>
      <c r="G6895">
        <f t="shared" si="215"/>
        <v>11</v>
      </c>
      <c r="H6895" t="str">
        <f>IF(ISNUMBER(FIND(",", E6895)), TRIM(MID(E6895, FIND(",", E6895) + 1, LEN(E6895))), E6895)</f>
        <v>northern Peru</v>
      </c>
    </row>
    <row r="6896" spans="1:8" x14ac:dyDescent="0.25">
      <c r="A6896" s="2">
        <v>15647</v>
      </c>
      <c r="B6896">
        <v>-18.024000000000001</v>
      </c>
      <c r="C6896">
        <v>-175.58199999999999</v>
      </c>
      <c r="D6896" t="s">
        <v>17</v>
      </c>
      <c r="E6896" t="s">
        <v>239</v>
      </c>
      <c r="F6896">
        <f t="shared" si="214"/>
        <v>1942</v>
      </c>
      <c r="G6896">
        <f t="shared" si="215"/>
        <v>11</v>
      </c>
      <c r="H6896" t="str">
        <f>IF(ISNUMBER(FIND(",", E6896)), TRIM(MID(E6896, FIND(",", E6896) + 1, LEN(E6896))), E6896)</f>
        <v>Tonga</v>
      </c>
    </row>
    <row r="6897" spans="1:8" x14ac:dyDescent="0.25">
      <c r="A6897" s="2">
        <v>15640</v>
      </c>
      <c r="B6897">
        <v>46.015999999999998</v>
      </c>
      <c r="C6897">
        <v>151.542</v>
      </c>
      <c r="D6897" t="s">
        <v>14</v>
      </c>
      <c r="E6897" t="s">
        <v>191</v>
      </c>
      <c r="F6897">
        <f t="shared" si="214"/>
        <v>1942</v>
      </c>
      <c r="G6897">
        <f t="shared" si="215"/>
        <v>10</v>
      </c>
      <c r="H6897" t="str">
        <f>IF(ISNUMBER(FIND(",", E6897)), TRIM(MID(E6897, FIND(",", E6897) + 1, LEN(E6897))), E6897)</f>
        <v>Kuril Islands</v>
      </c>
    </row>
    <row r="6898" spans="1:8" x14ac:dyDescent="0.25">
      <c r="A6898" s="2">
        <v>15634</v>
      </c>
      <c r="B6898">
        <v>7.7309999999999999</v>
      </c>
      <c r="C6898">
        <v>122.595</v>
      </c>
      <c r="D6898" t="s">
        <v>16</v>
      </c>
      <c r="E6898" t="s">
        <v>200</v>
      </c>
      <c r="F6898">
        <f t="shared" si="214"/>
        <v>1942</v>
      </c>
      <c r="G6898">
        <f t="shared" si="215"/>
        <v>10</v>
      </c>
      <c r="H6898" t="str">
        <f>IF(ISNUMBER(FIND(",", E6898)), TRIM(MID(E6898, FIND(",", E6898) + 1, LEN(E6898))), E6898)</f>
        <v>Philippines</v>
      </c>
    </row>
    <row r="6899" spans="1:8" x14ac:dyDescent="0.25">
      <c r="A6899" s="2">
        <v>15623</v>
      </c>
      <c r="B6899">
        <v>-11.538</v>
      </c>
      <c r="C6899">
        <v>34.646000000000001</v>
      </c>
      <c r="D6899" t="s">
        <v>17</v>
      </c>
      <c r="E6899" t="s">
        <v>345</v>
      </c>
      <c r="F6899">
        <f t="shared" si="214"/>
        <v>1942</v>
      </c>
      <c r="G6899">
        <f t="shared" si="215"/>
        <v>10</v>
      </c>
      <c r="H6899" t="str">
        <f>IF(ISNUMBER(FIND(",", E6899)), TRIM(MID(E6899, FIND(",", E6899) + 1, LEN(E6899))), E6899)</f>
        <v>Malawi</v>
      </c>
    </row>
    <row r="6900" spans="1:8" x14ac:dyDescent="0.25">
      <c r="A6900" s="2">
        <v>15598</v>
      </c>
      <c r="B6900">
        <v>-21.905999999999999</v>
      </c>
      <c r="C6900">
        <v>171.45099999999999</v>
      </c>
      <c r="D6900" t="s">
        <v>13</v>
      </c>
      <c r="E6900" t="s">
        <v>254</v>
      </c>
      <c r="F6900">
        <f t="shared" si="214"/>
        <v>1942</v>
      </c>
      <c r="G6900">
        <f t="shared" si="215"/>
        <v>9</v>
      </c>
      <c r="H6900" t="str">
        <f>IF(ISNUMBER(FIND(",", E6900)), TRIM(MID(E6900, FIND(",", E6900) + 1, LEN(E6900))), E6900)</f>
        <v>southeast of the Loyalty Islands</v>
      </c>
    </row>
    <row r="6901" spans="1:8" x14ac:dyDescent="0.25">
      <c r="A6901" s="2">
        <v>15593</v>
      </c>
      <c r="B6901">
        <v>53.548999999999999</v>
      </c>
      <c r="C6901">
        <v>-165.77199999999999</v>
      </c>
      <c r="D6901" t="s">
        <v>13</v>
      </c>
      <c r="E6901" t="s">
        <v>219</v>
      </c>
      <c r="F6901">
        <f t="shared" si="214"/>
        <v>1942</v>
      </c>
      <c r="G6901">
        <f t="shared" si="215"/>
        <v>9</v>
      </c>
      <c r="H6901" t="str">
        <f>IF(ISNUMBER(FIND(",", E6901)), TRIM(MID(E6901, FIND(",", E6901) + 1, LEN(E6901))), E6901)</f>
        <v>Aleutian Islands, Alaska</v>
      </c>
    </row>
    <row r="6902" spans="1:8" x14ac:dyDescent="0.25">
      <c r="A6902" s="2">
        <v>15582</v>
      </c>
      <c r="B6902">
        <v>-24</v>
      </c>
      <c r="C6902">
        <v>179.5</v>
      </c>
      <c r="D6902" t="s">
        <v>17</v>
      </c>
      <c r="E6902" t="s">
        <v>256</v>
      </c>
      <c r="F6902">
        <f t="shared" si="214"/>
        <v>1942</v>
      </c>
      <c r="G6902">
        <f t="shared" si="215"/>
        <v>8</v>
      </c>
      <c r="H6902" t="str">
        <f>IF(ISNUMBER(FIND(",", E6902)), TRIM(MID(E6902, FIND(",", E6902) + 1, LEN(E6902))), E6902)</f>
        <v>south of the Fiji Islands</v>
      </c>
    </row>
    <row r="6903" spans="1:8" x14ac:dyDescent="0.25">
      <c r="A6903" s="2">
        <v>15577</v>
      </c>
      <c r="B6903">
        <v>-14.975</v>
      </c>
      <c r="C6903">
        <v>-74.92</v>
      </c>
      <c r="D6903" t="s">
        <v>16</v>
      </c>
      <c r="E6903" t="s">
        <v>198</v>
      </c>
      <c r="F6903">
        <f t="shared" si="214"/>
        <v>1942</v>
      </c>
      <c r="G6903">
        <f t="shared" si="215"/>
        <v>8</v>
      </c>
      <c r="H6903" t="str">
        <f>IF(ISNUMBER(FIND(",", E6903)), TRIM(MID(E6903, FIND(",", E6903) + 1, LEN(E6903))), E6903)</f>
        <v>central Peru</v>
      </c>
    </row>
    <row r="6904" spans="1:8" x14ac:dyDescent="0.25">
      <c r="A6904" s="2">
        <v>15559</v>
      </c>
      <c r="B6904">
        <v>13.78</v>
      </c>
      <c r="C6904">
        <v>-90.912999999999997</v>
      </c>
      <c r="D6904" t="s">
        <v>16</v>
      </c>
      <c r="E6904" t="s">
        <v>196</v>
      </c>
      <c r="F6904">
        <f t="shared" si="214"/>
        <v>1942</v>
      </c>
      <c r="G6904">
        <f t="shared" si="215"/>
        <v>8</v>
      </c>
      <c r="H6904" t="str">
        <f>IF(ISNUMBER(FIND(",", E6904)), TRIM(MID(E6904, FIND(",", E6904) + 1, LEN(E6904))), E6904)</f>
        <v>offshore Guatemala</v>
      </c>
    </row>
    <row r="6905" spans="1:8" x14ac:dyDescent="0.25">
      <c r="A6905" s="2">
        <v>15554</v>
      </c>
      <c r="B6905">
        <v>-47.795999999999999</v>
      </c>
      <c r="C6905">
        <v>100.768</v>
      </c>
      <c r="D6905" t="s">
        <v>14</v>
      </c>
      <c r="E6905" t="s">
        <v>310</v>
      </c>
      <c r="F6905">
        <f t="shared" si="214"/>
        <v>1942</v>
      </c>
      <c r="G6905">
        <f t="shared" si="215"/>
        <v>8</v>
      </c>
      <c r="H6905" t="str">
        <f>IF(ISNUMBER(FIND(",", E6905)), TRIM(MID(E6905, FIND(",", E6905) + 1, LEN(E6905))), E6905)</f>
        <v>southeast Indian Ridge</v>
      </c>
    </row>
    <row r="6906" spans="1:8" x14ac:dyDescent="0.25">
      <c r="A6906" s="2">
        <v>15554</v>
      </c>
      <c r="B6906">
        <v>-41.066000000000003</v>
      </c>
      <c r="C6906">
        <v>175.684</v>
      </c>
      <c r="D6906" t="s">
        <v>14</v>
      </c>
      <c r="E6906" t="s">
        <v>188</v>
      </c>
      <c r="F6906">
        <f t="shared" si="214"/>
        <v>1942</v>
      </c>
      <c r="G6906">
        <f t="shared" si="215"/>
        <v>8</v>
      </c>
      <c r="H6906" t="str">
        <f>IF(ISNUMBER(FIND(",", E6906)), TRIM(MID(E6906, FIND(",", E6906) + 1, LEN(E6906))), E6906)</f>
        <v>North Island of New Zealand</v>
      </c>
    </row>
    <row r="6907" spans="1:8" x14ac:dyDescent="0.25">
      <c r="A6907" s="2">
        <v>15551</v>
      </c>
      <c r="B6907">
        <v>-2.637</v>
      </c>
      <c r="C6907">
        <v>127.586</v>
      </c>
      <c r="D6907" t="s">
        <v>14</v>
      </c>
      <c r="E6907" t="s">
        <v>279</v>
      </c>
      <c r="F6907">
        <f t="shared" si="214"/>
        <v>1942</v>
      </c>
      <c r="G6907">
        <f t="shared" si="215"/>
        <v>7</v>
      </c>
      <c r="H6907" t="str">
        <f>IF(ISNUMBER(FIND(",", E6907)), TRIM(MID(E6907, FIND(",", E6907) + 1, LEN(E6907))), E6907)</f>
        <v>Indonesia</v>
      </c>
    </row>
    <row r="6908" spans="1:8" x14ac:dyDescent="0.25">
      <c r="A6908" s="2">
        <v>15547</v>
      </c>
      <c r="B6908">
        <v>11.548</v>
      </c>
      <c r="C6908">
        <v>125.313</v>
      </c>
      <c r="D6908" t="s">
        <v>17</v>
      </c>
      <c r="E6908" t="s">
        <v>394</v>
      </c>
      <c r="F6908">
        <f t="shared" si="214"/>
        <v>1942</v>
      </c>
      <c r="G6908">
        <f t="shared" si="215"/>
        <v>7</v>
      </c>
      <c r="H6908" t="str">
        <f>IF(ISNUMBER(FIND(",", E6908)), TRIM(MID(E6908, FIND(",", E6908) + 1, LEN(E6908))), E6908)</f>
        <v>Philippines</v>
      </c>
    </row>
    <row r="6909" spans="1:8" x14ac:dyDescent="0.25">
      <c r="A6909" s="2">
        <v>15530</v>
      </c>
      <c r="B6909">
        <v>-24.602</v>
      </c>
      <c r="C6909">
        <v>-70.188999999999993</v>
      </c>
      <c r="D6909" t="s">
        <v>13</v>
      </c>
      <c r="E6909" t="s">
        <v>289</v>
      </c>
      <c r="F6909">
        <f t="shared" si="214"/>
        <v>1942</v>
      </c>
      <c r="G6909">
        <f t="shared" si="215"/>
        <v>7</v>
      </c>
      <c r="H6909" t="str">
        <f>IF(ISNUMBER(FIND(",", E6909)), TRIM(MID(E6909, FIND(",", E6909) + 1, LEN(E6909))), E6909)</f>
        <v>Chile</v>
      </c>
    </row>
    <row r="6910" spans="1:8" x14ac:dyDescent="0.25">
      <c r="A6910" s="2">
        <v>15529</v>
      </c>
      <c r="B6910">
        <v>-20.568999999999999</v>
      </c>
      <c r="C6910">
        <v>-178.9</v>
      </c>
      <c r="D6910" t="s">
        <v>17</v>
      </c>
      <c r="E6910" t="s">
        <v>53</v>
      </c>
      <c r="F6910">
        <f t="shared" si="214"/>
        <v>1942</v>
      </c>
      <c r="G6910">
        <f t="shared" si="215"/>
        <v>7</v>
      </c>
      <c r="H6910" t="str">
        <f>IF(ISNUMBER(FIND(",", E6910)), TRIM(MID(E6910, FIND(",", E6910) + 1, LEN(E6910))), E6910)</f>
        <v>Fiji region</v>
      </c>
    </row>
    <row r="6911" spans="1:8" x14ac:dyDescent="0.25">
      <c r="A6911" s="2">
        <v>15521</v>
      </c>
      <c r="B6911">
        <v>-33.125</v>
      </c>
      <c r="C6911">
        <v>-70.495000000000005</v>
      </c>
      <c r="D6911" t="s">
        <v>17</v>
      </c>
      <c r="E6911" t="s">
        <v>515</v>
      </c>
      <c r="F6911">
        <f t="shared" si="214"/>
        <v>1942</v>
      </c>
      <c r="G6911">
        <f t="shared" si="215"/>
        <v>6</v>
      </c>
      <c r="H6911" t="str">
        <f>IF(ISNUMBER(FIND(",", E6911)), TRIM(MID(E6911, FIND(",", E6911) + 1, LEN(E6911))), E6911)</f>
        <v>Chile</v>
      </c>
    </row>
    <row r="6912" spans="1:8" x14ac:dyDescent="0.25">
      <c r="A6912" s="2">
        <v>15516</v>
      </c>
      <c r="B6912">
        <v>-41.533999999999999</v>
      </c>
      <c r="C6912">
        <v>175.63</v>
      </c>
      <c r="D6912" t="s">
        <v>14</v>
      </c>
      <c r="E6912" t="s">
        <v>188</v>
      </c>
      <c r="F6912">
        <f t="shared" si="214"/>
        <v>1942</v>
      </c>
      <c r="G6912">
        <f t="shared" si="215"/>
        <v>6</v>
      </c>
      <c r="H6912" t="str">
        <f>IF(ISNUMBER(FIND(",", E6912)), TRIM(MID(E6912, FIND(",", E6912) + 1, LEN(E6912))), E6912)</f>
        <v>North Island of New Zealand</v>
      </c>
    </row>
    <row r="6913" spans="1:8" x14ac:dyDescent="0.25">
      <c r="A6913" s="2">
        <v>15512</v>
      </c>
      <c r="B6913">
        <v>18.876000000000001</v>
      </c>
      <c r="C6913">
        <v>-101.063</v>
      </c>
      <c r="D6913" t="s">
        <v>17</v>
      </c>
      <c r="E6913" t="s">
        <v>248</v>
      </c>
      <c r="F6913">
        <f t="shared" si="214"/>
        <v>1942</v>
      </c>
      <c r="G6913">
        <f t="shared" si="215"/>
        <v>6</v>
      </c>
      <c r="H6913" t="str">
        <f>IF(ISNUMBER(FIND(",", E6913)), TRIM(MID(E6913, FIND(",", E6913) + 1, LEN(E6913))), E6913)</f>
        <v>Mexico</v>
      </c>
    </row>
    <row r="6914" spans="1:8" x14ac:dyDescent="0.25">
      <c r="A6914" s="2">
        <v>15510</v>
      </c>
      <c r="B6914">
        <v>9.1229999999999993</v>
      </c>
      <c r="C6914">
        <v>140.101</v>
      </c>
      <c r="D6914" t="s">
        <v>14</v>
      </c>
      <c r="E6914" t="s">
        <v>458</v>
      </c>
      <c r="F6914">
        <f t="shared" ref="F6914:F6977" si="216">YEAR(A6914)</f>
        <v>1942</v>
      </c>
      <c r="G6914">
        <f t="shared" si="215"/>
        <v>6</v>
      </c>
      <c r="H6914" t="str">
        <f>IF(ISNUMBER(FIND(",", E6914)), TRIM(MID(E6914, FIND(",", E6914) + 1, LEN(E6914))), E6914)</f>
        <v>Federated States of Micronesia</v>
      </c>
    </row>
    <row r="6915" spans="1:8" x14ac:dyDescent="0.25">
      <c r="A6915" s="2">
        <v>15507</v>
      </c>
      <c r="B6915">
        <v>-32.133000000000003</v>
      </c>
      <c r="C6915">
        <v>179.756</v>
      </c>
      <c r="D6915" t="s">
        <v>17</v>
      </c>
      <c r="E6915" t="s">
        <v>262</v>
      </c>
      <c r="F6915">
        <f t="shared" si="216"/>
        <v>1942</v>
      </c>
      <c r="G6915">
        <f t="shared" ref="G6915:G6978" si="217">MONTH(A6915)</f>
        <v>6</v>
      </c>
      <c r="H6915" t="str">
        <f>IF(ISNUMBER(FIND(",", E6915)), TRIM(MID(E6915, FIND(",", E6915) + 1, LEN(E6915))), E6915)</f>
        <v>south of the Kermadec Islands</v>
      </c>
    </row>
    <row r="6916" spans="1:8" x14ac:dyDescent="0.25">
      <c r="A6916" s="2">
        <v>15506</v>
      </c>
      <c r="B6916">
        <v>14.548</v>
      </c>
      <c r="C6916">
        <v>148.00800000000001</v>
      </c>
      <c r="D6916" t="s">
        <v>13</v>
      </c>
      <c r="E6916" t="s">
        <v>72</v>
      </c>
      <c r="F6916">
        <f t="shared" si="216"/>
        <v>1942</v>
      </c>
      <c r="G6916">
        <f t="shared" si="217"/>
        <v>6</v>
      </c>
      <c r="H6916" t="str">
        <f>IF(ISNUMBER(FIND(",", E6916)), TRIM(MID(E6916, FIND(",", E6916) + 1, LEN(E6916))), E6916)</f>
        <v>Mariana Islands region</v>
      </c>
    </row>
    <row r="6917" spans="1:8" x14ac:dyDescent="0.25">
      <c r="A6917" s="2">
        <v>15489</v>
      </c>
      <c r="B6917">
        <v>-7.3999999999999996E-2</v>
      </c>
      <c r="C6917">
        <v>123.78</v>
      </c>
      <c r="D6917" t="s">
        <v>13</v>
      </c>
      <c r="E6917" t="s">
        <v>182</v>
      </c>
      <c r="F6917">
        <f t="shared" si="216"/>
        <v>1942</v>
      </c>
      <c r="G6917">
        <f t="shared" si="217"/>
        <v>5</v>
      </c>
      <c r="H6917" t="str">
        <f>IF(ISNUMBER(FIND(",", E6917)), TRIM(MID(E6917, FIND(",", E6917) + 1, LEN(E6917))), E6917)</f>
        <v>Indonesia</v>
      </c>
    </row>
    <row r="6918" spans="1:8" x14ac:dyDescent="0.25">
      <c r="A6918" s="2">
        <v>15485</v>
      </c>
      <c r="B6918">
        <v>5.1779999999999999</v>
      </c>
      <c r="C6918">
        <v>97.018000000000001</v>
      </c>
      <c r="D6918" t="s">
        <v>17</v>
      </c>
      <c r="E6918" t="s">
        <v>226</v>
      </c>
      <c r="F6918">
        <f t="shared" si="216"/>
        <v>1942</v>
      </c>
      <c r="G6918">
        <f t="shared" si="217"/>
        <v>5</v>
      </c>
      <c r="H6918" t="str">
        <f>IF(ISNUMBER(FIND(",", E6918)), TRIM(MID(E6918, FIND(",", E6918) + 1, LEN(E6918))), E6918)</f>
        <v>Indonesia</v>
      </c>
    </row>
    <row r="6919" spans="1:8" x14ac:dyDescent="0.25">
      <c r="A6919" s="2">
        <v>15475</v>
      </c>
      <c r="B6919">
        <v>1.2E-2</v>
      </c>
      <c r="C6919">
        <v>-79.902000000000001</v>
      </c>
      <c r="D6919" t="s">
        <v>16</v>
      </c>
      <c r="E6919" t="s">
        <v>457</v>
      </c>
      <c r="F6919">
        <f t="shared" si="216"/>
        <v>1942</v>
      </c>
      <c r="G6919">
        <f t="shared" si="217"/>
        <v>5</v>
      </c>
      <c r="H6919" t="str">
        <f>IF(ISNUMBER(FIND(",", E6919)), TRIM(MID(E6919, FIND(",", E6919) + 1, LEN(E6919))), E6919)</f>
        <v>near the coast of Ecuador</v>
      </c>
    </row>
    <row r="6920" spans="1:8" x14ac:dyDescent="0.25">
      <c r="A6920" s="2">
        <v>15439</v>
      </c>
      <c r="B6920">
        <v>12.845000000000001</v>
      </c>
      <c r="C6920">
        <v>120.553</v>
      </c>
      <c r="D6920" t="s">
        <v>16</v>
      </c>
      <c r="E6920" t="s">
        <v>333</v>
      </c>
      <c r="F6920">
        <f t="shared" si="216"/>
        <v>1942</v>
      </c>
      <c r="G6920">
        <f t="shared" si="217"/>
        <v>4</v>
      </c>
      <c r="H6920" t="str">
        <f>IF(ISNUMBER(FIND(",", E6920)), TRIM(MID(E6920, FIND(",", E6920) + 1, LEN(E6920))), E6920)</f>
        <v>Philippines</v>
      </c>
    </row>
    <row r="6921" spans="1:8" x14ac:dyDescent="0.25">
      <c r="A6921" s="2">
        <v>15405</v>
      </c>
      <c r="B6921">
        <v>44.271999999999998</v>
      </c>
      <c r="C6921">
        <v>141.63200000000001</v>
      </c>
      <c r="D6921" t="s">
        <v>13</v>
      </c>
      <c r="E6921" t="s">
        <v>265</v>
      </c>
      <c r="F6921">
        <f t="shared" si="216"/>
        <v>1942</v>
      </c>
      <c r="G6921">
        <f t="shared" si="217"/>
        <v>3</v>
      </c>
      <c r="H6921" t="str">
        <f>IF(ISNUMBER(FIND(",", E6921)), TRIM(MID(E6921, FIND(",", E6921) + 1, LEN(E6921))), E6921)</f>
        <v>Japan region</v>
      </c>
    </row>
    <row r="6922" spans="1:8" x14ac:dyDescent="0.25">
      <c r="A6922" s="2">
        <v>15388</v>
      </c>
      <c r="B6922">
        <v>-11.337999999999999</v>
      </c>
      <c r="C6922">
        <v>166.58199999999999</v>
      </c>
      <c r="D6922" t="s">
        <v>17</v>
      </c>
      <c r="E6922" t="s">
        <v>211</v>
      </c>
      <c r="F6922">
        <f t="shared" si="216"/>
        <v>1942</v>
      </c>
      <c r="G6922">
        <f t="shared" si="217"/>
        <v>2</v>
      </c>
      <c r="H6922" t="str">
        <f>IF(ISNUMBER(FIND(",", E6922)), TRIM(MID(E6922, FIND(",", E6922) + 1, LEN(E6922))), E6922)</f>
        <v>Santa Cruz Islands</v>
      </c>
    </row>
    <row r="6923" spans="1:8" x14ac:dyDescent="0.25">
      <c r="A6923" s="2">
        <v>15370</v>
      </c>
      <c r="B6923">
        <v>-19.321000000000002</v>
      </c>
      <c r="C6923">
        <v>169.042</v>
      </c>
      <c r="D6923" t="s">
        <v>13</v>
      </c>
      <c r="E6923" t="s">
        <v>181</v>
      </c>
      <c r="F6923">
        <f t="shared" si="216"/>
        <v>1942</v>
      </c>
      <c r="G6923">
        <f t="shared" si="217"/>
        <v>1</v>
      </c>
      <c r="H6923" t="str">
        <f>IF(ISNUMBER(FIND(",", E6923)), TRIM(MID(E6923, FIND(",", E6923) + 1, LEN(E6923))), E6923)</f>
        <v>Vanuatu</v>
      </c>
    </row>
    <row r="6924" spans="1:8" x14ac:dyDescent="0.25">
      <c r="A6924" s="2">
        <v>15368</v>
      </c>
      <c r="B6924">
        <v>-4.3250000000000002</v>
      </c>
      <c r="C6924">
        <v>134.83799999999999</v>
      </c>
      <c r="D6924" t="s">
        <v>14</v>
      </c>
      <c r="E6924" t="s">
        <v>204</v>
      </c>
      <c r="F6924">
        <f t="shared" si="216"/>
        <v>1942</v>
      </c>
      <c r="G6924">
        <f t="shared" si="217"/>
        <v>1</v>
      </c>
      <c r="H6924" t="str">
        <f>IF(ISNUMBER(FIND(",", E6924)), TRIM(MID(E6924, FIND(",", E6924) + 1, LEN(E6924))), E6924)</f>
        <v>Indonesia</v>
      </c>
    </row>
    <row r="6925" spans="1:8" x14ac:dyDescent="0.25">
      <c r="A6925" s="2">
        <v>15337</v>
      </c>
      <c r="B6925">
        <v>35.822000000000003</v>
      </c>
      <c r="C6925">
        <v>-10.56</v>
      </c>
      <c r="D6925" t="s">
        <v>17</v>
      </c>
      <c r="E6925" t="s">
        <v>430</v>
      </c>
      <c r="F6925">
        <f t="shared" si="216"/>
        <v>1941</v>
      </c>
      <c r="G6925">
        <f t="shared" si="217"/>
        <v>12</v>
      </c>
      <c r="H6925" t="str">
        <f>IF(ISNUMBER(FIND(",", E6925)), TRIM(MID(E6925, FIND(",", E6925) + 1, LEN(E6925))), E6925)</f>
        <v>Azores-Cape St. Vincent Ridge</v>
      </c>
    </row>
    <row r="6926" spans="1:8" x14ac:dyDescent="0.25">
      <c r="A6926" s="2">
        <v>15336</v>
      </c>
      <c r="B6926">
        <v>21.076000000000001</v>
      </c>
      <c r="C6926">
        <v>99.144999999999996</v>
      </c>
      <c r="D6926" t="s">
        <v>14</v>
      </c>
      <c r="E6926" t="s">
        <v>197</v>
      </c>
      <c r="F6926">
        <f t="shared" si="216"/>
        <v>1941</v>
      </c>
      <c r="G6926">
        <f t="shared" si="217"/>
        <v>12</v>
      </c>
      <c r="H6926" t="str">
        <f>IF(ISNUMBER(FIND(",", E6926)), TRIM(MID(E6926, FIND(",", E6926) + 1, LEN(E6926))), E6926)</f>
        <v>Myanmar</v>
      </c>
    </row>
    <row r="6927" spans="1:8" x14ac:dyDescent="0.25">
      <c r="A6927" s="2">
        <v>15326</v>
      </c>
      <c r="B6927">
        <v>23.251000000000001</v>
      </c>
      <c r="C6927">
        <v>120.39100000000001</v>
      </c>
      <c r="D6927" t="s">
        <v>16</v>
      </c>
      <c r="E6927" t="s">
        <v>336</v>
      </c>
      <c r="F6927">
        <f t="shared" si="216"/>
        <v>1941</v>
      </c>
      <c r="G6927">
        <f t="shared" si="217"/>
        <v>12</v>
      </c>
      <c r="H6927" t="str">
        <f>IF(ISNUMBER(FIND(",", E6927)), TRIM(MID(E6927, FIND(",", E6927) + 1, LEN(E6927))), E6927)</f>
        <v>Taiwan</v>
      </c>
    </row>
    <row r="6928" spans="1:8" x14ac:dyDescent="0.25">
      <c r="A6928" s="2">
        <v>15316</v>
      </c>
      <c r="B6928">
        <v>8.1430000000000007</v>
      </c>
      <c r="C6928">
        <v>-84.400999999999996</v>
      </c>
      <c r="D6928" t="s">
        <v>14</v>
      </c>
      <c r="E6928" t="s">
        <v>469</v>
      </c>
      <c r="F6928">
        <f t="shared" si="216"/>
        <v>1941</v>
      </c>
      <c r="G6928">
        <f t="shared" si="217"/>
        <v>12</v>
      </c>
      <c r="H6928" t="str">
        <f>IF(ISNUMBER(FIND(",", E6928)), TRIM(MID(E6928, FIND(",", E6928) + 1, LEN(E6928))), E6928)</f>
        <v>off the coast of Costa Rica</v>
      </c>
    </row>
    <row r="6929" spans="1:8" x14ac:dyDescent="0.25">
      <c r="A6929" s="2">
        <v>15315</v>
      </c>
      <c r="B6929">
        <v>8.7520000000000007</v>
      </c>
      <c r="C6929">
        <v>-83.158000000000001</v>
      </c>
      <c r="D6929" t="s">
        <v>16</v>
      </c>
      <c r="E6929" t="s">
        <v>202</v>
      </c>
      <c r="F6929">
        <f t="shared" si="216"/>
        <v>1941</v>
      </c>
      <c r="G6929">
        <f t="shared" si="217"/>
        <v>12</v>
      </c>
      <c r="H6929" t="str">
        <f>IF(ISNUMBER(FIND(",", E6929)), TRIM(MID(E6929, FIND(",", E6929) + 1, LEN(E6929))), E6929)</f>
        <v>Costa Rica</v>
      </c>
    </row>
    <row r="6930" spans="1:8" x14ac:dyDescent="0.25">
      <c r="A6930" s="2">
        <v>15307</v>
      </c>
      <c r="B6930">
        <v>-7.3470000000000004</v>
      </c>
      <c r="C6930">
        <v>121.233</v>
      </c>
      <c r="D6930" t="s">
        <v>17</v>
      </c>
      <c r="E6930" t="s">
        <v>438</v>
      </c>
      <c r="F6930">
        <f t="shared" si="216"/>
        <v>1941</v>
      </c>
      <c r="G6930">
        <f t="shared" si="217"/>
        <v>11</v>
      </c>
      <c r="H6930" t="str">
        <f>IF(ISNUMBER(FIND(",", E6930)), TRIM(MID(E6930, FIND(",", E6930) + 1, LEN(E6930))), E6930)</f>
        <v>Flores Sea</v>
      </c>
    </row>
    <row r="6931" spans="1:8" x14ac:dyDescent="0.25">
      <c r="A6931" s="2">
        <v>15305</v>
      </c>
      <c r="B6931">
        <v>37.170999999999999</v>
      </c>
      <c r="C6931">
        <v>-18.96</v>
      </c>
      <c r="D6931" t="s">
        <v>16</v>
      </c>
      <c r="E6931" t="s">
        <v>430</v>
      </c>
      <c r="F6931">
        <f t="shared" si="216"/>
        <v>1941</v>
      </c>
      <c r="G6931">
        <f t="shared" si="217"/>
        <v>11</v>
      </c>
      <c r="H6931" t="str">
        <f>IF(ISNUMBER(FIND(",", E6931)), TRIM(MID(E6931, FIND(",", E6931) + 1, LEN(E6931))), E6931)</f>
        <v>Azores-Cape St. Vincent Ridge</v>
      </c>
    </row>
    <row r="6932" spans="1:8" x14ac:dyDescent="0.25">
      <c r="A6932" s="2">
        <v>15304</v>
      </c>
      <c r="B6932">
        <v>-28.276</v>
      </c>
      <c r="C6932">
        <v>-177.61099999999999</v>
      </c>
      <c r="D6932" t="s">
        <v>13</v>
      </c>
      <c r="E6932" t="s">
        <v>240</v>
      </c>
      <c r="F6932">
        <f t="shared" si="216"/>
        <v>1941</v>
      </c>
      <c r="G6932">
        <f t="shared" si="217"/>
        <v>11</v>
      </c>
      <c r="H6932" t="str">
        <f>IF(ISNUMBER(FIND(",", E6932)), TRIM(MID(E6932, FIND(",", E6932) + 1, LEN(E6932))), E6932)</f>
        <v>Kermadec Islands region</v>
      </c>
    </row>
    <row r="6933" spans="1:8" x14ac:dyDescent="0.25">
      <c r="A6933" s="2">
        <v>15298</v>
      </c>
      <c r="B6933">
        <v>32</v>
      </c>
      <c r="C6933">
        <v>132</v>
      </c>
      <c r="D6933" t="s">
        <v>16</v>
      </c>
      <c r="E6933" t="s">
        <v>357</v>
      </c>
      <c r="F6933">
        <f t="shared" si="216"/>
        <v>1941</v>
      </c>
      <c r="G6933">
        <f t="shared" si="217"/>
        <v>11</v>
      </c>
      <c r="H6933" t="str">
        <f>IF(ISNUMBER(FIND(",", E6933)), TRIM(MID(E6933, FIND(",", E6933) + 1, LEN(E6933))), E6933)</f>
        <v>Japan</v>
      </c>
    </row>
    <row r="6934" spans="1:8" x14ac:dyDescent="0.25">
      <c r="A6934" s="2">
        <v>15298</v>
      </c>
      <c r="B6934">
        <v>-60.756999999999998</v>
      </c>
      <c r="C6934">
        <v>-55.375</v>
      </c>
      <c r="D6934" t="s">
        <v>14</v>
      </c>
      <c r="E6934" t="s">
        <v>261</v>
      </c>
      <c r="F6934">
        <f t="shared" si="216"/>
        <v>1941</v>
      </c>
      <c r="G6934">
        <f t="shared" si="217"/>
        <v>11</v>
      </c>
      <c r="H6934" t="str">
        <f>IF(ISNUMBER(FIND(",", E6934)), TRIM(MID(E6934, FIND(",", E6934) + 1, LEN(E6934))), E6934)</f>
        <v>South Shetland Islands</v>
      </c>
    </row>
    <row r="6935" spans="1:8" x14ac:dyDescent="0.25">
      <c r="A6935" s="2">
        <v>15295</v>
      </c>
      <c r="B6935">
        <v>-59.802</v>
      </c>
      <c r="C6935">
        <v>-26.992999999999999</v>
      </c>
      <c r="D6935" t="s">
        <v>13</v>
      </c>
      <c r="E6935" t="s">
        <v>260</v>
      </c>
      <c r="F6935">
        <f t="shared" si="216"/>
        <v>1941</v>
      </c>
      <c r="G6935">
        <f t="shared" si="217"/>
        <v>11</v>
      </c>
      <c r="H6935" t="str">
        <f>IF(ISNUMBER(FIND(",", E6935)), TRIM(MID(E6935, FIND(",", E6935) + 1, LEN(E6935))), E6935)</f>
        <v>South Sandwich Islands region</v>
      </c>
    </row>
    <row r="6936" spans="1:8" x14ac:dyDescent="0.25">
      <c r="A6936" s="2">
        <v>15288</v>
      </c>
      <c r="B6936">
        <v>0.72399999999999998</v>
      </c>
      <c r="C6936">
        <v>122.857</v>
      </c>
      <c r="D6936" t="s">
        <v>16</v>
      </c>
      <c r="E6936" t="s">
        <v>263</v>
      </c>
      <c r="F6936">
        <f t="shared" si="216"/>
        <v>1941</v>
      </c>
      <c r="G6936">
        <f t="shared" si="217"/>
        <v>11</v>
      </c>
      <c r="H6936" t="str">
        <f>IF(ISNUMBER(FIND(",", E6936)), TRIM(MID(E6936, FIND(",", E6936) + 1, LEN(E6936))), E6936)</f>
        <v>Sulawesi, Indonesia</v>
      </c>
    </row>
    <row r="6937" spans="1:8" x14ac:dyDescent="0.25">
      <c r="A6937" s="2">
        <v>15285</v>
      </c>
      <c r="B6937">
        <v>12.834</v>
      </c>
      <c r="C6937">
        <v>123.48099999999999</v>
      </c>
      <c r="D6937" t="s">
        <v>17</v>
      </c>
      <c r="E6937" t="s">
        <v>658</v>
      </c>
      <c r="F6937">
        <f t="shared" si="216"/>
        <v>1941</v>
      </c>
      <c r="G6937">
        <f t="shared" si="217"/>
        <v>11</v>
      </c>
      <c r="H6937" t="str">
        <f>IF(ISNUMBER(FIND(",", E6937)), TRIM(MID(E6937, FIND(",", E6937) + 1, LEN(E6937))), E6937)</f>
        <v>Philippines</v>
      </c>
    </row>
    <row r="6938" spans="1:8" x14ac:dyDescent="0.25">
      <c r="A6938" s="2">
        <v>15243</v>
      </c>
      <c r="B6938">
        <v>49.551000000000002</v>
      </c>
      <c r="C6938">
        <v>158.34399999999999</v>
      </c>
      <c r="D6938" t="s">
        <v>13</v>
      </c>
      <c r="E6938" t="s">
        <v>317</v>
      </c>
      <c r="F6938">
        <f t="shared" si="216"/>
        <v>1941</v>
      </c>
      <c r="G6938">
        <f t="shared" si="217"/>
        <v>9</v>
      </c>
      <c r="H6938" t="str">
        <f>IF(ISNUMBER(FIND(",", E6938)), TRIM(MID(E6938, FIND(",", E6938) + 1, LEN(E6938))), E6938)</f>
        <v>east of the Kuril Islands</v>
      </c>
    </row>
    <row r="6939" spans="1:8" x14ac:dyDescent="0.25">
      <c r="A6939" s="2">
        <v>15237</v>
      </c>
      <c r="B6939">
        <v>-13.928000000000001</v>
      </c>
      <c r="C6939">
        <v>-72.293999999999997</v>
      </c>
      <c r="D6939" t="s">
        <v>13</v>
      </c>
      <c r="E6939" t="s">
        <v>198</v>
      </c>
      <c r="F6939">
        <f t="shared" si="216"/>
        <v>1941</v>
      </c>
      <c r="G6939">
        <f t="shared" si="217"/>
        <v>9</v>
      </c>
      <c r="H6939" t="str">
        <f>IF(ISNUMBER(FIND(",", E6939)), TRIM(MID(E6939, FIND(",", E6939) + 1, LEN(E6939))), E6939)</f>
        <v>central Peru</v>
      </c>
    </row>
    <row r="6940" spans="1:8" x14ac:dyDescent="0.25">
      <c r="A6940" s="2">
        <v>15236</v>
      </c>
      <c r="B6940">
        <v>-7.8E-2</v>
      </c>
      <c r="C6940">
        <v>122.01300000000001</v>
      </c>
      <c r="D6940" t="s">
        <v>13</v>
      </c>
      <c r="E6940" t="s">
        <v>182</v>
      </c>
      <c r="F6940">
        <f t="shared" si="216"/>
        <v>1941</v>
      </c>
      <c r="G6940">
        <f t="shared" si="217"/>
        <v>9</v>
      </c>
      <c r="H6940" t="str">
        <f>IF(ISNUMBER(FIND(",", E6940)), TRIM(MID(E6940, FIND(",", E6940) + 1, LEN(E6940))), E6940)</f>
        <v>Indonesia</v>
      </c>
    </row>
    <row r="6941" spans="1:8" x14ac:dyDescent="0.25">
      <c r="A6941" s="2">
        <v>15235</v>
      </c>
      <c r="B6941">
        <v>-29.484000000000002</v>
      </c>
      <c r="C6941">
        <v>-177.398</v>
      </c>
      <c r="D6941" t="s">
        <v>14</v>
      </c>
      <c r="E6941" t="s">
        <v>288</v>
      </c>
      <c r="F6941">
        <f t="shared" si="216"/>
        <v>1941</v>
      </c>
      <c r="G6941">
        <f t="shared" si="217"/>
        <v>9</v>
      </c>
      <c r="H6941" t="str">
        <f>IF(ISNUMBER(FIND(",", E6941)), TRIM(MID(E6941, FIND(",", E6941) + 1, LEN(E6941))), E6941)</f>
        <v>New Zealand</v>
      </c>
    </row>
    <row r="6942" spans="1:8" x14ac:dyDescent="0.25">
      <c r="A6942" s="2">
        <v>15231</v>
      </c>
      <c r="B6942">
        <v>-0.71899999999999997</v>
      </c>
      <c r="C6942">
        <v>132.52199999999999</v>
      </c>
      <c r="D6942" t="s">
        <v>14</v>
      </c>
      <c r="E6942" t="s">
        <v>241</v>
      </c>
      <c r="F6942">
        <f t="shared" si="216"/>
        <v>1941</v>
      </c>
      <c r="G6942">
        <f t="shared" si="217"/>
        <v>9</v>
      </c>
      <c r="H6942" t="str">
        <f>IF(ISNUMBER(FIND(",", E6942)), TRIM(MID(E6942, FIND(",", E6942) + 1, LEN(E6942))), E6942)</f>
        <v>Indonesia</v>
      </c>
    </row>
    <row r="6943" spans="1:8" x14ac:dyDescent="0.25">
      <c r="A6943" s="2">
        <v>15223</v>
      </c>
      <c r="B6943">
        <v>-5.0730000000000004</v>
      </c>
      <c r="C6943">
        <v>153.68600000000001</v>
      </c>
      <c r="D6943" t="s">
        <v>13</v>
      </c>
      <c r="E6943" t="s">
        <v>183</v>
      </c>
      <c r="F6943">
        <f t="shared" si="216"/>
        <v>1941</v>
      </c>
      <c r="G6943">
        <f t="shared" si="217"/>
        <v>9</v>
      </c>
      <c r="H6943" t="str">
        <f>IF(ISNUMBER(FIND(",", E6943)), TRIM(MID(E6943, FIND(",", E6943) + 1, LEN(E6943))), E6943)</f>
        <v>Papua New Guinea</v>
      </c>
    </row>
    <row r="6944" spans="1:8" x14ac:dyDescent="0.25">
      <c r="A6944" s="2">
        <v>15218</v>
      </c>
      <c r="B6944">
        <v>18.356999999999999</v>
      </c>
      <c r="C6944">
        <v>147.23500000000001</v>
      </c>
      <c r="D6944" t="s">
        <v>17</v>
      </c>
      <c r="E6944" t="s">
        <v>72</v>
      </c>
      <c r="F6944">
        <f t="shared" si="216"/>
        <v>1941</v>
      </c>
      <c r="G6944">
        <f t="shared" si="217"/>
        <v>8</v>
      </c>
      <c r="H6944" t="str">
        <f>IF(ISNUMBER(FIND(",", E6944)), TRIM(MID(E6944, FIND(",", E6944) + 1, LEN(E6944))), E6944)</f>
        <v>Mariana Islands region</v>
      </c>
    </row>
    <row r="6945" spans="1:8" x14ac:dyDescent="0.25">
      <c r="A6945" s="2">
        <v>15203</v>
      </c>
      <c r="B6945">
        <v>19.302</v>
      </c>
      <c r="C6945">
        <v>-26.355</v>
      </c>
      <c r="D6945" t="s">
        <v>17</v>
      </c>
      <c r="E6945" t="s">
        <v>481</v>
      </c>
      <c r="F6945">
        <f t="shared" si="216"/>
        <v>1941</v>
      </c>
      <c r="G6945">
        <f t="shared" si="217"/>
        <v>8</v>
      </c>
      <c r="H6945" t="str">
        <f>IF(ISNUMBER(FIND(",", E6945)), TRIM(MID(E6945, FIND(",", E6945) + 1, LEN(E6945))), E6945)</f>
        <v>North Atlantic Ocean</v>
      </c>
    </row>
    <row r="6946" spans="1:8" x14ac:dyDescent="0.25">
      <c r="A6946" s="2">
        <v>15194</v>
      </c>
      <c r="B6946">
        <v>55.515000000000001</v>
      </c>
      <c r="C6946">
        <v>-163.10599999999999</v>
      </c>
      <c r="D6946" t="s">
        <v>17</v>
      </c>
      <c r="E6946" t="s">
        <v>447</v>
      </c>
      <c r="F6946">
        <f t="shared" si="216"/>
        <v>1941</v>
      </c>
      <c r="G6946">
        <f t="shared" si="217"/>
        <v>8</v>
      </c>
      <c r="H6946" t="str">
        <f>IF(ISNUMBER(FIND(",", E6946)), TRIM(MID(E6946, FIND(",", E6946) + 1, LEN(E6946))), E6946)</f>
        <v>Alaska</v>
      </c>
    </row>
    <row r="6947" spans="1:8" x14ac:dyDescent="0.25">
      <c r="A6947" s="2">
        <v>15192</v>
      </c>
      <c r="B6947">
        <v>51.600999999999999</v>
      </c>
      <c r="C6947">
        <v>178.602</v>
      </c>
      <c r="D6947" t="s">
        <v>17</v>
      </c>
      <c r="E6947" t="s">
        <v>366</v>
      </c>
      <c r="F6947">
        <f t="shared" si="216"/>
        <v>1941</v>
      </c>
      <c r="G6947">
        <f t="shared" si="217"/>
        <v>8</v>
      </c>
      <c r="H6947" t="str">
        <f>IF(ISNUMBER(FIND(",", E6947)), TRIM(MID(E6947, FIND(",", E6947) + 1, LEN(E6947))), E6947)</f>
        <v>Aleutian Islands, Alaska</v>
      </c>
    </row>
    <row r="6948" spans="1:8" x14ac:dyDescent="0.25">
      <c r="A6948" s="2">
        <v>15190</v>
      </c>
      <c r="B6948">
        <v>-29.766999999999999</v>
      </c>
      <c r="C6948">
        <v>-177.60599999999999</v>
      </c>
      <c r="D6948" t="s">
        <v>14</v>
      </c>
      <c r="E6948" t="s">
        <v>288</v>
      </c>
      <c r="F6948">
        <f t="shared" si="216"/>
        <v>1941</v>
      </c>
      <c r="G6948">
        <f t="shared" si="217"/>
        <v>8</v>
      </c>
      <c r="H6948" t="str">
        <f>IF(ISNUMBER(FIND(",", E6948)), TRIM(MID(E6948, FIND(",", E6948) + 1, LEN(E6948))), E6948)</f>
        <v>New Zealand</v>
      </c>
    </row>
    <row r="6949" spans="1:8" x14ac:dyDescent="0.25">
      <c r="A6949" s="2">
        <v>15153</v>
      </c>
      <c r="B6949">
        <v>12.148999999999999</v>
      </c>
      <c r="C6949">
        <v>92.477999999999994</v>
      </c>
      <c r="D6949" t="s">
        <v>16</v>
      </c>
      <c r="E6949" t="s">
        <v>323</v>
      </c>
      <c r="F6949">
        <f t="shared" si="216"/>
        <v>1941</v>
      </c>
      <c r="G6949">
        <f t="shared" si="217"/>
        <v>6</v>
      </c>
      <c r="H6949" t="str">
        <f>IF(ISNUMBER(FIND(",", E6949)), TRIM(MID(E6949, FIND(",", E6949) + 1, LEN(E6949))), E6949)</f>
        <v>India region</v>
      </c>
    </row>
    <row r="6950" spans="1:8" x14ac:dyDescent="0.25">
      <c r="A6950" s="2">
        <v>15113</v>
      </c>
      <c r="B6950">
        <v>-10.462</v>
      </c>
      <c r="C6950">
        <v>166.13900000000001</v>
      </c>
      <c r="D6950" t="s">
        <v>16</v>
      </c>
      <c r="E6950" t="s">
        <v>211</v>
      </c>
      <c r="F6950">
        <f t="shared" si="216"/>
        <v>1941</v>
      </c>
      <c r="G6950">
        <f t="shared" si="217"/>
        <v>5</v>
      </c>
      <c r="H6950" t="str">
        <f>IF(ISNUMBER(FIND(",", E6950)), TRIM(MID(E6950, FIND(",", E6950) + 1, LEN(E6950))), E6950)</f>
        <v>Santa Cruz Islands</v>
      </c>
    </row>
    <row r="6951" spans="1:8" x14ac:dyDescent="0.25">
      <c r="A6951" s="2">
        <v>15112</v>
      </c>
      <c r="B6951">
        <v>23.513999999999999</v>
      </c>
      <c r="C6951">
        <v>99.408000000000001</v>
      </c>
      <c r="D6951" t="s">
        <v>17</v>
      </c>
      <c r="E6951" t="s">
        <v>393</v>
      </c>
      <c r="F6951">
        <f t="shared" si="216"/>
        <v>1941</v>
      </c>
      <c r="G6951">
        <f t="shared" si="217"/>
        <v>5</v>
      </c>
      <c r="H6951" t="str">
        <f>IF(ISNUMBER(FIND(",", E6951)), TRIM(MID(E6951, FIND(",", E6951) + 1, LEN(E6951))), E6951)</f>
        <v>Myanmar-China border region</v>
      </c>
    </row>
    <row r="6952" spans="1:8" x14ac:dyDescent="0.25">
      <c r="A6952" s="2">
        <v>15105</v>
      </c>
      <c r="B6952">
        <v>13.789</v>
      </c>
      <c r="C6952">
        <v>122.45099999999999</v>
      </c>
      <c r="D6952" t="s">
        <v>17</v>
      </c>
      <c r="E6952" t="s">
        <v>297</v>
      </c>
      <c r="F6952">
        <f t="shared" si="216"/>
        <v>1941</v>
      </c>
      <c r="G6952">
        <f t="shared" si="217"/>
        <v>5</v>
      </c>
      <c r="H6952" t="str">
        <f>IF(ISNUMBER(FIND(",", E6952)), TRIM(MID(E6952, FIND(",", E6952) + 1, LEN(E6952))), E6952)</f>
        <v>Philippines</v>
      </c>
    </row>
    <row r="6953" spans="1:8" x14ac:dyDescent="0.25">
      <c r="A6953" s="2">
        <v>15104</v>
      </c>
      <c r="B6953">
        <v>-18.082999999999998</v>
      </c>
      <c r="C6953">
        <v>-178.40700000000001</v>
      </c>
      <c r="D6953" t="s">
        <v>17</v>
      </c>
      <c r="E6953" t="s">
        <v>53</v>
      </c>
      <c r="F6953">
        <f t="shared" si="216"/>
        <v>1941</v>
      </c>
      <c r="G6953">
        <f t="shared" si="217"/>
        <v>5</v>
      </c>
      <c r="H6953" t="str">
        <f>IF(ISNUMBER(FIND(",", E6953)), TRIM(MID(E6953, FIND(",", E6953) + 1, LEN(E6953))), E6953)</f>
        <v>Fiji region</v>
      </c>
    </row>
    <row r="6954" spans="1:8" x14ac:dyDescent="0.25">
      <c r="A6954" s="2">
        <v>15103</v>
      </c>
      <c r="B6954">
        <v>-18.856999999999999</v>
      </c>
      <c r="C6954">
        <v>168.93600000000001</v>
      </c>
      <c r="D6954" t="s">
        <v>17</v>
      </c>
      <c r="E6954" t="s">
        <v>181</v>
      </c>
      <c r="F6954">
        <f t="shared" si="216"/>
        <v>1941</v>
      </c>
      <c r="G6954">
        <f t="shared" si="217"/>
        <v>5</v>
      </c>
      <c r="H6954" t="str">
        <f>IF(ISNUMBER(FIND(",", E6954)), TRIM(MID(E6954, FIND(",", E6954) + 1, LEN(E6954))), E6954)</f>
        <v>Vanuatu</v>
      </c>
    </row>
    <row r="6955" spans="1:8" x14ac:dyDescent="0.25">
      <c r="A6955" s="2">
        <v>15095</v>
      </c>
      <c r="B6955">
        <v>-26.791</v>
      </c>
      <c r="C6955">
        <v>116.197</v>
      </c>
      <c r="D6955" t="s">
        <v>17</v>
      </c>
      <c r="E6955" t="s">
        <v>534</v>
      </c>
      <c r="F6955">
        <f t="shared" si="216"/>
        <v>1941</v>
      </c>
      <c r="G6955">
        <f t="shared" si="217"/>
        <v>4</v>
      </c>
      <c r="H6955" t="str">
        <f>IF(ISNUMBER(FIND(",", E6955)), TRIM(MID(E6955, FIND(",", E6955) + 1, LEN(E6955))), E6955)</f>
        <v>Western Australia</v>
      </c>
    </row>
    <row r="6956" spans="1:8" x14ac:dyDescent="0.25">
      <c r="A6956" s="2">
        <v>15081</v>
      </c>
      <c r="B6956">
        <v>18.677</v>
      </c>
      <c r="C6956">
        <v>-102.95699999999999</v>
      </c>
      <c r="D6956" t="s">
        <v>16</v>
      </c>
      <c r="E6956" t="s">
        <v>248</v>
      </c>
      <c r="F6956">
        <f t="shared" si="216"/>
        <v>1941</v>
      </c>
      <c r="G6956">
        <f t="shared" si="217"/>
        <v>4</v>
      </c>
      <c r="H6956" t="str">
        <f>IF(ISNUMBER(FIND(",", E6956)), TRIM(MID(E6956, FIND(",", E6956) + 1, LEN(E6956))), E6956)</f>
        <v>Mexico</v>
      </c>
    </row>
    <row r="6957" spans="1:8" x14ac:dyDescent="0.25">
      <c r="A6957" s="2">
        <v>15073</v>
      </c>
      <c r="B6957">
        <v>17.265000000000001</v>
      </c>
      <c r="C6957">
        <v>-78.590999999999994</v>
      </c>
      <c r="D6957" t="s">
        <v>14</v>
      </c>
      <c r="E6957" t="s">
        <v>709</v>
      </c>
      <c r="F6957">
        <f t="shared" si="216"/>
        <v>1941</v>
      </c>
      <c r="G6957">
        <f t="shared" si="217"/>
        <v>4</v>
      </c>
      <c r="H6957" t="str">
        <f>IF(ISNUMBER(FIND(",", E6957)), TRIM(MID(E6957, FIND(",", E6957) + 1, LEN(E6957))), E6957)</f>
        <v>Jamaica region</v>
      </c>
    </row>
    <row r="6958" spans="1:8" x14ac:dyDescent="0.25">
      <c r="A6958" s="2">
        <v>15069</v>
      </c>
      <c r="B6958">
        <v>-22.579000000000001</v>
      </c>
      <c r="C6958">
        <v>-66.641999999999996</v>
      </c>
      <c r="D6958" t="s">
        <v>13</v>
      </c>
      <c r="E6958" t="s">
        <v>347</v>
      </c>
      <c r="F6958">
        <f t="shared" si="216"/>
        <v>1941</v>
      </c>
      <c r="G6958">
        <f t="shared" si="217"/>
        <v>4</v>
      </c>
      <c r="H6958" t="str">
        <f>IF(ISNUMBER(FIND(",", E6958)), TRIM(MID(E6958, FIND(",", E6958) + 1, LEN(E6958))), E6958)</f>
        <v>Argentina</v>
      </c>
    </row>
    <row r="6959" spans="1:8" x14ac:dyDescent="0.25">
      <c r="A6959" s="2">
        <v>15051</v>
      </c>
      <c r="B6959">
        <v>50.234999999999999</v>
      </c>
      <c r="C6959">
        <v>157.27600000000001</v>
      </c>
      <c r="D6959" t="s">
        <v>17</v>
      </c>
      <c r="E6959" t="s">
        <v>191</v>
      </c>
      <c r="F6959">
        <f t="shared" si="216"/>
        <v>1941</v>
      </c>
      <c r="G6959">
        <f t="shared" si="217"/>
        <v>3</v>
      </c>
      <c r="H6959" t="str">
        <f>IF(ISNUMBER(FIND(",", E6959)), TRIM(MID(E6959, FIND(",", E6959) + 1, LEN(E6959))), E6959)</f>
        <v>Kuril Islands</v>
      </c>
    </row>
    <row r="6960" spans="1:8" x14ac:dyDescent="0.25">
      <c r="A6960" s="2">
        <v>15034</v>
      </c>
      <c r="B6960">
        <v>4.2149999999999999</v>
      </c>
      <c r="C6960">
        <v>127.01600000000001</v>
      </c>
      <c r="D6960" t="s">
        <v>17</v>
      </c>
      <c r="E6960" t="s">
        <v>372</v>
      </c>
      <c r="F6960">
        <f t="shared" si="216"/>
        <v>1941</v>
      </c>
      <c r="G6960">
        <f t="shared" si="217"/>
        <v>2</v>
      </c>
      <c r="H6960" t="str">
        <f>IF(ISNUMBER(FIND(",", E6960)), TRIM(MID(E6960, FIND(",", E6960) + 1, LEN(E6960))), E6960)</f>
        <v>Indonesia</v>
      </c>
    </row>
    <row r="6961" spans="1:8" x14ac:dyDescent="0.25">
      <c r="A6961" s="2">
        <v>15032</v>
      </c>
      <c r="B6961">
        <v>-9.2270000000000003</v>
      </c>
      <c r="C6961">
        <v>124.64</v>
      </c>
      <c r="D6961" t="s">
        <v>17</v>
      </c>
      <c r="E6961" t="s">
        <v>549</v>
      </c>
      <c r="F6961">
        <f t="shared" si="216"/>
        <v>1941</v>
      </c>
      <c r="G6961">
        <f t="shared" si="217"/>
        <v>2</v>
      </c>
      <c r="H6961" t="str">
        <f>IF(ISNUMBER(FIND(",", E6961)), TRIM(MID(E6961, FIND(",", E6961) + 1, LEN(E6961))), E6961)</f>
        <v>Timor region</v>
      </c>
    </row>
    <row r="6962" spans="1:8" x14ac:dyDescent="0.25">
      <c r="A6962" s="2">
        <v>15011</v>
      </c>
      <c r="B6962">
        <v>10.077999999999999</v>
      </c>
      <c r="C6962">
        <v>123.998</v>
      </c>
      <c r="D6962" t="s">
        <v>13</v>
      </c>
      <c r="E6962" t="s">
        <v>257</v>
      </c>
      <c r="F6962">
        <f t="shared" si="216"/>
        <v>1941</v>
      </c>
      <c r="G6962">
        <f t="shared" si="217"/>
        <v>2</v>
      </c>
      <c r="H6962" t="str">
        <f>IF(ISNUMBER(FIND(",", E6962)), TRIM(MID(E6962, FIND(",", E6962) + 1, LEN(E6962))), E6962)</f>
        <v>Philippines</v>
      </c>
    </row>
    <row r="6963" spans="1:8" x14ac:dyDescent="0.25">
      <c r="A6963" s="2">
        <v>15007</v>
      </c>
      <c r="B6963">
        <v>-6.36</v>
      </c>
      <c r="C6963">
        <v>129.09800000000001</v>
      </c>
      <c r="D6963" t="s">
        <v>17</v>
      </c>
      <c r="E6963" t="s">
        <v>187</v>
      </c>
      <c r="F6963">
        <f t="shared" si="216"/>
        <v>1941</v>
      </c>
      <c r="G6963">
        <f t="shared" si="217"/>
        <v>1</v>
      </c>
      <c r="H6963" t="str">
        <f>IF(ISNUMBER(FIND(",", E6963)), TRIM(MID(E6963, FIND(",", E6963) + 1, LEN(E6963))), E6963)</f>
        <v>Banda Sea</v>
      </c>
    </row>
    <row r="6964" spans="1:8" x14ac:dyDescent="0.25">
      <c r="A6964" s="2">
        <v>14997</v>
      </c>
      <c r="B6964">
        <v>27.338999999999999</v>
      </c>
      <c r="C6964">
        <v>91.713999999999999</v>
      </c>
      <c r="D6964" t="s">
        <v>17</v>
      </c>
      <c r="E6964" t="s">
        <v>354</v>
      </c>
      <c r="F6964">
        <f t="shared" si="216"/>
        <v>1941</v>
      </c>
      <c r="G6964">
        <f t="shared" si="217"/>
        <v>1</v>
      </c>
      <c r="H6964" t="str">
        <f>IF(ISNUMBER(FIND(",", E6964)), TRIM(MID(E6964, FIND(",", E6964) + 1, LEN(E6964))), E6964)</f>
        <v>Bhutan</v>
      </c>
    </row>
    <row r="6965" spans="1:8" x14ac:dyDescent="0.25">
      <c r="A6965" s="2">
        <v>14989</v>
      </c>
      <c r="B6965">
        <v>-4.72</v>
      </c>
      <c r="C6965">
        <v>152.316</v>
      </c>
      <c r="D6965" t="s">
        <v>14</v>
      </c>
      <c r="E6965" t="s">
        <v>190</v>
      </c>
      <c r="F6965">
        <f t="shared" si="216"/>
        <v>1941</v>
      </c>
      <c r="G6965">
        <f t="shared" si="217"/>
        <v>1</v>
      </c>
      <c r="H6965" t="str">
        <f>IF(ISNUMBER(FIND(",", E6965)), TRIM(MID(E6965, FIND(",", E6965) + 1, LEN(E6965))), E6965)</f>
        <v>Papua New Guinea</v>
      </c>
    </row>
    <row r="6966" spans="1:8" x14ac:dyDescent="0.25">
      <c r="A6966" s="2">
        <v>14981</v>
      </c>
      <c r="B6966">
        <v>1.7230000000000001</v>
      </c>
      <c r="C6966">
        <v>122.24</v>
      </c>
      <c r="D6966" t="s">
        <v>14</v>
      </c>
      <c r="E6966" t="s">
        <v>263</v>
      </c>
      <c r="F6966">
        <f t="shared" si="216"/>
        <v>1941</v>
      </c>
      <c r="G6966">
        <f t="shared" si="217"/>
        <v>1</v>
      </c>
      <c r="H6966" t="str">
        <f>IF(ISNUMBER(FIND(",", E6966)), TRIM(MID(E6966, FIND(",", E6966) + 1, LEN(E6966))), E6966)</f>
        <v>Sulawesi, Indonesia</v>
      </c>
    </row>
    <row r="6967" spans="1:8" x14ac:dyDescent="0.25">
      <c r="A6967" s="2">
        <v>14973</v>
      </c>
      <c r="B6967">
        <v>18.14</v>
      </c>
      <c r="C6967">
        <v>147.52699999999999</v>
      </c>
      <c r="D6967" t="s">
        <v>13</v>
      </c>
      <c r="E6967" t="s">
        <v>72</v>
      </c>
      <c r="F6967">
        <f t="shared" si="216"/>
        <v>1940</v>
      </c>
      <c r="G6967">
        <f t="shared" si="217"/>
        <v>12</v>
      </c>
      <c r="H6967" t="str">
        <f>IF(ISNUMBER(FIND(",", E6967)), TRIM(MID(E6967, FIND(",", E6967) + 1, LEN(E6967))), E6967)</f>
        <v>Mariana Islands region</v>
      </c>
    </row>
    <row r="6968" spans="1:8" x14ac:dyDescent="0.25">
      <c r="A6968" s="2">
        <v>14967</v>
      </c>
      <c r="B6968">
        <v>-15.009</v>
      </c>
      <c r="C6968">
        <v>-69.429000000000002</v>
      </c>
      <c r="D6968" t="s">
        <v>13</v>
      </c>
      <c r="E6968" t="s">
        <v>555</v>
      </c>
      <c r="F6968">
        <f t="shared" si="216"/>
        <v>1940</v>
      </c>
      <c r="G6968">
        <f t="shared" si="217"/>
        <v>12</v>
      </c>
      <c r="H6968" t="str">
        <f>IF(ISNUMBER(FIND(",", E6968)), TRIM(MID(E6968, FIND(",", E6968) + 1, LEN(E6968))), E6968)</f>
        <v>Peru-Bolivia border region</v>
      </c>
    </row>
    <row r="6969" spans="1:8" x14ac:dyDescent="0.25">
      <c r="A6969" s="2">
        <v>14942</v>
      </c>
      <c r="B6969">
        <v>-3.7109999999999999</v>
      </c>
      <c r="C6969">
        <v>150.96299999999999</v>
      </c>
      <c r="D6969" t="s">
        <v>17</v>
      </c>
      <c r="E6969" t="s">
        <v>183</v>
      </c>
      <c r="F6969">
        <f t="shared" si="216"/>
        <v>1940</v>
      </c>
      <c r="G6969">
        <f t="shared" si="217"/>
        <v>11</v>
      </c>
      <c r="H6969" t="str">
        <f>IF(ISNUMBER(FIND(",", E6969)), TRIM(MID(E6969, FIND(",", E6969) + 1, LEN(E6969))), E6969)</f>
        <v>Papua New Guinea</v>
      </c>
    </row>
    <row r="6970" spans="1:8" x14ac:dyDescent="0.25">
      <c r="A6970" s="2">
        <v>14934</v>
      </c>
      <c r="B6970">
        <v>39.018999999999998</v>
      </c>
      <c r="C6970">
        <v>142.244</v>
      </c>
      <c r="D6970" t="s">
        <v>14</v>
      </c>
      <c r="E6970" t="s">
        <v>227</v>
      </c>
      <c r="F6970">
        <f t="shared" si="216"/>
        <v>1940</v>
      </c>
      <c r="G6970">
        <f t="shared" si="217"/>
        <v>11</v>
      </c>
      <c r="H6970" t="str">
        <f>IF(ISNUMBER(FIND(",", E6970)), TRIM(MID(E6970, FIND(",", E6970) + 1, LEN(E6970))), E6970)</f>
        <v>Japan</v>
      </c>
    </row>
    <row r="6971" spans="1:8" x14ac:dyDescent="0.25">
      <c r="A6971" s="2">
        <v>14925</v>
      </c>
      <c r="B6971">
        <v>45.773000000000003</v>
      </c>
      <c r="C6971">
        <v>26.655000000000001</v>
      </c>
      <c r="D6971" t="s">
        <v>13</v>
      </c>
      <c r="E6971" t="s">
        <v>575</v>
      </c>
      <c r="F6971">
        <f t="shared" si="216"/>
        <v>1940</v>
      </c>
      <c r="G6971">
        <f t="shared" si="217"/>
        <v>11</v>
      </c>
      <c r="H6971" t="str">
        <f>IF(ISNUMBER(FIND(",", E6971)), TRIM(MID(E6971, FIND(",", E6971) + 1, LEN(E6971))), E6971)</f>
        <v>Romania</v>
      </c>
    </row>
    <row r="6972" spans="1:8" x14ac:dyDescent="0.25">
      <c r="A6972" s="2">
        <v>14922</v>
      </c>
      <c r="B6972">
        <v>30.238</v>
      </c>
      <c r="C6972">
        <v>138.85300000000001</v>
      </c>
      <c r="D6972" t="s">
        <v>17</v>
      </c>
      <c r="E6972" t="s">
        <v>88</v>
      </c>
      <c r="F6972">
        <f t="shared" si="216"/>
        <v>1940</v>
      </c>
      <c r="G6972">
        <f t="shared" si="217"/>
        <v>11</v>
      </c>
      <c r="H6972" t="str">
        <f>IF(ISNUMBER(FIND(",", E6972)), TRIM(MID(E6972, FIND(",", E6972) + 1, LEN(E6972))), E6972)</f>
        <v>Japan region</v>
      </c>
    </row>
    <row r="6973" spans="1:8" x14ac:dyDescent="0.25">
      <c r="A6973" s="2">
        <v>14911</v>
      </c>
      <c r="B6973">
        <v>9.8209999999999997</v>
      </c>
      <c r="C6973">
        <v>-84.356999999999999</v>
      </c>
      <c r="D6973" t="s">
        <v>17</v>
      </c>
      <c r="E6973" t="s">
        <v>202</v>
      </c>
      <c r="F6973">
        <f t="shared" si="216"/>
        <v>1940</v>
      </c>
      <c r="G6973">
        <f t="shared" si="217"/>
        <v>10</v>
      </c>
      <c r="H6973" t="str">
        <f>IF(ISNUMBER(FIND(",", E6973)), TRIM(MID(E6973, FIND(",", E6973) + 1, LEN(E6973))), E6973)</f>
        <v>Costa Rica</v>
      </c>
    </row>
    <row r="6974" spans="1:8" x14ac:dyDescent="0.25">
      <c r="A6974" s="2">
        <v>14908</v>
      </c>
      <c r="B6974">
        <v>-34.353000000000002</v>
      </c>
      <c r="C6974">
        <v>-71.287999999999997</v>
      </c>
      <c r="D6974" t="s">
        <v>17</v>
      </c>
      <c r="E6974" t="s">
        <v>334</v>
      </c>
      <c r="F6974">
        <f t="shared" si="216"/>
        <v>1940</v>
      </c>
      <c r="G6974">
        <f t="shared" si="217"/>
        <v>10</v>
      </c>
      <c r="H6974" t="str">
        <f>IF(ISNUMBER(FIND(",", E6974)), TRIM(MID(E6974, FIND(",", E6974) + 1, LEN(E6974))), E6974)</f>
        <v>Chile</v>
      </c>
    </row>
    <row r="6975" spans="1:8" x14ac:dyDescent="0.25">
      <c r="A6975" s="2">
        <v>14895</v>
      </c>
      <c r="B6975">
        <v>-42.042000000000002</v>
      </c>
      <c r="C6975">
        <v>-73.933000000000007</v>
      </c>
      <c r="D6975" t="s">
        <v>14</v>
      </c>
      <c r="E6975" t="s">
        <v>710</v>
      </c>
      <c r="F6975">
        <f t="shared" si="216"/>
        <v>1940</v>
      </c>
      <c r="G6975">
        <f t="shared" si="217"/>
        <v>10</v>
      </c>
      <c r="H6975" t="str">
        <f>IF(ISNUMBER(FIND(",", E6975)), TRIM(MID(E6975, FIND(",", E6975) + 1, LEN(E6975))), E6975)</f>
        <v>Los Lagos, Chile</v>
      </c>
    </row>
    <row r="6976" spans="1:8" x14ac:dyDescent="0.25">
      <c r="A6976" s="2">
        <v>14891</v>
      </c>
      <c r="B6976">
        <v>5.29</v>
      </c>
      <c r="C6976">
        <v>126.136</v>
      </c>
      <c r="D6976" t="s">
        <v>13</v>
      </c>
      <c r="E6976" t="s">
        <v>200</v>
      </c>
      <c r="F6976">
        <f t="shared" si="216"/>
        <v>1940</v>
      </c>
      <c r="G6976">
        <f t="shared" si="217"/>
        <v>10</v>
      </c>
      <c r="H6976" t="str">
        <f>IF(ISNUMBER(FIND(",", E6976)), TRIM(MID(E6976, FIND(",", E6976) + 1, LEN(E6976))), E6976)</f>
        <v>Philippines</v>
      </c>
    </row>
    <row r="6977" spans="1:8" x14ac:dyDescent="0.25">
      <c r="A6977" s="2">
        <v>14890</v>
      </c>
      <c r="B6977">
        <v>-20.003</v>
      </c>
      <c r="C6977">
        <v>-71.021000000000001</v>
      </c>
      <c r="D6977" t="s">
        <v>17</v>
      </c>
      <c r="E6977" t="s">
        <v>711</v>
      </c>
      <c r="F6977">
        <f t="shared" si="216"/>
        <v>1940</v>
      </c>
      <c r="G6977">
        <f t="shared" si="217"/>
        <v>10</v>
      </c>
      <c r="H6977" t="str">
        <f>IF(ISNUMBER(FIND(",", E6977)), TRIM(MID(E6977, FIND(",", E6977) + 1, LEN(E6977))), E6977)</f>
        <v>Chile</v>
      </c>
    </row>
    <row r="6978" spans="1:8" x14ac:dyDescent="0.25">
      <c r="A6978" s="2">
        <v>14888</v>
      </c>
      <c r="B6978">
        <v>-20.591999999999999</v>
      </c>
      <c r="C6978">
        <v>-70.718000000000004</v>
      </c>
      <c r="D6978" t="s">
        <v>13</v>
      </c>
      <c r="E6978" t="s">
        <v>327</v>
      </c>
      <c r="F6978">
        <f t="shared" ref="F6978:F7041" si="218">YEAR(A6978)</f>
        <v>1940</v>
      </c>
      <c r="G6978">
        <f t="shared" si="217"/>
        <v>10</v>
      </c>
      <c r="H6978" t="str">
        <f>IF(ISNUMBER(FIND(",", E6978)), TRIM(MID(E6978, FIND(",", E6978) + 1, LEN(E6978))), E6978)</f>
        <v>Chile</v>
      </c>
    </row>
    <row r="6979" spans="1:8" x14ac:dyDescent="0.25">
      <c r="A6979" s="2">
        <v>14880</v>
      </c>
      <c r="B6979">
        <v>-11.5</v>
      </c>
      <c r="C6979">
        <v>166.25</v>
      </c>
      <c r="D6979" t="s">
        <v>17</v>
      </c>
      <c r="E6979" t="s">
        <v>211</v>
      </c>
      <c r="F6979">
        <f t="shared" si="218"/>
        <v>1940</v>
      </c>
      <c r="G6979">
        <f t="shared" ref="G6979:G7042" si="219">MONTH(A6979)</f>
        <v>9</v>
      </c>
      <c r="H6979" t="str">
        <f>IF(ISNUMBER(FIND(",", E6979)), TRIM(MID(E6979, FIND(",", E6979) + 1, LEN(E6979))), E6979)</f>
        <v>Santa Cruz Islands</v>
      </c>
    </row>
    <row r="6980" spans="1:8" x14ac:dyDescent="0.25">
      <c r="A6980" s="2">
        <v>14876</v>
      </c>
      <c r="B6980">
        <v>8</v>
      </c>
      <c r="C6980">
        <v>124</v>
      </c>
      <c r="D6980" t="s">
        <v>13</v>
      </c>
      <c r="E6980" t="s">
        <v>200</v>
      </c>
      <c r="F6980">
        <f t="shared" si="218"/>
        <v>1940</v>
      </c>
      <c r="G6980">
        <f t="shared" si="219"/>
        <v>9</v>
      </c>
      <c r="H6980" t="str">
        <f>IF(ISNUMBER(FIND(",", E6980)), TRIM(MID(E6980, FIND(",", E6980) + 1, LEN(E6980))), E6980)</f>
        <v>Philippines</v>
      </c>
    </row>
    <row r="6981" spans="1:8" x14ac:dyDescent="0.25">
      <c r="A6981" s="2">
        <v>14873</v>
      </c>
      <c r="B6981">
        <v>-24</v>
      </c>
      <c r="C6981">
        <v>171</v>
      </c>
      <c r="D6981" t="s">
        <v>13</v>
      </c>
      <c r="E6981" t="s">
        <v>254</v>
      </c>
      <c r="F6981">
        <f t="shared" si="218"/>
        <v>1940</v>
      </c>
      <c r="G6981">
        <f t="shared" si="219"/>
        <v>9</v>
      </c>
      <c r="H6981" t="str">
        <f>IF(ISNUMBER(FIND(",", E6981)), TRIM(MID(E6981, FIND(",", E6981) + 1, LEN(E6981))), E6981)</f>
        <v>southeast of the Loyalty Islands</v>
      </c>
    </row>
    <row r="6982" spans="1:8" x14ac:dyDescent="0.25">
      <c r="A6982" s="2">
        <v>14866</v>
      </c>
      <c r="B6982">
        <v>-4.5</v>
      </c>
      <c r="C6982">
        <v>153</v>
      </c>
      <c r="D6982" t="s">
        <v>14</v>
      </c>
      <c r="E6982" t="s">
        <v>183</v>
      </c>
      <c r="F6982">
        <f t="shared" si="218"/>
        <v>1940</v>
      </c>
      <c r="G6982">
        <f t="shared" si="219"/>
        <v>9</v>
      </c>
      <c r="H6982" t="str">
        <f>IF(ISNUMBER(FIND(",", E6982)), TRIM(MID(E6982, FIND(",", E6982) + 1, LEN(E6982))), E6982)</f>
        <v>Papua New Guinea</v>
      </c>
    </row>
    <row r="6983" spans="1:8" x14ac:dyDescent="0.25">
      <c r="A6983" s="2">
        <v>14845</v>
      </c>
      <c r="B6983">
        <v>53</v>
      </c>
      <c r="C6983">
        <v>-165.5</v>
      </c>
      <c r="D6983" t="s">
        <v>14</v>
      </c>
      <c r="E6983" t="s">
        <v>219</v>
      </c>
      <c r="F6983">
        <f t="shared" si="218"/>
        <v>1940</v>
      </c>
      <c r="G6983">
        <f t="shared" si="219"/>
        <v>8</v>
      </c>
      <c r="H6983" t="str">
        <f>IF(ISNUMBER(FIND(",", E6983)), TRIM(MID(E6983, FIND(",", E6983) + 1, LEN(E6983))), E6983)</f>
        <v>Aleutian Islands, Alaska</v>
      </c>
    </row>
    <row r="6984" spans="1:8" x14ac:dyDescent="0.25">
      <c r="A6984" s="2">
        <v>14836</v>
      </c>
      <c r="B6984">
        <v>36</v>
      </c>
      <c r="C6984">
        <v>132</v>
      </c>
      <c r="D6984" t="s">
        <v>17</v>
      </c>
      <c r="E6984" t="s">
        <v>420</v>
      </c>
      <c r="F6984">
        <f t="shared" si="218"/>
        <v>1940</v>
      </c>
      <c r="G6984">
        <f t="shared" si="219"/>
        <v>8</v>
      </c>
      <c r="H6984" t="str">
        <f>IF(ISNUMBER(FIND(",", E6984)), TRIM(MID(E6984, FIND(",", E6984) + 1, LEN(E6984))), E6984)</f>
        <v>Sea of Japan</v>
      </c>
    </row>
    <row r="6985" spans="1:8" x14ac:dyDescent="0.25">
      <c r="A6985" s="2">
        <v>14824</v>
      </c>
      <c r="B6985">
        <v>44.508000000000003</v>
      </c>
      <c r="C6985">
        <v>139.82900000000001</v>
      </c>
      <c r="D6985" t="s">
        <v>16</v>
      </c>
      <c r="E6985" t="s">
        <v>540</v>
      </c>
      <c r="F6985">
        <f t="shared" si="218"/>
        <v>1940</v>
      </c>
      <c r="G6985">
        <f t="shared" si="219"/>
        <v>8</v>
      </c>
      <c r="H6985" t="str">
        <f>IF(ISNUMBER(FIND(",", E6985)), TRIM(MID(E6985, FIND(",", E6985) + 1, LEN(E6985))), E6985)</f>
        <v>eastern Sea of Japan</v>
      </c>
    </row>
    <row r="6986" spans="1:8" x14ac:dyDescent="0.25">
      <c r="A6986" s="2">
        <v>14824</v>
      </c>
      <c r="B6986">
        <v>-26.471</v>
      </c>
      <c r="C6986">
        <v>179.84800000000001</v>
      </c>
      <c r="D6986" t="s">
        <v>17</v>
      </c>
      <c r="E6986" t="s">
        <v>256</v>
      </c>
      <c r="F6986">
        <f t="shared" si="218"/>
        <v>1940</v>
      </c>
      <c r="G6986">
        <f t="shared" si="219"/>
        <v>8</v>
      </c>
      <c r="H6986" t="str">
        <f>IF(ISNUMBER(FIND(",", E6986)), TRIM(MID(E6986, FIND(",", E6986) + 1, LEN(E6986))), E6986)</f>
        <v>south of the Fiji Islands</v>
      </c>
    </row>
    <row r="6987" spans="1:8" x14ac:dyDescent="0.25">
      <c r="A6987" s="2">
        <v>14819</v>
      </c>
      <c r="B6987">
        <v>14.06</v>
      </c>
      <c r="C6987">
        <v>-91.429000000000002</v>
      </c>
      <c r="D6987" t="s">
        <v>17</v>
      </c>
      <c r="E6987" t="s">
        <v>371</v>
      </c>
      <c r="F6987">
        <f t="shared" si="218"/>
        <v>1940</v>
      </c>
      <c r="G6987">
        <f t="shared" si="219"/>
        <v>7</v>
      </c>
      <c r="H6987" t="str">
        <f>IF(ISNUMBER(FIND(",", E6987)), TRIM(MID(E6987, FIND(",", E6987) + 1, LEN(E6987))), E6987)</f>
        <v>Guatemala</v>
      </c>
    </row>
    <row r="6988" spans="1:8" x14ac:dyDescent="0.25">
      <c r="A6988" s="2">
        <v>14806</v>
      </c>
      <c r="B6988">
        <v>52.116999999999997</v>
      </c>
      <c r="C6988">
        <v>178.15899999999999</v>
      </c>
      <c r="D6988" t="s">
        <v>13</v>
      </c>
      <c r="E6988" t="s">
        <v>366</v>
      </c>
      <c r="F6988">
        <f t="shared" si="218"/>
        <v>1940</v>
      </c>
      <c r="G6988">
        <f t="shared" si="219"/>
        <v>7</v>
      </c>
      <c r="H6988" t="str">
        <f>IF(ISNUMBER(FIND(",", E6988)), TRIM(MID(E6988, FIND(",", E6988) + 1, LEN(E6988))), E6988)</f>
        <v>Aleutian Islands, Alaska</v>
      </c>
    </row>
    <row r="6989" spans="1:8" x14ac:dyDescent="0.25">
      <c r="A6989" s="2">
        <v>14802</v>
      </c>
      <c r="B6989">
        <v>44.386000000000003</v>
      </c>
      <c r="C6989">
        <v>130.77699999999999</v>
      </c>
      <c r="D6989" t="s">
        <v>13</v>
      </c>
      <c r="E6989" t="s">
        <v>489</v>
      </c>
      <c r="F6989">
        <f t="shared" si="218"/>
        <v>1940</v>
      </c>
      <c r="G6989">
        <f t="shared" si="219"/>
        <v>7</v>
      </c>
      <c r="H6989" t="str">
        <f>IF(ISNUMBER(FIND(",", E6989)), TRIM(MID(E6989, FIND(",", E6989) + 1, LEN(E6989))), E6989)</f>
        <v>China</v>
      </c>
    </row>
    <row r="6990" spans="1:8" x14ac:dyDescent="0.25">
      <c r="A6990" s="2">
        <v>14784</v>
      </c>
      <c r="B6990">
        <v>-7.0000000000000007E-2</v>
      </c>
      <c r="C6990">
        <v>122.809</v>
      </c>
      <c r="D6990" t="s">
        <v>17</v>
      </c>
      <c r="E6990" t="s">
        <v>182</v>
      </c>
      <c r="F6990">
        <f t="shared" si="218"/>
        <v>1940</v>
      </c>
      <c r="G6990">
        <f t="shared" si="219"/>
        <v>6</v>
      </c>
      <c r="H6990" t="str">
        <f>IF(ISNUMBER(FIND(",", E6990)), TRIM(MID(E6990, FIND(",", E6990) + 1, LEN(E6990))), E6990)</f>
        <v>Indonesia</v>
      </c>
    </row>
    <row r="6991" spans="1:8" x14ac:dyDescent="0.25">
      <c r="A6991" s="2">
        <v>14759</v>
      </c>
      <c r="B6991">
        <v>-2.3180000000000001</v>
      </c>
      <c r="C6991">
        <v>139.15</v>
      </c>
      <c r="D6991" t="s">
        <v>14</v>
      </c>
      <c r="E6991" t="s">
        <v>241</v>
      </c>
      <c r="F6991">
        <f t="shared" si="218"/>
        <v>1940</v>
      </c>
      <c r="G6991">
        <f t="shared" si="219"/>
        <v>5</v>
      </c>
      <c r="H6991" t="str">
        <f>IF(ISNUMBER(FIND(",", E6991)), TRIM(MID(E6991, FIND(",", E6991) + 1, LEN(E6991))), E6991)</f>
        <v>Indonesia</v>
      </c>
    </row>
    <row r="6992" spans="1:8" x14ac:dyDescent="0.25">
      <c r="A6992" s="2">
        <v>14755</v>
      </c>
      <c r="B6992">
        <v>-11.119</v>
      </c>
      <c r="C6992">
        <v>-77.629000000000005</v>
      </c>
      <c r="D6992" t="s">
        <v>16</v>
      </c>
      <c r="E6992" t="s">
        <v>258</v>
      </c>
      <c r="F6992">
        <f t="shared" si="218"/>
        <v>1940</v>
      </c>
      <c r="G6992">
        <f t="shared" si="219"/>
        <v>5</v>
      </c>
      <c r="H6992" t="str">
        <f>IF(ISNUMBER(FIND(",", E6992)), TRIM(MID(E6992, FIND(",", E6992) + 1, LEN(E6992))), E6992)</f>
        <v>near the coast of central Peru</v>
      </c>
    </row>
    <row r="6993" spans="1:8" x14ac:dyDescent="0.25">
      <c r="A6993" s="2">
        <v>14750</v>
      </c>
      <c r="B6993">
        <v>50.573999999999998</v>
      </c>
      <c r="C6993">
        <v>149.13300000000001</v>
      </c>
      <c r="D6993" t="s">
        <v>17</v>
      </c>
      <c r="E6993" t="s">
        <v>74</v>
      </c>
      <c r="F6993">
        <f t="shared" si="218"/>
        <v>1940</v>
      </c>
      <c r="G6993">
        <f t="shared" si="219"/>
        <v>5</v>
      </c>
      <c r="H6993" t="str">
        <f>IF(ISNUMBER(FIND(",", E6993)), TRIM(MID(E6993, FIND(",", E6993) + 1, LEN(E6993))), E6993)</f>
        <v>Sea of Okhotsk</v>
      </c>
    </row>
    <row r="6994" spans="1:8" x14ac:dyDescent="0.25">
      <c r="A6994" s="2">
        <v>14750</v>
      </c>
      <c r="B6994">
        <v>33.222000000000001</v>
      </c>
      <c r="C6994">
        <v>-115.697</v>
      </c>
      <c r="D6994" t="s">
        <v>14</v>
      </c>
      <c r="E6994" t="s">
        <v>521</v>
      </c>
      <c r="F6994">
        <f t="shared" si="218"/>
        <v>1940</v>
      </c>
      <c r="G6994">
        <f t="shared" si="219"/>
        <v>5</v>
      </c>
      <c r="H6994" t="str">
        <f>IF(ISNUMBER(FIND(",", E6994)), TRIM(MID(E6994, FIND(",", E6994) + 1, LEN(E6994))), E6994)</f>
        <v>Southern California</v>
      </c>
    </row>
    <row r="6995" spans="1:8" x14ac:dyDescent="0.25">
      <c r="A6995" s="2">
        <v>14728</v>
      </c>
      <c r="B6995">
        <v>1.3049999999999999</v>
      </c>
      <c r="C6995">
        <v>-19.177</v>
      </c>
      <c r="D6995" t="s">
        <v>17</v>
      </c>
      <c r="E6995" t="s">
        <v>291</v>
      </c>
      <c r="F6995">
        <f t="shared" si="218"/>
        <v>1940</v>
      </c>
      <c r="G6995">
        <f t="shared" si="219"/>
        <v>4</v>
      </c>
      <c r="H6995" t="str">
        <f>IF(ISNUMBER(FIND(",", E6995)), TRIM(MID(E6995, FIND(",", E6995) + 1, LEN(E6995))), E6995)</f>
        <v>central Mid-Atlantic Ridge</v>
      </c>
    </row>
    <row r="6996" spans="1:8" x14ac:dyDescent="0.25">
      <c r="A6996" s="2">
        <v>14717</v>
      </c>
      <c r="B6996">
        <v>52.817999999999998</v>
      </c>
      <c r="C6996">
        <v>173.345</v>
      </c>
      <c r="D6996" t="s">
        <v>14</v>
      </c>
      <c r="E6996" t="s">
        <v>184</v>
      </c>
      <c r="F6996">
        <f t="shared" si="218"/>
        <v>1940</v>
      </c>
      <c r="G6996">
        <f t="shared" si="219"/>
        <v>4</v>
      </c>
      <c r="H6996" t="str">
        <f>IF(ISNUMBER(FIND(",", E6996)), TRIM(MID(E6996, FIND(",", E6996) + 1, LEN(E6996))), E6996)</f>
        <v>Aleutian Islands, Alaska</v>
      </c>
    </row>
    <row r="6997" spans="1:8" x14ac:dyDescent="0.25">
      <c r="A6997" s="2">
        <v>14717</v>
      </c>
      <c r="B6997">
        <v>52.167999999999999</v>
      </c>
      <c r="C6997">
        <v>173.72</v>
      </c>
      <c r="D6997" t="s">
        <v>14</v>
      </c>
      <c r="E6997" t="s">
        <v>184</v>
      </c>
      <c r="F6997">
        <f t="shared" si="218"/>
        <v>1940</v>
      </c>
      <c r="G6997">
        <f t="shared" si="219"/>
        <v>4</v>
      </c>
      <c r="H6997" t="str">
        <f>IF(ISNUMBER(FIND(",", E6997)), TRIM(MID(E6997, FIND(",", E6997) + 1, LEN(E6997))), E6997)</f>
        <v>Aleutian Islands, Alaska</v>
      </c>
    </row>
    <row r="6998" spans="1:8" x14ac:dyDescent="0.25">
      <c r="A6998" s="2">
        <v>14702</v>
      </c>
      <c r="B6998">
        <v>-3.1040000000000001</v>
      </c>
      <c r="C6998">
        <v>139.357</v>
      </c>
      <c r="D6998" t="s">
        <v>17</v>
      </c>
      <c r="E6998" t="s">
        <v>210</v>
      </c>
      <c r="F6998">
        <f t="shared" si="218"/>
        <v>1940</v>
      </c>
      <c r="G6998">
        <f t="shared" si="219"/>
        <v>4</v>
      </c>
      <c r="H6998" t="str">
        <f>IF(ISNUMBER(FIND(",", E6998)), TRIM(MID(E6998, FIND(",", E6998) + 1, LEN(E6998))), E6998)</f>
        <v>Indonesia</v>
      </c>
    </row>
    <row r="6999" spans="1:8" x14ac:dyDescent="0.25">
      <c r="A6999" s="2">
        <v>14698</v>
      </c>
      <c r="B6999">
        <v>14.5</v>
      </c>
      <c r="C6999">
        <v>120</v>
      </c>
      <c r="D6999" t="s">
        <v>17</v>
      </c>
      <c r="E6999" t="s">
        <v>297</v>
      </c>
      <c r="F6999">
        <f t="shared" si="218"/>
        <v>1940</v>
      </c>
      <c r="G6999">
        <f t="shared" si="219"/>
        <v>3</v>
      </c>
      <c r="H6999" t="str">
        <f>IF(ISNUMBER(FIND(",", E6999)), TRIM(MID(E6999, FIND(",", E6999) + 1, LEN(E6999))), E6999)</f>
        <v>Philippines</v>
      </c>
    </row>
    <row r="7000" spans="1:8" x14ac:dyDescent="0.25">
      <c r="A7000" s="2">
        <v>14691</v>
      </c>
      <c r="B7000">
        <v>-10.185</v>
      </c>
      <c r="C7000">
        <v>107.848</v>
      </c>
      <c r="D7000" t="s">
        <v>17</v>
      </c>
      <c r="E7000" t="s">
        <v>212</v>
      </c>
      <c r="F7000">
        <f t="shared" si="218"/>
        <v>1940</v>
      </c>
      <c r="G7000">
        <f t="shared" si="219"/>
        <v>3</v>
      </c>
      <c r="H7000" t="str">
        <f>IF(ISNUMBER(FIND(",", E7000)), TRIM(MID(E7000, FIND(",", E7000) + 1, LEN(E7000))), E7000)</f>
        <v>Indonesia</v>
      </c>
    </row>
    <row r="7001" spans="1:8" x14ac:dyDescent="0.25">
      <c r="A7001" s="2">
        <v>14684</v>
      </c>
      <c r="B7001">
        <v>-55.600999999999999</v>
      </c>
      <c r="C7001">
        <v>147.38200000000001</v>
      </c>
      <c r="D7001" t="s">
        <v>17</v>
      </c>
      <c r="E7001" t="s">
        <v>205</v>
      </c>
      <c r="F7001">
        <f t="shared" si="218"/>
        <v>1940</v>
      </c>
      <c r="G7001">
        <f t="shared" si="219"/>
        <v>3</v>
      </c>
      <c r="H7001" t="str">
        <f>IF(ISNUMBER(FIND(",", E7001)), TRIM(MID(E7001, FIND(",", E7001) + 1, LEN(E7001))), E7001)</f>
        <v>west of Macquarie Island</v>
      </c>
    </row>
    <row r="7002" spans="1:8" x14ac:dyDescent="0.25">
      <c r="A7002" s="2">
        <v>14665</v>
      </c>
      <c r="B7002">
        <v>-2.3039999999999998</v>
      </c>
      <c r="C7002">
        <v>141.952</v>
      </c>
      <c r="D7002" t="s">
        <v>17</v>
      </c>
      <c r="E7002" t="s">
        <v>216</v>
      </c>
      <c r="F7002">
        <f t="shared" si="218"/>
        <v>1940</v>
      </c>
      <c r="G7002">
        <f t="shared" si="219"/>
        <v>2</v>
      </c>
      <c r="H7002" t="str">
        <f>IF(ISNUMBER(FIND(",", E7002)), TRIM(MID(E7002, FIND(",", E7002) + 1, LEN(E7002))), E7002)</f>
        <v>Papua New Guinea</v>
      </c>
    </row>
    <row r="7003" spans="1:8" x14ac:dyDescent="0.25">
      <c r="A7003" s="2">
        <v>14661</v>
      </c>
      <c r="B7003">
        <v>-13.776</v>
      </c>
      <c r="C7003">
        <v>167.13800000000001</v>
      </c>
      <c r="D7003" t="s">
        <v>13</v>
      </c>
      <c r="E7003" t="s">
        <v>181</v>
      </c>
      <c r="F7003">
        <f t="shared" si="218"/>
        <v>1940</v>
      </c>
      <c r="G7003">
        <f t="shared" si="219"/>
        <v>2</v>
      </c>
      <c r="H7003" t="str">
        <f>IF(ISNUMBER(FIND(",", E7003)), TRIM(MID(E7003, FIND(",", E7003) + 1, LEN(E7003))), E7003)</f>
        <v>Vanuatu</v>
      </c>
    </row>
    <row r="7004" spans="1:8" x14ac:dyDescent="0.25">
      <c r="A7004" s="2">
        <v>14653</v>
      </c>
      <c r="B7004">
        <v>54.957999999999998</v>
      </c>
      <c r="C7004">
        <v>-161.18199999999999</v>
      </c>
      <c r="D7004" t="s">
        <v>17</v>
      </c>
      <c r="E7004" t="s">
        <v>285</v>
      </c>
      <c r="F7004">
        <f t="shared" si="218"/>
        <v>1940</v>
      </c>
      <c r="G7004">
        <f t="shared" si="219"/>
        <v>2</v>
      </c>
      <c r="H7004" t="str">
        <f>IF(ISNUMBER(FIND(",", E7004)), TRIM(MID(E7004, FIND(",", E7004) + 1, LEN(E7004))), E7004)</f>
        <v>Alaska Peninsula</v>
      </c>
    </row>
    <row r="7005" spans="1:8" x14ac:dyDescent="0.25">
      <c r="A7005" s="2">
        <v>14653</v>
      </c>
      <c r="B7005">
        <v>-23.271999999999998</v>
      </c>
      <c r="C7005">
        <v>-177.64599999999999</v>
      </c>
      <c r="D7005" t="s">
        <v>17</v>
      </c>
      <c r="E7005" t="s">
        <v>256</v>
      </c>
      <c r="F7005">
        <f t="shared" si="218"/>
        <v>1940</v>
      </c>
      <c r="G7005">
        <f t="shared" si="219"/>
        <v>2</v>
      </c>
      <c r="H7005" t="str">
        <f>IF(ISNUMBER(FIND(",", E7005)), TRIM(MID(E7005, FIND(",", E7005) + 1, LEN(E7005))), E7005)</f>
        <v>south of the Fiji Islands</v>
      </c>
    </row>
    <row r="7006" spans="1:8" x14ac:dyDescent="0.25">
      <c r="A7006" s="2">
        <v>14648</v>
      </c>
      <c r="B7006">
        <v>51.323</v>
      </c>
      <c r="C7006">
        <v>174.9</v>
      </c>
      <c r="D7006" t="s">
        <v>13</v>
      </c>
      <c r="E7006" t="s">
        <v>184</v>
      </c>
      <c r="F7006">
        <f t="shared" si="218"/>
        <v>1940</v>
      </c>
      <c r="G7006">
        <f t="shared" si="219"/>
        <v>2</v>
      </c>
      <c r="H7006" t="str">
        <f>IF(ISNUMBER(FIND(",", E7006)), TRIM(MID(E7006, FIND(",", E7006) + 1, LEN(E7006))), E7006)</f>
        <v>Aleutian Islands, Alaska</v>
      </c>
    </row>
    <row r="7007" spans="1:8" x14ac:dyDescent="0.25">
      <c r="A7007" s="2">
        <v>14636</v>
      </c>
      <c r="B7007">
        <v>27.445</v>
      </c>
      <c r="C7007">
        <v>132.047</v>
      </c>
      <c r="D7007" t="s">
        <v>17</v>
      </c>
      <c r="E7007" t="s">
        <v>612</v>
      </c>
      <c r="F7007">
        <f t="shared" si="218"/>
        <v>1940</v>
      </c>
      <c r="G7007">
        <f t="shared" si="219"/>
        <v>1</v>
      </c>
      <c r="H7007" t="str">
        <f>IF(ISNUMBER(FIND(",", E7007)), TRIM(MID(E7007, FIND(",", E7007) + 1, LEN(E7007))), E7007)</f>
        <v>Japan</v>
      </c>
    </row>
    <row r="7008" spans="1:8" x14ac:dyDescent="0.25">
      <c r="A7008" s="2">
        <v>14630</v>
      </c>
      <c r="B7008">
        <v>-55</v>
      </c>
      <c r="C7008">
        <v>-133</v>
      </c>
      <c r="D7008" t="s">
        <v>17</v>
      </c>
      <c r="E7008" t="s">
        <v>179</v>
      </c>
      <c r="F7008">
        <f t="shared" si="218"/>
        <v>1940</v>
      </c>
      <c r="G7008">
        <f t="shared" si="219"/>
        <v>1</v>
      </c>
      <c r="H7008" t="str">
        <f>IF(ISNUMBER(FIND(",", E7008)), TRIM(MID(E7008, FIND(",", E7008) + 1, LEN(E7008))), E7008)</f>
        <v>Pacific-Antarctic Ridge</v>
      </c>
    </row>
    <row r="7009" spans="1:8" x14ac:dyDescent="0.25">
      <c r="A7009" s="2">
        <v>14627</v>
      </c>
      <c r="B7009">
        <v>17.244</v>
      </c>
      <c r="C7009">
        <v>148.21799999999999</v>
      </c>
      <c r="D7009" t="s">
        <v>13</v>
      </c>
      <c r="E7009" t="s">
        <v>72</v>
      </c>
      <c r="F7009">
        <f t="shared" si="218"/>
        <v>1940</v>
      </c>
      <c r="G7009">
        <f t="shared" si="219"/>
        <v>1</v>
      </c>
      <c r="H7009" t="str">
        <f>IF(ISNUMBER(FIND(",", E7009)), TRIM(MID(E7009, FIND(",", E7009) + 1, LEN(E7009))), E7009)</f>
        <v>Mariana Islands region</v>
      </c>
    </row>
    <row r="7010" spans="1:8" x14ac:dyDescent="0.25">
      <c r="A7010" s="2">
        <v>14616</v>
      </c>
      <c r="B7010">
        <v>-21.69</v>
      </c>
      <c r="C7010">
        <v>170.78100000000001</v>
      </c>
      <c r="D7010" t="s">
        <v>13</v>
      </c>
      <c r="E7010" t="s">
        <v>254</v>
      </c>
      <c r="F7010">
        <f t="shared" si="218"/>
        <v>1940</v>
      </c>
      <c r="G7010">
        <f t="shared" si="219"/>
        <v>1</v>
      </c>
      <c r="H7010" t="str">
        <f>IF(ISNUMBER(FIND(",", E7010)), TRIM(MID(E7010, FIND(",", E7010) + 1, LEN(E7010))), E7010)</f>
        <v>southeast of the Loyalty Islands</v>
      </c>
    </row>
    <row r="7011" spans="1:8" x14ac:dyDescent="0.25">
      <c r="A7011" s="2">
        <v>14605</v>
      </c>
      <c r="B7011">
        <v>39.770000000000003</v>
      </c>
      <c r="C7011">
        <v>39.533000000000001</v>
      </c>
      <c r="D7011" t="s">
        <v>16</v>
      </c>
      <c r="E7011" t="s">
        <v>272</v>
      </c>
      <c r="F7011">
        <f t="shared" si="218"/>
        <v>1939</v>
      </c>
      <c r="G7011">
        <f t="shared" si="219"/>
        <v>12</v>
      </c>
      <c r="H7011" t="str">
        <f>IF(ISNUMBER(FIND(",", E7011)), TRIM(MID(E7011, FIND(",", E7011) + 1, LEN(E7011))), E7011)</f>
        <v>eastern Turkey</v>
      </c>
    </row>
    <row r="7012" spans="1:8" x14ac:dyDescent="0.25">
      <c r="A7012" s="2">
        <v>14601</v>
      </c>
      <c r="B7012">
        <v>9.5429999999999993</v>
      </c>
      <c r="C7012">
        <v>-84.674999999999997</v>
      </c>
      <c r="D7012" t="s">
        <v>17</v>
      </c>
      <c r="E7012" t="s">
        <v>202</v>
      </c>
      <c r="F7012">
        <f t="shared" si="218"/>
        <v>1939</v>
      </c>
      <c r="G7012">
        <f t="shared" si="219"/>
        <v>12</v>
      </c>
      <c r="H7012" t="str">
        <f>IF(ISNUMBER(FIND(",", E7012)), TRIM(MID(E7012, FIND(",", E7012) + 1, LEN(E7012))), E7012)</f>
        <v>Costa Rica</v>
      </c>
    </row>
    <row r="7013" spans="1:8" x14ac:dyDescent="0.25">
      <c r="A7013" s="2">
        <v>14600</v>
      </c>
      <c r="B7013">
        <v>-0.20799999999999999</v>
      </c>
      <c r="C7013">
        <v>122.565</v>
      </c>
      <c r="D7013" t="s">
        <v>13</v>
      </c>
      <c r="E7013" t="s">
        <v>182</v>
      </c>
      <c r="F7013">
        <f t="shared" si="218"/>
        <v>1939</v>
      </c>
      <c r="G7013">
        <f t="shared" si="219"/>
        <v>12</v>
      </c>
      <c r="H7013" t="str">
        <f>IF(ISNUMBER(FIND(",", E7013)), TRIM(MID(E7013, FIND(",", E7013) + 1, LEN(E7013))), E7013)</f>
        <v>Indonesia</v>
      </c>
    </row>
    <row r="7014" spans="1:8" x14ac:dyDescent="0.25">
      <c r="A7014" s="2">
        <v>14600</v>
      </c>
      <c r="B7014">
        <v>9.9860000000000007</v>
      </c>
      <c r="C7014">
        <v>-84.546000000000006</v>
      </c>
      <c r="D7014" t="s">
        <v>16</v>
      </c>
      <c r="E7014" t="s">
        <v>202</v>
      </c>
      <c r="F7014">
        <f t="shared" si="218"/>
        <v>1939</v>
      </c>
      <c r="G7014">
        <f t="shared" si="219"/>
        <v>12</v>
      </c>
      <c r="H7014" t="str">
        <f>IF(ISNUMBER(FIND(",", E7014)), TRIM(MID(E7014, FIND(",", E7014) + 1, LEN(E7014))), E7014)</f>
        <v>Costa Rica</v>
      </c>
    </row>
    <row r="7015" spans="1:8" x14ac:dyDescent="0.25">
      <c r="A7015" s="2">
        <v>14595</v>
      </c>
      <c r="B7015">
        <v>43.624000000000002</v>
      </c>
      <c r="C7015">
        <v>147.797</v>
      </c>
      <c r="D7015" t="s">
        <v>13</v>
      </c>
      <c r="E7015" t="s">
        <v>191</v>
      </c>
      <c r="F7015">
        <f t="shared" si="218"/>
        <v>1939</v>
      </c>
      <c r="G7015">
        <f t="shared" si="219"/>
        <v>12</v>
      </c>
      <c r="H7015" t="str">
        <f>IF(ISNUMBER(FIND(",", E7015)), TRIM(MID(E7015, FIND(",", E7015) + 1, LEN(E7015))), E7015)</f>
        <v>Kuril Islands</v>
      </c>
    </row>
    <row r="7016" spans="1:8" x14ac:dyDescent="0.25">
      <c r="A7016" s="2">
        <v>14584</v>
      </c>
      <c r="B7016">
        <v>14.253</v>
      </c>
      <c r="C7016">
        <v>-91.903999999999996</v>
      </c>
      <c r="D7016" t="s">
        <v>17</v>
      </c>
      <c r="E7016" t="s">
        <v>196</v>
      </c>
      <c r="F7016">
        <f t="shared" si="218"/>
        <v>1939</v>
      </c>
      <c r="G7016">
        <f t="shared" si="219"/>
        <v>12</v>
      </c>
      <c r="H7016" t="str">
        <f>IF(ISNUMBER(FIND(",", E7016)), TRIM(MID(E7016, FIND(",", E7016) + 1, LEN(E7016))), E7016)</f>
        <v>offshore Guatemala</v>
      </c>
    </row>
    <row r="7017" spans="1:8" x14ac:dyDescent="0.25">
      <c r="A7017" s="2">
        <v>14570</v>
      </c>
      <c r="B7017">
        <v>36.42</v>
      </c>
      <c r="C7017">
        <v>71.134</v>
      </c>
      <c r="D7017" t="s">
        <v>17</v>
      </c>
      <c r="E7017" t="s">
        <v>314</v>
      </c>
      <c r="F7017">
        <f t="shared" si="218"/>
        <v>1939</v>
      </c>
      <c r="G7017">
        <f t="shared" si="219"/>
        <v>11</v>
      </c>
      <c r="H7017" t="str">
        <f>IF(ISNUMBER(FIND(",", E7017)), TRIM(MID(E7017, FIND(",", E7017) + 1, LEN(E7017))), E7017)</f>
        <v>Afghanistan</v>
      </c>
    </row>
    <row r="7018" spans="1:8" x14ac:dyDescent="0.25">
      <c r="A7018" s="2">
        <v>14535</v>
      </c>
      <c r="B7018">
        <v>-14.808999999999999</v>
      </c>
      <c r="C7018">
        <v>167.28899999999999</v>
      </c>
      <c r="D7018" t="s">
        <v>13</v>
      </c>
      <c r="E7018" t="s">
        <v>181</v>
      </c>
      <c r="F7018">
        <f t="shared" si="218"/>
        <v>1939</v>
      </c>
      <c r="G7018">
        <f t="shared" si="219"/>
        <v>10</v>
      </c>
      <c r="H7018" t="str">
        <f>IF(ISNUMBER(FIND(",", E7018)), TRIM(MID(E7018, FIND(",", E7018) + 1, LEN(E7018))), E7018)</f>
        <v>Vanuatu</v>
      </c>
    </row>
    <row r="7019" spans="1:8" x14ac:dyDescent="0.25">
      <c r="A7019" s="2">
        <v>14528</v>
      </c>
      <c r="B7019">
        <v>38.665999999999997</v>
      </c>
      <c r="C7019">
        <v>143.15100000000001</v>
      </c>
      <c r="D7019" t="s">
        <v>16</v>
      </c>
      <c r="E7019" t="s">
        <v>189</v>
      </c>
      <c r="F7019">
        <f t="shared" si="218"/>
        <v>1939</v>
      </c>
      <c r="G7019">
        <f t="shared" si="219"/>
        <v>10</v>
      </c>
      <c r="H7019" t="str">
        <f>IF(ISNUMBER(FIND(",", E7019)), TRIM(MID(E7019, FIND(",", E7019) + 1, LEN(E7019))), E7019)</f>
        <v>Japan</v>
      </c>
    </row>
    <row r="7020" spans="1:8" x14ac:dyDescent="0.25">
      <c r="A7020" s="2">
        <v>14490</v>
      </c>
      <c r="B7020">
        <v>-12.519</v>
      </c>
      <c r="C7020">
        <v>166.892</v>
      </c>
      <c r="D7020" t="s">
        <v>17</v>
      </c>
      <c r="E7020" t="s">
        <v>211</v>
      </c>
      <c r="F7020">
        <f t="shared" si="218"/>
        <v>1939</v>
      </c>
      <c r="G7020">
        <f t="shared" si="219"/>
        <v>9</v>
      </c>
      <c r="H7020" t="str">
        <f>IF(ISNUMBER(FIND(",", E7020)), TRIM(MID(E7020, FIND(",", E7020) + 1, LEN(E7020))), E7020)</f>
        <v>Santa Cruz Islands</v>
      </c>
    </row>
    <row r="7021" spans="1:8" x14ac:dyDescent="0.25">
      <c r="A7021" s="2">
        <v>14482</v>
      </c>
      <c r="B7021">
        <v>-4.7089999999999996</v>
      </c>
      <c r="C7021">
        <v>153.25299999999999</v>
      </c>
      <c r="D7021" t="s">
        <v>17</v>
      </c>
      <c r="E7021" t="s">
        <v>183</v>
      </c>
      <c r="F7021">
        <f t="shared" si="218"/>
        <v>1939</v>
      </c>
      <c r="G7021">
        <f t="shared" si="219"/>
        <v>8</v>
      </c>
      <c r="H7021" t="str">
        <f>IF(ISNUMBER(FIND(",", E7021)), TRIM(MID(E7021, FIND(",", E7021) + 1, LEN(E7021))), E7021)</f>
        <v>Papua New Guinea</v>
      </c>
    </row>
    <row r="7022" spans="1:8" x14ac:dyDescent="0.25">
      <c r="A7022" s="2">
        <v>14475</v>
      </c>
      <c r="B7022">
        <v>-18.649000000000001</v>
      </c>
      <c r="C7022">
        <v>168.45400000000001</v>
      </c>
      <c r="D7022" t="s">
        <v>17</v>
      </c>
      <c r="E7022" t="s">
        <v>181</v>
      </c>
      <c r="F7022">
        <f t="shared" si="218"/>
        <v>1939</v>
      </c>
      <c r="G7022">
        <f t="shared" si="219"/>
        <v>8</v>
      </c>
      <c r="H7022" t="str">
        <f>IF(ISNUMBER(FIND(",", E7022)), TRIM(MID(E7022, FIND(",", E7022) + 1, LEN(E7022))), E7022)</f>
        <v>Vanuatu</v>
      </c>
    </row>
    <row r="7023" spans="1:8" x14ac:dyDescent="0.25">
      <c r="A7023" s="2">
        <v>14469</v>
      </c>
      <c r="B7023">
        <v>-16.058</v>
      </c>
      <c r="C7023">
        <v>168.154</v>
      </c>
      <c r="D7023" t="s">
        <v>13</v>
      </c>
      <c r="E7023" t="s">
        <v>181</v>
      </c>
      <c r="F7023">
        <f t="shared" si="218"/>
        <v>1939</v>
      </c>
      <c r="G7023">
        <f t="shared" si="219"/>
        <v>8</v>
      </c>
      <c r="H7023" t="str">
        <f>IF(ISNUMBER(FIND(",", E7023)), TRIM(MID(E7023, FIND(",", E7023) + 1, LEN(E7023))), E7023)</f>
        <v>Vanuatu</v>
      </c>
    </row>
    <row r="7024" spans="1:8" x14ac:dyDescent="0.25">
      <c r="A7024" s="2">
        <v>14446</v>
      </c>
      <c r="B7024">
        <v>-21.206</v>
      </c>
      <c r="C7024">
        <v>-178.774</v>
      </c>
      <c r="D7024" t="s">
        <v>13</v>
      </c>
      <c r="E7024" t="s">
        <v>53</v>
      </c>
      <c r="F7024">
        <f t="shared" si="218"/>
        <v>1939</v>
      </c>
      <c r="G7024">
        <f t="shared" si="219"/>
        <v>7</v>
      </c>
      <c r="H7024" t="str">
        <f>IF(ISNUMBER(FIND(",", E7024)), TRIM(MID(E7024, FIND(",", E7024) + 1, LEN(E7024))), E7024)</f>
        <v>Fiji region</v>
      </c>
    </row>
    <row r="7025" spans="1:8" x14ac:dyDescent="0.25">
      <c r="A7025" s="2">
        <v>14438</v>
      </c>
      <c r="B7025">
        <v>-3.0310000000000001</v>
      </c>
      <c r="C7025">
        <v>140.27600000000001</v>
      </c>
      <c r="D7025" t="s">
        <v>17</v>
      </c>
      <c r="E7025" t="s">
        <v>210</v>
      </c>
      <c r="F7025">
        <f t="shared" si="218"/>
        <v>1939</v>
      </c>
      <c r="G7025">
        <f t="shared" si="219"/>
        <v>7</v>
      </c>
      <c r="H7025" t="str">
        <f>IF(ISNUMBER(FIND(",", E7025)), TRIM(MID(E7025, FIND(",", E7025) + 1, LEN(E7025))), E7025)</f>
        <v>Indonesia</v>
      </c>
    </row>
    <row r="7026" spans="1:8" x14ac:dyDescent="0.25">
      <c r="A7026" s="2">
        <v>14431</v>
      </c>
      <c r="B7026">
        <v>-21.927</v>
      </c>
      <c r="C7026">
        <v>-179.93799999999999</v>
      </c>
      <c r="D7026" t="s">
        <v>17</v>
      </c>
      <c r="E7026" t="s">
        <v>53</v>
      </c>
      <c r="F7026">
        <f t="shared" si="218"/>
        <v>1939</v>
      </c>
      <c r="G7026">
        <f t="shared" si="219"/>
        <v>7</v>
      </c>
      <c r="H7026" t="str">
        <f>IF(ISNUMBER(FIND(",", E7026)), TRIM(MID(E7026, FIND(",", E7026) + 1, LEN(E7026))), E7026)</f>
        <v>Fiji region</v>
      </c>
    </row>
    <row r="7027" spans="1:8" x14ac:dyDescent="0.25">
      <c r="A7027" s="2">
        <v>14430</v>
      </c>
      <c r="B7027">
        <v>-21.085999999999999</v>
      </c>
      <c r="C7027">
        <v>-65.39</v>
      </c>
      <c r="D7027" t="s">
        <v>17</v>
      </c>
      <c r="E7027" t="s">
        <v>384</v>
      </c>
      <c r="F7027">
        <f t="shared" si="218"/>
        <v>1939</v>
      </c>
      <c r="G7027">
        <f t="shared" si="219"/>
        <v>7</v>
      </c>
      <c r="H7027" t="str">
        <f>IF(ISNUMBER(FIND(",", E7027)), TRIM(MID(E7027, FIND(",", E7027) + 1, LEN(E7027))), E7027)</f>
        <v>Bolivia</v>
      </c>
    </row>
    <row r="7028" spans="1:8" x14ac:dyDescent="0.25">
      <c r="A7028" s="2">
        <v>14409</v>
      </c>
      <c r="B7028">
        <v>0.47</v>
      </c>
      <c r="C7028">
        <v>125.25700000000001</v>
      </c>
      <c r="D7028" t="s">
        <v>17</v>
      </c>
      <c r="E7028" t="s">
        <v>186</v>
      </c>
      <c r="F7028">
        <f t="shared" si="218"/>
        <v>1939</v>
      </c>
      <c r="G7028">
        <f t="shared" si="219"/>
        <v>6</v>
      </c>
      <c r="H7028" t="str">
        <f>IF(ISNUMBER(FIND(",", E7028)), TRIM(MID(E7028, FIND(",", E7028) + 1, LEN(E7028))), E7028)</f>
        <v>Molucca Sea</v>
      </c>
    </row>
    <row r="7029" spans="1:8" x14ac:dyDescent="0.25">
      <c r="A7029" s="2">
        <v>14404</v>
      </c>
      <c r="B7029">
        <v>-15.269</v>
      </c>
      <c r="C7029">
        <v>-173.93100000000001</v>
      </c>
      <c r="D7029" t="s">
        <v>13</v>
      </c>
      <c r="E7029" t="s">
        <v>239</v>
      </c>
      <c r="F7029">
        <f t="shared" si="218"/>
        <v>1939</v>
      </c>
      <c r="G7029">
        <f t="shared" si="219"/>
        <v>6</v>
      </c>
      <c r="H7029" t="str">
        <f>IF(ISNUMBER(FIND(",", E7029)), TRIM(MID(E7029, FIND(",", E7029) + 1, LEN(E7029))), E7029)</f>
        <v>Tonga</v>
      </c>
    </row>
    <row r="7030" spans="1:8" x14ac:dyDescent="0.25">
      <c r="A7030" s="2">
        <v>14398</v>
      </c>
      <c r="B7030">
        <v>4.5949999999999998</v>
      </c>
      <c r="C7030">
        <v>126.239</v>
      </c>
      <c r="D7030" t="s">
        <v>14</v>
      </c>
      <c r="E7030" t="s">
        <v>372</v>
      </c>
      <c r="F7030">
        <f t="shared" si="218"/>
        <v>1939</v>
      </c>
      <c r="G7030">
        <f t="shared" si="219"/>
        <v>6</v>
      </c>
      <c r="H7030" t="str">
        <f>IF(ISNUMBER(FIND(",", E7030)), TRIM(MID(E7030, FIND(",", E7030) + 1, LEN(E7030))), E7030)</f>
        <v>Indonesia</v>
      </c>
    </row>
    <row r="7031" spans="1:8" x14ac:dyDescent="0.25">
      <c r="A7031" s="2">
        <v>14392</v>
      </c>
      <c r="B7031">
        <v>24.460999999999999</v>
      </c>
      <c r="C7031">
        <v>93.954999999999998</v>
      </c>
      <c r="D7031" t="s">
        <v>17</v>
      </c>
      <c r="E7031" t="s">
        <v>688</v>
      </c>
      <c r="F7031">
        <f t="shared" si="218"/>
        <v>1939</v>
      </c>
      <c r="G7031">
        <f t="shared" si="219"/>
        <v>5</v>
      </c>
      <c r="H7031" t="str">
        <f>IF(ISNUMBER(FIND(",", E7031)), TRIM(MID(E7031, FIND(",", E7031) + 1, LEN(E7031))), E7031)</f>
        <v>India region</v>
      </c>
    </row>
    <row r="7032" spans="1:8" x14ac:dyDescent="0.25">
      <c r="A7032" s="2">
        <v>14382</v>
      </c>
      <c r="B7032">
        <v>23.222999999999999</v>
      </c>
      <c r="C7032">
        <v>143.58500000000001</v>
      </c>
      <c r="D7032" t="s">
        <v>17</v>
      </c>
      <c r="E7032" t="s">
        <v>519</v>
      </c>
      <c r="F7032">
        <f t="shared" si="218"/>
        <v>1939</v>
      </c>
      <c r="G7032">
        <f t="shared" si="219"/>
        <v>5</v>
      </c>
      <c r="H7032" t="str">
        <f>IF(ISNUMBER(FIND(",", E7032)), TRIM(MID(E7032, FIND(",", E7032) + 1, LEN(E7032))), E7032)</f>
        <v>Japan region</v>
      </c>
    </row>
    <row r="7033" spans="1:8" x14ac:dyDescent="0.25">
      <c r="A7033" s="2">
        <v>14373</v>
      </c>
      <c r="B7033">
        <v>37.052999999999997</v>
      </c>
      <c r="C7033">
        <v>-24.427</v>
      </c>
      <c r="D7033" t="s">
        <v>14</v>
      </c>
      <c r="E7033" t="s">
        <v>427</v>
      </c>
      <c r="F7033">
        <f t="shared" si="218"/>
        <v>1939</v>
      </c>
      <c r="G7033">
        <f t="shared" si="219"/>
        <v>5</v>
      </c>
      <c r="H7033" t="str">
        <f>IF(ISNUMBER(FIND(",", E7033)), TRIM(MID(E7033, FIND(",", E7033) + 1, LEN(E7033))), E7033)</f>
        <v>Azores Islands region</v>
      </c>
    </row>
    <row r="7034" spans="1:8" x14ac:dyDescent="0.25">
      <c r="A7034" s="2">
        <v>14366</v>
      </c>
      <c r="B7034">
        <v>39.838999999999999</v>
      </c>
      <c r="C7034">
        <v>139.96899999999999</v>
      </c>
      <c r="D7034" t="s">
        <v>14</v>
      </c>
      <c r="E7034" t="s">
        <v>298</v>
      </c>
      <c r="F7034">
        <f t="shared" si="218"/>
        <v>1939</v>
      </c>
      <c r="G7034">
        <f t="shared" si="219"/>
        <v>5</v>
      </c>
      <c r="H7034" t="str">
        <f>IF(ISNUMBER(FIND(",", E7034)), TRIM(MID(E7034, FIND(",", E7034) + 1, LEN(E7034))), E7034)</f>
        <v>Japan</v>
      </c>
    </row>
    <row r="7035" spans="1:8" x14ac:dyDescent="0.25">
      <c r="A7035" s="2">
        <v>14365</v>
      </c>
      <c r="B7035">
        <v>-9.2949999999999999</v>
      </c>
      <c r="C7035">
        <v>159.23400000000001</v>
      </c>
      <c r="D7035" t="s">
        <v>16</v>
      </c>
      <c r="E7035" t="s">
        <v>221</v>
      </c>
      <c r="F7035">
        <f t="shared" si="218"/>
        <v>1939</v>
      </c>
      <c r="G7035">
        <f t="shared" si="219"/>
        <v>4</v>
      </c>
      <c r="H7035" t="str">
        <f>IF(ISNUMBER(FIND(",", E7035)), TRIM(MID(E7035, FIND(",", E7035) + 1, LEN(E7035))), E7035)</f>
        <v>Solomon Islands</v>
      </c>
    </row>
    <row r="7036" spans="1:8" x14ac:dyDescent="0.25">
      <c r="A7036" s="2">
        <v>14356</v>
      </c>
      <c r="B7036">
        <v>47.744999999999997</v>
      </c>
      <c r="C7036">
        <v>139.821</v>
      </c>
      <c r="D7036" t="s">
        <v>13</v>
      </c>
      <c r="E7036" t="s">
        <v>344</v>
      </c>
      <c r="F7036">
        <f t="shared" si="218"/>
        <v>1939</v>
      </c>
      <c r="G7036">
        <f t="shared" si="219"/>
        <v>4</v>
      </c>
      <c r="H7036" t="str">
        <f>IF(ISNUMBER(FIND(",", E7036)), TRIM(MID(E7036, FIND(",", E7036) + 1, LEN(E7036))), E7036)</f>
        <v>Russia</v>
      </c>
    </row>
    <row r="7037" spans="1:8" x14ac:dyDescent="0.25">
      <c r="A7037" s="2">
        <v>14353</v>
      </c>
      <c r="B7037">
        <v>-27.138000000000002</v>
      </c>
      <c r="C7037">
        <v>-70.704999999999998</v>
      </c>
      <c r="D7037" t="s">
        <v>13</v>
      </c>
      <c r="E7037" t="s">
        <v>264</v>
      </c>
      <c r="F7037">
        <f t="shared" si="218"/>
        <v>1939</v>
      </c>
      <c r="G7037">
        <f t="shared" si="219"/>
        <v>4</v>
      </c>
      <c r="H7037" t="str">
        <f>IF(ISNUMBER(FIND(",", E7037)), TRIM(MID(E7037, FIND(",", E7037) + 1, LEN(E7037))), E7037)</f>
        <v>Chile</v>
      </c>
    </row>
    <row r="7038" spans="1:8" x14ac:dyDescent="0.25">
      <c r="A7038" s="2">
        <v>14340</v>
      </c>
      <c r="B7038">
        <v>-19.712</v>
      </c>
      <c r="C7038">
        <v>168.98400000000001</v>
      </c>
      <c r="D7038" t="s">
        <v>13</v>
      </c>
      <c r="E7038" t="s">
        <v>181</v>
      </c>
      <c r="F7038">
        <f t="shared" si="218"/>
        <v>1939</v>
      </c>
      <c r="G7038">
        <f t="shared" si="219"/>
        <v>4</v>
      </c>
      <c r="H7038" t="str">
        <f>IF(ISNUMBER(FIND(",", E7038)), TRIM(MID(E7038, FIND(",", E7038) + 1, LEN(E7038))), E7038)</f>
        <v>Vanuatu</v>
      </c>
    </row>
    <row r="7039" spans="1:8" x14ac:dyDescent="0.25">
      <c r="A7039" s="2">
        <v>14325</v>
      </c>
      <c r="B7039">
        <v>-1.2849999999999999</v>
      </c>
      <c r="C7039">
        <v>89.400999999999996</v>
      </c>
      <c r="D7039" t="s">
        <v>14</v>
      </c>
      <c r="E7039" t="s">
        <v>473</v>
      </c>
      <c r="F7039">
        <f t="shared" si="218"/>
        <v>1939</v>
      </c>
      <c r="G7039">
        <f t="shared" si="219"/>
        <v>3</v>
      </c>
      <c r="H7039" t="str">
        <f>IF(ISNUMBER(FIND(",", E7039)), TRIM(MID(E7039, FIND(",", E7039) + 1, LEN(E7039))), E7039)</f>
        <v>South Indian Ocean</v>
      </c>
    </row>
    <row r="7040" spans="1:8" x14ac:dyDescent="0.25">
      <c r="A7040" s="2">
        <v>14312</v>
      </c>
      <c r="B7040">
        <v>-6.7560000000000002</v>
      </c>
      <c r="C7040">
        <v>155.34</v>
      </c>
      <c r="D7040" t="s">
        <v>17</v>
      </c>
      <c r="E7040" t="s">
        <v>290</v>
      </c>
      <c r="F7040">
        <f t="shared" si="218"/>
        <v>1939</v>
      </c>
      <c r="G7040">
        <f t="shared" si="219"/>
        <v>3</v>
      </c>
      <c r="H7040" t="str">
        <f>IF(ISNUMBER(FIND(",", E7040)), TRIM(MID(E7040, FIND(",", E7040) + 1, LEN(E7040))), E7040)</f>
        <v>Papua New Guinea</v>
      </c>
    </row>
    <row r="7041" spans="1:8" x14ac:dyDescent="0.25">
      <c r="A7041" s="2">
        <v>14306</v>
      </c>
      <c r="B7041">
        <v>-4.383</v>
      </c>
      <c r="C7041">
        <v>143.155</v>
      </c>
      <c r="D7041" t="s">
        <v>13</v>
      </c>
      <c r="E7041" t="s">
        <v>253</v>
      </c>
      <c r="F7041">
        <f t="shared" si="218"/>
        <v>1939</v>
      </c>
      <c r="G7041">
        <f t="shared" si="219"/>
        <v>3</v>
      </c>
      <c r="H7041" t="str">
        <f>IF(ISNUMBER(FIND(",", E7041)), TRIM(MID(E7041, FIND(",", E7041) + 1, LEN(E7041))), E7041)</f>
        <v>Papua New Guinea</v>
      </c>
    </row>
    <row r="7042" spans="1:8" x14ac:dyDescent="0.25">
      <c r="A7042" s="2">
        <v>14279</v>
      </c>
      <c r="B7042">
        <v>-9.4789999999999992</v>
      </c>
      <c r="C7042">
        <v>159.363</v>
      </c>
      <c r="D7042" t="s">
        <v>14</v>
      </c>
      <c r="E7042" t="s">
        <v>221</v>
      </c>
      <c r="F7042">
        <f t="shared" ref="F7042:F7105" si="220">YEAR(A7042)</f>
        <v>1939</v>
      </c>
      <c r="G7042">
        <f t="shared" si="219"/>
        <v>2</v>
      </c>
      <c r="H7042" t="str">
        <f>IF(ISNUMBER(FIND(",", E7042)), TRIM(MID(E7042, FIND(",", E7042) + 1, LEN(E7042))), E7042)</f>
        <v>Solomon Islands</v>
      </c>
    </row>
    <row r="7043" spans="1:8" x14ac:dyDescent="0.25">
      <c r="A7043" s="2">
        <v>14275</v>
      </c>
      <c r="B7043">
        <v>-7.08</v>
      </c>
      <c r="C7043">
        <v>155.386</v>
      </c>
      <c r="D7043" t="s">
        <v>16</v>
      </c>
      <c r="E7043" t="s">
        <v>221</v>
      </c>
      <c r="F7043">
        <f t="shared" si="220"/>
        <v>1939</v>
      </c>
      <c r="G7043">
        <f t="shared" ref="G7043:G7106" si="221">MONTH(A7043)</f>
        <v>1</v>
      </c>
      <c r="H7043" t="str">
        <f>IF(ISNUMBER(FIND(",", E7043)), TRIM(MID(E7043, FIND(",", E7043) + 1, LEN(E7043))), E7043)</f>
        <v>Solomon Islands</v>
      </c>
    </row>
    <row r="7044" spans="1:8" x14ac:dyDescent="0.25">
      <c r="A7044" s="2">
        <v>14270</v>
      </c>
      <c r="B7044">
        <v>-36.200000000000003</v>
      </c>
      <c r="C7044">
        <v>-72.2</v>
      </c>
      <c r="D7044" t="s">
        <v>16</v>
      </c>
      <c r="E7044" t="s">
        <v>230</v>
      </c>
      <c r="F7044">
        <f t="shared" si="220"/>
        <v>1939</v>
      </c>
      <c r="G7044">
        <f t="shared" si="221"/>
        <v>1</v>
      </c>
      <c r="H7044" t="str">
        <f>IF(ISNUMBER(FIND(",", E7044)), TRIM(MID(E7044, FIND(",", E7044) + 1, LEN(E7044))), E7044)</f>
        <v>Chile</v>
      </c>
    </row>
    <row r="7045" spans="1:8" x14ac:dyDescent="0.25">
      <c r="A7045" s="2">
        <v>14230</v>
      </c>
      <c r="B7045">
        <v>-45.503</v>
      </c>
      <c r="C7045">
        <v>166.88</v>
      </c>
      <c r="D7045" t="s">
        <v>14</v>
      </c>
      <c r="E7045" t="s">
        <v>361</v>
      </c>
      <c r="F7045">
        <f t="shared" si="220"/>
        <v>1938</v>
      </c>
      <c r="G7045">
        <f t="shared" si="221"/>
        <v>12</v>
      </c>
      <c r="H7045" t="str">
        <f>IF(ISNUMBER(FIND(",", E7045)), TRIM(MID(E7045, FIND(",", E7045) + 1, LEN(E7045))), E7045)</f>
        <v>off the west coast of the South Island of New Zealand</v>
      </c>
    </row>
    <row r="7046" spans="1:8" x14ac:dyDescent="0.25">
      <c r="A7046" s="2">
        <v>14220</v>
      </c>
      <c r="B7046">
        <v>22.614000000000001</v>
      </c>
      <c r="C7046">
        <v>121.398</v>
      </c>
      <c r="D7046" t="s">
        <v>14</v>
      </c>
      <c r="E7046" t="s">
        <v>363</v>
      </c>
      <c r="F7046">
        <f t="shared" si="220"/>
        <v>1938</v>
      </c>
      <c r="G7046">
        <f t="shared" si="221"/>
        <v>12</v>
      </c>
      <c r="H7046" t="str">
        <f>IF(ISNUMBER(FIND(",", E7046)), TRIM(MID(E7046, FIND(",", E7046) + 1, LEN(E7046))), E7046)</f>
        <v>Taiwan region</v>
      </c>
    </row>
    <row r="7047" spans="1:8" x14ac:dyDescent="0.25">
      <c r="A7047" s="2">
        <v>14214</v>
      </c>
      <c r="B7047">
        <v>37.026000000000003</v>
      </c>
      <c r="C7047">
        <v>142.13300000000001</v>
      </c>
      <c r="D7047" t="s">
        <v>14</v>
      </c>
      <c r="E7047" t="s">
        <v>189</v>
      </c>
      <c r="F7047">
        <f t="shared" si="220"/>
        <v>1938</v>
      </c>
      <c r="G7047">
        <f t="shared" si="221"/>
        <v>11</v>
      </c>
      <c r="H7047" t="str">
        <f>IF(ISNUMBER(FIND(",", E7047)), TRIM(MID(E7047, FIND(",", E7047) + 1, LEN(E7047))), E7047)</f>
        <v>Japan</v>
      </c>
    </row>
    <row r="7048" spans="1:8" x14ac:dyDescent="0.25">
      <c r="A7048" s="2">
        <v>14201</v>
      </c>
      <c r="B7048">
        <v>55.223999999999997</v>
      </c>
      <c r="C7048">
        <v>-157.55099999999999</v>
      </c>
      <c r="D7048" t="s">
        <v>16</v>
      </c>
      <c r="E7048" t="s">
        <v>285</v>
      </c>
      <c r="F7048">
        <f t="shared" si="220"/>
        <v>1938</v>
      </c>
      <c r="G7048">
        <f t="shared" si="221"/>
        <v>11</v>
      </c>
      <c r="H7048" t="str">
        <f>IF(ISNUMBER(FIND(",", E7048)), TRIM(MID(E7048, FIND(",", E7048) + 1, LEN(E7048))), E7048)</f>
        <v>Alaska Peninsula</v>
      </c>
    </row>
    <row r="7049" spans="1:8" x14ac:dyDescent="0.25">
      <c r="A7049" s="2">
        <v>14197</v>
      </c>
      <c r="B7049">
        <v>36.726999999999997</v>
      </c>
      <c r="C7049">
        <v>142.36000000000001</v>
      </c>
      <c r="D7049" t="s">
        <v>14</v>
      </c>
      <c r="E7049" t="s">
        <v>189</v>
      </c>
      <c r="F7049">
        <f t="shared" si="220"/>
        <v>1938</v>
      </c>
      <c r="G7049">
        <f t="shared" si="221"/>
        <v>11</v>
      </c>
      <c r="H7049" t="str">
        <f>IF(ISNUMBER(FIND(",", E7049)), TRIM(MID(E7049, FIND(",", E7049) + 1, LEN(E7049))), E7049)</f>
        <v>Japan</v>
      </c>
    </row>
    <row r="7050" spans="1:8" x14ac:dyDescent="0.25">
      <c r="A7050" s="2">
        <v>14197</v>
      </c>
      <c r="B7050">
        <v>45.21</v>
      </c>
      <c r="C7050">
        <v>149.30799999999999</v>
      </c>
      <c r="D7050" t="s">
        <v>17</v>
      </c>
      <c r="E7050" t="s">
        <v>191</v>
      </c>
      <c r="F7050">
        <f t="shared" si="220"/>
        <v>1938</v>
      </c>
      <c r="G7050">
        <f t="shared" si="221"/>
        <v>11</v>
      </c>
      <c r="H7050" t="str">
        <f>IF(ISNUMBER(FIND(",", E7050)), TRIM(MID(E7050, FIND(",", E7050) + 1, LEN(E7050))), E7050)</f>
        <v>Kuril Islands</v>
      </c>
    </row>
    <row r="7051" spans="1:8" x14ac:dyDescent="0.25">
      <c r="A7051" s="2">
        <v>14194</v>
      </c>
      <c r="B7051">
        <v>55.328000000000003</v>
      </c>
      <c r="C7051">
        <v>-158.37</v>
      </c>
      <c r="D7051" t="s">
        <v>16</v>
      </c>
      <c r="E7051" t="s">
        <v>285</v>
      </c>
      <c r="F7051">
        <f t="shared" si="220"/>
        <v>1938</v>
      </c>
      <c r="G7051">
        <f t="shared" si="221"/>
        <v>11</v>
      </c>
      <c r="H7051" t="str">
        <f>IF(ISNUMBER(FIND(",", E7051)), TRIM(MID(E7051, FIND(",", E7051) + 1, LEN(E7051))), E7051)</f>
        <v>Alaska Peninsula</v>
      </c>
    </row>
    <row r="7052" spans="1:8" x14ac:dyDescent="0.25">
      <c r="A7052" s="2">
        <v>14190</v>
      </c>
      <c r="B7052">
        <v>36.866999999999997</v>
      </c>
      <c r="C7052">
        <v>142.625</v>
      </c>
      <c r="D7052" t="s">
        <v>14</v>
      </c>
      <c r="E7052" t="s">
        <v>189</v>
      </c>
      <c r="F7052">
        <f t="shared" si="220"/>
        <v>1938</v>
      </c>
      <c r="G7052">
        <f t="shared" si="221"/>
        <v>11</v>
      </c>
      <c r="H7052" t="str">
        <f>IF(ISNUMBER(FIND(",", E7052)), TRIM(MID(E7052, FIND(",", E7052) + 1, LEN(E7052))), E7052)</f>
        <v>Japan</v>
      </c>
    </row>
    <row r="7053" spans="1:8" x14ac:dyDescent="0.25">
      <c r="A7053" s="2">
        <v>14190</v>
      </c>
      <c r="B7053">
        <v>37.286999999999999</v>
      </c>
      <c r="C7053">
        <v>142.28299999999999</v>
      </c>
      <c r="D7053" t="s">
        <v>16</v>
      </c>
      <c r="E7053" t="s">
        <v>189</v>
      </c>
      <c r="F7053">
        <f t="shared" si="220"/>
        <v>1938</v>
      </c>
      <c r="G7053">
        <f t="shared" si="221"/>
        <v>11</v>
      </c>
      <c r="H7053" t="str">
        <f>IF(ISNUMBER(FIND(",", E7053)), TRIM(MID(E7053, FIND(",", E7053) + 1, LEN(E7053))), E7053)</f>
        <v>Japan</v>
      </c>
    </row>
    <row r="7054" spans="1:8" x14ac:dyDescent="0.25">
      <c r="A7054" s="2">
        <v>14189</v>
      </c>
      <c r="B7054">
        <v>37.107999999999997</v>
      </c>
      <c r="C7054">
        <v>142.08099999999999</v>
      </c>
      <c r="D7054" t="s">
        <v>16</v>
      </c>
      <c r="E7054" t="s">
        <v>189</v>
      </c>
      <c r="F7054">
        <f t="shared" si="220"/>
        <v>1938</v>
      </c>
      <c r="G7054">
        <f t="shared" si="221"/>
        <v>11</v>
      </c>
      <c r="H7054" t="str">
        <f>IF(ISNUMBER(FIND(",", E7054)), TRIM(MID(E7054, FIND(",", E7054) + 1, LEN(E7054))), E7054)</f>
        <v>Japan</v>
      </c>
    </row>
    <row r="7055" spans="1:8" x14ac:dyDescent="0.25">
      <c r="A7055" s="2">
        <v>14189</v>
      </c>
      <c r="B7055">
        <v>37.009</v>
      </c>
      <c r="C7055">
        <v>142.04499999999999</v>
      </c>
      <c r="D7055" t="s">
        <v>16</v>
      </c>
      <c r="E7055" t="s">
        <v>189</v>
      </c>
      <c r="F7055">
        <f t="shared" si="220"/>
        <v>1938</v>
      </c>
      <c r="G7055">
        <f t="shared" si="221"/>
        <v>11</v>
      </c>
      <c r="H7055" t="str">
        <f>IF(ISNUMBER(FIND(",", E7055)), TRIM(MID(E7055, FIND(",", E7055) + 1, LEN(E7055))), E7055)</f>
        <v>Japan</v>
      </c>
    </row>
    <row r="7056" spans="1:8" x14ac:dyDescent="0.25">
      <c r="A7056" s="2">
        <v>14173</v>
      </c>
      <c r="B7056">
        <v>-9.2680000000000007</v>
      </c>
      <c r="C7056">
        <v>123.24299999999999</v>
      </c>
      <c r="D7056" t="s">
        <v>13</v>
      </c>
      <c r="E7056" t="s">
        <v>645</v>
      </c>
      <c r="F7056">
        <f t="shared" si="220"/>
        <v>1938</v>
      </c>
      <c r="G7056">
        <f t="shared" si="221"/>
        <v>10</v>
      </c>
      <c r="H7056" t="str">
        <f>IF(ISNUMBER(FIND(",", E7056)), TRIM(MID(E7056, FIND(",", E7056) + 1, LEN(E7056))), E7056)</f>
        <v>Indonesia</v>
      </c>
    </row>
    <row r="7057" spans="1:8" x14ac:dyDescent="0.25">
      <c r="A7057" s="2">
        <v>14172</v>
      </c>
      <c r="B7057">
        <v>49</v>
      </c>
      <c r="C7057">
        <v>90</v>
      </c>
      <c r="D7057" t="s">
        <v>17</v>
      </c>
      <c r="E7057" t="s">
        <v>654</v>
      </c>
      <c r="F7057">
        <f t="shared" si="220"/>
        <v>1938</v>
      </c>
      <c r="G7057">
        <f t="shared" si="221"/>
        <v>10</v>
      </c>
      <c r="H7057" t="str">
        <f>IF(ISNUMBER(FIND(",", E7057)), TRIM(MID(E7057, FIND(",", E7057) + 1, LEN(E7057))), E7057)</f>
        <v>western Mongolia</v>
      </c>
    </row>
    <row r="7058" spans="1:8" x14ac:dyDescent="0.25">
      <c r="A7058" s="2">
        <v>14163</v>
      </c>
      <c r="B7058">
        <v>2.3860000000000001</v>
      </c>
      <c r="C7058">
        <v>126.553</v>
      </c>
      <c r="D7058" t="s">
        <v>16</v>
      </c>
      <c r="E7058" t="s">
        <v>186</v>
      </c>
      <c r="F7058">
        <f t="shared" si="220"/>
        <v>1938</v>
      </c>
      <c r="G7058">
        <f t="shared" si="221"/>
        <v>10</v>
      </c>
      <c r="H7058" t="str">
        <f>IF(ISNUMBER(FIND(",", E7058)), TRIM(MID(E7058, FIND(",", E7058) + 1, LEN(E7058))), E7058)</f>
        <v>Molucca Sea</v>
      </c>
    </row>
    <row r="7059" spans="1:8" x14ac:dyDescent="0.25">
      <c r="A7059" s="2">
        <v>14144</v>
      </c>
      <c r="B7059">
        <v>36.372</v>
      </c>
      <c r="C7059">
        <v>141.32499999999999</v>
      </c>
      <c r="D7059" t="s">
        <v>17</v>
      </c>
      <c r="E7059" t="s">
        <v>227</v>
      </c>
      <c r="F7059">
        <f t="shared" si="220"/>
        <v>1938</v>
      </c>
      <c r="G7059">
        <f t="shared" si="221"/>
        <v>9</v>
      </c>
      <c r="H7059" t="str">
        <f>IF(ISNUMBER(FIND(",", E7059)), TRIM(MID(E7059, FIND(",", E7059) + 1, LEN(E7059))), E7059)</f>
        <v>Japan</v>
      </c>
    </row>
    <row r="7060" spans="1:8" x14ac:dyDescent="0.25">
      <c r="A7060" s="2">
        <v>14130</v>
      </c>
      <c r="B7060">
        <v>23.736999999999998</v>
      </c>
      <c r="C7060">
        <v>121.408</v>
      </c>
      <c r="D7060" t="s">
        <v>14</v>
      </c>
      <c r="E7060" t="s">
        <v>336</v>
      </c>
      <c r="F7060">
        <f t="shared" si="220"/>
        <v>1938</v>
      </c>
      <c r="G7060">
        <f t="shared" si="221"/>
        <v>9</v>
      </c>
      <c r="H7060" t="str">
        <f>IF(ISNUMBER(FIND(",", E7060)), TRIM(MID(E7060, FIND(",", E7060) + 1, LEN(E7060))), E7060)</f>
        <v>Taiwan</v>
      </c>
    </row>
    <row r="7061" spans="1:8" x14ac:dyDescent="0.25">
      <c r="A7061" s="2">
        <v>14123</v>
      </c>
      <c r="B7061">
        <v>-3.0179999999999998</v>
      </c>
      <c r="C7061">
        <v>151.28899999999999</v>
      </c>
      <c r="D7061" t="s">
        <v>17</v>
      </c>
      <c r="E7061" t="s">
        <v>183</v>
      </c>
      <c r="F7061">
        <f t="shared" si="220"/>
        <v>1938</v>
      </c>
      <c r="G7061">
        <f t="shared" si="221"/>
        <v>8</v>
      </c>
      <c r="H7061" t="str">
        <f>IF(ISNUMBER(FIND(",", E7061)), TRIM(MID(E7061, FIND(",", E7061) + 1, LEN(E7061))), E7061)</f>
        <v>Papua New Guinea</v>
      </c>
    </row>
    <row r="7062" spans="1:8" x14ac:dyDescent="0.25">
      <c r="A7062" s="2">
        <v>14122</v>
      </c>
      <c r="B7062">
        <v>-3.911</v>
      </c>
      <c r="C7062">
        <v>143.57400000000001</v>
      </c>
      <c r="D7062" t="s">
        <v>17</v>
      </c>
      <c r="E7062" t="s">
        <v>216</v>
      </c>
      <c r="F7062">
        <f t="shared" si="220"/>
        <v>1938</v>
      </c>
      <c r="G7062">
        <f t="shared" si="221"/>
        <v>8</v>
      </c>
      <c r="H7062" t="str">
        <f>IF(ISNUMBER(FIND(",", E7062)), TRIM(MID(E7062, FIND(",", E7062) + 1, LEN(E7062))), E7062)</f>
        <v>Papua New Guinea</v>
      </c>
    </row>
    <row r="7063" spans="1:8" x14ac:dyDescent="0.25">
      <c r="A7063" s="2">
        <v>14117</v>
      </c>
      <c r="B7063">
        <v>-5.6790000000000003</v>
      </c>
      <c r="C7063">
        <v>101.297</v>
      </c>
      <c r="D7063" t="s">
        <v>17</v>
      </c>
      <c r="E7063" t="s">
        <v>450</v>
      </c>
      <c r="F7063">
        <f t="shared" si="220"/>
        <v>1938</v>
      </c>
      <c r="G7063">
        <f t="shared" si="221"/>
        <v>8</v>
      </c>
      <c r="H7063" t="str">
        <f>IF(ISNUMBER(FIND(",", E7063)), TRIM(MID(E7063, FIND(",", E7063) + 1, LEN(E7063))), E7063)</f>
        <v>Indonesia</v>
      </c>
    </row>
    <row r="7064" spans="1:8" x14ac:dyDescent="0.25">
      <c r="A7064" s="2">
        <v>14110</v>
      </c>
      <c r="B7064">
        <v>-4.04</v>
      </c>
      <c r="C7064">
        <v>102.687</v>
      </c>
      <c r="D7064" t="s">
        <v>17</v>
      </c>
      <c r="E7064" t="s">
        <v>308</v>
      </c>
      <c r="F7064">
        <f t="shared" si="220"/>
        <v>1938</v>
      </c>
      <c r="G7064">
        <f t="shared" si="221"/>
        <v>8</v>
      </c>
      <c r="H7064" t="str">
        <f>IF(ISNUMBER(FIND(",", E7064)), TRIM(MID(E7064, FIND(",", E7064) + 1, LEN(E7064))), E7064)</f>
        <v>Indonesia</v>
      </c>
    </row>
    <row r="7065" spans="1:8" x14ac:dyDescent="0.25">
      <c r="A7065" s="2">
        <v>14108</v>
      </c>
      <c r="B7065">
        <v>22.957000000000001</v>
      </c>
      <c r="C7065">
        <v>93.884</v>
      </c>
      <c r="D7065" t="s">
        <v>16</v>
      </c>
      <c r="E7065" t="s">
        <v>303</v>
      </c>
      <c r="F7065">
        <f t="shared" si="220"/>
        <v>1938</v>
      </c>
      <c r="G7065">
        <f t="shared" si="221"/>
        <v>8</v>
      </c>
      <c r="H7065" t="str">
        <f>IF(ISNUMBER(FIND(",", E7065)), TRIM(MID(E7065, FIND(",", E7065) + 1, LEN(E7065))), E7065)</f>
        <v>Myanmar-India border region</v>
      </c>
    </row>
    <row r="7066" spans="1:8" x14ac:dyDescent="0.25">
      <c r="A7066" s="2">
        <v>14096</v>
      </c>
      <c r="B7066">
        <v>-23.760999999999999</v>
      </c>
      <c r="C7066">
        <v>-66.558999999999997</v>
      </c>
      <c r="D7066" t="s">
        <v>17</v>
      </c>
      <c r="E7066" t="s">
        <v>347</v>
      </c>
      <c r="F7066">
        <f t="shared" si="220"/>
        <v>1938</v>
      </c>
      <c r="G7066">
        <f t="shared" si="221"/>
        <v>8</v>
      </c>
      <c r="H7066" t="str">
        <f>IF(ISNUMBER(FIND(",", E7066)), TRIM(MID(E7066, FIND(",", E7066) + 1, LEN(E7066))), E7066)</f>
        <v>Argentina</v>
      </c>
    </row>
    <row r="7067" spans="1:8" x14ac:dyDescent="0.25">
      <c r="A7067" s="2">
        <v>14066</v>
      </c>
      <c r="B7067">
        <v>-22.882000000000001</v>
      </c>
      <c r="C7067">
        <v>172.06200000000001</v>
      </c>
      <c r="D7067" t="s">
        <v>17</v>
      </c>
      <c r="E7067" t="s">
        <v>254</v>
      </c>
      <c r="F7067">
        <f t="shared" si="220"/>
        <v>1938</v>
      </c>
      <c r="G7067">
        <f t="shared" si="221"/>
        <v>7</v>
      </c>
      <c r="H7067" t="str">
        <f>IF(ISNUMBER(FIND(",", E7067)), TRIM(MID(E7067, FIND(",", E7067) + 1, LEN(E7067))), E7067)</f>
        <v>southeast of the Loyalty Islands</v>
      </c>
    </row>
    <row r="7068" spans="1:8" x14ac:dyDescent="0.25">
      <c r="A7068" s="2">
        <v>14054</v>
      </c>
      <c r="B7068">
        <v>-20.547999999999998</v>
      </c>
      <c r="C7068">
        <v>169.51</v>
      </c>
      <c r="D7068" t="s">
        <v>17</v>
      </c>
      <c r="E7068" t="s">
        <v>181</v>
      </c>
      <c r="F7068">
        <f t="shared" si="220"/>
        <v>1938</v>
      </c>
      <c r="G7068">
        <f t="shared" si="221"/>
        <v>6</v>
      </c>
      <c r="H7068" t="str">
        <f>IF(ISNUMBER(FIND(",", E7068)), TRIM(MID(E7068, FIND(",", E7068) + 1, LEN(E7068))), E7068)</f>
        <v>Vanuatu</v>
      </c>
    </row>
    <row r="7069" spans="1:8" x14ac:dyDescent="0.25">
      <c r="A7069" s="2">
        <v>14051</v>
      </c>
      <c r="B7069">
        <v>42.744</v>
      </c>
      <c r="C7069">
        <v>76.131</v>
      </c>
      <c r="D7069" t="s">
        <v>17</v>
      </c>
      <c r="E7069" t="s">
        <v>284</v>
      </c>
      <c r="F7069">
        <f t="shared" si="220"/>
        <v>1938</v>
      </c>
      <c r="G7069">
        <f t="shared" si="221"/>
        <v>6</v>
      </c>
      <c r="H7069" t="str">
        <f>IF(ISNUMBER(FIND(",", E7069)), TRIM(MID(E7069, FIND(",", E7069) + 1, LEN(E7069))), E7069)</f>
        <v>Kyrgyzstan</v>
      </c>
    </row>
    <row r="7070" spans="1:8" x14ac:dyDescent="0.25">
      <c r="A7070" s="2">
        <v>14047</v>
      </c>
      <c r="B7070">
        <v>27.585000000000001</v>
      </c>
      <c r="C7070">
        <v>129.53899999999999</v>
      </c>
      <c r="D7070" t="s">
        <v>16</v>
      </c>
      <c r="E7070" t="s">
        <v>340</v>
      </c>
      <c r="F7070">
        <f t="shared" si="220"/>
        <v>1938</v>
      </c>
      <c r="G7070">
        <f t="shared" si="221"/>
        <v>6</v>
      </c>
      <c r="H7070" t="str">
        <f>IF(ISNUMBER(FIND(",", E7070)), TRIM(MID(E7070, FIND(",", E7070) + 1, LEN(E7070))), E7070)</f>
        <v>Japan</v>
      </c>
    </row>
    <row r="7071" spans="1:8" x14ac:dyDescent="0.25">
      <c r="A7071" s="2">
        <v>14041</v>
      </c>
      <c r="B7071">
        <v>25.207999999999998</v>
      </c>
      <c r="C7071">
        <v>125.11499999999999</v>
      </c>
      <c r="D7071" t="s">
        <v>16</v>
      </c>
      <c r="E7071" t="s">
        <v>312</v>
      </c>
      <c r="F7071">
        <f t="shared" si="220"/>
        <v>1938</v>
      </c>
      <c r="G7071">
        <f t="shared" si="221"/>
        <v>6</v>
      </c>
      <c r="H7071" t="str">
        <f>IF(ISNUMBER(FIND(",", E7071)), TRIM(MID(E7071, FIND(",", E7071) + 1, LEN(E7071))), E7071)</f>
        <v>Japan</v>
      </c>
    </row>
    <row r="7072" spans="1:8" x14ac:dyDescent="0.25">
      <c r="A7072" s="2">
        <v>14040</v>
      </c>
      <c r="B7072">
        <v>-3.145</v>
      </c>
      <c r="C7072">
        <v>126.928</v>
      </c>
      <c r="D7072" t="s">
        <v>14</v>
      </c>
      <c r="E7072" t="s">
        <v>712</v>
      </c>
      <c r="F7072">
        <f t="shared" si="220"/>
        <v>1938</v>
      </c>
      <c r="G7072">
        <f t="shared" si="221"/>
        <v>6</v>
      </c>
      <c r="H7072" t="str">
        <f>IF(ISNUMBER(FIND(",", E7072)), TRIM(MID(E7072, FIND(",", E7072) + 1, LEN(E7072))), E7072)</f>
        <v>Indonesia</v>
      </c>
    </row>
    <row r="7073" spans="1:8" x14ac:dyDescent="0.25">
      <c r="A7073" s="2">
        <v>14030</v>
      </c>
      <c r="B7073">
        <v>-19.882000000000001</v>
      </c>
      <c r="C7073">
        <v>169.16499999999999</v>
      </c>
      <c r="D7073" t="s">
        <v>13</v>
      </c>
      <c r="E7073" t="s">
        <v>181</v>
      </c>
      <c r="F7073">
        <f t="shared" si="220"/>
        <v>1938</v>
      </c>
      <c r="G7073">
        <f t="shared" si="221"/>
        <v>5</v>
      </c>
      <c r="H7073" t="str">
        <f>IF(ISNUMBER(FIND(",", E7073)), TRIM(MID(E7073, FIND(",", E7073) + 1, LEN(E7073))), E7073)</f>
        <v>Vanuatu</v>
      </c>
    </row>
    <row r="7074" spans="1:8" x14ac:dyDescent="0.25">
      <c r="A7074" s="2">
        <v>14023</v>
      </c>
      <c r="B7074">
        <v>18.053000000000001</v>
      </c>
      <c r="C7074">
        <v>119.994</v>
      </c>
      <c r="D7074" t="s">
        <v>13</v>
      </c>
      <c r="E7074" t="s">
        <v>213</v>
      </c>
      <c r="F7074">
        <f t="shared" si="220"/>
        <v>1938</v>
      </c>
      <c r="G7074">
        <f t="shared" si="221"/>
        <v>5</v>
      </c>
      <c r="H7074" t="str">
        <f>IF(ISNUMBER(FIND(",", E7074)), TRIM(MID(E7074, FIND(",", E7074) + 1, LEN(E7074))), E7074)</f>
        <v>Philippine Islands region</v>
      </c>
    </row>
    <row r="7075" spans="1:8" x14ac:dyDescent="0.25">
      <c r="A7075" s="2">
        <v>14023</v>
      </c>
      <c r="B7075">
        <v>36.457999999999998</v>
      </c>
      <c r="C7075">
        <v>141.755</v>
      </c>
      <c r="D7075" t="s">
        <v>16</v>
      </c>
      <c r="E7075" t="s">
        <v>227</v>
      </c>
      <c r="F7075">
        <f t="shared" si="220"/>
        <v>1938</v>
      </c>
      <c r="G7075">
        <f t="shared" si="221"/>
        <v>5</v>
      </c>
      <c r="H7075" t="str">
        <f>IF(ISNUMBER(FIND(",", E7075)), TRIM(MID(E7075, FIND(",", E7075) + 1, LEN(E7075))), E7075)</f>
        <v>Japan</v>
      </c>
    </row>
    <row r="7076" spans="1:8" x14ac:dyDescent="0.25">
      <c r="A7076" s="2">
        <v>14019</v>
      </c>
      <c r="B7076">
        <v>-0.36599999999999999</v>
      </c>
      <c r="C7076">
        <v>119.52500000000001</v>
      </c>
      <c r="D7076" t="s">
        <v>16</v>
      </c>
      <c r="E7076" t="s">
        <v>263</v>
      </c>
      <c r="F7076">
        <f t="shared" si="220"/>
        <v>1938</v>
      </c>
      <c r="G7076">
        <f t="shared" si="221"/>
        <v>5</v>
      </c>
      <c r="H7076" t="str">
        <f>IF(ISNUMBER(FIND(",", E7076)), TRIM(MID(E7076, FIND(",", E7076) + 1, LEN(E7076))), E7076)</f>
        <v>Sulawesi, Indonesia</v>
      </c>
    </row>
    <row r="7077" spans="1:8" x14ac:dyDescent="0.25">
      <c r="A7077" s="2">
        <v>14012</v>
      </c>
      <c r="B7077">
        <v>-6.2709999999999999</v>
      </c>
      <c r="C7077">
        <v>147.803</v>
      </c>
      <c r="D7077" t="s">
        <v>16</v>
      </c>
      <c r="E7077" t="s">
        <v>243</v>
      </c>
      <c r="F7077">
        <f t="shared" si="220"/>
        <v>1938</v>
      </c>
      <c r="G7077">
        <f t="shared" si="221"/>
        <v>5</v>
      </c>
      <c r="H7077" t="str">
        <f>IF(ISNUMBER(FIND(",", E7077)), TRIM(MID(E7077, FIND(",", E7077) + 1, LEN(E7077))), E7077)</f>
        <v>Papua New Guinea</v>
      </c>
    </row>
    <row r="7078" spans="1:8" x14ac:dyDescent="0.25">
      <c r="A7078" s="2">
        <v>14008</v>
      </c>
      <c r="B7078">
        <v>-48.27</v>
      </c>
      <c r="C7078">
        <v>99.721999999999994</v>
      </c>
      <c r="D7078" t="s">
        <v>17</v>
      </c>
      <c r="E7078" t="s">
        <v>310</v>
      </c>
      <c r="F7078">
        <f t="shared" si="220"/>
        <v>1938</v>
      </c>
      <c r="G7078">
        <f t="shared" si="221"/>
        <v>5</v>
      </c>
      <c r="H7078" t="str">
        <f>IF(ISNUMBER(FIND(",", E7078)), TRIM(MID(E7078, FIND(",", E7078) + 1, LEN(E7078))), E7078)</f>
        <v>southeast Indian Ridge</v>
      </c>
    </row>
    <row r="7079" spans="1:8" x14ac:dyDescent="0.25">
      <c r="A7079" s="2">
        <v>13989</v>
      </c>
      <c r="B7079">
        <v>39.439</v>
      </c>
      <c r="C7079">
        <v>34.015000000000001</v>
      </c>
      <c r="D7079" t="s">
        <v>17</v>
      </c>
      <c r="E7079" t="s">
        <v>517</v>
      </c>
      <c r="F7079">
        <f t="shared" si="220"/>
        <v>1938</v>
      </c>
      <c r="G7079">
        <f t="shared" si="221"/>
        <v>4</v>
      </c>
      <c r="H7079" t="str">
        <f>IF(ISNUMBER(FIND(",", E7079)), TRIM(MID(E7079, FIND(",", E7079) + 1, LEN(E7079))), E7079)</f>
        <v>central Turkey</v>
      </c>
    </row>
    <row r="7080" spans="1:8" x14ac:dyDescent="0.25">
      <c r="A7080" s="2">
        <v>13984</v>
      </c>
      <c r="B7080">
        <v>23.372</v>
      </c>
      <c r="C7080">
        <v>94.406999999999996</v>
      </c>
      <c r="D7080" t="s">
        <v>17</v>
      </c>
      <c r="E7080" t="s">
        <v>197</v>
      </c>
      <c r="F7080">
        <f t="shared" si="220"/>
        <v>1938</v>
      </c>
      <c r="G7080">
        <f t="shared" si="221"/>
        <v>4</v>
      </c>
      <c r="H7080" t="str">
        <f>IF(ISNUMBER(FIND(",", E7080)), TRIM(MID(E7080, FIND(",", E7080) + 1, LEN(E7080))), E7080)</f>
        <v>Myanmar</v>
      </c>
    </row>
    <row r="7081" spans="1:8" x14ac:dyDescent="0.25">
      <c r="A7081" s="2">
        <v>13983</v>
      </c>
      <c r="B7081">
        <v>38.112000000000002</v>
      </c>
      <c r="C7081">
        <v>14.925000000000001</v>
      </c>
      <c r="D7081" t="s">
        <v>17</v>
      </c>
      <c r="E7081" t="s">
        <v>713</v>
      </c>
      <c r="F7081">
        <f t="shared" si="220"/>
        <v>1938</v>
      </c>
      <c r="G7081">
        <f t="shared" si="221"/>
        <v>4</v>
      </c>
      <c r="H7081" t="str">
        <f>IF(ISNUMBER(FIND(",", E7081)), TRIM(MID(E7081, FIND(",", E7081) + 1, LEN(E7081))), E7081)</f>
        <v>Italy</v>
      </c>
    </row>
    <row r="7082" spans="1:8" x14ac:dyDescent="0.25">
      <c r="A7082" s="2">
        <v>13916</v>
      </c>
      <c r="B7082">
        <v>4.5549999999999997</v>
      </c>
      <c r="C7082">
        <v>-75.918999999999997</v>
      </c>
      <c r="D7082" t="s">
        <v>13</v>
      </c>
      <c r="E7082" t="s">
        <v>206</v>
      </c>
      <c r="F7082">
        <f t="shared" si="220"/>
        <v>1938</v>
      </c>
      <c r="G7082">
        <f t="shared" si="221"/>
        <v>2</v>
      </c>
      <c r="H7082" t="str">
        <f>IF(ISNUMBER(FIND(",", E7082)), TRIM(MID(E7082, FIND(",", E7082) + 1, LEN(E7082))), E7082)</f>
        <v>Colombia</v>
      </c>
    </row>
    <row r="7083" spans="1:8" x14ac:dyDescent="0.25">
      <c r="A7083" s="2">
        <v>13912</v>
      </c>
      <c r="B7083">
        <v>-5.05</v>
      </c>
      <c r="C7083">
        <v>131.62</v>
      </c>
      <c r="D7083" t="s">
        <v>16</v>
      </c>
      <c r="E7083" t="s">
        <v>187</v>
      </c>
      <c r="F7083">
        <f t="shared" si="220"/>
        <v>1938</v>
      </c>
      <c r="G7083">
        <f t="shared" si="221"/>
        <v>2</v>
      </c>
      <c r="H7083" t="str">
        <f>IF(ISNUMBER(FIND(",", E7083)), TRIM(MID(E7083, FIND(",", E7083) + 1, LEN(E7083))), E7083)</f>
        <v>Banda Sea</v>
      </c>
    </row>
    <row r="7084" spans="1:8" x14ac:dyDescent="0.25">
      <c r="A7084" s="2">
        <v>13904</v>
      </c>
      <c r="B7084">
        <v>-60.546999999999997</v>
      </c>
      <c r="C7084">
        <v>-35.582000000000001</v>
      </c>
      <c r="D7084" t="s">
        <v>14</v>
      </c>
      <c r="E7084" t="s">
        <v>56</v>
      </c>
      <c r="F7084">
        <f t="shared" si="220"/>
        <v>1938</v>
      </c>
      <c r="G7084">
        <f t="shared" si="221"/>
        <v>1</v>
      </c>
      <c r="H7084" t="str">
        <f>IF(ISNUMBER(FIND(",", E7084)), TRIM(MID(E7084, FIND(",", E7084) + 1, LEN(E7084))), E7084)</f>
        <v>Scotia Sea</v>
      </c>
    </row>
    <row r="7085" spans="1:8" x14ac:dyDescent="0.25">
      <c r="A7085" s="2">
        <v>13903</v>
      </c>
      <c r="B7085">
        <v>20.96</v>
      </c>
      <c r="C7085">
        <v>-156.18</v>
      </c>
      <c r="D7085" t="s">
        <v>17</v>
      </c>
      <c r="E7085" t="s">
        <v>435</v>
      </c>
      <c r="F7085">
        <f t="shared" si="220"/>
        <v>1938</v>
      </c>
      <c r="G7085">
        <f t="shared" si="221"/>
        <v>1</v>
      </c>
      <c r="H7085" t="str">
        <f>IF(ISNUMBER(FIND(",", E7085)), TRIM(MID(E7085, FIND(",", E7085) + 1, LEN(E7085))), E7085)</f>
        <v>Hawaii</v>
      </c>
    </row>
    <row r="7086" spans="1:8" x14ac:dyDescent="0.25">
      <c r="A7086" s="2">
        <v>13881</v>
      </c>
      <c r="B7086">
        <v>25.882999999999999</v>
      </c>
      <c r="C7086">
        <v>143.23400000000001</v>
      </c>
      <c r="D7086" t="s">
        <v>17</v>
      </c>
      <c r="E7086" t="s">
        <v>519</v>
      </c>
      <c r="F7086">
        <f t="shared" si="220"/>
        <v>1938</v>
      </c>
      <c r="G7086">
        <f t="shared" si="221"/>
        <v>1</v>
      </c>
      <c r="H7086" t="str">
        <f>IF(ISNUMBER(FIND(",", E7086)), TRIM(MID(E7086, FIND(",", E7086) + 1, LEN(E7086))), E7086)</f>
        <v>Japan region</v>
      </c>
    </row>
    <row r="7087" spans="1:8" x14ac:dyDescent="0.25">
      <c r="A7087" s="2">
        <v>13872</v>
      </c>
      <c r="B7087">
        <v>17.431000000000001</v>
      </c>
      <c r="C7087">
        <v>-98.287000000000006</v>
      </c>
      <c r="D7087" t="s">
        <v>16</v>
      </c>
      <c r="E7087" t="s">
        <v>251</v>
      </c>
      <c r="F7087">
        <f t="shared" si="220"/>
        <v>1937</v>
      </c>
      <c r="G7087">
        <f t="shared" si="221"/>
        <v>12</v>
      </c>
      <c r="H7087" t="str">
        <f>IF(ISNUMBER(FIND(",", E7087)), TRIM(MID(E7087, FIND(",", E7087) + 1, LEN(E7087))), E7087)</f>
        <v>Mexico</v>
      </c>
    </row>
    <row r="7088" spans="1:8" x14ac:dyDescent="0.25">
      <c r="A7088" s="2">
        <v>13857</v>
      </c>
      <c r="B7088">
        <v>22.872</v>
      </c>
      <c r="C7088">
        <v>121.01</v>
      </c>
      <c r="D7088" t="s">
        <v>14</v>
      </c>
      <c r="E7088" t="s">
        <v>363</v>
      </c>
      <c r="F7088">
        <f t="shared" si="220"/>
        <v>1937</v>
      </c>
      <c r="G7088">
        <f t="shared" si="221"/>
        <v>12</v>
      </c>
      <c r="H7088" t="str">
        <f>IF(ISNUMBER(FIND(",", E7088)), TRIM(MID(E7088, FIND(",", E7088) + 1, LEN(E7088))), E7088)</f>
        <v>Taiwan region</v>
      </c>
    </row>
    <row r="7089" spans="1:8" x14ac:dyDescent="0.25">
      <c r="A7089" s="2">
        <v>13833</v>
      </c>
      <c r="B7089">
        <v>36.569000000000003</v>
      </c>
      <c r="C7089">
        <v>70.67</v>
      </c>
      <c r="D7089" t="s">
        <v>13</v>
      </c>
      <c r="E7089" t="s">
        <v>314</v>
      </c>
      <c r="F7089">
        <f t="shared" si="220"/>
        <v>1937</v>
      </c>
      <c r="G7089">
        <f t="shared" si="221"/>
        <v>11</v>
      </c>
      <c r="H7089" t="str">
        <f>IF(ISNUMBER(FIND(",", E7089)), TRIM(MID(E7089, FIND(",", E7089) + 1, LEN(E7089))), E7089)</f>
        <v>Afghanistan</v>
      </c>
    </row>
    <row r="7090" spans="1:8" x14ac:dyDescent="0.25">
      <c r="A7090" s="2">
        <v>13794</v>
      </c>
      <c r="B7090">
        <v>18.43</v>
      </c>
      <c r="C7090">
        <v>-98.921000000000006</v>
      </c>
      <c r="D7090" t="s">
        <v>17</v>
      </c>
      <c r="E7090" t="s">
        <v>714</v>
      </c>
      <c r="F7090">
        <f t="shared" si="220"/>
        <v>1937</v>
      </c>
      <c r="G7090">
        <f t="shared" si="221"/>
        <v>10</v>
      </c>
      <c r="H7090" t="str">
        <f>IF(ISNUMBER(FIND(",", E7090)), TRIM(MID(E7090, FIND(",", E7090) + 1, LEN(E7090))), E7090)</f>
        <v>Mexico</v>
      </c>
    </row>
    <row r="7091" spans="1:8" x14ac:dyDescent="0.25">
      <c r="A7091" s="2">
        <v>13785</v>
      </c>
      <c r="B7091">
        <v>-9.0269999999999992</v>
      </c>
      <c r="C7091">
        <v>110.80200000000001</v>
      </c>
      <c r="D7091" t="s">
        <v>14</v>
      </c>
      <c r="E7091" t="s">
        <v>212</v>
      </c>
      <c r="F7091">
        <f t="shared" si="220"/>
        <v>1937</v>
      </c>
      <c r="G7091">
        <f t="shared" si="221"/>
        <v>9</v>
      </c>
      <c r="H7091" t="str">
        <f>IF(ISNUMBER(FIND(",", E7091)), TRIM(MID(E7091, FIND(",", E7091) + 1, LEN(E7091))), E7091)</f>
        <v>Indonesia</v>
      </c>
    </row>
    <row r="7092" spans="1:8" x14ac:dyDescent="0.25">
      <c r="A7092" s="2">
        <v>13781</v>
      </c>
      <c r="B7092">
        <v>-6.7210000000000001</v>
      </c>
      <c r="C7092">
        <v>154.011</v>
      </c>
      <c r="D7092" t="s">
        <v>14</v>
      </c>
      <c r="E7092" t="s">
        <v>290</v>
      </c>
      <c r="F7092">
        <f t="shared" si="220"/>
        <v>1937</v>
      </c>
      <c r="G7092">
        <f t="shared" si="221"/>
        <v>9</v>
      </c>
      <c r="H7092" t="str">
        <f>IF(ISNUMBER(FIND(",", E7092)), TRIM(MID(E7092, FIND(",", E7092) + 1, LEN(E7092))), E7092)</f>
        <v>Papua New Guinea</v>
      </c>
    </row>
    <row r="7093" spans="1:8" x14ac:dyDescent="0.25">
      <c r="A7093" s="2">
        <v>13779</v>
      </c>
      <c r="B7093">
        <v>1.8049999999999999</v>
      </c>
      <c r="C7093">
        <v>126.53100000000001</v>
      </c>
      <c r="D7093" t="s">
        <v>17</v>
      </c>
      <c r="E7093" t="s">
        <v>186</v>
      </c>
      <c r="F7093">
        <f t="shared" si="220"/>
        <v>1937</v>
      </c>
      <c r="G7093">
        <f t="shared" si="221"/>
        <v>9</v>
      </c>
      <c r="H7093" t="str">
        <f>IF(ISNUMBER(FIND(",", E7093)), TRIM(MID(E7093, FIND(",", E7093) + 1, LEN(E7093))), E7093)</f>
        <v>Molucca Sea</v>
      </c>
    </row>
    <row r="7094" spans="1:8" x14ac:dyDescent="0.25">
      <c r="A7094" s="2">
        <v>13773</v>
      </c>
      <c r="B7094">
        <v>-10.5</v>
      </c>
      <c r="C7094">
        <v>161.5</v>
      </c>
      <c r="D7094" t="s">
        <v>13</v>
      </c>
      <c r="E7094" t="s">
        <v>221</v>
      </c>
      <c r="F7094">
        <f t="shared" si="220"/>
        <v>1937</v>
      </c>
      <c r="G7094">
        <f t="shared" si="221"/>
        <v>9</v>
      </c>
      <c r="H7094" t="str">
        <f>IF(ISNUMBER(FIND(",", E7094)), TRIM(MID(E7094, FIND(",", E7094) + 1, LEN(E7094))), E7094)</f>
        <v>Solomon Islands</v>
      </c>
    </row>
    <row r="7095" spans="1:8" x14ac:dyDescent="0.25">
      <c r="A7095" s="2">
        <v>13766</v>
      </c>
      <c r="B7095">
        <v>-56.540999999999997</v>
      </c>
      <c r="C7095">
        <v>-26.911999999999999</v>
      </c>
      <c r="D7095" t="s">
        <v>13</v>
      </c>
      <c r="E7095" t="s">
        <v>260</v>
      </c>
      <c r="F7095">
        <f t="shared" si="220"/>
        <v>1937</v>
      </c>
      <c r="G7095">
        <f t="shared" si="221"/>
        <v>9</v>
      </c>
      <c r="H7095" t="str">
        <f>IF(ISNUMBER(FIND(",", E7095)), TRIM(MID(E7095, FIND(",", E7095) + 1, LEN(E7095))), E7095)</f>
        <v>South Sandwich Islands region</v>
      </c>
    </row>
    <row r="7096" spans="1:8" x14ac:dyDescent="0.25">
      <c r="A7096" s="2">
        <v>13761</v>
      </c>
      <c r="B7096">
        <v>52.447000000000003</v>
      </c>
      <c r="C7096">
        <v>-177.398</v>
      </c>
      <c r="D7096" t="s">
        <v>13</v>
      </c>
      <c r="E7096" t="s">
        <v>207</v>
      </c>
      <c r="F7096">
        <f t="shared" si="220"/>
        <v>1937</v>
      </c>
      <c r="G7096">
        <f t="shared" si="221"/>
        <v>9</v>
      </c>
      <c r="H7096" t="str">
        <f>IF(ISNUMBER(FIND(",", E7096)), TRIM(MID(E7096, FIND(",", E7096) + 1, LEN(E7096))), E7096)</f>
        <v>Aleutian Islands, Alaska</v>
      </c>
    </row>
    <row r="7097" spans="1:8" x14ac:dyDescent="0.25">
      <c r="A7097" s="2">
        <v>13759</v>
      </c>
      <c r="B7097">
        <v>-32.807000000000002</v>
      </c>
      <c r="C7097">
        <v>-179.06399999999999</v>
      </c>
      <c r="D7097" t="s">
        <v>13</v>
      </c>
      <c r="E7097" t="s">
        <v>262</v>
      </c>
      <c r="F7097">
        <f t="shared" si="220"/>
        <v>1937</v>
      </c>
      <c r="G7097">
        <f t="shared" si="221"/>
        <v>9</v>
      </c>
      <c r="H7097" t="str">
        <f>IF(ISNUMBER(FIND(",", E7097)), TRIM(MID(E7097, FIND(",", E7097) + 1, LEN(E7097))), E7097)</f>
        <v>south of the Kermadec Islands</v>
      </c>
    </row>
    <row r="7098" spans="1:8" x14ac:dyDescent="0.25">
      <c r="A7098" s="2">
        <v>13747</v>
      </c>
      <c r="B7098">
        <v>14.318</v>
      </c>
      <c r="C7098">
        <v>121.547</v>
      </c>
      <c r="D7098" t="s">
        <v>16</v>
      </c>
      <c r="E7098" t="s">
        <v>297</v>
      </c>
      <c r="F7098">
        <f t="shared" si="220"/>
        <v>1937</v>
      </c>
      <c r="G7098">
        <f t="shared" si="221"/>
        <v>8</v>
      </c>
      <c r="H7098" t="str">
        <f>IF(ISNUMBER(FIND(",", E7098)), TRIM(MID(E7098, FIND(",", E7098) + 1, LEN(E7098))), E7098)</f>
        <v>Philippines</v>
      </c>
    </row>
    <row r="7099" spans="1:8" x14ac:dyDescent="0.25">
      <c r="A7099" s="2">
        <v>13738</v>
      </c>
      <c r="B7099">
        <v>-9.6750000000000007</v>
      </c>
      <c r="C7099">
        <v>117.533</v>
      </c>
      <c r="D7099" t="s">
        <v>13</v>
      </c>
      <c r="E7099" t="s">
        <v>349</v>
      </c>
      <c r="F7099">
        <f t="shared" si="220"/>
        <v>1937</v>
      </c>
      <c r="G7099">
        <f t="shared" si="221"/>
        <v>8</v>
      </c>
      <c r="H7099" t="str">
        <f>IF(ISNUMBER(FIND(",", E7099)), TRIM(MID(E7099, FIND(",", E7099) + 1, LEN(E7099))), E7099)</f>
        <v>Indonesia</v>
      </c>
    </row>
    <row r="7100" spans="1:8" x14ac:dyDescent="0.25">
      <c r="A7100" s="2">
        <v>13732</v>
      </c>
      <c r="B7100">
        <v>-5.9359999999999999</v>
      </c>
      <c r="C7100">
        <v>149.73099999999999</v>
      </c>
      <c r="D7100" t="s">
        <v>17</v>
      </c>
      <c r="E7100" t="s">
        <v>190</v>
      </c>
      <c r="F7100">
        <f t="shared" si="220"/>
        <v>1937</v>
      </c>
      <c r="G7100">
        <f t="shared" si="221"/>
        <v>8</v>
      </c>
      <c r="H7100" t="str">
        <f>IF(ISNUMBER(FIND(",", E7100)), TRIM(MID(E7100, FIND(",", E7100) + 1, LEN(E7100))), E7100)</f>
        <v>Papua New Guinea</v>
      </c>
    </row>
    <row r="7101" spans="1:8" x14ac:dyDescent="0.25">
      <c r="A7101" s="2">
        <v>13728</v>
      </c>
      <c r="B7101">
        <v>35.222000000000001</v>
      </c>
      <c r="C7101">
        <v>115.154</v>
      </c>
      <c r="D7101" t="s">
        <v>17</v>
      </c>
      <c r="E7101" t="s">
        <v>715</v>
      </c>
      <c r="F7101">
        <f t="shared" si="220"/>
        <v>1937</v>
      </c>
      <c r="G7101">
        <f t="shared" si="221"/>
        <v>8</v>
      </c>
      <c r="H7101" t="str">
        <f>IF(ISNUMBER(FIND(",", E7101)), TRIM(MID(E7101, FIND(",", E7101) + 1, LEN(E7101))), E7101)</f>
        <v>China</v>
      </c>
    </row>
    <row r="7102" spans="1:8" x14ac:dyDescent="0.25">
      <c r="A7102" s="2">
        <v>13727</v>
      </c>
      <c r="B7102">
        <v>35.252000000000002</v>
      </c>
      <c r="C7102">
        <v>115.15300000000001</v>
      </c>
      <c r="D7102" t="s">
        <v>17</v>
      </c>
      <c r="E7102" t="s">
        <v>715</v>
      </c>
      <c r="F7102">
        <f t="shared" si="220"/>
        <v>1937</v>
      </c>
      <c r="G7102">
        <f t="shared" si="221"/>
        <v>7</v>
      </c>
      <c r="H7102" t="str">
        <f>IF(ISNUMBER(FIND(",", E7102)), TRIM(MID(E7102, FIND(",", E7102) + 1, LEN(E7102))), E7102)</f>
        <v>China</v>
      </c>
    </row>
    <row r="7103" spans="1:8" x14ac:dyDescent="0.25">
      <c r="A7103" s="2">
        <v>13722</v>
      </c>
      <c r="B7103">
        <v>38.396000000000001</v>
      </c>
      <c r="C7103">
        <v>142.16999999999999</v>
      </c>
      <c r="D7103" t="s">
        <v>13</v>
      </c>
      <c r="E7103" t="s">
        <v>227</v>
      </c>
      <c r="F7103">
        <f t="shared" si="220"/>
        <v>1937</v>
      </c>
      <c r="G7103">
        <f t="shared" si="221"/>
        <v>7</v>
      </c>
      <c r="H7103" t="str">
        <f>IF(ISNUMBER(FIND(",", E7103)), TRIM(MID(E7103, FIND(",", E7103) + 1, LEN(E7103))), E7103)</f>
        <v>Japan</v>
      </c>
    </row>
    <row r="7104" spans="1:8" x14ac:dyDescent="0.25">
      <c r="A7104" s="2">
        <v>13722</v>
      </c>
      <c r="B7104">
        <v>18.523</v>
      </c>
      <c r="C7104">
        <v>-95.878</v>
      </c>
      <c r="D7104" t="s">
        <v>13</v>
      </c>
      <c r="E7104" t="s">
        <v>294</v>
      </c>
      <c r="F7104">
        <f t="shared" si="220"/>
        <v>1937</v>
      </c>
      <c r="G7104">
        <f t="shared" si="221"/>
        <v>7</v>
      </c>
      <c r="H7104" t="str">
        <f>IF(ISNUMBER(FIND(",", E7104)), TRIM(MID(E7104, FIND(",", E7104) + 1, LEN(E7104))), E7104)</f>
        <v>Mexico</v>
      </c>
    </row>
    <row r="7105" spans="1:8" x14ac:dyDescent="0.25">
      <c r="A7105" s="2">
        <v>13718</v>
      </c>
      <c r="B7105">
        <v>64.494</v>
      </c>
      <c r="C7105">
        <v>-146.85400000000001</v>
      </c>
      <c r="D7105" t="s">
        <v>16</v>
      </c>
      <c r="E7105" t="s">
        <v>487</v>
      </c>
      <c r="F7105">
        <f t="shared" si="220"/>
        <v>1937</v>
      </c>
      <c r="G7105">
        <f t="shared" si="221"/>
        <v>7</v>
      </c>
      <c r="H7105" t="str">
        <f>IF(ISNUMBER(FIND(",", E7105)), TRIM(MID(E7105, FIND(",", E7105) + 1, LEN(E7105))), E7105)</f>
        <v>Central Alaska</v>
      </c>
    </row>
    <row r="7106" spans="1:8" x14ac:dyDescent="0.25">
      <c r="A7106" s="2">
        <v>13715</v>
      </c>
      <c r="B7106">
        <v>-1.978</v>
      </c>
      <c r="C7106">
        <v>-76.397000000000006</v>
      </c>
      <c r="D7106" t="s">
        <v>13</v>
      </c>
      <c r="E7106" t="s">
        <v>316</v>
      </c>
      <c r="F7106">
        <f t="shared" ref="F7106:F7169" si="222">YEAR(A7106)</f>
        <v>1937</v>
      </c>
      <c r="G7106">
        <f t="shared" si="221"/>
        <v>7</v>
      </c>
      <c r="H7106" t="str">
        <f>IF(ISNUMBER(FIND(",", E7106)), TRIM(MID(E7106, FIND(",", E7106) + 1, LEN(E7106))), E7106)</f>
        <v>Ecuador</v>
      </c>
    </row>
    <row r="7107" spans="1:8" x14ac:dyDescent="0.25">
      <c r="A7107" s="2">
        <v>13700</v>
      </c>
      <c r="B7107">
        <v>-11.292999999999999</v>
      </c>
      <c r="C7107">
        <v>163.95500000000001</v>
      </c>
      <c r="D7107" t="s">
        <v>17</v>
      </c>
      <c r="E7107" t="s">
        <v>221</v>
      </c>
      <c r="F7107">
        <f t="shared" si="222"/>
        <v>1937</v>
      </c>
      <c r="G7107">
        <f t="shared" ref="G7107:G7170" si="223">MONTH(A7107)</f>
        <v>7</v>
      </c>
      <c r="H7107" t="str">
        <f>IF(ISNUMBER(FIND(",", E7107)), TRIM(MID(E7107, FIND(",", E7107) + 1, LEN(E7107))), E7107)</f>
        <v>Solomon Islands</v>
      </c>
    </row>
    <row r="7108" spans="1:8" x14ac:dyDescent="0.25">
      <c r="A7108" s="2">
        <v>13698</v>
      </c>
      <c r="B7108">
        <v>-13.856999999999999</v>
      </c>
      <c r="C7108">
        <v>167.04900000000001</v>
      </c>
      <c r="D7108" t="s">
        <v>13</v>
      </c>
      <c r="E7108" t="s">
        <v>181</v>
      </c>
      <c r="F7108">
        <f t="shared" si="222"/>
        <v>1937</v>
      </c>
      <c r="G7108">
        <f t="shared" si="223"/>
        <v>7</v>
      </c>
      <c r="H7108" t="str">
        <f>IF(ISNUMBER(FIND(",", E7108)), TRIM(MID(E7108, FIND(",", E7108) + 1, LEN(E7108))), E7108)</f>
        <v>Vanuatu</v>
      </c>
    </row>
    <row r="7109" spans="1:8" x14ac:dyDescent="0.25">
      <c r="A7109" s="2">
        <v>13697</v>
      </c>
      <c r="B7109">
        <v>3.1230000000000002</v>
      </c>
      <c r="C7109">
        <v>95.787000000000006</v>
      </c>
      <c r="D7109" t="s">
        <v>17</v>
      </c>
      <c r="E7109" t="s">
        <v>245</v>
      </c>
      <c r="F7109">
        <f t="shared" si="222"/>
        <v>1937</v>
      </c>
      <c r="G7109">
        <f t="shared" si="223"/>
        <v>7</v>
      </c>
      <c r="H7109" t="str">
        <f>IF(ISNUMBER(FIND(",", E7109)), TRIM(MID(E7109, FIND(",", E7109) + 1, LEN(E7109))), E7109)</f>
        <v>off the west coast of northern Sumatra</v>
      </c>
    </row>
    <row r="7110" spans="1:8" x14ac:dyDescent="0.25">
      <c r="A7110" s="2">
        <v>13687</v>
      </c>
      <c r="B7110">
        <v>-8.4429999999999996</v>
      </c>
      <c r="C7110">
        <v>-79.852999999999994</v>
      </c>
      <c r="D7110" t="s">
        <v>14</v>
      </c>
      <c r="E7110" t="s">
        <v>376</v>
      </c>
      <c r="F7110">
        <f t="shared" si="222"/>
        <v>1937</v>
      </c>
      <c r="G7110">
        <f t="shared" si="223"/>
        <v>6</v>
      </c>
      <c r="H7110" t="str">
        <f>IF(ISNUMBER(FIND(",", E7110)), TRIM(MID(E7110, FIND(",", E7110) + 1, LEN(E7110))), E7110)</f>
        <v>near the coast of northern Peru</v>
      </c>
    </row>
    <row r="7111" spans="1:8" x14ac:dyDescent="0.25">
      <c r="A7111" s="2">
        <v>13647</v>
      </c>
      <c r="B7111">
        <v>-4.734</v>
      </c>
      <c r="C7111">
        <v>144.58699999999999</v>
      </c>
      <c r="D7111" t="s">
        <v>17</v>
      </c>
      <c r="E7111" t="s">
        <v>216</v>
      </c>
      <c r="F7111">
        <f t="shared" si="222"/>
        <v>1937</v>
      </c>
      <c r="G7111">
        <f t="shared" si="223"/>
        <v>5</v>
      </c>
      <c r="H7111" t="str">
        <f>IF(ISNUMBER(FIND(",", E7111)), TRIM(MID(E7111, FIND(",", E7111) + 1, LEN(E7111))), E7111)</f>
        <v>Papua New Guinea</v>
      </c>
    </row>
    <row r="7112" spans="1:8" x14ac:dyDescent="0.25">
      <c r="A7112" s="2">
        <v>13621</v>
      </c>
      <c r="B7112">
        <v>-20.768000000000001</v>
      </c>
      <c r="C7112">
        <v>-177.14400000000001</v>
      </c>
      <c r="D7112" t="s">
        <v>13</v>
      </c>
      <c r="E7112" t="s">
        <v>53</v>
      </c>
      <c r="F7112">
        <f t="shared" si="222"/>
        <v>1937</v>
      </c>
      <c r="G7112">
        <f t="shared" si="223"/>
        <v>4</v>
      </c>
      <c r="H7112" t="str">
        <f>IF(ISNUMBER(FIND(",", E7112)), TRIM(MID(E7112, FIND(",", E7112) + 1, LEN(E7112))), E7112)</f>
        <v>Fiji region</v>
      </c>
    </row>
    <row r="7113" spans="1:8" x14ac:dyDescent="0.25">
      <c r="A7113" s="2">
        <v>13610</v>
      </c>
      <c r="B7113">
        <v>-0.68500000000000005</v>
      </c>
      <c r="C7113">
        <v>133.69300000000001</v>
      </c>
      <c r="D7113" t="s">
        <v>17</v>
      </c>
      <c r="E7113" t="s">
        <v>241</v>
      </c>
      <c r="F7113">
        <f t="shared" si="222"/>
        <v>1937</v>
      </c>
      <c r="G7113">
        <f t="shared" si="223"/>
        <v>4</v>
      </c>
      <c r="H7113" t="str">
        <f>IF(ISNUMBER(FIND(",", E7113)), TRIM(MID(E7113, FIND(",", E7113) + 1, LEN(E7113))), E7113)</f>
        <v>Indonesia</v>
      </c>
    </row>
    <row r="7114" spans="1:8" x14ac:dyDescent="0.25">
      <c r="A7114" s="2">
        <v>13603</v>
      </c>
      <c r="B7114">
        <v>-16.202999999999999</v>
      </c>
      <c r="C7114">
        <v>-71.070999999999998</v>
      </c>
      <c r="D7114" t="s">
        <v>17</v>
      </c>
      <c r="E7114" t="s">
        <v>229</v>
      </c>
      <c r="F7114">
        <f t="shared" si="222"/>
        <v>1937</v>
      </c>
      <c r="G7114">
        <f t="shared" si="223"/>
        <v>3</v>
      </c>
      <c r="H7114" t="str">
        <f>IF(ISNUMBER(FIND(",", E7114)), TRIM(MID(E7114, FIND(",", E7114) + 1, LEN(E7114))), E7114)</f>
        <v>southern Peru</v>
      </c>
    </row>
    <row r="7115" spans="1:8" x14ac:dyDescent="0.25">
      <c r="A7115" s="2">
        <v>13567</v>
      </c>
      <c r="B7115">
        <v>44.241</v>
      </c>
      <c r="C7115">
        <v>149.60499999999999</v>
      </c>
      <c r="D7115" t="s">
        <v>16</v>
      </c>
      <c r="E7115" t="s">
        <v>191</v>
      </c>
      <c r="F7115">
        <f t="shared" si="222"/>
        <v>1937</v>
      </c>
      <c r="G7115">
        <f t="shared" si="223"/>
        <v>2</v>
      </c>
      <c r="H7115" t="str">
        <f>IF(ISNUMBER(FIND(",", E7115)), TRIM(MID(E7115, FIND(",", E7115) + 1, LEN(E7115))), E7115)</f>
        <v>Kuril Islands</v>
      </c>
    </row>
    <row r="7116" spans="1:8" x14ac:dyDescent="0.25">
      <c r="A7116" s="2">
        <v>13540</v>
      </c>
      <c r="B7116">
        <v>-10.847</v>
      </c>
      <c r="C7116">
        <v>162.79400000000001</v>
      </c>
      <c r="D7116" t="s">
        <v>14</v>
      </c>
      <c r="E7116" t="s">
        <v>221</v>
      </c>
      <c r="F7116">
        <f t="shared" si="222"/>
        <v>1937</v>
      </c>
      <c r="G7116">
        <f t="shared" si="223"/>
        <v>1</v>
      </c>
      <c r="H7116" t="str">
        <f>IF(ISNUMBER(FIND(",", E7116)), TRIM(MID(E7116, FIND(",", E7116) + 1, LEN(E7116))), E7116)</f>
        <v>Solomon Islands</v>
      </c>
    </row>
    <row r="7117" spans="1:8" x14ac:dyDescent="0.25">
      <c r="A7117" s="2">
        <v>13538</v>
      </c>
      <c r="B7117">
        <v>-5.29</v>
      </c>
      <c r="C7117">
        <v>152.75700000000001</v>
      </c>
      <c r="D7117" t="s">
        <v>14</v>
      </c>
      <c r="E7117" t="s">
        <v>190</v>
      </c>
      <c r="F7117">
        <f t="shared" si="222"/>
        <v>1937</v>
      </c>
      <c r="G7117">
        <f t="shared" si="223"/>
        <v>1</v>
      </c>
      <c r="H7117" t="str">
        <f>IF(ISNUMBER(FIND(",", E7117)), TRIM(MID(E7117, FIND(",", E7117) + 1, LEN(E7117))), E7117)</f>
        <v>Papua New Guinea</v>
      </c>
    </row>
    <row r="7118" spans="1:8" x14ac:dyDescent="0.25">
      <c r="A7118" s="2">
        <v>13522</v>
      </c>
      <c r="B7118">
        <v>35.404000000000003</v>
      </c>
      <c r="C7118">
        <v>97.667000000000002</v>
      </c>
      <c r="D7118" t="s">
        <v>16</v>
      </c>
      <c r="E7118" t="s">
        <v>331</v>
      </c>
      <c r="F7118">
        <f t="shared" si="222"/>
        <v>1937</v>
      </c>
      <c r="G7118">
        <f t="shared" si="223"/>
        <v>1</v>
      </c>
      <c r="H7118" t="str">
        <f>IF(ISNUMBER(FIND(",", E7118)), TRIM(MID(E7118, FIND(",", E7118) + 1, LEN(E7118))), E7118)</f>
        <v>China</v>
      </c>
    </row>
    <row r="7119" spans="1:8" x14ac:dyDescent="0.25">
      <c r="A7119" s="2">
        <v>13513</v>
      </c>
      <c r="B7119">
        <v>-4.5979999999999999</v>
      </c>
      <c r="C7119">
        <v>153.67099999999999</v>
      </c>
      <c r="D7119" t="s">
        <v>13</v>
      </c>
      <c r="E7119" t="s">
        <v>183</v>
      </c>
      <c r="F7119">
        <f t="shared" si="222"/>
        <v>1936</v>
      </c>
      <c r="G7119">
        <f t="shared" si="223"/>
        <v>12</v>
      </c>
      <c r="H7119" t="str">
        <f>IF(ISNUMBER(FIND(",", E7119)), TRIM(MID(E7119, FIND(",", E7119) + 1, LEN(E7119))), E7119)</f>
        <v>Papua New Guinea</v>
      </c>
    </row>
    <row r="7120" spans="1:8" x14ac:dyDescent="0.25">
      <c r="A7120" s="2">
        <v>13510</v>
      </c>
      <c r="B7120">
        <v>-30.805</v>
      </c>
      <c r="C7120">
        <v>-178.137</v>
      </c>
      <c r="D7120" t="s">
        <v>14</v>
      </c>
      <c r="E7120" t="s">
        <v>288</v>
      </c>
      <c r="F7120">
        <f t="shared" si="222"/>
        <v>1936</v>
      </c>
      <c r="G7120">
        <f t="shared" si="223"/>
        <v>12</v>
      </c>
      <c r="H7120" t="str">
        <f>IF(ISNUMBER(FIND(",", E7120)), TRIM(MID(E7120, FIND(",", E7120) + 1, LEN(E7120))), E7120)</f>
        <v>New Zealand</v>
      </c>
    </row>
    <row r="7121" spans="1:8" x14ac:dyDescent="0.25">
      <c r="A7121" s="2">
        <v>13467</v>
      </c>
      <c r="B7121">
        <v>56.037999999999997</v>
      </c>
      <c r="C7121">
        <v>163.458</v>
      </c>
      <c r="D7121" t="s">
        <v>14</v>
      </c>
      <c r="E7121" t="s">
        <v>225</v>
      </c>
      <c r="F7121">
        <f t="shared" si="222"/>
        <v>1936</v>
      </c>
      <c r="G7121">
        <f t="shared" si="223"/>
        <v>11</v>
      </c>
      <c r="H7121" t="str">
        <f>IF(ISNUMBER(FIND(",", E7121)), TRIM(MID(E7121, FIND(",", E7121) + 1, LEN(E7121))), E7121)</f>
        <v>Russia</v>
      </c>
    </row>
    <row r="7122" spans="1:8" x14ac:dyDescent="0.25">
      <c r="A7122" s="2">
        <v>13456</v>
      </c>
      <c r="B7122">
        <v>38.337000000000003</v>
      </c>
      <c r="C7122">
        <v>142.15100000000001</v>
      </c>
      <c r="D7122" t="s">
        <v>16</v>
      </c>
      <c r="E7122" t="s">
        <v>227</v>
      </c>
      <c r="F7122">
        <f t="shared" si="222"/>
        <v>1936</v>
      </c>
      <c r="G7122">
        <f t="shared" si="223"/>
        <v>11</v>
      </c>
      <c r="H7122" t="str">
        <f>IF(ISNUMBER(FIND(",", E7122)), TRIM(MID(E7122, FIND(",", E7122) + 1, LEN(E7122))), E7122)</f>
        <v>Japan</v>
      </c>
    </row>
    <row r="7123" spans="1:8" x14ac:dyDescent="0.25">
      <c r="A7123" s="2">
        <v>13456</v>
      </c>
      <c r="B7123">
        <v>47.28</v>
      </c>
      <c r="C7123">
        <v>154.25800000000001</v>
      </c>
      <c r="D7123" t="s">
        <v>14</v>
      </c>
      <c r="E7123" t="s">
        <v>191</v>
      </c>
      <c r="F7123">
        <f t="shared" si="222"/>
        <v>1936</v>
      </c>
      <c r="G7123">
        <f t="shared" si="223"/>
        <v>11</v>
      </c>
      <c r="H7123" t="str">
        <f>IF(ISNUMBER(FIND(",", E7123)), TRIM(MID(E7123, FIND(",", E7123) + 1, LEN(E7123))), E7123)</f>
        <v>Kuril Islands</v>
      </c>
    </row>
    <row r="7124" spans="1:8" x14ac:dyDescent="0.25">
      <c r="A7124" s="2">
        <v>13452</v>
      </c>
      <c r="B7124">
        <v>13.202999999999999</v>
      </c>
      <c r="C7124">
        <v>145.41399999999999</v>
      </c>
      <c r="D7124" t="s">
        <v>17</v>
      </c>
      <c r="E7124" t="s">
        <v>403</v>
      </c>
      <c r="F7124">
        <f t="shared" si="222"/>
        <v>1936</v>
      </c>
      <c r="G7124">
        <f t="shared" si="223"/>
        <v>10</v>
      </c>
      <c r="H7124" t="str">
        <f>IF(ISNUMBER(FIND(",", E7124)), TRIM(MID(E7124, FIND(",", E7124) + 1, LEN(E7124))), E7124)</f>
        <v>Guam region</v>
      </c>
    </row>
    <row r="7125" spans="1:8" x14ac:dyDescent="0.25">
      <c r="A7125" s="2">
        <v>13442</v>
      </c>
      <c r="B7125">
        <v>-2.1579999999999999</v>
      </c>
      <c r="C7125">
        <v>126.24</v>
      </c>
      <c r="D7125" t="s">
        <v>17</v>
      </c>
      <c r="E7125" t="s">
        <v>279</v>
      </c>
      <c r="F7125">
        <f t="shared" si="222"/>
        <v>1936</v>
      </c>
      <c r="G7125">
        <f t="shared" si="223"/>
        <v>10</v>
      </c>
      <c r="H7125" t="str">
        <f>IF(ISNUMBER(FIND(",", E7125)), TRIM(MID(E7125, FIND(",", E7125) + 1, LEN(E7125))), E7125)</f>
        <v>Indonesia</v>
      </c>
    </row>
    <row r="7126" spans="1:8" x14ac:dyDescent="0.25">
      <c r="A7126" s="2">
        <v>13428</v>
      </c>
      <c r="B7126">
        <v>1.633</v>
      </c>
      <c r="C7126">
        <v>126.23699999999999</v>
      </c>
      <c r="D7126" t="s">
        <v>14</v>
      </c>
      <c r="E7126" t="s">
        <v>186</v>
      </c>
      <c r="F7126">
        <f t="shared" si="222"/>
        <v>1936</v>
      </c>
      <c r="G7126">
        <f t="shared" si="223"/>
        <v>10</v>
      </c>
      <c r="H7126" t="str">
        <f>IF(ISNUMBER(FIND(",", E7126)), TRIM(MID(E7126, FIND(",", E7126) + 1, LEN(E7126))), E7126)</f>
        <v>Molucca Sea</v>
      </c>
    </row>
    <row r="7127" spans="1:8" x14ac:dyDescent="0.25">
      <c r="A7127" s="2">
        <v>13412</v>
      </c>
      <c r="B7127">
        <v>3.6480000000000001</v>
      </c>
      <c r="C7127">
        <v>97.551000000000002</v>
      </c>
      <c r="D7127" t="s">
        <v>16</v>
      </c>
      <c r="E7127" t="s">
        <v>226</v>
      </c>
      <c r="F7127">
        <f t="shared" si="222"/>
        <v>1936</v>
      </c>
      <c r="G7127">
        <f t="shared" si="223"/>
        <v>9</v>
      </c>
      <c r="H7127" t="str">
        <f>IF(ISNUMBER(FIND(",", E7127)), TRIM(MID(E7127, FIND(",", E7127) + 1, LEN(E7127))), E7127)</f>
        <v>Indonesia</v>
      </c>
    </row>
    <row r="7128" spans="1:8" x14ac:dyDescent="0.25">
      <c r="A7128" s="2">
        <v>13400</v>
      </c>
      <c r="B7128">
        <v>-57.862000000000002</v>
      </c>
      <c r="C7128">
        <v>-32.104999999999997</v>
      </c>
      <c r="D7128" t="s">
        <v>17</v>
      </c>
      <c r="E7128" t="s">
        <v>56</v>
      </c>
      <c r="F7128">
        <f t="shared" si="222"/>
        <v>1936</v>
      </c>
      <c r="G7128">
        <f t="shared" si="223"/>
        <v>9</v>
      </c>
      <c r="H7128" t="str">
        <f>IF(ISNUMBER(FIND(",", E7128)), TRIM(MID(E7128, FIND(",", E7128) + 1, LEN(E7128))), E7128)</f>
        <v>Scotia Sea</v>
      </c>
    </row>
    <row r="7129" spans="1:8" x14ac:dyDescent="0.25">
      <c r="A7129" s="2">
        <v>13385</v>
      </c>
      <c r="B7129">
        <v>5.2960000000000003</v>
      </c>
      <c r="C7129">
        <v>94.759</v>
      </c>
      <c r="D7129" t="s">
        <v>14</v>
      </c>
      <c r="E7129" t="s">
        <v>226</v>
      </c>
      <c r="F7129">
        <f t="shared" si="222"/>
        <v>1936</v>
      </c>
      <c r="G7129">
        <f t="shared" si="223"/>
        <v>8</v>
      </c>
      <c r="H7129" t="str">
        <f>IF(ISNUMBER(FIND(",", E7129)), TRIM(MID(E7129, FIND(",", E7129) + 1, LEN(E7129))), E7129)</f>
        <v>Indonesia</v>
      </c>
    </row>
    <row r="7130" spans="1:8" x14ac:dyDescent="0.25">
      <c r="A7130" s="2">
        <v>13384</v>
      </c>
      <c r="B7130">
        <v>21.949000000000002</v>
      </c>
      <c r="C7130">
        <v>121.18600000000001</v>
      </c>
      <c r="D7130" t="s">
        <v>16</v>
      </c>
      <c r="E7130" t="s">
        <v>363</v>
      </c>
      <c r="F7130">
        <f t="shared" si="222"/>
        <v>1936</v>
      </c>
      <c r="G7130">
        <f t="shared" si="223"/>
        <v>8</v>
      </c>
      <c r="H7130" t="str">
        <f>IF(ISNUMBER(FIND(",", E7130)), TRIM(MID(E7130, FIND(",", E7130) + 1, LEN(E7130))), E7130)</f>
        <v>Taiwan region</v>
      </c>
    </row>
    <row r="7131" spans="1:8" x14ac:dyDescent="0.25">
      <c r="A7131" s="2">
        <v>13375</v>
      </c>
      <c r="B7131">
        <v>8.5879999999999992</v>
      </c>
      <c r="C7131">
        <v>126.553</v>
      </c>
      <c r="D7131" t="s">
        <v>17</v>
      </c>
      <c r="E7131" t="s">
        <v>200</v>
      </c>
      <c r="F7131">
        <f t="shared" si="222"/>
        <v>1936</v>
      </c>
      <c r="G7131">
        <f t="shared" si="223"/>
        <v>8</v>
      </c>
      <c r="H7131" t="str">
        <f>IF(ISNUMBER(FIND(",", E7131)), TRIM(MID(E7131, FIND(",", E7131) + 1, LEN(E7131))), E7131)</f>
        <v>Philippines</v>
      </c>
    </row>
    <row r="7132" spans="1:8" x14ac:dyDescent="0.25">
      <c r="A7132" s="2">
        <v>13357</v>
      </c>
      <c r="B7132">
        <v>-24.204000000000001</v>
      </c>
      <c r="C7132">
        <v>-70.632000000000005</v>
      </c>
      <c r="D7132" t="s">
        <v>17</v>
      </c>
      <c r="E7132" t="s">
        <v>413</v>
      </c>
      <c r="F7132">
        <f t="shared" si="222"/>
        <v>1936</v>
      </c>
      <c r="G7132">
        <f t="shared" si="223"/>
        <v>7</v>
      </c>
      <c r="H7132" t="str">
        <f>IF(ISNUMBER(FIND(",", E7132)), TRIM(MID(E7132, FIND(",", E7132) + 1, LEN(E7132))), E7132)</f>
        <v>Chile</v>
      </c>
    </row>
    <row r="7133" spans="1:8" x14ac:dyDescent="0.25">
      <c r="A7133" s="2">
        <v>13344</v>
      </c>
      <c r="B7133">
        <v>-24.715</v>
      </c>
      <c r="C7133">
        <v>-70.022999999999996</v>
      </c>
      <c r="D7133" t="s">
        <v>16</v>
      </c>
      <c r="E7133" t="s">
        <v>289</v>
      </c>
      <c r="F7133">
        <f t="shared" si="222"/>
        <v>1936</v>
      </c>
      <c r="G7133">
        <f t="shared" si="223"/>
        <v>7</v>
      </c>
      <c r="H7133" t="str">
        <f>IF(ISNUMBER(FIND(",", E7133)), TRIM(MID(E7133, FIND(",", E7133) + 1, LEN(E7133))), E7133)</f>
        <v>Chile</v>
      </c>
    </row>
    <row r="7134" spans="1:8" x14ac:dyDescent="0.25">
      <c r="A7134" s="2">
        <v>13336</v>
      </c>
      <c r="B7134">
        <v>5.8559999999999999</v>
      </c>
      <c r="C7134">
        <v>127.024</v>
      </c>
      <c r="D7134" t="s">
        <v>13</v>
      </c>
      <c r="E7134" t="s">
        <v>213</v>
      </c>
      <c r="F7134">
        <f t="shared" si="222"/>
        <v>1936</v>
      </c>
      <c r="G7134">
        <f t="shared" si="223"/>
        <v>7</v>
      </c>
      <c r="H7134" t="str">
        <f>IF(ISNUMBER(FIND(",", E7134)), TRIM(MID(E7134, FIND(",", E7134) + 1, LEN(E7134))), E7134)</f>
        <v>Philippine Islands region</v>
      </c>
    </row>
    <row r="7135" spans="1:8" x14ac:dyDescent="0.25">
      <c r="A7135" s="2">
        <v>13331</v>
      </c>
      <c r="B7135">
        <v>51.274000000000001</v>
      </c>
      <c r="C7135">
        <v>160.88499999999999</v>
      </c>
      <c r="D7135" t="s">
        <v>16</v>
      </c>
      <c r="E7135" t="s">
        <v>318</v>
      </c>
      <c r="F7135">
        <f t="shared" si="222"/>
        <v>1936</v>
      </c>
      <c r="G7135">
        <f t="shared" si="223"/>
        <v>6</v>
      </c>
      <c r="H7135" t="str">
        <f>IF(ISNUMBER(FIND(",", E7135)), TRIM(MID(E7135, FIND(",", E7135) + 1, LEN(E7135))), E7135)</f>
        <v>Russia</v>
      </c>
    </row>
    <row r="7136" spans="1:8" x14ac:dyDescent="0.25">
      <c r="A7136" s="2">
        <v>13330</v>
      </c>
      <c r="B7136">
        <v>36.502000000000002</v>
      </c>
      <c r="C7136">
        <v>70.835999999999999</v>
      </c>
      <c r="D7136" t="s">
        <v>17</v>
      </c>
      <c r="E7136" t="s">
        <v>314</v>
      </c>
      <c r="F7136">
        <f t="shared" si="222"/>
        <v>1936</v>
      </c>
      <c r="G7136">
        <f t="shared" si="223"/>
        <v>6</v>
      </c>
      <c r="H7136" t="str">
        <f>IF(ISNUMBER(FIND(",", E7136)), TRIM(MID(E7136, FIND(",", E7136) + 1, LEN(E7136))), E7136)</f>
        <v>Afghanistan</v>
      </c>
    </row>
    <row r="7137" spans="1:8" x14ac:dyDescent="0.25">
      <c r="A7137" s="2">
        <v>13311</v>
      </c>
      <c r="B7137">
        <v>-5.5</v>
      </c>
      <c r="C7137">
        <v>147</v>
      </c>
      <c r="D7137" t="s">
        <v>13</v>
      </c>
      <c r="E7137" t="s">
        <v>243</v>
      </c>
      <c r="F7137">
        <f t="shared" si="222"/>
        <v>1936</v>
      </c>
      <c r="G7137">
        <f t="shared" si="223"/>
        <v>6</v>
      </c>
      <c r="H7137" t="str">
        <f>IF(ISNUMBER(FIND(",", E7137)), TRIM(MID(E7137, FIND(",", E7137) + 1, LEN(E7137))), E7137)</f>
        <v>Papua New Guinea</v>
      </c>
    </row>
    <row r="7138" spans="1:8" x14ac:dyDescent="0.25">
      <c r="A7138" s="2">
        <v>13310</v>
      </c>
      <c r="B7138">
        <v>-0.13400000000000001</v>
      </c>
      <c r="C7138">
        <v>98.956000000000003</v>
      </c>
      <c r="D7138" t="s">
        <v>17</v>
      </c>
      <c r="E7138" t="s">
        <v>451</v>
      </c>
      <c r="F7138">
        <f t="shared" si="222"/>
        <v>1936</v>
      </c>
      <c r="G7138">
        <f t="shared" si="223"/>
        <v>6</v>
      </c>
      <c r="H7138" t="str">
        <f>IF(ISNUMBER(FIND(",", E7138)), TRIM(MID(E7138, FIND(",", E7138) + 1, LEN(E7138))), E7138)</f>
        <v>Indonesia</v>
      </c>
    </row>
    <row r="7139" spans="1:8" x14ac:dyDescent="0.25">
      <c r="A7139" s="2">
        <v>13306</v>
      </c>
      <c r="B7139">
        <v>0.36899999999999999</v>
      </c>
      <c r="C7139">
        <v>123.797</v>
      </c>
      <c r="D7139" t="s">
        <v>17</v>
      </c>
      <c r="E7139" t="s">
        <v>263</v>
      </c>
      <c r="F7139">
        <f t="shared" si="222"/>
        <v>1936</v>
      </c>
      <c r="G7139">
        <f t="shared" si="223"/>
        <v>6</v>
      </c>
      <c r="H7139" t="str">
        <f>IF(ISNUMBER(FIND(",", E7139)), TRIM(MID(E7139, FIND(",", E7139) + 1, LEN(E7139))), E7139)</f>
        <v>Sulawesi, Indonesia</v>
      </c>
    </row>
    <row r="7140" spans="1:8" x14ac:dyDescent="0.25">
      <c r="A7140" s="2">
        <v>13298</v>
      </c>
      <c r="B7140">
        <v>10.286</v>
      </c>
      <c r="C7140">
        <v>-103.77</v>
      </c>
      <c r="D7140" t="s">
        <v>17</v>
      </c>
      <c r="E7140" t="s">
        <v>252</v>
      </c>
      <c r="F7140">
        <f t="shared" si="222"/>
        <v>1936</v>
      </c>
      <c r="G7140">
        <f t="shared" si="223"/>
        <v>5</v>
      </c>
      <c r="H7140" t="str">
        <f>IF(ISNUMBER(FIND(",", E7140)), TRIM(MID(E7140, FIND(",", E7140) + 1, LEN(E7140))), E7140)</f>
        <v>northern East Pacific Rise</v>
      </c>
    </row>
    <row r="7141" spans="1:8" x14ac:dyDescent="0.25">
      <c r="A7141" s="2">
        <v>13297</v>
      </c>
      <c r="B7141">
        <v>28.344999999999999</v>
      </c>
      <c r="C7141">
        <v>83.283000000000001</v>
      </c>
      <c r="D7141" t="s">
        <v>14</v>
      </c>
      <c r="E7141" t="s">
        <v>526</v>
      </c>
      <c r="F7141">
        <f t="shared" si="222"/>
        <v>1936</v>
      </c>
      <c r="G7141">
        <f t="shared" si="223"/>
        <v>5</v>
      </c>
      <c r="H7141" t="str">
        <f>IF(ISNUMBER(FIND(",", E7141)), TRIM(MID(E7141, FIND(",", E7141) + 1, LEN(E7141))), E7141)</f>
        <v>Nepal</v>
      </c>
    </row>
    <row r="7142" spans="1:8" x14ac:dyDescent="0.25">
      <c r="A7142" s="2">
        <v>13289</v>
      </c>
      <c r="B7142">
        <v>-9.2449999999999992</v>
      </c>
      <c r="C7142">
        <v>123.836</v>
      </c>
      <c r="D7142" t="s">
        <v>17</v>
      </c>
      <c r="E7142" t="s">
        <v>645</v>
      </c>
      <c r="F7142">
        <f t="shared" si="222"/>
        <v>1936</v>
      </c>
      <c r="G7142">
        <f t="shared" si="223"/>
        <v>5</v>
      </c>
      <c r="H7142" t="str">
        <f>IF(ISNUMBER(FIND(",", E7142)), TRIM(MID(E7142, FIND(",", E7142) + 1, LEN(E7142))), E7142)</f>
        <v>Indonesia</v>
      </c>
    </row>
    <row r="7143" spans="1:8" x14ac:dyDescent="0.25">
      <c r="A7143" s="2">
        <v>13286</v>
      </c>
      <c r="B7143">
        <v>28.675000000000001</v>
      </c>
      <c r="C7143">
        <v>103.684</v>
      </c>
      <c r="D7143" t="s">
        <v>17</v>
      </c>
      <c r="E7143" t="s">
        <v>402</v>
      </c>
      <c r="F7143">
        <f t="shared" si="222"/>
        <v>1936</v>
      </c>
      <c r="G7143">
        <f t="shared" si="223"/>
        <v>5</v>
      </c>
      <c r="H7143" t="str">
        <f>IF(ISNUMBER(FIND(",", E7143)), TRIM(MID(E7143, FIND(",", E7143) + 1, LEN(E7143))), E7143)</f>
        <v>China</v>
      </c>
    </row>
    <row r="7144" spans="1:8" x14ac:dyDescent="0.25">
      <c r="A7144" s="2">
        <v>13266</v>
      </c>
      <c r="B7144">
        <v>28.733000000000001</v>
      </c>
      <c r="C7144">
        <v>103.497</v>
      </c>
      <c r="D7144" t="s">
        <v>17</v>
      </c>
      <c r="E7144" t="s">
        <v>402</v>
      </c>
      <c r="F7144">
        <f t="shared" si="222"/>
        <v>1936</v>
      </c>
      <c r="G7144">
        <f t="shared" si="223"/>
        <v>4</v>
      </c>
      <c r="H7144" t="str">
        <f>IF(ISNUMBER(FIND(",", E7144)), TRIM(MID(E7144, FIND(",", E7144) + 1, LEN(E7144))), E7144)</f>
        <v>China</v>
      </c>
    </row>
    <row r="7145" spans="1:8" x14ac:dyDescent="0.25">
      <c r="A7145" s="2">
        <v>13259</v>
      </c>
      <c r="B7145">
        <v>-7.6740000000000004</v>
      </c>
      <c r="C7145">
        <v>156.47300000000001</v>
      </c>
      <c r="D7145" t="s">
        <v>16</v>
      </c>
      <c r="E7145" t="s">
        <v>221</v>
      </c>
      <c r="F7145">
        <f t="shared" si="222"/>
        <v>1936</v>
      </c>
      <c r="G7145">
        <f t="shared" si="223"/>
        <v>4</v>
      </c>
      <c r="H7145" t="str">
        <f>IF(ISNUMBER(FIND(",", E7145)), TRIM(MID(E7145, FIND(",", E7145) + 1, LEN(E7145))), E7145)</f>
        <v>Solomon Islands</v>
      </c>
    </row>
    <row r="7146" spans="1:8" x14ac:dyDescent="0.25">
      <c r="A7146" s="2">
        <v>13252</v>
      </c>
      <c r="B7146">
        <v>7.3</v>
      </c>
      <c r="C7146">
        <v>137.56399999999999</v>
      </c>
      <c r="D7146" t="s">
        <v>17</v>
      </c>
      <c r="E7146" t="s">
        <v>458</v>
      </c>
      <c r="F7146">
        <f t="shared" si="222"/>
        <v>1936</v>
      </c>
      <c r="G7146">
        <f t="shared" si="223"/>
        <v>4</v>
      </c>
      <c r="H7146" t="str">
        <f>IF(ISNUMBER(FIND(",", E7146)), TRIM(MID(E7146, FIND(",", E7146) + 1, LEN(E7146))), E7146)</f>
        <v>Federated States of Micronesia</v>
      </c>
    </row>
    <row r="7147" spans="1:8" x14ac:dyDescent="0.25">
      <c r="A7147" s="2">
        <v>13241</v>
      </c>
      <c r="B7147">
        <v>4.165</v>
      </c>
      <c r="C7147">
        <v>126.521</v>
      </c>
      <c r="D7147" t="s">
        <v>16</v>
      </c>
      <c r="E7147" t="s">
        <v>372</v>
      </c>
      <c r="F7147">
        <f t="shared" si="222"/>
        <v>1936</v>
      </c>
      <c r="G7147">
        <f t="shared" si="223"/>
        <v>4</v>
      </c>
      <c r="H7147" t="str">
        <f>IF(ISNUMBER(FIND(",", E7147)), TRIM(MID(E7147, FIND(",", E7147) + 1, LEN(E7147))), E7147)</f>
        <v>Indonesia</v>
      </c>
    </row>
    <row r="7148" spans="1:8" x14ac:dyDescent="0.25">
      <c r="A7148" s="2">
        <v>13231</v>
      </c>
      <c r="B7148">
        <v>-8.4499999999999993</v>
      </c>
      <c r="C7148">
        <v>157.43700000000001</v>
      </c>
      <c r="D7148" t="s">
        <v>17</v>
      </c>
      <c r="E7148" t="s">
        <v>221</v>
      </c>
      <c r="F7148">
        <f t="shared" si="222"/>
        <v>1936</v>
      </c>
      <c r="G7148">
        <f t="shared" si="223"/>
        <v>3</v>
      </c>
      <c r="H7148" t="str">
        <f>IF(ISNUMBER(FIND(",", E7148)), TRIM(MID(E7148, FIND(",", E7148) + 1, LEN(E7148))), E7148)</f>
        <v>Solomon Islands</v>
      </c>
    </row>
    <row r="7149" spans="1:8" x14ac:dyDescent="0.25">
      <c r="A7149" s="2">
        <v>13207</v>
      </c>
      <c r="B7149">
        <v>-7.6130000000000004</v>
      </c>
      <c r="C7149">
        <v>127.383</v>
      </c>
      <c r="D7149" t="s">
        <v>17</v>
      </c>
      <c r="E7149" t="s">
        <v>49</v>
      </c>
      <c r="F7149">
        <f t="shared" si="222"/>
        <v>1936</v>
      </c>
      <c r="G7149">
        <f t="shared" si="223"/>
        <v>2</v>
      </c>
      <c r="H7149" t="str">
        <f>IF(ISNUMBER(FIND(",", E7149)), TRIM(MID(E7149, FIND(",", E7149) + 1, LEN(E7149))), E7149)</f>
        <v>Indonesia</v>
      </c>
    </row>
    <row r="7150" spans="1:8" x14ac:dyDescent="0.25">
      <c r="A7150" s="2">
        <v>13202</v>
      </c>
      <c r="B7150">
        <v>-48.591999999999999</v>
      </c>
      <c r="C7150">
        <v>163.78200000000001</v>
      </c>
      <c r="D7150" t="s">
        <v>17</v>
      </c>
      <c r="E7150" t="s">
        <v>361</v>
      </c>
      <c r="F7150">
        <f t="shared" si="222"/>
        <v>1936</v>
      </c>
      <c r="G7150">
        <f t="shared" si="223"/>
        <v>2</v>
      </c>
      <c r="H7150" t="str">
        <f>IF(ISNUMBER(FIND(",", E7150)), TRIM(MID(E7150, FIND(",", E7150) + 1, LEN(E7150))), E7150)</f>
        <v>off the west coast of the South Island of New Zealand</v>
      </c>
    </row>
    <row r="7151" spans="1:8" x14ac:dyDescent="0.25">
      <c r="A7151" s="2">
        <v>13202</v>
      </c>
      <c r="B7151">
        <v>-48.945</v>
      </c>
      <c r="C7151">
        <v>164.22499999999999</v>
      </c>
      <c r="D7151" t="s">
        <v>14</v>
      </c>
      <c r="E7151" t="s">
        <v>361</v>
      </c>
      <c r="F7151">
        <f t="shared" si="222"/>
        <v>1936</v>
      </c>
      <c r="G7151">
        <f t="shared" si="223"/>
        <v>2</v>
      </c>
      <c r="H7151" t="str">
        <f>IF(ISNUMBER(FIND(",", E7151)), TRIM(MID(E7151, FIND(",", E7151) + 1, LEN(E7151))), E7151)</f>
        <v>off the west coast of the South Island of New Zealand</v>
      </c>
    </row>
    <row r="7152" spans="1:8" x14ac:dyDescent="0.25">
      <c r="A7152" s="2">
        <v>13201</v>
      </c>
      <c r="B7152">
        <v>-5</v>
      </c>
      <c r="C7152">
        <v>144.5</v>
      </c>
      <c r="D7152" t="s">
        <v>17</v>
      </c>
      <c r="E7152" t="s">
        <v>216</v>
      </c>
      <c r="F7152">
        <f t="shared" si="222"/>
        <v>1936</v>
      </c>
      <c r="G7152">
        <f t="shared" si="223"/>
        <v>2</v>
      </c>
      <c r="H7152" t="str">
        <f>IF(ISNUMBER(FIND(",", E7152)), TRIM(MID(E7152, FIND(",", E7152) + 1, LEN(E7152))), E7152)</f>
        <v>Papua New Guinea</v>
      </c>
    </row>
    <row r="7153" spans="1:8" x14ac:dyDescent="0.25">
      <c r="A7153" s="2">
        <v>13195</v>
      </c>
      <c r="B7153">
        <v>-4.3620000000000001</v>
      </c>
      <c r="C7153">
        <v>133.285</v>
      </c>
      <c r="D7153" t="s">
        <v>16</v>
      </c>
      <c r="E7153" t="s">
        <v>204</v>
      </c>
      <c r="F7153">
        <f t="shared" si="222"/>
        <v>1936</v>
      </c>
      <c r="G7153">
        <f t="shared" si="223"/>
        <v>2</v>
      </c>
      <c r="H7153" t="str">
        <f>IF(ISNUMBER(FIND(",", E7153)), TRIM(MID(E7153, FIND(",", E7153) + 1, LEN(E7153))), E7153)</f>
        <v>Indonesia</v>
      </c>
    </row>
    <row r="7154" spans="1:8" x14ac:dyDescent="0.25">
      <c r="A7154" s="2">
        <v>13190</v>
      </c>
      <c r="B7154">
        <v>-18.527999999999999</v>
      </c>
      <c r="C7154">
        <v>-177.709</v>
      </c>
      <c r="D7154" t="s">
        <v>17</v>
      </c>
      <c r="E7154" t="s">
        <v>53</v>
      </c>
      <c r="F7154">
        <f t="shared" si="222"/>
        <v>1936</v>
      </c>
      <c r="G7154">
        <f t="shared" si="223"/>
        <v>2</v>
      </c>
      <c r="H7154" t="str">
        <f>IF(ISNUMBER(FIND(",", E7154)), TRIM(MID(E7154, FIND(",", E7154) + 1, LEN(E7154))), E7154)</f>
        <v>Fiji region</v>
      </c>
    </row>
    <row r="7155" spans="1:8" x14ac:dyDescent="0.25">
      <c r="A7155" s="2">
        <v>13188</v>
      </c>
      <c r="B7155">
        <v>-5.2469999999999999</v>
      </c>
      <c r="C7155">
        <v>145.77199999999999</v>
      </c>
      <c r="D7155" t="s">
        <v>17</v>
      </c>
      <c r="E7155" t="s">
        <v>243</v>
      </c>
      <c r="F7155">
        <f t="shared" si="222"/>
        <v>1936</v>
      </c>
      <c r="G7155">
        <f t="shared" si="223"/>
        <v>2</v>
      </c>
      <c r="H7155" t="str">
        <f>IF(ISNUMBER(FIND(",", E7155)), TRIM(MID(E7155, FIND(",", E7155) + 1, LEN(E7155))), E7155)</f>
        <v>Papua New Guinea</v>
      </c>
    </row>
    <row r="7156" spans="1:8" x14ac:dyDescent="0.25">
      <c r="A7156" s="2">
        <v>13187</v>
      </c>
      <c r="B7156">
        <v>35.633000000000003</v>
      </c>
      <c r="C7156">
        <v>103.265</v>
      </c>
      <c r="D7156" t="s">
        <v>17</v>
      </c>
      <c r="E7156" t="s">
        <v>693</v>
      </c>
      <c r="F7156">
        <f t="shared" si="222"/>
        <v>1936</v>
      </c>
      <c r="G7156">
        <f t="shared" si="223"/>
        <v>2</v>
      </c>
      <c r="H7156" t="str">
        <f>IF(ISNUMBER(FIND(",", E7156)), TRIM(MID(E7156, FIND(",", E7156) + 1, LEN(E7156))), E7156)</f>
        <v>China</v>
      </c>
    </row>
    <row r="7157" spans="1:8" x14ac:dyDescent="0.25">
      <c r="A7157" s="2">
        <v>13169</v>
      </c>
      <c r="B7157">
        <v>6.0309999999999997</v>
      </c>
      <c r="C7157">
        <v>127.13</v>
      </c>
      <c r="D7157" t="s">
        <v>13</v>
      </c>
      <c r="E7157" t="s">
        <v>213</v>
      </c>
      <c r="F7157">
        <f t="shared" si="222"/>
        <v>1936</v>
      </c>
      <c r="G7157">
        <f t="shared" si="223"/>
        <v>1</v>
      </c>
      <c r="H7157" t="str">
        <f>IF(ISNUMBER(FIND(",", E7157)), TRIM(MID(E7157, FIND(",", E7157) + 1, LEN(E7157))), E7157)</f>
        <v>Philippine Islands region</v>
      </c>
    </row>
    <row r="7158" spans="1:8" x14ac:dyDescent="0.25">
      <c r="A7158" s="2">
        <v>13163</v>
      </c>
      <c r="B7158">
        <v>-28.922000000000001</v>
      </c>
      <c r="C7158">
        <v>-62.624000000000002</v>
      </c>
      <c r="D7158" t="s">
        <v>17</v>
      </c>
      <c r="E7158" t="s">
        <v>232</v>
      </c>
      <c r="F7158">
        <f t="shared" si="222"/>
        <v>1936</v>
      </c>
      <c r="G7158">
        <f t="shared" si="223"/>
        <v>1</v>
      </c>
      <c r="H7158" t="str">
        <f>IF(ISNUMBER(FIND(",", E7158)), TRIM(MID(E7158, FIND(",", E7158) + 1, LEN(E7158))), E7158)</f>
        <v>Argentina</v>
      </c>
    </row>
    <row r="7159" spans="1:8" x14ac:dyDescent="0.25">
      <c r="A7159" s="2">
        <v>13163</v>
      </c>
      <c r="B7159">
        <v>-60.53</v>
      </c>
      <c r="C7159">
        <v>-22.38</v>
      </c>
      <c r="D7159" t="s">
        <v>14</v>
      </c>
      <c r="E7159" t="s">
        <v>260</v>
      </c>
      <c r="F7159">
        <f t="shared" si="222"/>
        <v>1936</v>
      </c>
      <c r="G7159">
        <f t="shared" si="223"/>
        <v>1</v>
      </c>
      <c r="H7159" t="str">
        <f>IF(ISNUMBER(FIND(",", E7159)), TRIM(MID(E7159, FIND(",", E7159) + 1, LEN(E7159))), E7159)</f>
        <v>South Sandwich Islands region</v>
      </c>
    </row>
    <row r="7160" spans="1:8" x14ac:dyDescent="0.25">
      <c r="A7160" s="2">
        <v>13151</v>
      </c>
      <c r="B7160">
        <v>-0.27900000000000003</v>
      </c>
      <c r="C7160">
        <v>98.872</v>
      </c>
      <c r="D7160" t="s">
        <v>13</v>
      </c>
      <c r="E7160" t="s">
        <v>451</v>
      </c>
      <c r="F7160">
        <f t="shared" si="222"/>
        <v>1936</v>
      </c>
      <c r="G7160">
        <f t="shared" si="223"/>
        <v>1</v>
      </c>
      <c r="H7160" t="str">
        <f>IF(ISNUMBER(FIND(",", E7160)), TRIM(MID(E7160, FIND(",", E7160) + 1, LEN(E7160))), E7160)</f>
        <v>Indonesia</v>
      </c>
    </row>
    <row r="7161" spans="1:8" x14ac:dyDescent="0.25">
      <c r="A7161" s="2">
        <v>13151</v>
      </c>
      <c r="B7161">
        <v>-9.4830000000000005</v>
      </c>
      <c r="C7161">
        <v>119.361</v>
      </c>
      <c r="D7161" t="s">
        <v>17</v>
      </c>
      <c r="E7161" t="s">
        <v>592</v>
      </c>
      <c r="F7161">
        <f t="shared" si="222"/>
        <v>1936</v>
      </c>
      <c r="G7161">
        <f t="shared" si="223"/>
        <v>1</v>
      </c>
      <c r="H7161" t="str">
        <f>IF(ISNUMBER(FIND(",", E7161)), TRIM(MID(E7161, FIND(",", E7161) + 1, LEN(E7161))), E7161)</f>
        <v>Indonesia</v>
      </c>
    </row>
    <row r="7162" spans="1:8" x14ac:dyDescent="0.25">
      <c r="A7162" s="2">
        <v>13146</v>
      </c>
      <c r="B7162">
        <v>-0.34499999999999997</v>
      </c>
      <c r="C7162">
        <v>98.147000000000006</v>
      </c>
      <c r="D7162" t="s">
        <v>16</v>
      </c>
      <c r="E7162" t="s">
        <v>451</v>
      </c>
      <c r="F7162">
        <f t="shared" si="222"/>
        <v>1935</v>
      </c>
      <c r="G7162">
        <f t="shared" si="223"/>
        <v>12</v>
      </c>
      <c r="H7162" t="str">
        <f>IF(ISNUMBER(FIND(",", E7162)), TRIM(MID(E7162, FIND(",", E7162) + 1, LEN(E7162))), E7162)</f>
        <v>Indonesia</v>
      </c>
    </row>
    <row r="7163" spans="1:8" x14ac:dyDescent="0.25">
      <c r="A7163" s="2">
        <v>13142</v>
      </c>
      <c r="B7163">
        <v>2.7530000000000001</v>
      </c>
      <c r="C7163">
        <v>-79.293000000000006</v>
      </c>
      <c r="D7163" t="s">
        <v>17</v>
      </c>
      <c r="E7163" t="s">
        <v>231</v>
      </c>
      <c r="F7163">
        <f t="shared" si="222"/>
        <v>1935</v>
      </c>
      <c r="G7163">
        <f t="shared" si="223"/>
        <v>12</v>
      </c>
      <c r="H7163" t="str">
        <f>IF(ISNUMBER(FIND(",", E7163)), TRIM(MID(E7163, FIND(",", E7163) + 1, LEN(E7163))), E7163)</f>
        <v>south of Panama</v>
      </c>
    </row>
    <row r="7164" spans="1:8" x14ac:dyDescent="0.25">
      <c r="A7164" s="2">
        <v>13135</v>
      </c>
      <c r="B7164">
        <v>22.524999999999999</v>
      </c>
      <c r="C7164">
        <v>125.747</v>
      </c>
      <c r="D7164" t="s">
        <v>16</v>
      </c>
      <c r="E7164" t="s">
        <v>329</v>
      </c>
      <c r="F7164">
        <f t="shared" si="222"/>
        <v>1935</v>
      </c>
      <c r="G7164">
        <f t="shared" si="223"/>
        <v>12</v>
      </c>
      <c r="H7164" t="str">
        <f>IF(ISNUMBER(FIND(",", E7164)), TRIM(MID(E7164, FIND(",", E7164) + 1, LEN(E7164))), E7164)</f>
        <v>southeast of Taiwan</v>
      </c>
    </row>
    <row r="7165" spans="1:8" x14ac:dyDescent="0.25">
      <c r="A7165" s="2">
        <v>13133</v>
      </c>
      <c r="B7165">
        <v>-9.59</v>
      </c>
      <c r="C7165">
        <v>161.14500000000001</v>
      </c>
      <c r="D7165" t="s">
        <v>16</v>
      </c>
      <c r="E7165" t="s">
        <v>221</v>
      </c>
      <c r="F7165">
        <f t="shared" si="222"/>
        <v>1935</v>
      </c>
      <c r="G7165">
        <f t="shared" si="223"/>
        <v>12</v>
      </c>
      <c r="H7165" t="str">
        <f>IF(ISNUMBER(FIND(",", E7165)), TRIM(MID(E7165, FIND(",", E7165) + 1, LEN(E7165))), E7165)</f>
        <v>Solomon Islands</v>
      </c>
    </row>
    <row r="7166" spans="1:8" x14ac:dyDescent="0.25">
      <c r="A7166" s="2">
        <v>13132</v>
      </c>
      <c r="B7166">
        <v>14.718</v>
      </c>
      <c r="C7166">
        <v>-92.483999999999995</v>
      </c>
      <c r="D7166" t="s">
        <v>16</v>
      </c>
      <c r="E7166" t="s">
        <v>238</v>
      </c>
      <c r="F7166">
        <f t="shared" si="222"/>
        <v>1935</v>
      </c>
      <c r="G7166">
        <f t="shared" si="223"/>
        <v>12</v>
      </c>
      <c r="H7166" t="str">
        <f>IF(ISNUMBER(FIND(",", E7166)), TRIM(MID(E7166, FIND(",", E7166) + 1, LEN(E7166))), E7166)</f>
        <v>Mexico</v>
      </c>
    </row>
    <row r="7167" spans="1:8" x14ac:dyDescent="0.25">
      <c r="A7167" s="2">
        <v>13132</v>
      </c>
      <c r="B7167">
        <v>-9.5449999999999999</v>
      </c>
      <c r="C7167">
        <v>-70.786000000000001</v>
      </c>
      <c r="D7167" t="s">
        <v>17</v>
      </c>
      <c r="E7167" t="s">
        <v>557</v>
      </c>
      <c r="F7167">
        <f t="shared" si="222"/>
        <v>1935</v>
      </c>
      <c r="G7167">
        <f t="shared" si="223"/>
        <v>12</v>
      </c>
      <c r="H7167" t="str">
        <f>IF(ISNUMBER(FIND(",", E7167)), TRIM(MID(E7167, FIND(",", E7167) + 1, LEN(E7167))), E7167)</f>
        <v>Peru-Brazil border region</v>
      </c>
    </row>
    <row r="7168" spans="1:8" x14ac:dyDescent="0.25">
      <c r="A7168" s="2">
        <v>13102</v>
      </c>
      <c r="B7168">
        <v>-5.2910000000000004</v>
      </c>
      <c r="C7168">
        <v>152.155</v>
      </c>
      <c r="D7168" t="s">
        <v>17</v>
      </c>
      <c r="E7168" t="s">
        <v>190</v>
      </c>
      <c r="F7168">
        <f t="shared" si="222"/>
        <v>1935</v>
      </c>
      <c r="G7168">
        <f t="shared" si="223"/>
        <v>11</v>
      </c>
      <c r="H7168" t="str">
        <f>IF(ISNUMBER(FIND(",", E7168)), TRIM(MID(E7168, FIND(",", E7168) + 1, LEN(E7168))), E7168)</f>
        <v>Papua New Guinea</v>
      </c>
    </row>
    <row r="7169" spans="1:8" x14ac:dyDescent="0.25">
      <c r="A7169" s="2">
        <v>13089</v>
      </c>
      <c r="B7169">
        <v>21.148</v>
      </c>
      <c r="C7169">
        <v>103.08199999999999</v>
      </c>
      <c r="D7169" t="s">
        <v>17</v>
      </c>
      <c r="E7169" t="s">
        <v>607</v>
      </c>
      <c r="F7169">
        <f t="shared" si="222"/>
        <v>1935</v>
      </c>
      <c r="G7169">
        <f t="shared" si="223"/>
        <v>11</v>
      </c>
      <c r="H7169" t="str">
        <f>IF(ISNUMBER(FIND(",", E7169)), TRIM(MID(E7169, FIND(",", E7169) + 1, LEN(E7169))), E7169)</f>
        <v>Vietnam</v>
      </c>
    </row>
    <row r="7170" spans="1:8" x14ac:dyDescent="0.25">
      <c r="A7170" s="2">
        <v>13075</v>
      </c>
      <c r="B7170">
        <v>12.321999999999999</v>
      </c>
      <c r="C7170">
        <v>141.70500000000001</v>
      </c>
      <c r="D7170" t="s">
        <v>14</v>
      </c>
      <c r="E7170" t="s">
        <v>72</v>
      </c>
      <c r="F7170">
        <f t="shared" ref="F7170:F7233" si="224">YEAR(A7170)</f>
        <v>1935</v>
      </c>
      <c r="G7170">
        <f t="shared" si="223"/>
        <v>10</v>
      </c>
      <c r="H7170" t="str">
        <f>IF(ISNUMBER(FIND(",", E7170)), TRIM(MID(E7170, FIND(",", E7170) + 1, LEN(E7170))), E7170)</f>
        <v>Mariana Islands region</v>
      </c>
    </row>
    <row r="7171" spans="1:8" x14ac:dyDescent="0.25">
      <c r="A7171" s="2">
        <v>13075</v>
      </c>
      <c r="B7171">
        <v>40.393999999999998</v>
      </c>
      <c r="C7171">
        <v>144.15600000000001</v>
      </c>
      <c r="D7171" t="s">
        <v>16</v>
      </c>
      <c r="E7171" t="s">
        <v>189</v>
      </c>
      <c r="F7171">
        <f t="shared" si="224"/>
        <v>1935</v>
      </c>
      <c r="G7171">
        <f t="shared" ref="G7171:G7234" si="225">MONTH(A7171)</f>
        <v>10</v>
      </c>
      <c r="H7171" t="str">
        <f>IF(ISNUMBER(FIND(",", E7171)), TRIM(MID(E7171, FIND(",", E7171) + 1, LEN(E7171))), E7171)</f>
        <v>Japan</v>
      </c>
    </row>
    <row r="7172" spans="1:8" x14ac:dyDescent="0.25">
      <c r="A7172" s="2">
        <v>13069</v>
      </c>
      <c r="B7172">
        <v>40.265999999999998</v>
      </c>
      <c r="C7172">
        <v>143.31800000000001</v>
      </c>
      <c r="D7172" t="s">
        <v>16</v>
      </c>
      <c r="E7172" t="s">
        <v>189</v>
      </c>
      <c r="F7172">
        <f t="shared" si="224"/>
        <v>1935</v>
      </c>
      <c r="G7172">
        <f t="shared" si="225"/>
        <v>10</v>
      </c>
      <c r="H7172" t="str">
        <f>IF(ISNUMBER(FIND(",", E7172)), TRIM(MID(E7172, FIND(",", E7172) + 1, LEN(E7172))), E7172)</f>
        <v>Japan</v>
      </c>
    </row>
    <row r="7173" spans="1:8" x14ac:dyDescent="0.25">
      <c r="A7173" s="2">
        <v>13059</v>
      </c>
      <c r="B7173">
        <v>43.201999999999998</v>
      </c>
      <c r="C7173">
        <v>146.83000000000001</v>
      </c>
      <c r="D7173" t="s">
        <v>13</v>
      </c>
      <c r="E7173" t="s">
        <v>191</v>
      </c>
      <c r="F7173">
        <f t="shared" si="224"/>
        <v>1935</v>
      </c>
      <c r="G7173">
        <f t="shared" si="225"/>
        <v>10</v>
      </c>
      <c r="H7173" t="str">
        <f>IF(ISNUMBER(FIND(",", E7173)), TRIM(MID(E7173, FIND(",", E7173) + 1, LEN(E7173))), E7173)</f>
        <v>Kuril Islands</v>
      </c>
    </row>
    <row r="7174" spans="1:8" x14ac:dyDescent="0.25">
      <c r="A7174" s="2">
        <v>13047</v>
      </c>
      <c r="B7174">
        <v>-3.5830000000000002</v>
      </c>
      <c r="C7174">
        <v>142.905</v>
      </c>
      <c r="D7174" t="s">
        <v>14</v>
      </c>
      <c r="E7174" t="s">
        <v>216</v>
      </c>
      <c r="F7174">
        <f t="shared" si="224"/>
        <v>1935</v>
      </c>
      <c r="G7174">
        <f t="shared" si="225"/>
        <v>9</v>
      </c>
      <c r="H7174" t="str">
        <f>IF(ISNUMBER(FIND(",", E7174)), TRIM(MID(E7174, FIND(",", E7174) + 1, LEN(E7174))), E7174)</f>
        <v>Papua New Guinea</v>
      </c>
    </row>
    <row r="7175" spans="1:8" x14ac:dyDescent="0.25">
      <c r="A7175" s="2">
        <v>13047</v>
      </c>
      <c r="B7175">
        <v>-3.92</v>
      </c>
      <c r="C7175">
        <v>141.33000000000001</v>
      </c>
      <c r="D7175" t="s">
        <v>16</v>
      </c>
      <c r="E7175" t="s">
        <v>253</v>
      </c>
      <c r="F7175">
        <f t="shared" si="224"/>
        <v>1935</v>
      </c>
      <c r="G7175">
        <f t="shared" si="225"/>
        <v>9</v>
      </c>
      <c r="H7175" t="str">
        <f>IF(ISNUMBER(FIND(",", E7175)), TRIM(MID(E7175, FIND(",", E7175) + 1, LEN(E7175))), E7175)</f>
        <v>Papua New Guinea</v>
      </c>
    </row>
    <row r="7176" spans="1:8" x14ac:dyDescent="0.25">
      <c r="A7176" s="2">
        <v>13042</v>
      </c>
      <c r="B7176">
        <v>-25.748999999999999</v>
      </c>
      <c r="C7176">
        <v>-113.22</v>
      </c>
      <c r="D7176" t="s">
        <v>17</v>
      </c>
      <c r="E7176" t="s">
        <v>59</v>
      </c>
      <c r="F7176">
        <f t="shared" si="224"/>
        <v>1935</v>
      </c>
      <c r="G7176">
        <f t="shared" si="225"/>
        <v>9</v>
      </c>
      <c r="H7176" t="str">
        <f>IF(ISNUMBER(FIND(",", E7176)), TRIM(MID(E7176, FIND(",", E7176) + 1, LEN(E7176))), E7176)</f>
        <v>Easter Island region</v>
      </c>
    </row>
    <row r="7177" spans="1:8" x14ac:dyDescent="0.25">
      <c r="A7177" s="2">
        <v>13038</v>
      </c>
      <c r="B7177">
        <v>43.29</v>
      </c>
      <c r="C7177">
        <v>146.63399999999999</v>
      </c>
      <c r="D7177" t="s">
        <v>16</v>
      </c>
      <c r="E7177" t="s">
        <v>191</v>
      </c>
      <c r="F7177">
        <f t="shared" si="224"/>
        <v>1935</v>
      </c>
      <c r="G7177">
        <f t="shared" si="225"/>
        <v>9</v>
      </c>
      <c r="H7177" t="str">
        <f>IF(ISNUMBER(FIND(",", E7177)), TRIM(MID(E7177, FIND(",", E7177) + 1, LEN(E7177))), E7177)</f>
        <v>Kuril Islands</v>
      </c>
    </row>
    <row r="7178" spans="1:8" x14ac:dyDescent="0.25">
      <c r="A7178" s="2">
        <v>13036</v>
      </c>
      <c r="B7178">
        <v>6.2279999999999998</v>
      </c>
      <c r="C7178">
        <v>141.71700000000001</v>
      </c>
      <c r="D7178" t="s">
        <v>14</v>
      </c>
      <c r="E7178" t="s">
        <v>490</v>
      </c>
      <c r="F7178">
        <f t="shared" si="224"/>
        <v>1935</v>
      </c>
      <c r="G7178">
        <f t="shared" si="225"/>
        <v>9</v>
      </c>
      <c r="H7178" t="str">
        <f>IF(ISNUMBER(FIND(",", E7178)), TRIM(MID(E7178, FIND(",", E7178) + 1, LEN(E7178))), E7178)</f>
        <v>Palau region</v>
      </c>
    </row>
    <row r="7179" spans="1:8" x14ac:dyDescent="0.25">
      <c r="A7179" s="2">
        <v>13031</v>
      </c>
      <c r="B7179">
        <v>22.259</v>
      </c>
      <c r="C7179">
        <v>121.25700000000001</v>
      </c>
      <c r="D7179" t="s">
        <v>16</v>
      </c>
      <c r="E7179" t="s">
        <v>363</v>
      </c>
      <c r="F7179">
        <f t="shared" si="224"/>
        <v>1935</v>
      </c>
      <c r="G7179">
        <f t="shared" si="225"/>
        <v>9</v>
      </c>
      <c r="H7179" t="str">
        <f>IF(ISNUMBER(FIND(",", E7179)), TRIM(MID(E7179, FIND(",", E7179) + 1, LEN(E7179))), E7179)</f>
        <v>Taiwan region</v>
      </c>
    </row>
    <row r="7180" spans="1:8" x14ac:dyDescent="0.25">
      <c r="A7180" s="2">
        <v>13013</v>
      </c>
      <c r="B7180">
        <v>-22.097999999999999</v>
      </c>
      <c r="C7180">
        <v>171.64599999999999</v>
      </c>
      <c r="D7180" t="s">
        <v>13</v>
      </c>
      <c r="E7180" t="s">
        <v>254</v>
      </c>
      <c r="F7180">
        <f t="shared" si="224"/>
        <v>1935</v>
      </c>
      <c r="G7180">
        <f t="shared" si="225"/>
        <v>8</v>
      </c>
      <c r="H7180" t="str">
        <f>IF(ISNUMBER(FIND(",", E7180)), TRIM(MID(E7180, FIND(",", E7180) + 1, LEN(E7180))), E7180)</f>
        <v>southeast of the Loyalty Islands</v>
      </c>
    </row>
    <row r="7181" spans="1:8" x14ac:dyDescent="0.25">
      <c r="A7181" s="2">
        <v>12999</v>
      </c>
      <c r="B7181">
        <v>4.43</v>
      </c>
      <c r="C7181">
        <v>96.325999999999993</v>
      </c>
      <c r="D7181" t="s">
        <v>14</v>
      </c>
      <c r="E7181" t="s">
        <v>226</v>
      </c>
      <c r="F7181">
        <f t="shared" si="224"/>
        <v>1935</v>
      </c>
      <c r="G7181">
        <f t="shared" si="225"/>
        <v>8</v>
      </c>
      <c r="H7181" t="str">
        <f>IF(ISNUMBER(FIND(",", E7181)), TRIM(MID(E7181, FIND(",", E7181) + 1, LEN(E7181))), E7181)</f>
        <v>Indonesia</v>
      </c>
    </row>
    <row r="7182" spans="1:8" x14ac:dyDescent="0.25">
      <c r="A7182" s="2">
        <v>12994</v>
      </c>
      <c r="B7182">
        <v>-21.536999999999999</v>
      </c>
      <c r="C7182">
        <v>-177.91900000000001</v>
      </c>
      <c r="D7182" t="s">
        <v>13</v>
      </c>
      <c r="E7182" t="s">
        <v>53</v>
      </c>
      <c r="F7182">
        <f t="shared" si="224"/>
        <v>1935</v>
      </c>
      <c r="G7182">
        <f t="shared" si="225"/>
        <v>7</v>
      </c>
      <c r="H7182" t="str">
        <f>IF(ISNUMBER(FIND(",", E7182)), TRIM(MID(E7182, FIND(",", E7182) + 1, LEN(E7182))), E7182)</f>
        <v>Fiji region</v>
      </c>
    </row>
    <row r="7183" spans="1:8" x14ac:dyDescent="0.25">
      <c r="A7183" s="2">
        <v>12982</v>
      </c>
      <c r="B7183">
        <v>-59.779000000000003</v>
      </c>
      <c r="C7183">
        <v>-24.024999999999999</v>
      </c>
      <c r="D7183" t="s">
        <v>17</v>
      </c>
      <c r="E7183" t="s">
        <v>260</v>
      </c>
      <c r="F7183">
        <f t="shared" si="224"/>
        <v>1935</v>
      </c>
      <c r="G7183">
        <f t="shared" si="225"/>
        <v>7</v>
      </c>
      <c r="H7183" t="str">
        <f>IF(ISNUMBER(FIND(",", E7183)), TRIM(MID(E7183, FIND(",", E7183) + 1, LEN(E7183))), E7183)</f>
        <v>South Sandwich Islands region</v>
      </c>
    </row>
    <row r="7184" spans="1:8" x14ac:dyDescent="0.25">
      <c r="A7184" s="2">
        <v>12964</v>
      </c>
      <c r="B7184">
        <v>18.54</v>
      </c>
      <c r="C7184">
        <v>-103.65900000000001</v>
      </c>
      <c r="D7184" t="s">
        <v>17</v>
      </c>
      <c r="E7184" t="s">
        <v>716</v>
      </c>
      <c r="F7184">
        <f t="shared" si="224"/>
        <v>1935</v>
      </c>
      <c r="G7184">
        <f t="shared" si="225"/>
        <v>6</v>
      </c>
      <c r="H7184" t="str">
        <f>IF(ISNUMBER(FIND(",", E7184)), TRIM(MID(E7184, FIND(",", E7184) + 1, LEN(E7184))), E7184)</f>
        <v>Mexico</v>
      </c>
    </row>
    <row r="7185" spans="1:8" x14ac:dyDescent="0.25">
      <c r="A7185" s="2">
        <v>12959</v>
      </c>
      <c r="B7185">
        <v>-15.55</v>
      </c>
      <c r="C7185">
        <v>167.87200000000001</v>
      </c>
      <c r="D7185" t="s">
        <v>13</v>
      </c>
      <c r="E7185" t="s">
        <v>181</v>
      </c>
      <c r="F7185">
        <f t="shared" si="224"/>
        <v>1935</v>
      </c>
      <c r="G7185">
        <f t="shared" si="225"/>
        <v>6</v>
      </c>
      <c r="H7185" t="str">
        <f>IF(ISNUMBER(FIND(",", E7185)), TRIM(MID(E7185, FIND(",", E7185) + 1, LEN(E7185))), E7185)</f>
        <v>Vanuatu</v>
      </c>
    </row>
    <row r="7186" spans="1:8" x14ac:dyDescent="0.25">
      <c r="A7186" s="2">
        <v>12934</v>
      </c>
      <c r="B7186">
        <v>28.893999999999998</v>
      </c>
      <c r="C7186">
        <v>66.176000000000002</v>
      </c>
      <c r="D7186" t="s">
        <v>16</v>
      </c>
      <c r="E7186" t="s">
        <v>382</v>
      </c>
      <c r="F7186">
        <f t="shared" si="224"/>
        <v>1935</v>
      </c>
      <c r="G7186">
        <f t="shared" si="225"/>
        <v>5</v>
      </c>
      <c r="H7186" t="str">
        <f>IF(ISNUMBER(FIND(",", E7186)), TRIM(MID(E7186, FIND(",", E7186) + 1, LEN(E7186))), E7186)</f>
        <v>Pakistan</v>
      </c>
    </row>
    <row r="7187" spans="1:8" x14ac:dyDescent="0.25">
      <c r="A7187" s="2">
        <v>12928</v>
      </c>
      <c r="B7187">
        <v>12.188000000000001</v>
      </c>
      <c r="C7187">
        <v>125.041</v>
      </c>
      <c r="D7187" t="s">
        <v>17</v>
      </c>
      <c r="E7187" t="s">
        <v>394</v>
      </c>
      <c r="F7187">
        <f t="shared" si="224"/>
        <v>1935</v>
      </c>
      <c r="G7187">
        <f t="shared" si="225"/>
        <v>5</v>
      </c>
      <c r="H7187" t="str">
        <f>IF(ISNUMBER(FIND(",", E7187)), TRIM(MID(E7187, FIND(",", E7187) + 1, LEN(E7187))), E7187)</f>
        <v>Philippines</v>
      </c>
    </row>
    <row r="7188" spans="1:8" x14ac:dyDescent="0.25">
      <c r="A7188" s="2">
        <v>12925</v>
      </c>
      <c r="B7188">
        <v>-5.6950000000000003</v>
      </c>
      <c r="C7188">
        <v>146.29499999999999</v>
      </c>
      <c r="D7188" t="s">
        <v>17</v>
      </c>
      <c r="E7188" t="s">
        <v>243</v>
      </c>
      <c r="F7188">
        <f t="shared" si="224"/>
        <v>1935</v>
      </c>
      <c r="G7188">
        <f t="shared" si="225"/>
        <v>5</v>
      </c>
      <c r="H7188" t="str">
        <f>IF(ISNUMBER(FIND(",", E7188)), TRIM(MID(E7188, FIND(",", E7188) + 1, LEN(E7188))), E7188)</f>
        <v>Papua New Guinea</v>
      </c>
    </row>
    <row r="7189" spans="1:8" x14ac:dyDescent="0.25">
      <c r="A7189" s="2">
        <v>12918</v>
      </c>
      <c r="B7189">
        <v>-58.945999999999998</v>
      </c>
      <c r="C7189">
        <v>-26.065000000000001</v>
      </c>
      <c r="D7189" t="s">
        <v>13</v>
      </c>
      <c r="E7189" t="s">
        <v>260</v>
      </c>
      <c r="F7189">
        <f t="shared" si="224"/>
        <v>1935</v>
      </c>
      <c r="G7189">
        <f t="shared" si="225"/>
        <v>5</v>
      </c>
      <c r="H7189" t="str">
        <f>IF(ISNUMBER(FIND(",", E7189)), TRIM(MID(E7189, FIND(",", E7189) + 1, LEN(E7189))), E7189)</f>
        <v>South Sandwich Islands region</v>
      </c>
    </row>
    <row r="7190" spans="1:8" x14ac:dyDescent="0.25">
      <c r="A7190" s="2">
        <v>12894</v>
      </c>
      <c r="B7190">
        <v>24.364000000000001</v>
      </c>
      <c r="C7190">
        <v>120.613</v>
      </c>
      <c r="D7190" t="s">
        <v>14</v>
      </c>
      <c r="E7190" t="s">
        <v>336</v>
      </c>
      <c r="F7190">
        <f t="shared" si="224"/>
        <v>1935</v>
      </c>
      <c r="G7190">
        <f t="shared" si="225"/>
        <v>4</v>
      </c>
      <c r="H7190" t="str">
        <f>IF(ISNUMBER(FIND(",", E7190)), TRIM(MID(E7190, FIND(",", E7190) + 1, LEN(E7190))), E7190)</f>
        <v>Taiwan</v>
      </c>
    </row>
    <row r="7191" spans="1:8" x14ac:dyDescent="0.25">
      <c r="A7191" s="2">
        <v>12893</v>
      </c>
      <c r="B7191">
        <v>31.242999999999999</v>
      </c>
      <c r="C7191">
        <v>15.3</v>
      </c>
      <c r="D7191" t="s">
        <v>14</v>
      </c>
      <c r="E7191" t="s">
        <v>717</v>
      </c>
      <c r="F7191">
        <f t="shared" si="224"/>
        <v>1935</v>
      </c>
      <c r="G7191">
        <f t="shared" si="225"/>
        <v>4</v>
      </c>
      <c r="H7191" t="str">
        <f>IF(ISNUMBER(FIND(",", E7191)), TRIM(MID(E7191, FIND(",", E7191) + 1, LEN(E7191))), E7191)</f>
        <v>near the coast of Libya</v>
      </c>
    </row>
    <row r="7192" spans="1:8" x14ac:dyDescent="0.25">
      <c r="A7192" s="2">
        <v>12885</v>
      </c>
      <c r="B7192">
        <v>36.432000000000002</v>
      </c>
      <c r="C7192">
        <v>53.621000000000002</v>
      </c>
      <c r="D7192" t="s">
        <v>17</v>
      </c>
      <c r="E7192" t="s">
        <v>470</v>
      </c>
      <c r="F7192">
        <f t="shared" si="224"/>
        <v>1935</v>
      </c>
      <c r="G7192">
        <f t="shared" si="225"/>
        <v>4</v>
      </c>
      <c r="H7192" t="str">
        <f>IF(ISNUMBER(FIND(",", E7192)), TRIM(MID(E7192, FIND(",", E7192) + 1, LEN(E7192))), E7192)</f>
        <v>northern Iran</v>
      </c>
    </row>
    <row r="7193" spans="1:8" x14ac:dyDescent="0.25">
      <c r="A7193" s="2">
        <v>12840</v>
      </c>
      <c r="B7193">
        <v>36.084000000000003</v>
      </c>
      <c r="C7193">
        <v>24.702999999999999</v>
      </c>
      <c r="D7193" t="s">
        <v>17</v>
      </c>
      <c r="E7193" t="s">
        <v>398</v>
      </c>
      <c r="F7193">
        <f t="shared" si="224"/>
        <v>1935</v>
      </c>
      <c r="G7193">
        <f t="shared" si="225"/>
        <v>2</v>
      </c>
      <c r="H7193" t="str">
        <f>IF(ISNUMBER(FIND(",", E7193)), TRIM(MID(E7193, FIND(",", E7193) + 1, LEN(E7193))), E7193)</f>
        <v>southern Greece</v>
      </c>
    </row>
    <row r="7194" spans="1:8" x14ac:dyDescent="0.25">
      <c r="A7194" s="2">
        <v>12837</v>
      </c>
      <c r="B7194">
        <v>53.273000000000003</v>
      </c>
      <c r="C7194">
        <v>175.017</v>
      </c>
      <c r="D7194" t="s">
        <v>14</v>
      </c>
      <c r="E7194" t="s">
        <v>366</v>
      </c>
      <c r="F7194">
        <f t="shared" si="224"/>
        <v>1935</v>
      </c>
      <c r="G7194">
        <f t="shared" si="225"/>
        <v>2</v>
      </c>
      <c r="H7194" t="str">
        <f>IF(ISNUMBER(FIND(",", E7194)), TRIM(MID(E7194, FIND(",", E7194) + 1, LEN(E7194))), E7194)</f>
        <v>Aleutian Islands, Alaska</v>
      </c>
    </row>
    <row r="7195" spans="1:8" x14ac:dyDescent="0.25">
      <c r="A7195" s="2">
        <v>12807</v>
      </c>
      <c r="B7195">
        <v>52.517000000000003</v>
      </c>
      <c r="C7195">
        <v>-169.46100000000001</v>
      </c>
      <c r="D7195" t="s">
        <v>17</v>
      </c>
      <c r="E7195" t="s">
        <v>219</v>
      </c>
      <c r="F7195">
        <f t="shared" si="224"/>
        <v>1935</v>
      </c>
      <c r="G7195">
        <f t="shared" si="225"/>
        <v>1</v>
      </c>
      <c r="H7195" t="str">
        <f>IF(ISNUMBER(FIND(",", E7195)), TRIM(MID(E7195, FIND(",", E7195) + 1, LEN(E7195))), E7195)</f>
        <v>Aleutian Islands, Alaska</v>
      </c>
    </row>
    <row r="7196" spans="1:8" x14ac:dyDescent="0.25">
      <c r="A7196" s="2">
        <v>12785</v>
      </c>
      <c r="B7196">
        <v>-15.718999999999999</v>
      </c>
      <c r="C7196">
        <v>-174.52600000000001</v>
      </c>
      <c r="D7196" t="s">
        <v>13</v>
      </c>
      <c r="E7196" t="s">
        <v>239</v>
      </c>
      <c r="F7196">
        <f t="shared" si="224"/>
        <v>1935</v>
      </c>
      <c r="G7196">
        <f t="shared" si="225"/>
        <v>1</v>
      </c>
      <c r="H7196" t="str">
        <f>IF(ISNUMBER(FIND(",", E7196)), TRIM(MID(E7196, FIND(",", E7196) + 1, LEN(E7196))), E7196)</f>
        <v>Tonga</v>
      </c>
    </row>
    <row r="7197" spans="1:8" x14ac:dyDescent="0.25">
      <c r="A7197" s="2">
        <v>12784</v>
      </c>
      <c r="B7197">
        <v>32.685000000000002</v>
      </c>
      <c r="C7197">
        <v>-115.761</v>
      </c>
      <c r="D7197" t="s">
        <v>14</v>
      </c>
      <c r="E7197" t="s">
        <v>521</v>
      </c>
      <c r="F7197">
        <f t="shared" si="224"/>
        <v>1934</v>
      </c>
      <c r="G7197">
        <f t="shared" si="225"/>
        <v>12</v>
      </c>
      <c r="H7197" t="str">
        <f>IF(ISNUMBER(FIND(",", E7197)), TRIM(MID(E7197, FIND(",", E7197) + 1, LEN(E7197))), E7197)</f>
        <v>Southern California</v>
      </c>
    </row>
    <row r="7198" spans="1:8" x14ac:dyDescent="0.25">
      <c r="A7198" s="2">
        <v>12768</v>
      </c>
      <c r="B7198">
        <v>-23.568000000000001</v>
      </c>
      <c r="C7198">
        <v>-179.68899999999999</v>
      </c>
      <c r="D7198" t="s">
        <v>17</v>
      </c>
      <c r="E7198" t="s">
        <v>256</v>
      </c>
      <c r="F7198">
        <f t="shared" si="224"/>
        <v>1934</v>
      </c>
      <c r="G7198">
        <f t="shared" si="225"/>
        <v>12</v>
      </c>
      <c r="H7198" t="str">
        <f>IF(ISNUMBER(FIND(",", E7198)), TRIM(MID(E7198, FIND(",", E7198) + 1, LEN(E7198))), E7198)</f>
        <v>south of the Fiji Islands</v>
      </c>
    </row>
    <row r="7199" spans="1:8" x14ac:dyDescent="0.25">
      <c r="A7199" s="2">
        <v>12768</v>
      </c>
      <c r="B7199">
        <v>31.013000000000002</v>
      </c>
      <c r="C7199">
        <v>89.08</v>
      </c>
      <c r="D7199" t="s">
        <v>14</v>
      </c>
      <c r="E7199" t="s">
        <v>388</v>
      </c>
      <c r="F7199">
        <f t="shared" si="224"/>
        <v>1934</v>
      </c>
      <c r="G7199">
        <f t="shared" si="225"/>
        <v>12</v>
      </c>
      <c r="H7199" t="str">
        <f>IF(ISNUMBER(FIND(",", E7199)), TRIM(MID(E7199, FIND(",", E7199) + 1, LEN(E7199))), E7199)</f>
        <v>western Xizang</v>
      </c>
    </row>
    <row r="7200" spans="1:8" x14ac:dyDescent="0.25">
      <c r="A7200" s="2">
        <v>12757</v>
      </c>
      <c r="B7200">
        <v>-19.297999999999998</v>
      </c>
      <c r="C7200">
        <v>-69.751999999999995</v>
      </c>
      <c r="D7200" t="s">
        <v>17</v>
      </c>
      <c r="E7200" t="s">
        <v>237</v>
      </c>
      <c r="F7200">
        <f t="shared" si="224"/>
        <v>1934</v>
      </c>
      <c r="G7200">
        <f t="shared" si="225"/>
        <v>12</v>
      </c>
      <c r="H7200" t="str">
        <f>IF(ISNUMBER(FIND(",", E7200)), TRIM(MID(E7200, FIND(",", E7200) + 1, LEN(E7200))), E7200)</f>
        <v>Chile</v>
      </c>
    </row>
    <row r="7201" spans="1:8" x14ac:dyDescent="0.25">
      <c r="A7201" s="2">
        <v>12753</v>
      </c>
      <c r="B7201">
        <v>18.678999999999998</v>
      </c>
      <c r="C7201">
        <v>-105.319</v>
      </c>
      <c r="D7201" t="s">
        <v>14</v>
      </c>
      <c r="E7201" t="s">
        <v>548</v>
      </c>
      <c r="F7201">
        <f t="shared" si="224"/>
        <v>1934</v>
      </c>
      <c r="G7201">
        <f t="shared" si="225"/>
        <v>11</v>
      </c>
      <c r="H7201" t="str">
        <f>IF(ISNUMBER(FIND(",", E7201)), TRIM(MID(E7201, FIND(",", E7201) + 1, LEN(E7201))), E7201)</f>
        <v>Mexico</v>
      </c>
    </row>
    <row r="7202" spans="1:8" x14ac:dyDescent="0.25">
      <c r="A7202" s="2">
        <v>12750</v>
      </c>
      <c r="B7202">
        <v>2.226</v>
      </c>
      <c r="C7202">
        <v>127.395</v>
      </c>
      <c r="D7202" t="s">
        <v>17</v>
      </c>
      <c r="E7202" t="s">
        <v>186</v>
      </c>
      <c r="F7202">
        <f t="shared" si="224"/>
        <v>1934</v>
      </c>
      <c r="G7202">
        <f t="shared" si="225"/>
        <v>11</v>
      </c>
      <c r="H7202" t="str">
        <f>IF(ISNUMBER(FIND(",", E7202)), TRIM(MID(E7202, FIND(",", E7202) + 1, LEN(E7202))), E7202)</f>
        <v>Molucca Sea</v>
      </c>
    </row>
    <row r="7203" spans="1:8" x14ac:dyDescent="0.25">
      <c r="A7203" s="2">
        <v>12718</v>
      </c>
      <c r="B7203">
        <v>29.373000000000001</v>
      </c>
      <c r="C7203">
        <v>131.392</v>
      </c>
      <c r="D7203" t="s">
        <v>17</v>
      </c>
      <c r="E7203" t="s">
        <v>324</v>
      </c>
      <c r="F7203">
        <f t="shared" si="224"/>
        <v>1934</v>
      </c>
      <c r="G7203">
        <f t="shared" si="225"/>
        <v>10</v>
      </c>
      <c r="H7203" t="str">
        <f>IF(ISNUMBER(FIND(",", E7203)), TRIM(MID(E7203, FIND(",", E7203) + 1, LEN(E7203))), E7203)</f>
        <v>Japan</v>
      </c>
    </row>
    <row r="7204" spans="1:8" x14ac:dyDescent="0.25">
      <c r="A7204" s="2">
        <v>12718</v>
      </c>
      <c r="B7204">
        <v>-6.6260000000000003</v>
      </c>
      <c r="C7204">
        <v>124.035</v>
      </c>
      <c r="D7204" t="s">
        <v>17</v>
      </c>
      <c r="E7204" t="s">
        <v>187</v>
      </c>
      <c r="F7204">
        <f t="shared" si="224"/>
        <v>1934</v>
      </c>
      <c r="G7204">
        <f t="shared" si="225"/>
        <v>10</v>
      </c>
      <c r="H7204" t="str">
        <f>IF(ISNUMBER(FIND(",", E7204)), TRIM(MID(E7204, FIND(",", E7204) + 1, LEN(E7204))), E7204)</f>
        <v>Banda Sea</v>
      </c>
    </row>
    <row r="7205" spans="1:8" x14ac:dyDescent="0.25">
      <c r="A7205" s="2">
        <v>12702</v>
      </c>
      <c r="B7205">
        <v>-23.748000000000001</v>
      </c>
      <c r="C7205">
        <v>179.78200000000001</v>
      </c>
      <c r="D7205" t="s">
        <v>13</v>
      </c>
      <c r="E7205" t="s">
        <v>256</v>
      </c>
      <c r="F7205">
        <f t="shared" si="224"/>
        <v>1934</v>
      </c>
      <c r="G7205">
        <f t="shared" si="225"/>
        <v>10</v>
      </c>
      <c r="H7205" t="str">
        <f>IF(ISNUMBER(FIND(",", E7205)), TRIM(MID(E7205, FIND(",", E7205) + 1, LEN(E7205))), E7205)</f>
        <v>south of the Fiji Islands</v>
      </c>
    </row>
    <row r="7206" spans="1:8" x14ac:dyDescent="0.25">
      <c r="A7206" s="2">
        <v>12643</v>
      </c>
      <c r="B7206">
        <v>8.0299999999999994</v>
      </c>
      <c r="C7206">
        <v>126.776</v>
      </c>
      <c r="D7206" t="s">
        <v>14</v>
      </c>
      <c r="E7206" t="s">
        <v>200</v>
      </c>
      <c r="F7206">
        <f t="shared" si="224"/>
        <v>1934</v>
      </c>
      <c r="G7206">
        <f t="shared" si="225"/>
        <v>8</v>
      </c>
      <c r="H7206" t="str">
        <f>IF(ISNUMBER(FIND(",", E7206)), TRIM(MID(E7206, FIND(",", E7206) + 1, LEN(E7206))), E7206)</f>
        <v>Philippines</v>
      </c>
    </row>
    <row r="7207" spans="1:8" x14ac:dyDescent="0.25">
      <c r="A7207" s="2">
        <v>12638</v>
      </c>
      <c r="B7207">
        <v>-13.055</v>
      </c>
      <c r="C7207">
        <v>166.851</v>
      </c>
      <c r="D7207" t="s">
        <v>17</v>
      </c>
      <c r="E7207" t="s">
        <v>181</v>
      </c>
      <c r="F7207">
        <f t="shared" si="224"/>
        <v>1934</v>
      </c>
      <c r="G7207">
        <f t="shared" si="225"/>
        <v>8</v>
      </c>
      <c r="H7207" t="str">
        <f>IF(ISNUMBER(FIND(",", E7207)), TRIM(MID(E7207, FIND(",", E7207) + 1, LEN(E7207))), E7207)</f>
        <v>Vanuatu</v>
      </c>
    </row>
    <row r="7208" spans="1:8" x14ac:dyDescent="0.25">
      <c r="A7208" s="2">
        <v>12628</v>
      </c>
      <c r="B7208">
        <v>55.587000000000003</v>
      </c>
      <c r="C7208">
        <v>-156.67699999999999</v>
      </c>
      <c r="D7208" t="s">
        <v>17</v>
      </c>
      <c r="E7208" t="s">
        <v>493</v>
      </c>
      <c r="F7208">
        <f t="shared" si="224"/>
        <v>1934</v>
      </c>
      <c r="G7208">
        <f t="shared" si="225"/>
        <v>7</v>
      </c>
      <c r="H7208" t="str">
        <f>IF(ISNUMBER(FIND(",", E7208)), TRIM(MID(E7208, FIND(",", E7208) + 1, LEN(E7208))), E7208)</f>
        <v>south of Alaska</v>
      </c>
    </row>
    <row r="7209" spans="1:8" x14ac:dyDescent="0.25">
      <c r="A7209" s="2">
        <v>12622</v>
      </c>
      <c r="B7209">
        <v>35.712000000000003</v>
      </c>
      <c r="C7209">
        <v>70.683000000000007</v>
      </c>
      <c r="D7209" t="s">
        <v>17</v>
      </c>
      <c r="E7209" t="s">
        <v>314</v>
      </c>
      <c r="F7209">
        <f t="shared" si="224"/>
        <v>1934</v>
      </c>
      <c r="G7209">
        <f t="shared" si="225"/>
        <v>7</v>
      </c>
      <c r="H7209" t="str">
        <f>IF(ISNUMBER(FIND(",", E7209)), TRIM(MID(E7209, FIND(",", E7209) + 1, LEN(E7209))), E7209)</f>
        <v>Afghanistan</v>
      </c>
    </row>
    <row r="7210" spans="1:8" x14ac:dyDescent="0.25">
      <c r="A7210" s="2">
        <v>12621</v>
      </c>
      <c r="B7210">
        <v>8.1890000000000001</v>
      </c>
      <c r="C7210">
        <v>-82.786000000000001</v>
      </c>
      <c r="D7210" t="s">
        <v>17</v>
      </c>
      <c r="E7210" t="s">
        <v>379</v>
      </c>
      <c r="F7210">
        <f t="shared" si="224"/>
        <v>1934</v>
      </c>
      <c r="G7210">
        <f t="shared" si="225"/>
        <v>7</v>
      </c>
      <c r="H7210" t="str">
        <f>IF(ISNUMBER(FIND(",", E7210)), TRIM(MID(E7210, FIND(",", E7210) + 1, LEN(E7210))), E7210)</f>
        <v>Panama-Costa Rica border region</v>
      </c>
    </row>
    <row r="7211" spans="1:8" x14ac:dyDescent="0.25">
      <c r="A7211" s="2">
        <v>12621</v>
      </c>
      <c r="B7211">
        <v>-11.138999999999999</v>
      </c>
      <c r="C7211">
        <v>165.50299999999999</v>
      </c>
      <c r="D7211" t="s">
        <v>16</v>
      </c>
      <c r="E7211" t="s">
        <v>211</v>
      </c>
      <c r="F7211">
        <f t="shared" si="224"/>
        <v>1934</v>
      </c>
      <c r="G7211">
        <f t="shared" si="225"/>
        <v>7</v>
      </c>
      <c r="H7211" t="str">
        <f>IF(ISNUMBER(FIND(",", E7211)), TRIM(MID(E7211, FIND(",", E7211) + 1, LEN(E7211))), E7211)</f>
        <v>Santa Cruz Islands</v>
      </c>
    </row>
    <row r="7212" spans="1:8" x14ac:dyDescent="0.25">
      <c r="A7212" s="2">
        <v>12619</v>
      </c>
      <c r="B7212">
        <v>-13.254</v>
      </c>
      <c r="C7212">
        <v>166.262</v>
      </c>
      <c r="D7212" t="s">
        <v>17</v>
      </c>
      <c r="E7212" t="s">
        <v>181</v>
      </c>
      <c r="F7212">
        <f t="shared" si="224"/>
        <v>1934</v>
      </c>
      <c r="G7212">
        <f t="shared" si="225"/>
        <v>7</v>
      </c>
      <c r="H7212" t="str">
        <f>IF(ISNUMBER(FIND(",", E7212)), TRIM(MID(E7212, FIND(",", E7212) + 1, LEN(E7212))), E7212)</f>
        <v>Vanuatu</v>
      </c>
    </row>
    <row r="7213" spans="1:8" x14ac:dyDescent="0.25">
      <c r="A7213" s="2">
        <v>12619</v>
      </c>
      <c r="B7213">
        <v>-0.79300000000000004</v>
      </c>
      <c r="C7213">
        <v>133.35400000000001</v>
      </c>
      <c r="D7213" t="s">
        <v>14</v>
      </c>
      <c r="E7213" t="s">
        <v>241</v>
      </c>
      <c r="F7213">
        <f t="shared" si="224"/>
        <v>1934</v>
      </c>
      <c r="G7213">
        <f t="shared" si="225"/>
        <v>7</v>
      </c>
      <c r="H7213" t="str">
        <f>IF(ISNUMBER(FIND(",", E7213)), TRIM(MID(E7213, FIND(",", E7213) + 1, LEN(E7213))), E7213)</f>
        <v>Indonesia</v>
      </c>
    </row>
    <row r="7214" spans="1:8" x14ac:dyDescent="0.25">
      <c r="A7214" s="2">
        <v>12619</v>
      </c>
      <c r="B7214">
        <v>-12.561</v>
      </c>
      <c r="C7214">
        <v>165.94900000000001</v>
      </c>
      <c r="D7214" t="s">
        <v>17</v>
      </c>
      <c r="E7214" t="s">
        <v>211</v>
      </c>
      <c r="F7214">
        <f t="shared" si="224"/>
        <v>1934</v>
      </c>
      <c r="G7214">
        <f t="shared" si="225"/>
        <v>7</v>
      </c>
      <c r="H7214" t="str">
        <f>IF(ISNUMBER(FIND(",", E7214)), TRIM(MID(E7214, FIND(",", E7214) + 1, LEN(E7214))), E7214)</f>
        <v>Santa Cruz Islands</v>
      </c>
    </row>
    <row r="7215" spans="1:8" x14ac:dyDescent="0.25">
      <c r="A7215" s="2">
        <v>12618</v>
      </c>
      <c r="B7215">
        <v>-11.907</v>
      </c>
      <c r="C7215">
        <v>166.73099999999999</v>
      </c>
      <c r="D7215" t="s">
        <v>16</v>
      </c>
      <c r="E7215" t="s">
        <v>211</v>
      </c>
      <c r="F7215">
        <f t="shared" si="224"/>
        <v>1934</v>
      </c>
      <c r="G7215">
        <f t="shared" si="225"/>
        <v>7</v>
      </c>
      <c r="H7215" t="str">
        <f>IF(ISNUMBER(FIND(",", E7215)), TRIM(MID(E7215, FIND(",", E7215) + 1, LEN(E7215))), E7215)</f>
        <v>Santa Cruz Islands</v>
      </c>
    </row>
    <row r="7216" spans="1:8" x14ac:dyDescent="0.25">
      <c r="A7216" s="2">
        <v>12618</v>
      </c>
      <c r="B7216">
        <v>7.601</v>
      </c>
      <c r="C7216">
        <v>-82.298000000000002</v>
      </c>
      <c r="D7216" t="s">
        <v>14</v>
      </c>
      <c r="E7216" t="s">
        <v>231</v>
      </c>
      <c r="F7216">
        <f t="shared" si="224"/>
        <v>1934</v>
      </c>
      <c r="G7216">
        <f t="shared" si="225"/>
        <v>7</v>
      </c>
      <c r="H7216" t="str">
        <f>IF(ISNUMBER(FIND(",", E7216)), TRIM(MID(E7216, FIND(",", E7216) + 1, LEN(E7216))), E7216)</f>
        <v>south of Panama</v>
      </c>
    </row>
    <row r="7217" spans="1:8" x14ac:dyDescent="0.25">
      <c r="A7217" s="2">
        <v>12618</v>
      </c>
      <c r="B7217">
        <v>8.0449999999999999</v>
      </c>
      <c r="C7217">
        <v>-82.48</v>
      </c>
      <c r="D7217" t="s">
        <v>16</v>
      </c>
      <c r="E7217" t="s">
        <v>379</v>
      </c>
      <c r="F7217">
        <f t="shared" si="224"/>
        <v>1934</v>
      </c>
      <c r="G7217">
        <f t="shared" si="225"/>
        <v>7</v>
      </c>
      <c r="H7217" t="str">
        <f>IF(ISNUMBER(FIND(",", E7217)), TRIM(MID(E7217, FIND(",", E7217) + 1, LEN(E7217))), E7217)</f>
        <v>Panama-Costa Rica border region</v>
      </c>
    </row>
    <row r="7218" spans="1:8" x14ac:dyDescent="0.25">
      <c r="A7218" s="2">
        <v>12599</v>
      </c>
      <c r="B7218">
        <v>-7.0830000000000002</v>
      </c>
      <c r="C7218">
        <v>123.166</v>
      </c>
      <c r="D7218" t="s">
        <v>13</v>
      </c>
      <c r="E7218" t="s">
        <v>187</v>
      </c>
      <c r="F7218">
        <f t="shared" si="224"/>
        <v>1934</v>
      </c>
      <c r="G7218">
        <f t="shared" si="225"/>
        <v>6</v>
      </c>
      <c r="H7218" t="str">
        <f>IF(ISNUMBER(FIND(",", E7218)), TRIM(MID(E7218, FIND(",", E7218) + 1, LEN(E7218))), E7218)</f>
        <v>Banda Sea</v>
      </c>
    </row>
    <row r="7219" spans="1:8" x14ac:dyDescent="0.25">
      <c r="A7219" s="2">
        <v>12594</v>
      </c>
      <c r="B7219">
        <v>-23.198</v>
      </c>
      <c r="C7219">
        <v>-68.58</v>
      </c>
      <c r="D7219" t="s">
        <v>17</v>
      </c>
      <c r="E7219" t="s">
        <v>289</v>
      </c>
      <c r="F7219">
        <f t="shared" si="224"/>
        <v>1934</v>
      </c>
      <c r="G7219">
        <f t="shared" si="225"/>
        <v>6</v>
      </c>
      <c r="H7219" t="str">
        <f>IF(ISNUMBER(FIND(",", E7219)), TRIM(MID(E7219, FIND(",", E7219) + 1, LEN(E7219))), E7219)</f>
        <v>Chile</v>
      </c>
    </row>
    <row r="7220" spans="1:8" x14ac:dyDescent="0.25">
      <c r="A7220" s="2">
        <v>12588</v>
      </c>
      <c r="B7220">
        <v>60.784999999999997</v>
      </c>
      <c r="C7220">
        <v>-151.244</v>
      </c>
      <c r="D7220" t="s">
        <v>17</v>
      </c>
      <c r="E7220" t="s">
        <v>679</v>
      </c>
      <c r="F7220">
        <f t="shared" si="224"/>
        <v>1934</v>
      </c>
      <c r="G7220">
        <f t="shared" si="225"/>
        <v>6</v>
      </c>
      <c r="H7220" t="str">
        <f>IF(ISNUMBER(FIND(",", E7220)), TRIM(MID(E7220, FIND(",", E7220) + 1, LEN(E7220))), E7220)</f>
        <v>Alaska</v>
      </c>
    </row>
    <row r="7221" spans="1:8" x14ac:dyDescent="0.25">
      <c r="A7221" s="2">
        <v>12583</v>
      </c>
      <c r="B7221">
        <v>27.428000000000001</v>
      </c>
      <c r="C7221">
        <v>62.594000000000001</v>
      </c>
      <c r="D7221" t="s">
        <v>13</v>
      </c>
      <c r="E7221" t="s">
        <v>608</v>
      </c>
      <c r="F7221">
        <f t="shared" si="224"/>
        <v>1934</v>
      </c>
      <c r="G7221">
        <f t="shared" si="225"/>
        <v>6</v>
      </c>
      <c r="H7221" t="str">
        <f>IF(ISNUMBER(FIND(",", E7221)), TRIM(MID(E7221, FIND(",", E7221) + 1, LEN(E7221))), E7221)</f>
        <v>Iran-Pakistan border region</v>
      </c>
    </row>
    <row r="7222" spans="1:8" x14ac:dyDescent="0.25">
      <c r="A7222" s="2">
        <v>12583</v>
      </c>
      <c r="B7222">
        <v>44.2</v>
      </c>
      <c r="C7222">
        <v>147.4</v>
      </c>
      <c r="D7222" t="s">
        <v>17</v>
      </c>
      <c r="E7222" t="s">
        <v>191</v>
      </c>
      <c r="F7222">
        <f t="shared" si="224"/>
        <v>1934</v>
      </c>
      <c r="G7222">
        <f t="shared" si="225"/>
        <v>6</v>
      </c>
      <c r="H7222" t="str">
        <f>IF(ISNUMBER(FIND(",", E7222)), TRIM(MID(E7222, FIND(",", E7222) + 1, LEN(E7222))), E7222)</f>
        <v>Kuril Islands</v>
      </c>
    </row>
    <row r="7223" spans="1:8" x14ac:dyDescent="0.25">
      <c r="A7223" s="2">
        <v>12579</v>
      </c>
      <c r="B7223">
        <v>-6.07</v>
      </c>
      <c r="C7223">
        <v>147.29900000000001</v>
      </c>
      <c r="D7223" t="s">
        <v>17</v>
      </c>
      <c r="E7223" t="s">
        <v>243</v>
      </c>
      <c r="F7223">
        <f t="shared" si="224"/>
        <v>1934</v>
      </c>
      <c r="G7223">
        <f t="shared" si="225"/>
        <v>6</v>
      </c>
      <c r="H7223" t="str">
        <f>IF(ISNUMBER(FIND(",", E7223)), TRIM(MID(E7223, FIND(",", E7223) + 1, LEN(E7223))), E7223)</f>
        <v>Papua New Guinea</v>
      </c>
    </row>
    <row r="7224" spans="1:8" x14ac:dyDescent="0.25">
      <c r="A7224" s="2">
        <v>12552</v>
      </c>
      <c r="B7224">
        <v>-4.8890000000000002</v>
      </c>
      <c r="C7224">
        <v>153.84200000000001</v>
      </c>
      <c r="D7224" t="s">
        <v>17</v>
      </c>
      <c r="E7224" t="s">
        <v>183</v>
      </c>
      <c r="F7224">
        <f t="shared" si="224"/>
        <v>1934</v>
      </c>
      <c r="G7224">
        <f t="shared" si="225"/>
        <v>5</v>
      </c>
      <c r="H7224" t="str">
        <f>IF(ISNUMBER(FIND(",", E7224)), TRIM(MID(E7224, FIND(",", E7224) + 1, LEN(E7224))), E7224)</f>
        <v>Papua New Guinea</v>
      </c>
    </row>
    <row r="7225" spans="1:8" x14ac:dyDescent="0.25">
      <c r="A7225" s="2">
        <v>12543</v>
      </c>
      <c r="B7225">
        <v>61.518999999999998</v>
      </c>
      <c r="C7225">
        <v>-147.59899999999999</v>
      </c>
      <c r="D7225" t="s">
        <v>13</v>
      </c>
      <c r="E7225" t="s">
        <v>497</v>
      </c>
      <c r="F7225">
        <f t="shared" si="224"/>
        <v>1934</v>
      </c>
      <c r="G7225">
        <f t="shared" si="225"/>
        <v>5</v>
      </c>
      <c r="H7225" t="str">
        <f>IF(ISNUMBER(FIND(",", E7225)), TRIM(MID(E7225, FIND(",", E7225) + 1, LEN(E7225))), E7225)</f>
        <v>Southern Alaska</v>
      </c>
    </row>
    <row r="7226" spans="1:8" x14ac:dyDescent="0.25">
      <c r="A7226" s="2">
        <v>12540</v>
      </c>
      <c r="B7226">
        <v>3.7829999999999999</v>
      </c>
      <c r="C7226">
        <v>97.936999999999998</v>
      </c>
      <c r="D7226" t="s">
        <v>13</v>
      </c>
      <c r="E7226" t="s">
        <v>226</v>
      </c>
      <c r="F7226">
        <f t="shared" si="224"/>
        <v>1934</v>
      </c>
      <c r="G7226">
        <f t="shared" si="225"/>
        <v>5</v>
      </c>
      <c r="H7226" t="str">
        <f>IF(ISNUMBER(FIND(",", E7226)), TRIM(MID(E7226, FIND(",", E7226) + 1, LEN(E7226))), E7226)</f>
        <v>Indonesia</v>
      </c>
    </row>
    <row r="7227" spans="1:8" x14ac:dyDescent="0.25">
      <c r="A7227" s="2">
        <v>12524</v>
      </c>
      <c r="B7227">
        <v>7.5259999999999998</v>
      </c>
      <c r="C7227">
        <v>126.857</v>
      </c>
      <c r="D7227" t="s">
        <v>16</v>
      </c>
      <c r="E7227" t="s">
        <v>200</v>
      </c>
      <c r="F7227">
        <f t="shared" si="224"/>
        <v>1934</v>
      </c>
      <c r="G7227">
        <f t="shared" si="225"/>
        <v>4</v>
      </c>
      <c r="H7227" t="str">
        <f>IF(ISNUMBER(FIND(",", E7227)), TRIM(MID(E7227, FIND(",", E7227) + 1, LEN(E7227))), E7227)</f>
        <v>Philippines</v>
      </c>
    </row>
    <row r="7228" spans="1:8" x14ac:dyDescent="0.25">
      <c r="A7228" s="2">
        <v>12520</v>
      </c>
      <c r="B7228">
        <v>-20.463000000000001</v>
      </c>
      <c r="C7228">
        <v>170.56</v>
      </c>
      <c r="D7228" t="s">
        <v>17</v>
      </c>
      <c r="E7228" t="s">
        <v>181</v>
      </c>
      <c r="F7228">
        <f t="shared" si="224"/>
        <v>1934</v>
      </c>
      <c r="G7228">
        <f t="shared" si="225"/>
        <v>4</v>
      </c>
      <c r="H7228" t="str">
        <f>IF(ISNUMBER(FIND(",", E7228)), TRIM(MID(E7228, FIND(",", E7228) + 1, LEN(E7228))), E7228)</f>
        <v>Vanuatu</v>
      </c>
    </row>
    <row r="7229" spans="1:8" x14ac:dyDescent="0.25">
      <c r="A7229" s="2">
        <v>12519</v>
      </c>
      <c r="B7229">
        <v>-6.976</v>
      </c>
      <c r="C7229">
        <v>115.779</v>
      </c>
      <c r="D7229" t="s">
        <v>17</v>
      </c>
      <c r="E7229" t="s">
        <v>299</v>
      </c>
      <c r="F7229">
        <f t="shared" si="224"/>
        <v>1934</v>
      </c>
      <c r="G7229">
        <f t="shared" si="225"/>
        <v>4</v>
      </c>
      <c r="H7229" t="str">
        <f>IF(ISNUMBER(FIND(",", E7229)), TRIM(MID(E7229, FIND(",", E7229) + 1, LEN(E7229))), E7229)</f>
        <v>Bali Sea</v>
      </c>
    </row>
    <row r="7230" spans="1:8" x14ac:dyDescent="0.25">
      <c r="A7230" s="2">
        <v>12515</v>
      </c>
      <c r="B7230">
        <v>37.302</v>
      </c>
      <c r="C7230">
        <v>141.78</v>
      </c>
      <c r="D7230" t="s">
        <v>17</v>
      </c>
      <c r="E7230" t="s">
        <v>227</v>
      </c>
      <c r="F7230">
        <f t="shared" si="224"/>
        <v>1934</v>
      </c>
      <c r="G7230">
        <f t="shared" si="225"/>
        <v>4</v>
      </c>
      <c r="H7230" t="str">
        <f>IF(ISNUMBER(FIND(",", E7230)), TRIM(MID(E7230, FIND(",", E7230) + 1, LEN(E7230))), E7230)</f>
        <v>Japan</v>
      </c>
    </row>
    <row r="7231" spans="1:8" x14ac:dyDescent="0.25">
      <c r="A7231" s="2">
        <v>12502</v>
      </c>
      <c r="B7231">
        <v>-10.065</v>
      </c>
      <c r="C7231">
        <v>160.803</v>
      </c>
      <c r="D7231" t="s">
        <v>14</v>
      </c>
      <c r="E7231" t="s">
        <v>221</v>
      </c>
      <c r="F7231">
        <f t="shared" si="224"/>
        <v>1934</v>
      </c>
      <c r="G7231">
        <f t="shared" si="225"/>
        <v>3</v>
      </c>
      <c r="H7231" t="str">
        <f>IF(ISNUMBER(FIND(",", E7231)), TRIM(MID(E7231, FIND(",", E7231) + 1, LEN(E7231))), E7231)</f>
        <v>Solomon Islands</v>
      </c>
    </row>
    <row r="7232" spans="1:8" x14ac:dyDescent="0.25">
      <c r="A7232" s="2">
        <v>12496</v>
      </c>
      <c r="B7232">
        <v>50.186999999999998</v>
      </c>
      <c r="C7232">
        <v>156.27799999999999</v>
      </c>
      <c r="D7232" t="s">
        <v>17</v>
      </c>
      <c r="E7232" t="s">
        <v>191</v>
      </c>
      <c r="F7232">
        <f t="shared" si="224"/>
        <v>1934</v>
      </c>
      <c r="G7232">
        <f t="shared" si="225"/>
        <v>3</v>
      </c>
      <c r="H7232" t="str">
        <f>IF(ISNUMBER(FIND(",", E7232)), TRIM(MID(E7232, FIND(",", E7232) + 1, LEN(E7232))), E7232)</f>
        <v>Kuril Islands</v>
      </c>
    </row>
    <row r="7233" spans="1:8" x14ac:dyDescent="0.25">
      <c r="A7233" s="2">
        <v>12494</v>
      </c>
      <c r="B7233">
        <v>-4.891</v>
      </c>
      <c r="C7233">
        <v>145.50399999999999</v>
      </c>
      <c r="D7233" t="s">
        <v>17</v>
      </c>
      <c r="E7233" t="s">
        <v>216</v>
      </c>
      <c r="F7233">
        <f t="shared" si="224"/>
        <v>1934</v>
      </c>
      <c r="G7233">
        <f t="shared" si="225"/>
        <v>3</v>
      </c>
      <c r="H7233" t="str">
        <f>IF(ISNUMBER(FIND(",", E7233)), TRIM(MID(E7233, FIND(",", E7233) + 1, LEN(E7233))), E7233)</f>
        <v>Papua New Guinea</v>
      </c>
    </row>
    <row r="7234" spans="1:8" x14ac:dyDescent="0.25">
      <c r="A7234" s="2">
        <v>12491</v>
      </c>
      <c r="B7234">
        <v>-11.455</v>
      </c>
      <c r="C7234">
        <v>164.392</v>
      </c>
      <c r="D7234" t="s">
        <v>17</v>
      </c>
      <c r="E7234" t="s">
        <v>396</v>
      </c>
      <c r="F7234">
        <f t="shared" ref="F7234:F7297" si="226">YEAR(A7234)</f>
        <v>1934</v>
      </c>
      <c r="G7234">
        <f t="shared" si="225"/>
        <v>3</v>
      </c>
      <c r="H7234" t="str">
        <f>IF(ISNUMBER(FIND(",", E7234)), TRIM(MID(E7234, FIND(",", E7234) + 1, LEN(E7234))), E7234)</f>
        <v>Santa Cruz Islands region</v>
      </c>
    </row>
    <row r="7235" spans="1:8" x14ac:dyDescent="0.25">
      <c r="A7235" s="2">
        <v>12483</v>
      </c>
      <c r="B7235">
        <v>-40.643000000000001</v>
      </c>
      <c r="C7235">
        <v>175.738</v>
      </c>
      <c r="D7235" t="s">
        <v>16</v>
      </c>
      <c r="E7235" t="s">
        <v>188</v>
      </c>
      <c r="F7235">
        <f t="shared" si="226"/>
        <v>1934</v>
      </c>
      <c r="G7235">
        <f t="shared" ref="G7235:G7298" si="227">MONTH(A7235)</f>
        <v>3</v>
      </c>
      <c r="H7235" t="str">
        <f>IF(ISNUMBER(FIND(",", E7235)), TRIM(MID(E7235, FIND(",", E7235) + 1, LEN(E7235))), E7235)</f>
        <v>North Island of New Zealand</v>
      </c>
    </row>
    <row r="7236" spans="1:8" x14ac:dyDescent="0.25">
      <c r="A7236" s="2">
        <v>12479</v>
      </c>
      <c r="B7236">
        <v>-40.924999999999997</v>
      </c>
      <c r="C7236">
        <v>-72.876999999999995</v>
      </c>
      <c r="D7236" t="s">
        <v>13</v>
      </c>
      <c r="E7236" t="s">
        <v>718</v>
      </c>
      <c r="F7236">
        <f t="shared" si="226"/>
        <v>1934</v>
      </c>
      <c r="G7236">
        <f t="shared" si="227"/>
        <v>3</v>
      </c>
      <c r="H7236" t="str">
        <f>IF(ISNUMBER(FIND(",", E7236)), TRIM(MID(E7236, FIND(",", E7236) + 1, LEN(E7236))), E7236)</f>
        <v>Chile</v>
      </c>
    </row>
    <row r="7237" spans="1:8" x14ac:dyDescent="0.25">
      <c r="A7237" s="2">
        <v>12478</v>
      </c>
      <c r="B7237">
        <v>-5.234</v>
      </c>
      <c r="C7237">
        <v>149.48400000000001</v>
      </c>
      <c r="D7237" t="s">
        <v>16</v>
      </c>
      <c r="E7237" t="s">
        <v>190</v>
      </c>
      <c r="F7237">
        <f t="shared" si="226"/>
        <v>1934</v>
      </c>
      <c r="G7237">
        <f t="shared" si="227"/>
        <v>2</v>
      </c>
      <c r="H7237" t="str">
        <f>IF(ISNUMBER(FIND(",", E7237)), TRIM(MID(E7237, FIND(",", E7237) + 1, LEN(E7237))), E7237)</f>
        <v>Papua New Guinea</v>
      </c>
    </row>
    <row r="7238" spans="1:8" x14ac:dyDescent="0.25">
      <c r="A7238" s="2">
        <v>12474</v>
      </c>
      <c r="B7238">
        <v>22.878</v>
      </c>
      <c r="C7238">
        <v>144.06700000000001</v>
      </c>
      <c r="D7238" t="s">
        <v>16</v>
      </c>
      <c r="E7238" t="s">
        <v>519</v>
      </c>
      <c r="F7238">
        <f t="shared" si="226"/>
        <v>1934</v>
      </c>
      <c r="G7238">
        <f t="shared" si="227"/>
        <v>2</v>
      </c>
      <c r="H7238" t="str">
        <f>IF(ISNUMBER(FIND(",", E7238)), TRIM(MID(E7238, FIND(",", E7238) + 1, LEN(E7238))), E7238)</f>
        <v>Japan region</v>
      </c>
    </row>
    <row r="7239" spans="1:8" x14ac:dyDescent="0.25">
      <c r="A7239" s="2">
        <v>12464</v>
      </c>
      <c r="B7239">
        <v>17.404</v>
      </c>
      <c r="C7239">
        <v>119.19</v>
      </c>
      <c r="D7239" t="s">
        <v>16</v>
      </c>
      <c r="E7239" t="s">
        <v>213</v>
      </c>
      <c r="F7239">
        <f t="shared" si="226"/>
        <v>1934</v>
      </c>
      <c r="G7239">
        <f t="shared" si="227"/>
        <v>2</v>
      </c>
      <c r="H7239" t="str">
        <f>IF(ISNUMBER(FIND(",", E7239)), TRIM(MID(E7239, FIND(",", E7239) + 1, LEN(E7239))), E7239)</f>
        <v>Philippine Islands region</v>
      </c>
    </row>
    <row r="7240" spans="1:8" x14ac:dyDescent="0.25">
      <c r="A7240" s="2">
        <v>12453</v>
      </c>
      <c r="B7240">
        <v>-5.851</v>
      </c>
      <c r="C7240">
        <v>151.26400000000001</v>
      </c>
      <c r="D7240" t="s">
        <v>17</v>
      </c>
      <c r="E7240" t="s">
        <v>190</v>
      </c>
      <c r="F7240">
        <f t="shared" si="226"/>
        <v>1934</v>
      </c>
      <c r="G7240">
        <f t="shared" si="227"/>
        <v>2</v>
      </c>
      <c r="H7240" t="str">
        <f>IF(ISNUMBER(FIND(",", E7240)), TRIM(MID(E7240, FIND(",", E7240) + 1, LEN(E7240))), E7240)</f>
        <v>Papua New Guinea</v>
      </c>
    </row>
    <row r="7241" spans="1:8" x14ac:dyDescent="0.25">
      <c r="A7241" s="2">
        <v>12447</v>
      </c>
      <c r="B7241">
        <v>16.856999999999999</v>
      </c>
      <c r="C7241">
        <v>-99.643000000000001</v>
      </c>
      <c r="D7241" t="s">
        <v>17</v>
      </c>
      <c r="E7241" t="s">
        <v>192</v>
      </c>
      <c r="F7241">
        <f t="shared" si="226"/>
        <v>1934</v>
      </c>
      <c r="G7241">
        <f t="shared" si="227"/>
        <v>1</v>
      </c>
      <c r="H7241" t="str">
        <f>IF(ISNUMBER(FIND(",", E7241)), TRIM(MID(E7241, FIND(",", E7241) + 1, LEN(E7241))), E7241)</f>
        <v>Mexico</v>
      </c>
    </row>
    <row r="7242" spans="1:8" x14ac:dyDescent="0.25">
      <c r="A7242" s="2">
        <v>12434</v>
      </c>
      <c r="B7242">
        <v>26.773</v>
      </c>
      <c r="C7242">
        <v>86.762</v>
      </c>
      <c r="D7242" t="s">
        <v>16</v>
      </c>
      <c r="E7242" t="s">
        <v>584</v>
      </c>
      <c r="F7242">
        <f t="shared" si="226"/>
        <v>1934</v>
      </c>
      <c r="G7242">
        <f t="shared" si="227"/>
        <v>1</v>
      </c>
      <c r="H7242" t="str">
        <f>IF(ISNUMBER(FIND(",", E7242)), TRIM(MID(E7242, FIND(",", E7242) + 1, LEN(E7242))), E7242)</f>
        <v>Nepal-India border region</v>
      </c>
    </row>
    <row r="7243" spans="1:8" x14ac:dyDescent="0.25">
      <c r="A7243" s="2">
        <v>12422</v>
      </c>
      <c r="B7243">
        <v>53.929000000000002</v>
      </c>
      <c r="C7243">
        <v>156.28</v>
      </c>
      <c r="D7243" t="s">
        <v>17</v>
      </c>
      <c r="E7243" t="s">
        <v>424</v>
      </c>
      <c r="F7243">
        <f t="shared" si="226"/>
        <v>1934</v>
      </c>
      <c r="G7243">
        <f t="shared" si="227"/>
        <v>1</v>
      </c>
      <c r="H7243" t="str">
        <f>IF(ISNUMBER(FIND(",", E7243)), TRIM(MID(E7243, FIND(",", E7243) + 1, LEN(E7243))), E7243)</f>
        <v>Russia</v>
      </c>
    </row>
    <row r="7244" spans="1:8" x14ac:dyDescent="0.25">
      <c r="A7244" s="2">
        <v>12400</v>
      </c>
      <c r="B7244">
        <v>-4.2939999999999996</v>
      </c>
      <c r="C7244">
        <v>153.154</v>
      </c>
      <c r="D7244" t="s">
        <v>17</v>
      </c>
      <c r="E7244" t="s">
        <v>183</v>
      </c>
      <c r="F7244">
        <f t="shared" si="226"/>
        <v>1933</v>
      </c>
      <c r="G7244">
        <f t="shared" si="227"/>
        <v>12</v>
      </c>
      <c r="H7244" t="str">
        <f>IF(ISNUMBER(FIND(",", E7244)), TRIM(MID(E7244, FIND(",", E7244) + 1, LEN(E7244))), E7244)</f>
        <v>Papua New Guinea</v>
      </c>
    </row>
    <row r="7245" spans="1:8" x14ac:dyDescent="0.25">
      <c r="A7245" s="2">
        <v>12392</v>
      </c>
      <c r="B7245">
        <v>46.192</v>
      </c>
      <c r="C7245">
        <v>144.59200000000001</v>
      </c>
      <c r="D7245" t="s">
        <v>13</v>
      </c>
      <c r="E7245" t="s">
        <v>74</v>
      </c>
      <c r="F7245">
        <f t="shared" si="226"/>
        <v>1933</v>
      </c>
      <c r="G7245">
        <f t="shared" si="227"/>
        <v>12</v>
      </c>
      <c r="H7245" t="str">
        <f>IF(ISNUMBER(FIND(",", E7245)), TRIM(MID(E7245, FIND(",", E7245) + 1, LEN(E7245))), E7245)</f>
        <v>Sea of Okhotsk</v>
      </c>
    </row>
    <row r="7246" spans="1:8" x14ac:dyDescent="0.25">
      <c r="A7246" s="2">
        <v>12380</v>
      </c>
      <c r="B7246">
        <v>-5.6029999999999998</v>
      </c>
      <c r="C7246">
        <v>151.70099999999999</v>
      </c>
      <c r="D7246" t="s">
        <v>17</v>
      </c>
      <c r="E7246" t="s">
        <v>190</v>
      </c>
      <c r="F7246">
        <f t="shared" si="226"/>
        <v>1933</v>
      </c>
      <c r="G7246">
        <f t="shared" si="227"/>
        <v>11</v>
      </c>
      <c r="H7246" t="str">
        <f>IF(ISNUMBER(FIND(",", E7246)), TRIM(MID(E7246, FIND(",", E7246) + 1, LEN(E7246))), E7246)</f>
        <v>Papua New Guinea</v>
      </c>
    </row>
    <row r="7247" spans="1:8" x14ac:dyDescent="0.25">
      <c r="A7247" s="2">
        <v>12378</v>
      </c>
      <c r="B7247">
        <v>72.995999999999995</v>
      </c>
      <c r="C7247">
        <v>-70.116</v>
      </c>
      <c r="D7247" t="s">
        <v>16</v>
      </c>
      <c r="E7247" t="s">
        <v>365</v>
      </c>
      <c r="F7247">
        <f t="shared" si="226"/>
        <v>1933</v>
      </c>
      <c r="G7247">
        <f t="shared" si="227"/>
        <v>11</v>
      </c>
      <c r="H7247" t="str">
        <f>IF(ISNUMBER(FIND(",", E7247)), TRIM(MID(E7247, FIND(",", E7247) + 1, LEN(E7247))), E7247)</f>
        <v>Baffin Bay</v>
      </c>
    </row>
    <row r="7248" spans="1:8" x14ac:dyDescent="0.25">
      <c r="A7248" s="2">
        <v>12353</v>
      </c>
      <c r="B7248">
        <v>-60.29</v>
      </c>
      <c r="C7248">
        <v>-59.301000000000002</v>
      </c>
      <c r="D7248" t="s">
        <v>17</v>
      </c>
      <c r="E7248" t="s">
        <v>246</v>
      </c>
      <c r="F7248">
        <f t="shared" si="226"/>
        <v>1933</v>
      </c>
      <c r="G7248">
        <f t="shared" si="227"/>
        <v>10</v>
      </c>
      <c r="H7248" t="str">
        <f>IF(ISNUMBER(FIND(",", E7248)), TRIM(MID(E7248, FIND(",", E7248) + 1, LEN(E7248))), E7248)</f>
        <v>Drake Passage</v>
      </c>
    </row>
    <row r="7249" spans="1:8" x14ac:dyDescent="0.25">
      <c r="A7249" s="2">
        <v>12352</v>
      </c>
      <c r="B7249">
        <v>-23.686</v>
      </c>
      <c r="C7249">
        <v>-66.650000000000006</v>
      </c>
      <c r="D7249" t="s">
        <v>13</v>
      </c>
      <c r="E7249" t="s">
        <v>347</v>
      </c>
      <c r="F7249">
        <f t="shared" si="226"/>
        <v>1933</v>
      </c>
      <c r="G7249">
        <f t="shared" si="227"/>
        <v>10</v>
      </c>
      <c r="H7249" t="str">
        <f>IF(ISNUMBER(FIND(",", E7249)), TRIM(MID(E7249, FIND(",", E7249) + 1, LEN(E7249))), E7249)</f>
        <v>Argentina</v>
      </c>
    </row>
    <row r="7250" spans="1:8" x14ac:dyDescent="0.25">
      <c r="A7250" s="2">
        <v>12329</v>
      </c>
      <c r="B7250">
        <v>-2.044</v>
      </c>
      <c r="C7250">
        <v>-81.099000000000004</v>
      </c>
      <c r="D7250" t="s">
        <v>17</v>
      </c>
      <c r="E7250" t="s">
        <v>457</v>
      </c>
      <c r="F7250">
        <f t="shared" si="226"/>
        <v>1933</v>
      </c>
      <c r="G7250">
        <f t="shared" si="227"/>
        <v>10</v>
      </c>
      <c r="H7250" t="str">
        <f>IF(ISNUMBER(FIND(",", E7250)), TRIM(MID(E7250, FIND(",", E7250) + 1, LEN(E7250))), E7250)</f>
        <v>near the coast of Ecuador</v>
      </c>
    </row>
    <row r="7251" spans="1:8" x14ac:dyDescent="0.25">
      <c r="A7251" s="2">
        <v>12322</v>
      </c>
      <c r="B7251">
        <v>38.320999999999998</v>
      </c>
      <c r="C7251">
        <v>87.167000000000002</v>
      </c>
      <c r="D7251" t="s">
        <v>17</v>
      </c>
      <c r="E7251" t="s">
        <v>482</v>
      </c>
      <c r="F7251">
        <f t="shared" si="226"/>
        <v>1933</v>
      </c>
      <c r="G7251">
        <f t="shared" si="227"/>
        <v>9</v>
      </c>
      <c r="H7251" t="str">
        <f>IF(ISNUMBER(FIND(",", E7251)), TRIM(MID(E7251, FIND(",", E7251) + 1, LEN(E7251))), E7251)</f>
        <v>China</v>
      </c>
    </row>
    <row r="7252" spans="1:8" x14ac:dyDescent="0.25">
      <c r="A7252" s="2">
        <v>12321</v>
      </c>
      <c r="B7252">
        <v>51.774999999999999</v>
      </c>
      <c r="C7252">
        <v>-176.726</v>
      </c>
      <c r="D7252" t="s">
        <v>17</v>
      </c>
      <c r="E7252" t="s">
        <v>207</v>
      </c>
      <c r="F7252">
        <f t="shared" si="226"/>
        <v>1933</v>
      </c>
      <c r="G7252">
        <f t="shared" si="227"/>
        <v>9</v>
      </c>
      <c r="H7252" t="str">
        <f>IF(ISNUMBER(FIND(",", E7252)), TRIM(MID(E7252, FIND(",", E7252) + 1, LEN(E7252))), E7252)</f>
        <v>Aleutian Islands, Alaska</v>
      </c>
    </row>
    <row r="7253" spans="1:8" x14ac:dyDescent="0.25">
      <c r="A7253" s="2">
        <v>12306</v>
      </c>
      <c r="B7253">
        <v>-12.407</v>
      </c>
      <c r="C7253">
        <v>166.464</v>
      </c>
      <c r="D7253" t="s">
        <v>17</v>
      </c>
      <c r="E7253" t="s">
        <v>211</v>
      </c>
      <c r="F7253">
        <f t="shared" si="226"/>
        <v>1933</v>
      </c>
      <c r="G7253">
        <f t="shared" si="227"/>
        <v>9</v>
      </c>
      <c r="H7253" t="str">
        <f>IF(ISNUMBER(FIND(",", E7253)), TRIM(MID(E7253, FIND(",", E7253) + 1, LEN(E7253))), E7253)</f>
        <v>Santa Cruz Islands</v>
      </c>
    </row>
    <row r="7254" spans="1:8" x14ac:dyDescent="0.25">
      <c r="A7254" s="2">
        <v>12303</v>
      </c>
      <c r="B7254">
        <v>-21.948</v>
      </c>
      <c r="C7254">
        <v>-179.24299999999999</v>
      </c>
      <c r="D7254" t="s">
        <v>13</v>
      </c>
      <c r="E7254" t="s">
        <v>53</v>
      </c>
      <c r="F7254">
        <f t="shared" si="226"/>
        <v>1933</v>
      </c>
      <c r="G7254">
        <f t="shared" si="227"/>
        <v>9</v>
      </c>
      <c r="H7254" t="str">
        <f>IF(ISNUMBER(FIND(",", E7254)), TRIM(MID(E7254, FIND(",", E7254) + 1, LEN(E7254))), E7254)</f>
        <v>Fiji region</v>
      </c>
    </row>
    <row r="7255" spans="1:8" x14ac:dyDescent="0.25">
      <c r="A7255" s="2">
        <v>12299</v>
      </c>
      <c r="B7255">
        <v>30.262</v>
      </c>
      <c r="C7255">
        <v>139.03100000000001</v>
      </c>
      <c r="D7255" t="s">
        <v>17</v>
      </c>
      <c r="E7255" t="s">
        <v>88</v>
      </c>
      <c r="F7255">
        <f t="shared" si="226"/>
        <v>1933</v>
      </c>
      <c r="G7255">
        <f t="shared" si="227"/>
        <v>9</v>
      </c>
      <c r="H7255" t="str">
        <f>IF(ISNUMBER(FIND(",", E7255)), TRIM(MID(E7255, FIND(",", E7255) + 1, LEN(E7255))), E7255)</f>
        <v>Japan region</v>
      </c>
    </row>
    <row r="7256" spans="1:8" x14ac:dyDescent="0.25">
      <c r="A7256" s="2">
        <v>12294</v>
      </c>
      <c r="B7256">
        <v>-59.439</v>
      </c>
      <c r="C7256">
        <v>-26.643000000000001</v>
      </c>
      <c r="D7256" t="s">
        <v>16</v>
      </c>
      <c r="E7256" t="s">
        <v>260</v>
      </c>
      <c r="F7256">
        <f t="shared" si="226"/>
        <v>1933</v>
      </c>
      <c r="G7256">
        <f t="shared" si="227"/>
        <v>8</v>
      </c>
      <c r="H7256" t="str">
        <f>IF(ISNUMBER(FIND(",", E7256)), TRIM(MID(E7256, FIND(",", E7256) + 1, LEN(E7256))), E7256)</f>
        <v>South Sandwich Islands region</v>
      </c>
    </row>
    <row r="7257" spans="1:8" x14ac:dyDescent="0.25">
      <c r="A7257" s="2">
        <v>12291</v>
      </c>
      <c r="B7257">
        <v>31.81</v>
      </c>
      <c r="C7257">
        <v>103.541</v>
      </c>
      <c r="D7257" t="s">
        <v>16</v>
      </c>
      <c r="E7257" t="s">
        <v>402</v>
      </c>
      <c r="F7257">
        <f t="shared" si="226"/>
        <v>1933</v>
      </c>
      <c r="G7257">
        <f t="shared" si="227"/>
        <v>8</v>
      </c>
      <c r="H7257" t="str">
        <f>IF(ISNUMBER(FIND(",", E7257)), TRIM(MID(E7257, FIND(",", E7257) + 1, LEN(E7257))), E7257)</f>
        <v>China</v>
      </c>
    </row>
    <row r="7258" spans="1:8" x14ac:dyDescent="0.25">
      <c r="A7258" s="2">
        <v>12259</v>
      </c>
      <c r="B7258">
        <v>-16.282</v>
      </c>
      <c r="C7258">
        <v>-173.09399999999999</v>
      </c>
      <c r="D7258" t="s">
        <v>17</v>
      </c>
      <c r="E7258" t="s">
        <v>239</v>
      </c>
      <c r="F7258">
        <f t="shared" si="226"/>
        <v>1933</v>
      </c>
      <c r="G7258">
        <f t="shared" si="227"/>
        <v>7</v>
      </c>
      <c r="H7258" t="str">
        <f>IF(ISNUMBER(FIND(",", E7258)), TRIM(MID(E7258, FIND(",", E7258) + 1, LEN(E7258))), E7258)</f>
        <v>Tonga</v>
      </c>
    </row>
    <row r="7259" spans="1:8" x14ac:dyDescent="0.25">
      <c r="A7259" s="2">
        <v>12257</v>
      </c>
      <c r="B7259">
        <v>52.591999999999999</v>
      </c>
      <c r="C7259">
        <v>-168.935</v>
      </c>
      <c r="D7259" t="s">
        <v>17</v>
      </c>
      <c r="E7259" t="s">
        <v>219</v>
      </c>
      <c r="F7259">
        <f t="shared" si="226"/>
        <v>1933</v>
      </c>
      <c r="G7259">
        <f t="shared" si="227"/>
        <v>7</v>
      </c>
      <c r="H7259" t="str">
        <f>IF(ISNUMBER(FIND(",", E7259)), TRIM(MID(E7259, FIND(",", E7259) + 1, LEN(E7259))), E7259)</f>
        <v>Aleutian Islands, Alaska</v>
      </c>
    </row>
    <row r="7260" spans="1:8" x14ac:dyDescent="0.25">
      <c r="A7260" s="2">
        <v>12255</v>
      </c>
      <c r="B7260">
        <v>38.692</v>
      </c>
      <c r="C7260">
        <v>144.86099999999999</v>
      </c>
      <c r="D7260" t="s">
        <v>17</v>
      </c>
      <c r="E7260" t="s">
        <v>189</v>
      </c>
      <c r="F7260">
        <f t="shared" si="226"/>
        <v>1933</v>
      </c>
      <c r="G7260">
        <f t="shared" si="227"/>
        <v>7</v>
      </c>
      <c r="H7260" t="str">
        <f>IF(ISNUMBER(FIND(",", E7260)), TRIM(MID(E7260, FIND(",", E7260) + 1, LEN(E7260))), E7260)</f>
        <v>Japan</v>
      </c>
    </row>
    <row r="7261" spans="1:8" x14ac:dyDescent="0.25">
      <c r="A7261" s="2">
        <v>12244</v>
      </c>
      <c r="B7261">
        <v>44.545999999999999</v>
      </c>
      <c r="C7261">
        <v>150.24600000000001</v>
      </c>
      <c r="D7261" t="s">
        <v>17</v>
      </c>
      <c r="E7261" t="s">
        <v>317</v>
      </c>
      <c r="F7261">
        <f t="shared" si="226"/>
        <v>1933</v>
      </c>
      <c r="G7261">
        <f t="shared" si="227"/>
        <v>7</v>
      </c>
      <c r="H7261" t="str">
        <f>IF(ISNUMBER(FIND(",", E7261)), TRIM(MID(E7261, FIND(",", E7261) + 1, LEN(E7261))), E7261)</f>
        <v>east of the Kuril Islands</v>
      </c>
    </row>
    <row r="7262" spans="1:8" x14ac:dyDescent="0.25">
      <c r="A7262" s="2">
        <v>12229</v>
      </c>
      <c r="B7262">
        <v>-5.5220000000000002</v>
      </c>
      <c r="C7262">
        <v>104.434</v>
      </c>
      <c r="D7262" t="s">
        <v>16</v>
      </c>
      <c r="E7262" t="s">
        <v>308</v>
      </c>
      <c r="F7262">
        <f t="shared" si="226"/>
        <v>1933</v>
      </c>
      <c r="G7262">
        <f t="shared" si="227"/>
        <v>6</v>
      </c>
      <c r="H7262" t="str">
        <f>IF(ISNUMBER(FIND(",", E7262)), TRIM(MID(E7262, FIND(",", E7262) + 1, LEN(E7262))), E7262)</f>
        <v>Indonesia</v>
      </c>
    </row>
    <row r="7263" spans="1:8" x14ac:dyDescent="0.25">
      <c r="A7263" s="2">
        <v>12223</v>
      </c>
      <c r="B7263">
        <v>38.28</v>
      </c>
      <c r="C7263">
        <v>142.51</v>
      </c>
      <c r="D7263" t="s">
        <v>16</v>
      </c>
      <c r="E7263" t="s">
        <v>227</v>
      </c>
      <c r="F7263">
        <f t="shared" si="226"/>
        <v>1933</v>
      </c>
      <c r="G7263">
        <f t="shared" si="227"/>
        <v>6</v>
      </c>
      <c r="H7263" t="str">
        <f>IF(ISNUMBER(FIND(",", E7263)), TRIM(MID(E7263, FIND(",", E7263) + 1, LEN(E7263))), E7263)</f>
        <v>Japan</v>
      </c>
    </row>
    <row r="7264" spans="1:8" x14ac:dyDescent="0.25">
      <c r="A7264" s="2">
        <v>12182</v>
      </c>
      <c r="B7264">
        <v>17.332000000000001</v>
      </c>
      <c r="C7264">
        <v>-100.901</v>
      </c>
      <c r="D7264" t="s">
        <v>17</v>
      </c>
      <c r="E7264" t="s">
        <v>192</v>
      </c>
      <c r="F7264">
        <f t="shared" si="226"/>
        <v>1933</v>
      </c>
      <c r="G7264">
        <f t="shared" si="227"/>
        <v>5</v>
      </c>
      <c r="H7264" t="str">
        <f>IF(ISNUMBER(FIND(",", E7264)), TRIM(MID(E7264, FIND(",", E7264) + 1, LEN(E7264))), E7264)</f>
        <v>Mexico</v>
      </c>
    </row>
    <row r="7265" spans="1:8" x14ac:dyDescent="0.25">
      <c r="A7265" s="2">
        <v>12171</v>
      </c>
      <c r="B7265">
        <v>60.987000000000002</v>
      </c>
      <c r="C7265">
        <v>-151.00200000000001</v>
      </c>
      <c r="D7265" t="s">
        <v>14</v>
      </c>
      <c r="E7265" t="s">
        <v>679</v>
      </c>
      <c r="F7265">
        <f t="shared" si="226"/>
        <v>1933</v>
      </c>
      <c r="G7265">
        <f t="shared" si="227"/>
        <v>4</v>
      </c>
      <c r="H7265" t="str">
        <f>IF(ISNUMBER(FIND(",", E7265)), TRIM(MID(E7265, FIND(",", E7265) + 1, LEN(E7265))), E7265)</f>
        <v>Alaska</v>
      </c>
    </row>
    <row r="7266" spans="1:8" x14ac:dyDescent="0.25">
      <c r="A7266" s="2">
        <v>12167</v>
      </c>
      <c r="B7266">
        <v>36.515999999999998</v>
      </c>
      <c r="C7266">
        <v>27.15</v>
      </c>
      <c r="D7266" t="s">
        <v>17</v>
      </c>
      <c r="E7266" t="s">
        <v>228</v>
      </c>
      <c r="F7266">
        <f t="shared" si="226"/>
        <v>1933</v>
      </c>
      <c r="G7266">
        <f t="shared" si="227"/>
        <v>4</v>
      </c>
      <c r="H7266" t="str">
        <f>IF(ISNUMBER(FIND(",", E7266)), TRIM(MID(E7266, FIND(",", E7266) + 1, LEN(E7266))), E7266)</f>
        <v>Greece</v>
      </c>
    </row>
    <row r="7267" spans="1:8" x14ac:dyDescent="0.25">
      <c r="A7267" s="2">
        <v>12153</v>
      </c>
      <c r="B7267">
        <v>39.398000000000003</v>
      </c>
      <c r="C7267">
        <v>143.65799999999999</v>
      </c>
      <c r="D7267" t="s">
        <v>17</v>
      </c>
      <c r="E7267" t="s">
        <v>189</v>
      </c>
      <c r="F7267">
        <f t="shared" si="226"/>
        <v>1933</v>
      </c>
      <c r="G7267">
        <f t="shared" si="227"/>
        <v>4</v>
      </c>
      <c r="H7267" t="str">
        <f>IF(ISNUMBER(FIND(",", E7267)), TRIM(MID(E7267, FIND(",", E7267) + 1, LEN(E7267))), E7267)</f>
        <v>Japan</v>
      </c>
    </row>
    <row r="7268" spans="1:8" x14ac:dyDescent="0.25">
      <c r="A7268" s="2">
        <v>12130</v>
      </c>
      <c r="B7268">
        <v>6.2619999999999996</v>
      </c>
      <c r="C7268">
        <v>127.218</v>
      </c>
      <c r="D7268" t="s">
        <v>17</v>
      </c>
      <c r="E7268" t="s">
        <v>213</v>
      </c>
      <c r="F7268">
        <f t="shared" si="226"/>
        <v>1933</v>
      </c>
      <c r="G7268">
        <f t="shared" si="227"/>
        <v>3</v>
      </c>
      <c r="H7268" t="str">
        <f>IF(ISNUMBER(FIND(",", E7268)), TRIM(MID(E7268, FIND(",", E7268) + 1, LEN(E7268))), E7268)</f>
        <v>Philippine Islands region</v>
      </c>
    </row>
    <row r="7269" spans="1:8" x14ac:dyDescent="0.25">
      <c r="A7269" s="2">
        <v>12130</v>
      </c>
      <c r="B7269">
        <v>54.856999999999999</v>
      </c>
      <c r="C7269">
        <v>161.601</v>
      </c>
      <c r="D7269" t="s">
        <v>14</v>
      </c>
      <c r="E7269" t="s">
        <v>225</v>
      </c>
      <c r="F7269">
        <f t="shared" si="226"/>
        <v>1933</v>
      </c>
      <c r="G7269">
        <f t="shared" si="227"/>
        <v>3</v>
      </c>
      <c r="H7269" t="str">
        <f>IF(ISNUMBER(FIND(",", E7269)), TRIM(MID(E7269, FIND(",", E7269) + 1, LEN(E7269))), E7269)</f>
        <v>Russia</v>
      </c>
    </row>
    <row r="7270" spans="1:8" x14ac:dyDescent="0.25">
      <c r="A7270" s="2">
        <v>12124</v>
      </c>
      <c r="B7270">
        <v>27.102</v>
      </c>
      <c r="C7270">
        <v>139.977</v>
      </c>
      <c r="D7270" t="s">
        <v>17</v>
      </c>
      <c r="E7270" t="s">
        <v>233</v>
      </c>
      <c r="F7270">
        <f t="shared" si="226"/>
        <v>1933</v>
      </c>
      <c r="G7270">
        <f t="shared" si="227"/>
        <v>3</v>
      </c>
      <c r="H7270" t="str">
        <f>IF(ISNUMBER(FIND(",", E7270)), TRIM(MID(E7270, FIND(",", E7270) + 1, LEN(E7270))), E7270)</f>
        <v>Japan region</v>
      </c>
    </row>
    <row r="7271" spans="1:8" x14ac:dyDescent="0.25">
      <c r="A7271" s="2">
        <v>12115</v>
      </c>
      <c r="B7271">
        <v>39.223999999999997</v>
      </c>
      <c r="C7271">
        <v>144.62200000000001</v>
      </c>
      <c r="D7271" t="s">
        <v>16</v>
      </c>
      <c r="E7271" t="s">
        <v>189</v>
      </c>
      <c r="F7271">
        <f t="shared" si="226"/>
        <v>1933</v>
      </c>
      <c r="G7271">
        <f t="shared" si="227"/>
        <v>3</v>
      </c>
      <c r="H7271" t="str">
        <f>IF(ISNUMBER(FIND(",", E7271)), TRIM(MID(E7271, FIND(",", E7271) + 1, LEN(E7271))), E7271)</f>
        <v>Japan</v>
      </c>
    </row>
    <row r="7272" spans="1:8" x14ac:dyDescent="0.25">
      <c r="A7272" s="2">
        <v>12108</v>
      </c>
      <c r="B7272">
        <v>-20.297000000000001</v>
      </c>
      <c r="C7272">
        <v>-69.965000000000003</v>
      </c>
      <c r="D7272" t="s">
        <v>16</v>
      </c>
      <c r="E7272" t="s">
        <v>237</v>
      </c>
      <c r="F7272">
        <f t="shared" si="226"/>
        <v>1933</v>
      </c>
      <c r="G7272">
        <f t="shared" si="227"/>
        <v>2</v>
      </c>
      <c r="H7272" t="str">
        <f>IF(ISNUMBER(FIND(",", E7272)), TRIM(MID(E7272, FIND(",", E7272) + 1, LEN(E7272))), E7272)</f>
        <v>Chile</v>
      </c>
    </row>
    <row r="7273" spans="1:8" x14ac:dyDescent="0.25">
      <c r="A7273" s="2">
        <v>12081</v>
      </c>
      <c r="B7273">
        <v>-15.693</v>
      </c>
      <c r="C7273">
        <v>-171.779</v>
      </c>
      <c r="D7273" t="s">
        <v>17</v>
      </c>
      <c r="E7273" t="s">
        <v>352</v>
      </c>
      <c r="F7273">
        <f t="shared" si="226"/>
        <v>1933</v>
      </c>
      <c r="G7273">
        <f t="shared" si="227"/>
        <v>1</v>
      </c>
      <c r="H7273" t="str">
        <f>IF(ISNUMBER(FIND(",", E7273)), TRIM(MID(E7273, FIND(",", E7273) + 1, LEN(E7273))), E7273)</f>
        <v>Samoa Islands region</v>
      </c>
    </row>
    <row r="7274" spans="1:8" x14ac:dyDescent="0.25">
      <c r="A7274" s="2">
        <v>12075</v>
      </c>
      <c r="B7274">
        <v>-33.505000000000003</v>
      </c>
      <c r="C7274">
        <v>57.731999999999999</v>
      </c>
      <c r="D7274" t="s">
        <v>14</v>
      </c>
      <c r="E7274" t="s">
        <v>94</v>
      </c>
      <c r="F7274">
        <f t="shared" si="226"/>
        <v>1933</v>
      </c>
      <c r="G7274">
        <f t="shared" si="227"/>
        <v>1</v>
      </c>
      <c r="H7274" t="str">
        <f>IF(ISNUMBER(FIND(",", E7274)), TRIM(MID(E7274, FIND(",", E7274) + 1, LEN(E7274))), E7274)</f>
        <v>Southwest Indian Ridge</v>
      </c>
    </row>
    <row r="7275" spans="1:8" x14ac:dyDescent="0.25">
      <c r="A7275" s="2">
        <v>12055</v>
      </c>
      <c r="B7275">
        <v>-14.754</v>
      </c>
      <c r="C7275">
        <v>167.50200000000001</v>
      </c>
      <c r="D7275" t="s">
        <v>13</v>
      </c>
      <c r="E7275" t="s">
        <v>181</v>
      </c>
      <c r="F7275">
        <f t="shared" si="226"/>
        <v>1933</v>
      </c>
      <c r="G7275">
        <f t="shared" si="227"/>
        <v>1</v>
      </c>
      <c r="H7275" t="str">
        <f>IF(ISNUMBER(FIND(",", E7275)), TRIM(MID(E7275, FIND(",", E7275) + 1, LEN(E7275))), E7275)</f>
        <v>Vanuatu</v>
      </c>
    </row>
    <row r="7276" spans="1:8" x14ac:dyDescent="0.25">
      <c r="A7276" s="2">
        <v>12054</v>
      </c>
      <c r="B7276">
        <v>-29.084</v>
      </c>
      <c r="C7276">
        <v>32.957000000000001</v>
      </c>
      <c r="D7276" t="s">
        <v>17</v>
      </c>
      <c r="E7276" t="s">
        <v>719</v>
      </c>
      <c r="F7276">
        <f t="shared" si="226"/>
        <v>1932</v>
      </c>
      <c r="G7276">
        <f t="shared" si="227"/>
        <v>12</v>
      </c>
      <c r="H7276" t="str">
        <f>IF(ISNUMBER(FIND(",", E7276)), TRIM(MID(E7276, FIND(",", E7276) + 1, LEN(E7276))), E7276)</f>
        <v>off the coast of South Africa</v>
      </c>
    </row>
    <row r="7277" spans="1:8" x14ac:dyDescent="0.25">
      <c r="A7277" s="2">
        <v>12048</v>
      </c>
      <c r="B7277">
        <v>39.771000000000001</v>
      </c>
      <c r="C7277">
        <v>96.69</v>
      </c>
      <c r="D7277" t="s">
        <v>16</v>
      </c>
      <c r="E7277" t="s">
        <v>693</v>
      </c>
      <c r="F7277">
        <f t="shared" si="226"/>
        <v>1932</v>
      </c>
      <c r="G7277">
        <f t="shared" si="227"/>
        <v>12</v>
      </c>
      <c r="H7277" t="str">
        <f>IF(ISNUMBER(FIND(",", E7277)), TRIM(MID(E7277, FIND(",", E7277) + 1, LEN(E7277))), E7277)</f>
        <v>China</v>
      </c>
    </row>
    <row r="7278" spans="1:8" x14ac:dyDescent="0.25">
      <c r="A7278" s="2">
        <v>12044</v>
      </c>
      <c r="B7278">
        <v>38.51</v>
      </c>
      <c r="C7278">
        <v>-118.084</v>
      </c>
      <c r="D7278" t="s">
        <v>16</v>
      </c>
      <c r="E7278" t="s">
        <v>406</v>
      </c>
      <c r="F7278">
        <f t="shared" si="226"/>
        <v>1932</v>
      </c>
      <c r="G7278">
        <f t="shared" si="227"/>
        <v>12</v>
      </c>
      <c r="H7278" t="str">
        <f>IF(ISNUMBER(FIND(",", E7278)), TRIM(MID(E7278, FIND(",", E7278) + 1, LEN(E7278))), E7278)</f>
        <v>Nevada</v>
      </c>
    </row>
    <row r="7279" spans="1:8" x14ac:dyDescent="0.25">
      <c r="A7279" s="2">
        <v>12027</v>
      </c>
      <c r="B7279">
        <v>2.387</v>
      </c>
      <c r="C7279">
        <v>121.01900000000001</v>
      </c>
      <c r="D7279" t="s">
        <v>14</v>
      </c>
      <c r="E7279" t="s">
        <v>203</v>
      </c>
      <c r="F7279">
        <f t="shared" si="226"/>
        <v>1932</v>
      </c>
      <c r="G7279">
        <f t="shared" si="227"/>
        <v>12</v>
      </c>
      <c r="H7279" t="str">
        <f>IF(ISNUMBER(FIND(",", E7279)), TRIM(MID(E7279, FIND(",", E7279) + 1, LEN(E7279))), E7279)</f>
        <v>Celebes Sea</v>
      </c>
    </row>
    <row r="7280" spans="1:8" x14ac:dyDescent="0.25">
      <c r="A7280" s="2">
        <v>12022</v>
      </c>
      <c r="B7280">
        <v>-32.331000000000003</v>
      </c>
      <c r="C7280">
        <v>-71.42</v>
      </c>
      <c r="D7280" t="s">
        <v>17</v>
      </c>
      <c r="E7280" t="s">
        <v>244</v>
      </c>
      <c r="F7280">
        <f t="shared" si="226"/>
        <v>1932</v>
      </c>
      <c r="G7280">
        <f t="shared" si="227"/>
        <v>11</v>
      </c>
      <c r="H7280" t="str">
        <f>IF(ISNUMBER(FIND(",", E7280)), TRIM(MID(E7280, FIND(",", E7280) + 1, LEN(E7280))), E7280)</f>
        <v>Chile</v>
      </c>
    </row>
    <row r="7281" spans="1:8" x14ac:dyDescent="0.25">
      <c r="A7281" s="2">
        <v>12019</v>
      </c>
      <c r="B7281">
        <v>42.378999999999998</v>
      </c>
      <c r="C7281">
        <v>142.54300000000001</v>
      </c>
      <c r="D7281" t="s">
        <v>17</v>
      </c>
      <c r="E7281" t="s">
        <v>265</v>
      </c>
      <c r="F7281">
        <f t="shared" si="226"/>
        <v>1932</v>
      </c>
      <c r="G7281">
        <f t="shared" si="227"/>
        <v>11</v>
      </c>
      <c r="H7281" t="str">
        <f>IF(ISNUMBER(FIND(",", E7281)), TRIM(MID(E7281, FIND(",", E7281) + 1, LEN(E7281))), E7281)</f>
        <v>Japan region</v>
      </c>
    </row>
    <row r="7282" spans="1:8" x14ac:dyDescent="0.25">
      <c r="A7282" s="2">
        <v>12006</v>
      </c>
      <c r="B7282">
        <v>43.841000000000001</v>
      </c>
      <c r="C7282">
        <v>136.881</v>
      </c>
      <c r="D7282" t="s">
        <v>13</v>
      </c>
      <c r="E7282" t="s">
        <v>540</v>
      </c>
      <c r="F7282">
        <f t="shared" si="226"/>
        <v>1932</v>
      </c>
      <c r="G7282">
        <f t="shared" si="227"/>
        <v>11</v>
      </c>
      <c r="H7282" t="str">
        <f>IF(ISNUMBER(FIND(",", E7282)), TRIM(MID(E7282, FIND(",", E7282) + 1, LEN(E7282))), E7282)</f>
        <v>eastern Sea of Japan</v>
      </c>
    </row>
    <row r="7283" spans="1:8" x14ac:dyDescent="0.25">
      <c r="A7283" s="2">
        <v>11995</v>
      </c>
      <c r="B7283">
        <v>-22.977</v>
      </c>
      <c r="C7283">
        <v>-112.33799999999999</v>
      </c>
      <c r="D7283" t="s">
        <v>17</v>
      </c>
      <c r="E7283" t="s">
        <v>59</v>
      </c>
      <c r="F7283">
        <f t="shared" si="226"/>
        <v>1932</v>
      </c>
      <c r="G7283">
        <f t="shared" si="227"/>
        <v>11</v>
      </c>
      <c r="H7283" t="str">
        <f>IF(ISNUMBER(FIND(",", E7283)), TRIM(MID(E7283, FIND(",", E7283) + 1, LEN(E7283))), E7283)</f>
        <v>Easter Island region</v>
      </c>
    </row>
    <row r="7284" spans="1:8" x14ac:dyDescent="0.25">
      <c r="A7284" s="2">
        <v>11992</v>
      </c>
      <c r="B7284">
        <v>54.829000000000001</v>
      </c>
      <c r="C7284">
        <v>-159.85599999999999</v>
      </c>
      <c r="D7284" t="s">
        <v>17</v>
      </c>
      <c r="E7284" t="s">
        <v>493</v>
      </c>
      <c r="F7284">
        <f t="shared" si="226"/>
        <v>1932</v>
      </c>
      <c r="G7284">
        <f t="shared" si="227"/>
        <v>10</v>
      </c>
      <c r="H7284" t="str">
        <f>IF(ISNUMBER(FIND(",", E7284)), TRIM(MID(E7284, FIND(",", E7284) + 1, LEN(E7284))), E7284)</f>
        <v>south of Alaska</v>
      </c>
    </row>
    <row r="7285" spans="1:8" x14ac:dyDescent="0.25">
      <c r="A7285" s="2">
        <v>11978</v>
      </c>
      <c r="B7285">
        <v>54.915999999999997</v>
      </c>
      <c r="C7285">
        <v>-159.655</v>
      </c>
      <c r="D7285" t="s">
        <v>17</v>
      </c>
      <c r="E7285" t="s">
        <v>493</v>
      </c>
      <c r="F7285">
        <f t="shared" si="226"/>
        <v>1932</v>
      </c>
      <c r="G7285">
        <f t="shared" si="227"/>
        <v>10</v>
      </c>
      <c r="H7285" t="str">
        <f>IF(ISNUMBER(FIND(",", E7285)), TRIM(MID(E7285, FIND(",", E7285) + 1, LEN(E7285))), E7285)</f>
        <v>south of Alaska</v>
      </c>
    </row>
    <row r="7286" spans="1:8" x14ac:dyDescent="0.25">
      <c r="A7286" s="2">
        <v>11964</v>
      </c>
      <c r="B7286">
        <v>11.273</v>
      </c>
      <c r="C7286">
        <v>-87.494</v>
      </c>
      <c r="D7286" t="s">
        <v>17</v>
      </c>
      <c r="E7286" t="s">
        <v>448</v>
      </c>
      <c r="F7286">
        <f t="shared" si="226"/>
        <v>1932</v>
      </c>
      <c r="G7286">
        <f t="shared" si="227"/>
        <v>10</v>
      </c>
      <c r="H7286" t="str">
        <f>IF(ISNUMBER(FIND(",", E7286)), TRIM(MID(E7286, FIND(",", E7286) + 1, LEN(E7286))), E7286)</f>
        <v>near the coast of Nicaragua</v>
      </c>
    </row>
    <row r="7287" spans="1:8" x14ac:dyDescent="0.25">
      <c r="A7287" s="2">
        <v>11958</v>
      </c>
      <c r="B7287">
        <v>40.332999999999998</v>
      </c>
      <c r="C7287">
        <v>23.731999999999999</v>
      </c>
      <c r="D7287" t="s">
        <v>17</v>
      </c>
      <c r="E7287" t="s">
        <v>478</v>
      </c>
      <c r="F7287">
        <f t="shared" si="226"/>
        <v>1932</v>
      </c>
      <c r="G7287">
        <f t="shared" si="227"/>
        <v>9</v>
      </c>
      <c r="H7287" t="str">
        <f>IF(ISNUMBER(FIND(",", E7287)), TRIM(MID(E7287, FIND(",", E7287) + 1, LEN(E7287))), E7287)</f>
        <v>Greece</v>
      </c>
    </row>
    <row r="7288" spans="1:8" x14ac:dyDescent="0.25">
      <c r="A7288" s="2">
        <v>11955</v>
      </c>
      <c r="B7288">
        <v>44.485999999999997</v>
      </c>
      <c r="C7288">
        <v>138.72200000000001</v>
      </c>
      <c r="D7288" t="s">
        <v>13</v>
      </c>
      <c r="E7288" t="s">
        <v>540</v>
      </c>
      <c r="F7288">
        <f t="shared" si="226"/>
        <v>1932</v>
      </c>
      <c r="G7288">
        <f t="shared" si="227"/>
        <v>9</v>
      </c>
      <c r="H7288" t="str">
        <f>IF(ISNUMBER(FIND(",", E7288)), TRIM(MID(E7288, FIND(",", E7288) + 1, LEN(E7288))), E7288)</f>
        <v>eastern Sea of Japan</v>
      </c>
    </row>
    <row r="7289" spans="1:8" x14ac:dyDescent="0.25">
      <c r="A7289" s="2">
        <v>11947</v>
      </c>
      <c r="B7289">
        <v>-38.956000000000003</v>
      </c>
      <c r="C7289">
        <v>177.45500000000001</v>
      </c>
      <c r="D7289" t="s">
        <v>17</v>
      </c>
      <c r="E7289" t="s">
        <v>188</v>
      </c>
      <c r="F7289">
        <f t="shared" si="226"/>
        <v>1932</v>
      </c>
      <c r="G7289">
        <f t="shared" si="227"/>
        <v>9</v>
      </c>
      <c r="H7289" t="str">
        <f>IF(ISNUMBER(FIND(",", E7289)), TRIM(MID(E7289, FIND(",", E7289) + 1, LEN(E7289))), E7289)</f>
        <v>North Island of New Zealand</v>
      </c>
    </row>
    <row r="7290" spans="1:8" x14ac:dyDescent="0.25">
      <c r="A7290" s="2">
        <v>11935</v>
      </c>
      <c r="B7290">
        <v>40.939</v>
      </c>
      <c r="C7290">
        <v>143.45599999999999</v>
      </c>
      <c r="D7290" t="s">
        <v>17</v>
      </c>
      <c r="E7290" t="s">
        <v>189</v>
      </c>
      <c r="F7290">
        <f t="shared" si="226"/>
        <v>1932</v>
      </c>
      <c r="G7290">
        <f t="shared" si="227"/>
        <v>9</v>
      </c>
      <c r="H7290" t="str">
        <f>IF(ISNUMBER(FIND(",", E7290)), TRIM(MID(E7290, FIND(",", E7290) + 1, LEN(E7290))), E7290)</f>
        <v>Japan</v>
      </c>
    </row>
    <row r="7291" spans="1:8" x14ac:dyDescent="0.25">
      <c r="A7291" s="2">
        <v>11915</v>
      </c>
      <c r="B7291">
        <v>25.765000000000001</v>
      </c>
      <c r="C7291">
        <v>95.655000000000001</v>
      </c>
      <c r="D7291" t="s">
        <v>13</v>
      </c>
      <c r="E7291" t="s">
        <v>197</v>
      </c>
      <c r="F7291">
        <f t="shared" si="226"/>
        <v>1932</v>
      </c>
      <c r="G7291">
        <f t="shared" si="227"/>
        <v>8</v>
      </c>
      <c r="H7291" t="str">
        <f>IF(ISNUMBER(FIND(",", E7291)), TRIM(MID(E7291, FIND(",", E7291) + 1, LEN(E7291))), E7291)</f>
        <v>Myanmar</v>
      </c>
    </row>
    <row r="7292" spans="1:8" x14ac:dyDescent="0.25">
      <c r="A7292" s="2">
        <v>11913</v>
      </c>
      <c r="B7292">
        <v>52.417999999999999</v>
      </c>
      <c r="C7292">
        <v>-168.62299999999999</v>
      </c>
      <c r="D7292" t="s">
        <v>17</v>
      </c>
      <c r="E7292" t="s">
        <v>219</v>
      </c>
      <c r="F7292">
        <f t="shared" si="226"/>
        <v>1932</v>
      </c>
      <c r="G7292">
        <f t="shared" si="227"/>
        <v>8</v>
      </c>
      <c r="H7292" t="str">
        <f>IF(ISNUMBER(FIND(",", E7292)), TRIM(MID(E7292, FIND(",", E7292) + 1, LEN(E7292))), E7292)</f>
        <v>Aleutian Islands, Alaska</v>
      </c>
    </row>
    <row r="7293" spans="1:8" x14ac:dyDescent="0.25">
      <c r="A7293" s="2">
        <v>11895</v>
      </c>
      <c r="B7293">
        <v>18.803000000000001</v>
      </c>
      <c r="C7293">
        <v>-103.94199999999999</v>
      </c>
      <c r="D7293" t="s">
        <v>17</v>
      </c>
      <c r="E7293" t="s">
        <v>483</v>
      </c>
      <c r="F7293">
        <f t="shared" si="226"/>
        <v>1932</v>
      </c>
      <c r="G7293">
        <f t="shared" si="227"/>
        <v>7</v>
      </c>
      <c r="H7293" t="str">
        <f>IF(ISNUMBER(FIND(",", E7293)), TRIM(MID(E7293, FIND(",", E7293) + 1, LEN(E7293))), E7293)</f>
        <v>Mexico</v>
      </c>
    </row>
    <row r="7294" spans="1:8" x14ac:dyDescent="0.25">
      <c r="A7294" s="2">
        <v>11895</v>
      </c>
      <c r="B7294">
        <v>35.381</v>
      </c>
      <c r="C7294">
        <v>135.709</v>
      </c>
      <c r="D7294" t="s">
        <v>17</v>
      </c>
      <c r="E7294" t="s">
        <v>502</v>
      </c>
      <c r="F7294">
        <f t="shared" si="226"/>
        <v>1932</v>
      </c>
      <c r="G7294">
        <f t="shared" si="227"/>
        <v>7</v>
      </c>
      <c r="H7294" t="str">
        <f>IF(ISNUMBER(FIND(",", E7294)), TRIM(MID(E7294, FIND(",", E7294) + 1, LEN(E7294))), E7294)</f>
        <v>Japan</v>
      </c>
    </row>
    <row r="7295" spans="1:8" x14ac:dyDescent="0.25">
      <c r="A7295" s="2">
        <v>11882</v>
      </c>
      <c r="B7295">
        <v>26.238</v>
      </c>
      <c r="C7295">
        <v>-110.288</v>
      </c>
      <c r="D7295" t="s">
        <v>17</v>
      </c>
      <c r="E7295" t="s">
        <v>282</v>
      </c>
      <c r="F7295">
        <f t="shared" si="226"/>
        <v>1932</v>
      </c>
      <c r="G7295">
        <f t="shared" si="227"/>
        <v>7</v>
      </c>
      <c r="H7295" t="str">
        <f>IF(ISNUMBER(FIND(",", E7295)), TRIM(MID(E7295, FIND(",", E7295) + 1, LEN(E7295))), E7295)</f>
        <v>Gulf of California</v>
      </c>
    </row>
    <row r="7296" spans="1:8" x14ac:dyDescent="0.25">
      <c r="A7296" s="2">
        <v>11877</v>
      </c>
      <c r="B7296">
        <v>29.097999999999999</v>
      </c>
      <c r="C7296">
        <v>-113.318</v>
      </c>
      <c r="D7296" t="s">
        <v>17</v>
      </c>
      <c r="E7296" t="s">
        <v>247</v>
      </c>
      <c r="F7296">
        <f t="shared" si="226"/>
        <v>1932</v>
      </c>
      <c r="G7296">
        <f t="shared" si="227"/>
        <v>7</v>
      </c>
      <c r="H7296" t="str">
        <f>IF(ISNUMBER(FIND(",", E7296)), TRIM(MID(E7296, FIND(",", E7296) + 1, LEN(E7296))), E7296)</f>
        <v>Mexico</v>
      </c>
    </row>
    <row r="7297" spans="1:8" x14ac:dyDescent="0.25">
      <c r="A7297" s="2">
        <v>11862</v>
      </c>
      <c r="B7297">
        <v>19.027999999999999</v>
      </c>
      <c r="C7297">
        <v>-104.379</v>
      </c>
      <c r="D7297" t="s">
        <v>17</v>
      </c>
      <c r="E7297" t="s">
        <v>483</v>
      </c>
      <c r="F7297">
        <f t="shared" si="226"/>
        <v>1932</v>
      </c>
      <c r="G7297">
        <f t="shared" si="227"/>
        <v>6</v>
      </c>
      <c r="H7297" t="str">
        <f>IF(ISNUMBER(FIND(",", E7297)), TRIM(MID(E7297, FIND(",", E7297) + 1, LEN(E7297))), E7297)</f>
        <v>Mexico</v>
      </c>
    </row>
    <row r="7298" spans="1:8" x14ac:dyDescent="0.25">
      <c r="A7298" s="2">
        <v>11858</v>
      </c>
      <c r="B7298">
        <v>19.452000000000002</v>
      </c>
      <c r="C7298">
        <v>-103.63200000000001</v>
      </c>
      <c r="D7298" t="s">
        <v>16</v>
      </c>
      <c r="E7298" t="s">
        <v>551</v>
      </c>
      <c r="F7298">
        <f t="shared" ref="F7298:F7361" si="228">YEAR(A7298)</f>
        <v>1932</v>
      </c>
      <c r="G7298">
        <f t="shared" si="227"/>
        <v>6</v>
      </c>
      <c r="H7298" t="str">
        <f>IF(ISNUMBER(FIND(",", E7298)), TRIM(MID(E7298, FIND(",", E7298) + 1, LEN(E7298))), E7298)</f>
        <v>Mexico</v>
      </c>
    </row>
    <row r="7299" spans="1:8" x14ac:dyDescent="0.25">
      <c r="A7299" s="2">
        <v>11856</v>
      </c>
      <c r="B7299">
        <v>2.4300000000000002</v>
      </c>
      <c r="C7299">
        <v>97.643000000000001</v>
      </c>
      <c r="D7299" t="s">
        <v>17</v>
      </c>
      <c r="E7299" t="s">
        <v>226</v>
      </c>
      <c r="F7299">
        <f t="shared" si="228"/>
        <v>1932</v>
      </c>
      <c r="G7299">
        <f t="shared" ref="G7299:G7362" si="229">MONTH(A7299)</f>
        <v>6</v>
      </c>
      <c r="H7299" t="str">
        <f>IF(ISNUMBER(FIND(",", E7299)), TRIM(MID(E7299, FIND(",", E7299) + 1, LEN(E7299))), E7299)</f>
        <v>Indonesia</v>
      </c>
    </row>
    <row r="7300" spans="1:8" x14ac:dyDescent="0.25">
      <c r="A7300" s="2">
        <v>11850</v>
      </c>
      <c r="B7300">
        <v>5.1189999999999998</v>
      </c>
      <c r="C7300">
        <v>127.27200000000001</v>
      </c>
      <c r="D7300" t="s">
        <v>17</v>
      </c>
      <c r="E7300" t="s">
        <v>213</v>
      </c>
      <c r="F7300">
        <f t="shared" si="228"/>
        <v>1932</v>
      </c>
      <c r="G7300">
        <f t="shared" si="229"/>
        <v>6</v>
      </c>
      <c r="H7300" t="str">
        <f>IF(ISNUMBER(FIND(",", E7300)), TRIM(MID(E7300, FIND(",", E7300) + 1, LEN(E7300))), E7300)</f>
        <v>Philippine Islands region</v>
      </c>
    </row>
    <row r="7301" spans="1:8" x14ac:dyDescent="0.25">
      <c r="A7301" s="2">
        <v>11843</v>
      </c>
      <c r="B7301">
        <v>19.457000000000001</v>
      </c>
      <c r="C7301">
        <v>-104.146</v>
      </c>
      <c r="D7301" t="s">
        <v>16</v>
      </c>
      <c r="E7301" t="s">
        <v>720</v>
      </c>
      <c r="F7301">
        <f t="shared" si="228"/>
        <v>1932</v>
      </c>
      <c r="G7301">
        <f t="shared" si="229"/>
        <v>6</v>
      </c>
      <c r="H7301" t="str">
        <f>IF(ISNUMBER(FIND(",", E7301)), TRIM(MID(E7301, FIND(",", E7301) + 1, LEN(E7301))), E7301)</f>
        <v>Mexico</v>
      </c>
    </row>
    <row r="7302" spans="1:8" x14ac:dyDescent="0.25">
      <c r="A7302" s="2">
        <v>11835</v>
      </c>
      <c r="B7302">
        <v>-25.399000000000001</v>
      </c>
      <c r="C7302">
        <v>179.04900000000001</v>
      </c>
      <c r="D7302" t="s">
        <v>13</v>
      </c>
      <c r="E7302" t="s">
        <v>256</v>
      </c>
      <c r="F7302">
        <f t="shared" si="228"/>
        <v>1932</v>
      </c>
      <c r="G7302">
        <f t="shared" si="229"/>
        <v>5</v>
      </c>
      <c r="H7302" t="str">
        <f>IF(ISNUMBER(FIND(",", E7302)), TRIM(MID(E7302, FIND(",", E7302) + 1, LEN(E7302))), E7302)</f>
        <v>south of the Fiji Islands</v>
      </c>
    </row>
    <row r="7303" spans="1:8" x14ac:dyDescent="0.25">
      <c r="A7303" s="2">
        <v>11830</v>
      </c>
      <c r="B7303">
        <v>12.364000000000001</v>
      </c>
      <c r="C7303">
        <v>-87.894000000000005</v>
      </c>
      <c r="D7303" t="s">
        <v>17</v>
      </c>
      <c r="E7303" t="s">
        <v>448</v>
      </c>
      <c r="F7303">
        <f t="shared" si="228"/>
        <v>1932</v>
      </c>
      <c r="G7303">
        <f t="shared" si="229"/>
        <v>5</v>
      </c>
      <c r="H7303" t="str">
        <f>IF(ISNUMBER(FIND(",", E7303)), TRIM(MID(E7303, FIND(",", E7303) + 1, LEN(E7303))), E7303)</f>
        <v>near the coast of Nicaragua</v>
      </c>
    </row>
    <row r="7304" spans="1:8" x14ac:dyDescent="0.25">
      <c r="A7304" s="2">
        <v>11823</v>
      </c>
      <c r="B7304">
        <v>0.25800000000000001</v>
      </c>
      <c r="C7304">
        <v>126.169</v>
      </c>
      <c r="D7304" t="s">
        <v>16</v>
      </c>
      <c r="E7304" t="s">
        <v>186</v>
      </c>
      <c r="F7304">
        <f t="shared" si="228"/>
        <v>1932</v>
      </c>
      <c r="G7304">
        <f t="shared" si="229"/>
        <v>5</v>
      </c>
      <c r="H7304" t="str">
        <f>IF(ISNUMBER(FIND(",", E7304)), TRIM(MID(E7304, FIND(",", E7304) + 1, LEN(E7304))), E7304)</f>
        <v>Molucca Sea</v>
      </c>
    </row>
    <row r="7305" spans="1:8" x14ac:dyDescent="0.25">
      <c r="A7305" s="2">
        <v>11791</v>
      </c>
      <c r="B7305">
        <v>-4.7969999999999997</v>
      </c>
      <c r="C7305">
        <v>152.654</v>
      </c>
      <c r="D7305" t="s">
        <v>17</v>
      </c>
      <c r="E7305" t="s">
        <v>190</v>
      </c>
      <c r="F7305">
        <f t="shared" si="228"/>
        <v>1932</v>
      </c>
      <c r="G7305">
        <f t="shared" si="229"/>
        <v>4</v>
      </c>
      <c r="H7305" t="str">
        <f>IF(ISNUMBER(FIND(",", E7305)), TRIM(MID(E7305, FIND(",", E7305) + 1, LEN(E7305))), E7305)</f>
        <v>Papua New Guinea</v>
      </c>
    </row>
    <row r="7306" spans="1:8" x14ac:dyDescent="0.25">
      <c r="A7306" s="2">
        <v>11783</v>
      </c>
      <c r="B7306">
        <v>30.556999999999999</v>
      </c>
      <c r="C7306">
        <v>138.816</v>
      </c>
      <c r="D7306" t="s">
        <v>17</v>
      </c>
      <c r="E7306" t="s">
        <v>88</v>
      </c>
      <c r="F7306">
        <f t="shared" si="228"/>
        <v>1932</v>
      </c>
      <c r="G7306">
        <f t="shared" si="229"/>
        <v>4</v>
      </c>
      <c r="H7306" t="str">
        <f>IF(ISNUMBER(FIND(",", E7306)), TRIM(MID(E7306, FIND(",", E7306) + 1, LEN(E7306))), E7306)</f>
        <v>Japan region</v>
      </c>
    </row>
    <row r="7307" spans="1:8" x14ac:dyDescent="0.25">
      <c r="A7307" s="2">
        <v>11774</v>
      </c>
      <c r="B7307">
        <v>-4.3920000000000003</v>
      </c>
      <c r="C7307">
        <v>128.49100000000001</v>
      </c>
      <c r="D7307" t="s">
        <v>17</v>
      </c>
      <c r="E7307" t="s">
        <v>187</v>
      </c>
      <c r="F7307">
        <f t="shared" si="228"/>
        <v>1932</v>
      </c>
      <c r="G7307">
        <f t="shared" si="229"/>
        <v>3</v>
      </c>
      <c r="H7307" t="str">
        <f>IF(ISNUMBER(FIND(",", E7307)), TRIM(MID(E7307, FIND(",", E7307) + 1, LEN(E7307))), E7307)</f>
        <v>Banda Sea</v>
      </c>
    </row>
    <row r="7308" spans="1:8" x14ac:dyDescent="0.25">
      <c r="A7308" s="2">
        <v>11773</v>
      </c>
      <c r="B7308">
        <v>62.354999999999997</v>
      </c>
      <c r="C7308">
        <v>-153.45099999999999</v>
      </c>
      <c r="D7308" t="s">
        <v>17</v>
      </c>
      <c r="E7308" t="s">
        <v>487</v>
      </c>
      <c r="F7308">
        <f t="shared" si="228"/>
        <v>1932</v>
      </c>
      <c r="G7308">
        <f t="shared" si="229"/>
        <v>3</v>
      </c>
      <c r="H7308" t="str">
        <f>IF(ISNUMBER(FIND(",", E7308)), TRIM(MID(E7308, FIND(",", E7308) + 1, LEN(E7308))), E7308)</f>
        <v>Central Alaska</v>
      </c>
    </row>
    <row r="7309" spans="1:8" x14ac:dyDescent="0.25">
      <c r="A7309" s="2">
        <v>11767</v>
      </c>
      <c r="B7309">
        <v>15.733000000000001</v>
      </c>
      <c r="C7309">
        <v>147.46</v>
      </c>
      <c r="D7309" t="s">
        <v>17</v>
      </c>
      <c r="E7309" t="s">
        <v>72</v>
      </c>
      <c r="F7309">
        <f t="shared" si="228"/>
        <v>1932</v>
      </c>
      <c r="G7309">
        <f t="shared" si="229"/>
        <v>3</v>
      </c>
      <c r="H7309" t="str">
        <f>IF(ISNUMBER(FIND(",", E7309)), TRIM(MID(E7309, FIND(",", E7309) + 1, LEN(E7309))), E7309)</f>
        <v>Mariana Islands region</v>
      </c>
    </row>
    <row r="7310" spans="1:8" x14ac:dyDescent="0.25">
      <c r="A7310" s="2">
        <v>11762</v>
      </c>
      <c r="B7310">
        <v>8.1489999999999991</v>
      </c>
      <c r="C7310">
        <v>-71.974000000000004</v>
      </c>
      <c r="D7310" t="s">
        <v>17</v>
      </c>
      <c r="E7310" t="s">
        <v>721</v>
      </c>
      <c r="F7310">
        <f t="shared" si="228"/>
        <v>1932</v>
      </c>
      <c r="G7310">
        <f t="shared" si="229"/>
        <v>3</v>
      </c>
      <c r="H7310" t="str">
        <f>IF(ISNUMBER(FIND(",", E7310)), TRIM(MID(E7310, FIND(",", E7310) + 1, LEN(E7310))), E7310)</f>
        <v>Venezuela</v>
      </c>
    </row>
    <row r="7311" spans="1:8" x14ac:dyDescent="0.25">
      <c r="A7311" s="2">
        <v>11742</v>
      </c>
      <c r="B7311">
        <v>-57.927</v>
      </c>
      <c r="C7311">
        <v>-12.052</v>
      </c>
      <c r="D7311" t="s">
        <v>14</v>
      </c>
      <c r="E7311" t="s">
        <v>242</v>
      </c>
      <c r="F7311">
        <f t="shared" si="228"/>
        <v>1932</v>
      </c>
      <c r="G7311">
        <f t="shared" si="229"/>
        <v>2</v>
      </c>
      <c r="H7311" t="str">
        <f>IF(ISNUMBER(FIND(",", E7311)), TRIM(MID(E7311, FIND(",", E7311) + 1, LEN(E7311))), E7311)</f>
        <v>east of the South Sandwich Islands</v>
      </c>
    </row>
    <row r="7312" spans="1:8" x14ac:dyDescent="0.25">
      <c r="A7312" s="2">
        <v>11722</v>
      </c>
      <c r="B7312">
        <v>19.77</v>
      </c>
      <c r="C7312">
        <v>-75.849999999999994</v>
      </c>
      <c r="D7312" t="s">
        <v>17</v>
      </c>
      <c r="E7312" t="s">
        <v>431</v>
      </c>
      <c r="F7312">
        <f t="shared" si="228"/>
        <v>1932</v>
      </c>
      <c r="G7312">
        <f t="shared" si="229"/>
        <v>2</v>
      </c>
      <c r="H7312" t="str">
        <f>IF(ISNUMBER(FIND(",", E7312)), TRIM(MID(E7312, FIND(",", E7312) + 1, LEN(E7312))), E7312)</f>
        <v>Cuba region</v>
      </c>
    </row>
    <row r="7313" spans="1:8" x14ac:dyDescent="0.25">
      <c r="A7313" s="2">
        <v>11717</v>
      </c>
      <c r="B7313">
        <v>-6.8079999999999998</v>
      </c>
      <c r="C7313">
        <v>155.035</v>
      </c>
      <c r="D7313" t="s">
        <v>14</v>
      </c>
      <c r="E7313" t="s">
        <v>290</v>
      </c>
      <c r="F7313">
        <f t="shared" si="228"/>
        <v>1932</v>
      </c>
      <c r="G7313">
        <f t="shared" si="229"/>
        <v>1</v>
      </c>
      <c r="H7313" t="str">
        <f>IF(ISNUMBER(FIND(",", E7313)), TRIM(MID(E7313, FIND(",", E7313) + 1, LEN(E7313))), E7313)</f>
        <v>Papua New Guinea</v>
      </c>
    </row>
    <row r="7314" spans="1:8" x14ac:dyDescent="0.25">
      <c r="A7314" s="2">
        <v>11708</v>
      </c>
      <c r="B7314">
        <v>-11.866</v>
      </c>
      <c r="C7314">
        <v>-77.385999999999996</v>
      </c>
      <c r="D7314" t="s">
        <v>17</v>
      </c>
      <c r="E7314" t="s">
        <v>258</v>
      </c>
      <c r="F7314">
        <f t="shared" si="228"/>
        <v>1932</v>
      </c>
      <c r="G7314">
        <f t="shared" si="229"/>
        <v>1</v>
      </c>
      <c r="H7314" t="str">
        <f>IF(ISNUMBER(FIND(",", E7314)), TRIM(MID(E7314, FIND(",", E7314) + 1, LEN(E7314))), E7314)</f>
        <v>near the coast of central Peru</v>
      </c>
    </row>
    <row r="7315" spans="1:8" x14ac:dyDescent="0.25">
      <c r="A7315" s="2">
        <v>11697</v>
      </c>
      <c r="B7315">
        <v>-6.0830000000000002</v>
      </c>
      <c r="C7315">
        <v>154.44499999999999</v>
      </c>
      <c r="D7315" t="s">
        <v>13</v>
      </c>
      <c r="E7315" t="s">
        <v>290</v>
      </c>
      <c r="F7315">
        <f t="shared" si="228"/>
        <v>1932</v>
      </c>
      <c r="G7315">
        <f t="shared" si="229"/>
        <v>1</v>
      </c>
      <c r="H7315" t="str">
        <f>IF(ISNUMBER(FIND(",", E7315)), TRIM(MID(E7315, FIND(",", E7315) + 1, LEN(E7315))), E7315)</f>
        <v>Papua New Guinea</v>
      </c>
    </row>
    <row r="7316" spans="1:8" x14ac:dyDescent="0.25">
      <c r="A7316" s="2">
        <v>11647</v>
      </c>
      <c r="B7316">
        <v>-10.64</v>
      </c>
      <c r="C7316">
        <v>161.642</v>
      </c>
      <c r="D7316" t="s">
        <v>17</v>
      </c>
      <c r="E7316" t="s">
        <v>221</v>
      </c>
      <c r="F7316">
        <f t="shared" si="228"/>
        <v>1931</v>
      </c>
      <c r="G7316">
        <f t="shared" si="229"/>
        <v>11</v>
      </c>
      <c r="H7316" t="str">
        <f>IF(ISNUMBER(FIND(",", E7316)), TRIM(MID(E7316, FIND(",", E7316) + 1, LEN(E7316))), E7316)</f>
        <v>Solomon Islands</v>
      </c>
    </row>
    <row r="7317" spans="1:8" x14ac:dyDescent="0.25">
      <c r="A7317" s="2">
        <v>11629</v>
      </c>
      <c r="B7317">
        <v>32.003</v>
      </c>
      <c r="C7317">
        <v>131.94499999999999</v>
      </c>
      <c r="D7317" t="s">
        <v>16</v>
      </c>
      <c r="E7317" t="s">
        <v>357</v>
      </c>
      <c r="F7317">
        <f t="shared" si="228"/>
        <v>1931</v>
      </c>
      <c r="G7317">
        <f t="shared" si="229"/>
        <v>11</v>
      </c>
      <c r="H7317" t="str">
        <f>IF(ISNUMBER(FIND(",", E7317)), TRIM(MID(E7317, FIND(",", E7317) + 1, LEN(E7317))), E7317)</f>
        <v>Japan</v>
      </c>
    </row>
    <row r="7318" spans="1:8" x14ac:dyDescent="0.25">
      <c r="A7318" s="2">
        <v>11629</v>
      </c>
      <c r="B7318">
        <v>16.260999999999999</v>
      </c>
      <c r="C7318">
        <v>-96.67</v>
      </c>
      <c r="D7318" t="s">
        <v>17</v>
      </c>
      <c r="E7318" t="s">
        <v>251</v>
      </c>
      <c r="F7318">
        <f t="shared" si="228"/>
        <v>1931</v>
      </c>
      <c r="G7318">
        <f t="shared" si="229"/>
        <v>11</v>
      </c>
      <c r="H7318" t="str">
        <f>IF(ISNUMBER(FIND(",", E7318)), TRIM(MID(E7318, FIND(",", E7318) + 1, LEN(E7318))), E7318)</f>
        <v>Mexico</v>
      </c>
    </row>
    <row r="7319" spans="1:8" x14ac:dyDescent="0.25">
      <c r="A7319" s="2">
        <v>11614</v>
      </c>
      <c r="B7319">
        <v>-26.765000000000001</v>
      </c>
      <c r="C7319">
        <v>-179.91</v>
      </c>
      <c r="D7319" t="s">
        <v>17</v>
      </c>
      <c r="E7319" t="s">
        <v>256</v>
      </c>
      <c r="F7319">
        <f t="shared" si="228"/>
        <v>1931</v>
      </c>
      <c r="G7319">
        <f t="shared" si="229"/>
        <v>10</v>
      </c>
      <c r="H7319" t="str">
        <f>IF(ISNUMBER(FIND(",", E7319)), TRIM(MID(E7319, FIND(",", E7319) + 1, LEN(E7319))), E7319)</f>
        <v>south of the Fiji Islands</v>
      </c>
    </row>
    <row r="7320" spans="1:8" x14ac:dyDescent="0.25">
      <c r="A7320" s="2">
        <v>11606</v>
      </c>
      <c r="B7320">
        <v>-10.66</v>
      </c>
      <c r="C7320">
        <v>161.06399999999999</v>
      </c>
      <c r="D7320" t="s">
        <v>17</v>
      </c>
      <c r="E7320" t="s">
        <v>221</v>
      </c>
      <c r="F7320">
        <f t="shared" si="228"/>
        <v>1931</v>
      </c>
      <c r="G7320">
        <f t="shared" si="229"/>
        <v>10</v>
      </c>
      <c r="H7320" t="str">
        <f>IF(ISNUMBER(FIND(",", E7320)), TRIM(MID(E7320, FIND(",", E7320) + 1, LEN(E7320))), E7320)</f>
        <v>Solomon Islands</v>
      </c>
    </row>
    <row r="7321" spans="1:8" x14ac:dyDescent="0.25">
      <c r="A7321" s="2">
        <v>11606</v>
      </c>
      <c r="B7321">
        <v>-9.8780000000000001</v>
      </c>
      <c r="C7321">
        <v>161.334</v>
      </c>
      <c r="D7321" t="s">
        <v>17</v>
      </c>
      <c r="E7321" t="s">
        <v>221</v>
      </c>
      <c r="F7321">
        <f t="shared" si="228"/>
        <v>1931</v>
      </c>
      <c r="G7321">
        <f t="shared" si="229"/>
        <v>10</v>
      </c>
      <c r="H7321" t="str">
        <f>IF(ISNUMBER(FIND(",", E7321)), TRIM(MID(E7321, FIND(",", E7321) + 1, LEN(E7321))), E7321)</f>
        <v>Solomon Islands</v>
      </c>
    </row>
    <row r="7322" spans="1:8" x14ac:dyDescent="0.25">
      <c r="A7322" s="2">
        <v>11606</v>
      </c>
      <c r="B7322">
        <v>-10.130000000000001</v>
      </c>
      <c r="C7322">
        <v>161.184</v>
      </c>
      <c r="D7322" t="s">
        <v>17</v>
      </c>
      <c r="E7322" t="s">
        <v>221</v>
      </c>
      <c r="F7322">
        <f t="shared" si="228"/>
        <v>1931</v>
      </c>
      <c r="G7322">
        <f t="shared" si="229"/>
        <v>10</v>
      </c>
      <c r="H7322" t="str">
        <f>IF(ISNUMBER(FIND(",", E7322)), TRIM(MID(E7322, FIND(",", E7322) + 1, LEN(E7322))), E7322)</f>
        <v>Solomon Islands</v>
      </c>
    </row>
    <row r="7323" spans="1:8" x14ac:dyDescent="0.25">
      <c r="A7323" s="2">
        <v>11606</v>
      </c>
      <c r="B7323">
        <v>-9.968</v>
      </c>
      <c r="C7323">
        <v>161.19399999999999</v>
      </c>
      <c r="D7323" t="s">
        <v>16</v>
      </c>
      <c r="E7323" t="s">
        <v>221</v>
      </c>
      <c r="F7323">
        <f t="shared" si="228"/>
        <v>1931</v>
      </c>
      <c r="G7323">
        <f t="shared" si="229"/>
        <v>10</v>
      </c>
      <c r="H7323" t="str">
        <f>IF(ISNUMBER(FIND(",", E7323)), TRIM(MID(E7323, FIND(",", E7323) + 1, LEN(E7323))), E7323)</f>
        <v>Solomon Islands</v>
      </c>
    </row>
    <row r="7324" spans="1:8" x14ac:dyDescent="0.25">
      <c r="A7324" s="2">
        <v>11601</v>
      </c>
      <c r="B7324">
        <v>36.534999999999997</v>
      </c>
      <c r="C7324">
        <v>70.853999999999999</v>
      </c>
      <c r="D7324" t="s">
        <v>17</v>
      </c>
      <c r="E7324" t="s">
        <v>314</v>
      </c>
      <c r="F7324">
        <f t="shared" si="228"/>
        <v>1931</v>
      </c>
      <c r="G7324">
        <f t="shared" si="229"/>
        <v>10</v>
      </c>
      <c r="H7324" t="str">
        <f>IF(ISNUMBER(FIND(",", E7324)), TRIM(MID(E7324, FIND(",", E7324) + 1, LEN(E7324))), E7324)</f>
        <v>Afghanistan</v>
      </c>
    </row>
    <row r="7325" spans="1:8" x14ac:dyDescent="0.25">
      <c r="A7325" s="2">
        <v>11599</v>
      </c>
      <c r="B7325">
        <v>-10.913</v>
      </c>
      <c r="C7325">
        <v>161.40299999999999</v>
      </c>
      <c r="D7325" t="s">
        <v>16</v>
      </c>
      <c r="E7325" t="s">
        <v>221</v>
      </c>
      <c r="F7325">
        <f t="shared" si="228"/>
        <v>1931</v>
      </c>
      <c r="G7325">
        <f t="shared" si="229"/>
        <v>10</v>
      </c>
      <c r="H7325" t="str">
        <f>IF(ISNUMBER(FIND(",", E7325)), TRIM(MID(E7325, FIND(",", E7325) + 1, LEN(E7325))), E7325)</f>
        <v>Solomon Islands</v>
      </c>
    </row>
    <row r="7326" spans="1:8" x14ac:dyDescent="0.25">
      <c r="A7326" s="2">
        <v>11599</v>
      </c>
      <c r="B7326">
        <v>-12.683999999999999</v>
      </c>
      <c r="C7326">
        <v>163.18700000000001</v>
      </c>
      <c r="D7326" t="s">
        <v>14</v>
      </c>
      <c r="E7326" t="s">
        <v>221</v>
      </c>
      <c r="F7326">
        <f t="shared" si="228"/>
        <v>1931</v>
      </c>
      <c r="G7326">
        <f t="shared" si="229"/>
        <v>10</v>
      </c>
      <c r="H7326" t="str">
        <f>IF(ISNUMBER(FIND(",", E7326)), TRIM(MID(E7326, FIND(",", E7326) + 1, LEN(E7326))), E7326)</f>
        <v>Solomon Islands</v>
      </c>
    </row>
    <row r="7327" spans="1:8" x14ac:dyDescent="0.25">
      <c r="A7327" s="2">
        <v>11599</v>
      </c>
      <c r="B7327">
        <v>-12.292</v>
      </c>
      <c r="C7327">
        <v>161.53800000000001</v>
      </c>
      <c r="D7327" t="s">
        <v>17</v>
      </c>
      <c r="E7327" t="s">
        <v>221</v>
      </c>
      <c r="F7327">
        <f t="shared" si="228"/>
        <v>1931</v>
      </c>
      <c r="G7327">
        <f t="shared" si="229"/>
        <v>10</v>
      </c>
      <c r="H7327" t="str">
        <f>IF(ISNUMBER(FIND(",", E7327)), TRIM(MID(E7327, FIND(",", E7327) + 1, LEN(E7327))), E7327)</f>
        <v>Solomon Islands</v>
      </c>
    </row>
    <row r="7328" spans="1:8" x14ac:dyDescent="0.25">
      <c r="A7328" s="2">
        <v>11599</v>
      </c>
      <c r="B7328">
        <v>-10.932</v>
      </c>
      <c r="C7328">
        <v>161.01599999999999</v>
      </c>
      <c r="D7328" t="s">
        <v>16</v>
      </c>
      <c r="E7328" t="s">
        <v>221</v>
      </c>
      <c r="F7328">
        <f t="shared" si="228"/>
        <v>1931</v>
      </c>
      <c r="G7328">
        <f t="shared" si="229"/>
        <v>10</v>
      </c>
      <c r="H7328" t="str">
        <f>IF(ISNUMBER(FIND(",", E7328)), TRIM(MID(E7328, FIND(",", E7328) + 1, LEN(E7328))), E7328)</f>
        <v>Solomon Islands</v>
      </c>
    </row>
    <row r="7329" spans="1:8" x14ac:dyDescent="0.25">
      <c r="A7329" s="2">
        <v>11591</v>
      </c>
      <c r="B7329">
        <v>-5.1779999999999999</v>
      </c>
      <c r="C7329">
        <v>102.511</v>
      </c>
      <c r="D7329" t="s">
        <v>16</v>
      </c>
      <c r="E7329" t="s">
        <v>308</v>
      </c>
      <c r="F7329">
        <f t="shared" si="228"/>
        <v>1931</v>
      </c>
      <c r="G7329">
        <f t="shared" si="229"/>
        <v>9</v>
      </c>
      <c r="H7329" t="str">
        <f>IF(ISNUMBER(FIND(",", E7329)), TRIM(MID(E7329, FIND(",", E7329) + 1, LEN(E7329))), E7329)</f>
        <v>Indonesia</v>
      </c>
    </row>
    <row r="7330" spans="1:8" x14ac:dyDescent="0.25">
      <c r="A7330" s="2">
        <v>11587</v>
      </c>
      <c r="B7330">
        <v>-37.960999999999999</v>
      </c>
      <c r="C7330">
        <v>177.81100000000001</v>
      </c>
      <c r="D7330" t="s">
        <v>17</v>
      </c>
      <c r="E7330" t="s">
        <v>410</v>
      </c>
      <c r="F7330">
        <f t="shared" si="228"/>
        <v>1931</v>
      </c>
      <c r="G7330">
        <f t="shared" si="229"/>
        <v>9</v>
      </c>
      <c r="H7330" t="str">
        <f>IF(ISNUMBER(FIND(",", E7330)), TRIM(MID(E7330, FIND(",", E7330) + 1, LEN(E7330))), E7330)</f>
        <v>off the east coast of the North Island of New Zealand</v>
      </c>
    </row>
    <row r="7331" spans="1:8" x14ac:dyDescent="0.25">
      <c r="A7331" s="2">
        <v>11587</v>
      </c>
      <c r="B7331">
        <v>19.420999999999999</v>
      </c>
      <c r="C7331">
        <v>113.158</v>
      </c>
      <c r="D7331" t="s">
        <v>17</v>
      </c>
      <c r="E7331" t="s">
        <v>722</v>
      </c>
      <c r="F7331">
        <f t="shared" si="228"/>
        <v>1931</v>
      </c>
      <c r="G7331">
        <f t="shared" si="229"/>
        <v>9</v>
      </c>
      <c r="H7331" t="str">
        <f>IF(ISNUMBER(FIND(",", E7331)), TRIM(MID(E7331, FIND(",", E7331) + 1, LEN(E7331))), E7331)</f>
        <v>South China Sea</v>
      </c>
    </row>
    <row r="7332" spans="1:8" x14ac:dyDescent="0.25">
      <c r="A7332" s="2">
        <v>11587</v>
      </c>
      <c r="B7332">
        <v>36.021000000000001</v>
      </c>
      <c r="C7332">
        <v>139.381</v>
      </c>
      <c r="D7332" t="s">
        <v>17</v>
      </c>
      <c r="E7332" t="s">
        <v>293</v>
      </c>
      <c r="F7332">
        <f t="shared" si="228"/>
        <v>1931</v>
      </c>
      <c r="G7332">
        <f t="shared" si="229"/>
        <v>9</v>
      </c>
      <c r="H7332" t="str">
        <f>IF(ISNUMBER(FIND(",", E7332)), TRIM(MID(E7332, FIND(",", E7332) + 1, LEN(E7332))), E7332)</f>
        <v>Japan</v>
      </c>
    </row>
    <row r="7333" spans="1:8" x14ac:dyDescent="0.25">
      <c r="A7333" s="2">
        <v>11575</v>
      </c>
      <c r="B7333">
        <v>19.152000000000001</v>
      </c>
      <c r="C7333">
        <v>145.489</v>
      </c>
      <c r="D7333" t="s">
        <v>13</v>
      </c>
      <c r="E7333" t="s">
        <v>335</v>
      </c>
      <c r="F7333">
        <f t="shared" si="228"/>
        <v>1931</v>
      </c>
      <c r="G7333">
        <f t="shared" si="229"/>
        <v>9</v>
      </c>
      <c r="H7333" t="str">
        <f>IF(ISNUMBER(FIND(",", E7333)), TRIM(MID(E7333, FIND(",", E7333) + 1, LEN(E7333))), E7333)</f>
        <v>Northern Mariana Islands</v>
      </c>
    </row>
    <row r="7334" spans="1:8" x14ac:dyDescent="0.25">
      <c r="A7334" s="2">
        <v>11562</v>
      </c>
      <c r="B7334">
        <v>29.472999999999999</v>
      </c>
      <c r="C7334">
        <v>67.171999999999997</v>
      </c>
      <c r="D7334" t="s">
        <v>16</v>
      </c>
      <c r="E7334" t="s">
        <v>382</v>
      </c>
      <c r="F7334">
        <f t="shared" si="228"/>
        <v>1931</v>
      </c>
      <c r="G7334">
        <f t="shared" si="229"/>
        <v>8</v>
      </c>
      <c r="H7334" t="str">
        <f>IF(ISNUMBER(FIND(",", E7334)), TRIM(MID(E7334, FIND(",", E7334) + 1, LEN(E7334))), E7334)</f>
        <v>Pakistan</v>
      </c>
    </row>
    <row r="7335" spans="1:8" x14ac:dyDescent="0.25">
      <c r="A7335" s="2">
        <v>11559</v>
      </c>
      <c r="B7335">
        <v>29.733000000000001</v>
      </c>
      <c r="C7335">
        <v>67.424999999999997</v>
      </c>
      <c r="D7335" t="s">
        <v>14</v>
      </c>
      <c r="E7335" t="s">
        <v>382</v>
      </c>
      <c r="F7335">
        <f t="shared" si="228"/>
        <v>1931</v>
      </c>
      <c r="G7335">
        <f t="shared" si="229"/>
        <v>8</v>
      </c>
      <c r="H7335" t="str">
        <f>IF(ISNUMBER(FIND(",", E7335)), TRIM(MID(E7335, FIND(",", E7335) + 1, LEN(E7335))), E7335)</f>
        <v>Pakistan</v>
      </c>
    </row>
    <row r="7336" spans="1:8" x14ac:dyDescent="0.25">
      <c r="A7336" s="2">
        <v>11553</v>
      </c>
      <c r="B7336">
        <v>47.29</v>
      </c>
      <c r="C7336">
        <v>90.117999999999995</v>
      </c>
      <c r="D7336" t="s">
        <v>16</v>
      </c>
      <c r="E7336" t="s">
        <v>723</v>
      </c>
      <c r="F7336">
        <f t="shared" si="228"/>
        <v>1931</v>
      </c>
      <c r="G7336">
        <f t="shared" si="229"/>
        <v>8</v>
      </c>
      <c r="H7336" t="str">
        <f>IF(ISNUMBER(FIND(",", E7336)), TRIM(MID(E7336, FIND(",", E7336) + 1, LEN(E7336))), E7336)</f>
        <v>Mongolia-China border region</v>
      </c>
    </row>
    <row r="7337" spans="1:8" x14ac:dyDescent="0.25">
      <c r="A7337" s="2">
        <v>11545</v>
      </c>
      <c r="B7337">
        <v>46.570999999999998</v>
      </c>
      <c r="C7337">
        <v>89.965000000000003</v>
      </c>
      <c r="D7337" t="s">
        <v>16</v>
      </c>
      <c r="E7337" t="s">
        <v>224</v>
      </c>
      <c r="F7337">
        <f t="shared" si="228"/>
        <v>1931</v>
      </c>
      <c r="G7337">
        <f t="shared" si="229"/>
        <v>8</v>
      </c>
      <c r="H7337" t="str">
        <f>IF(ISNUMBER(FIND(",", E7337)), TRIM(MID(E7337, FIND(",", E7337) + 1, LEN(E7337))), E7337)</f>
        <v>China</v>
      </c>
    </row>
    <row r="7338" spans="1:8" x14ac:dyDescent="0.25">
      <c r="A7338" s="2">
        <v>11542</v>
      </c>
      <c r="B7338">
        <v>-2.859</v>
      </c>
      <c r="C7338">
        <v>142.07900000000001</v>
      </c>
      <c r="D7338" t="s">
        <v>16</v>
      </c>
      <c r="E7338" t="s">
        <v>216</v>
      </c>
      <c r="F7338">
        <f t="shared" si="228"/>
        <v>1931</v>
      </c>
      <c r="G7338">
        <f t="shared" si="229"/>
        <v>8</v>
      </c>
      <c r="H7338" t="str">
        <f>IF(ISNUMBER(FIND(",", E7338)), TRIM(MID(E7338, FIND(",", E7338) + 1, LEN(E7338))), E7338)</f>
        <v>Papua New Guinea</v>
      </c>
    </row>
    <row r="7339" spans="1:8" x14ac:dyDescent="0.25">
      <c r="A7339" s="2">
        <v>11527</v>
      </c>
      <c r="B7339">
        <v>-6.6529999999999996</v>
      </c>
      <c r="C7339">
        <v>155.446</v>
      </c>
      <c r="D7339" t="s">
        <v>17</v>
      </c>
      <c r="E7339" t="s">
        <v>290</v>
      </c>
      <c r="F7339">
        <f t="shared" si="228"/>
        <v>1931</v>
      </c>
      <c r="G7339">
        <f t="shared" si="229"/>
        <v>7</v>
      </c>
      <c r="H7339" t="str">
        <f>IF(ISNUMBER(FIND(",", E7339)), TRIM(MID(E7339, FIND(",", E7339) + 1, LEN(E7339))), E7339)</f>
        <v>Papua New Guinea</v>
      </c>
    </row>
    <row r="7340" spans="1:8" x14ac:dyDescent="0.25">
      <c r="A7340" s="2">
        <v>11525</v>
      </c>
      <c r="B7340">
        <v>-20.922000000000001</v>
      </c>
      <c r="C7340">
        <v>170.18700000000001</v>
      </c>
      <c r="D7340" t="s">
        <v>13</v>
      </c>
      <c r="E7340" t="s">
        <v>181</v>
      </c>
      <c r="F7340">
        <f t="shared" si="228"/>
        <v>1931</v>
      </c>
      <c r="G7340">
        <f t="shared" si="229"/>
        <v>7</v>
      </c>
      <c r="H7340" t="str">
        <f>IF(ISNUMBER(FIND(",", E7340)), TRIM(MID(E7340, FIND(",", E7340) + 1, LEN(E7340))), E7340)</f>
        <v>Vanuatu</v>
      </c>
    </row>
    <row r="7341" spans="1:8" x14ac:dyDescent="0.25">
      <c r="A7341" s="2">
        <v>11522</v>
      </c>
      <c r="B7341">
        <v>54.277000000000001</v>
      </c>
      <c r="C7341">
        <v>160.99799999999999</v>
      </c>
      <c r="D7341" t="s">
        <v>17</v>
      </c>
      <c r="E7341" t="s">
        <v>225</v>
      </c>
      <c r="F7341">
        <f t="shared" si="228"/>
        <v>1931</v>
      </c>
      <c r="G7341">
        <f t="shared" si="229"/>
        <v>7</v>
      </c>
      <c r="H7341" t="str">
        <f>IF(ISNUMBER(FIND(",", E7341)), TRIM(MID(E7341, FIND(",", E7341) + 1, LEN(E7341))), E7341)</f>
        <v>Russia</v>
      </c>
    </row>
    <row r="7342" spans="1:8" x14ac:dyDescent="0.25">
      <c r="A7342" s="2">
        <v>11522</v>
      </c>
      <c r="B7342">
        <v>-20.824000000000002</v>
      </c>
      <c r="C7342">
        <v>-68.394000000000005</v>
      </c>
      <c r="D7342" t="s">
        <v>17</v>
      </c>
      <c r="E7342" t="s">
        <v>472</v>
      </c>
      <c r="F7342">
        <f t="shared" si="228"/>
        <v>1931</v>
      </c>
      <c r="G7342">
        <f t="shared" si="229"/>
        <v>7</v>
      </c>
      <c r="H7342" t="str">
        <f>IF(ISNUMBER(FIND(",", E7342)), TRIM(MID(E7342, FIND(",", E7342) + 1, LEN(E7342))), E7342)</f>
        <v>Bolivia</v>
      </c>
    </row>
    <row r="7343" spans="1:8" x14ac:dyDescent="0.25">
      <c r="A7343" s="2">
        <v>11463</v>
      </c>
      <c r="B7343">
        <v>37.472000000000001</v>
      </c>
      <c r="C7343">
        <v>-16.071999999999999</v>
      </c>
      <c r="D7343" t="s">
        <v>14</v>
      </c>
      <c r="E7343" t="s">
        <v>430</v>
      </c>
      <c r="F7343">
        <f t="shared" si="228"/>
        <v>1931</v>
      </c>
      <c r="G7343">
        <f t="shared" si="229"/>
        <v>5</v>
      </c>
      <c r="H7343" t="str">
        <f>IF(ISNUMBER(FIND(",", E7343)), TRIM(MID(E7343, FIND(",", E7343) + 1, LEN(E7343))), E7343)</f>
        <v>Azores-Cape St. Vincent Ridge</v>
      </c>
    </row>
    <row r="7344" spans="1:8" x14ac:dyDescent="0.25">
      <c r="A7344" s="2">
        <v>11437</v>
      </c>
      <c r="B7344">
        <v>-6.6559999999999997</v>
      </c>
      <c r="C7344">
        <v>154.97300000000001</v>
      </c>
      <c r="D7344" t="s">
        <v>17</v>
      </c>
      <c r="E7344" t="s">
        <v>290</v>
      </c>
      <c r="F7344">
        <f t="shared" si="228"/>
        <v>1931</v>
      </c>
      <c r="G7344">
        <f t="shared" si="229"/>
        <v>4</v>
      </c>
      <c r="H7344" t="str">
        <f>IF(ISNUMBER(FIND(",", E7344)), TRIM(MID(E7344, FIND(",", E7344) + 1, LEN(E7344))), E7344)</f>
        <v>Papua New Guinea</v>
      </c>
    </row>
    <row r="7345" spans="1:8" x14ac:dyDescent="0.25">
      <c r="A7345" s="2">
        <v>11419</v>
      </c>
      <c r="B7345">
        <v>-6.6310000000000002</v>
      </c>
      <c r="C7345">
        <v>155.01599999999999</v>
      </c>
      <c r="D7345" t="s">
        <v>17</v>
      </c>
      <c r="E7345" t="s">
        <v>290</v>
      </c>
      <c r="F7345">
        <f t="shared" si="228"/>
        <v>1931</v>
      </c>
      <c r="G7345">
        <f t="shared" si="229"/>
        <v>4</v>
      </c>
      <c r="H7345" t="str">
        <f>IF(ISNUMBER(FIND(",", E7345)), TRIM(MID(E7345, FIND(",", E7345) + 1, LEN(E7345))), E7345)</f>
        <v>Papua New Guinea</v>
      </c>
    </row>
    <row r="7346" spans="1:8" x14ac:dyDescent="0.25">
      <c r="A7346" s="2">
        <v>11416</v>
      </c>
      <c r="B7346">
        <v>-19.911000000000001</v>
      </c>
      <c r="C7346">
        <v>179.24700000000001</v>
      </c>
      <c r="D7346" t="s">
        <v>17</v>
      </c>
      <c r="E7346" t="s">
        <v>256</v>
      </c>
      <c r="F7346">
        <f t="shared" si="228"/>
        <v>1931</v>
      </c>
      <c r="G7346">
        <f t="shared" si="229"/>
        <v>4</v>
      </c>
      <c r="H7346" t="str">
        <f>IF(ISNUMBER(FIND(",", E7346)), TRIM(MID(E7346, FIND(",", E7346) + 1, LEN(E7346))), E7346)</f>
        <v>south of the Fiji Islands</v>
      </c>
    </row>
    <row r="7347" spans="1:8" x14ac:dyDescent="0.25">
      <c r="A7347" s="2">
        <v>11411</v>
      </c>
      <c r="B7347">
        <v>42.917999999999999</v>
      </c>
      <c r="C7347">
        <v>143.86600000000001</v>
      </c>
      <c r="D7347" t="s">
        <v>17</v>
      </c>
      <c r="E7347" t="s">
        <v>265</v>
      </c>
      <c r="F7347">
        <f t="shared" si="228"/>
        <v>1931</v>
      </c>
      <c r="G7347">
        <f t="shared" si="229"/>
        <v>3</v>
      </c>
      <c r="H7347" t="str">
        <f>IF(ISNUMBER(FIND(",", E7347)), TRIM(MID(E7347, FIND(",", E7347) + 1, LEN(E7347))), E7347)</f>
        <v>Japan region</v>
      </c>
    </row>
    <row r="7348" spans="1:8" x14ac:dyDescent="0.25">
      <c r="A7348" s="2">
        <v>11410</v>
      </c>
      <c r="B7348">
        <v>-7.3689999999999998</v>
      </c>
      <c r="C7348">
        <v>129.49100000000001</v>
      </c>
      <c r="D7348" t="s">
        <v>13</v>
      </c>
      <c r="E7348" t="s">
        <v>615</v>
      </c>
      <c r="F7348">
        <f t="shared" si="228"/>
        <v>1931</v>
      </c>
      <c r="G7348">
        <f t="shared" si="229"/>
        <v>3</v>
      </c>
      <c r="H7348" t="str">
        <f>IF(ISNUMBER(FIND(",", E7348)), TRIM(MID(E7348, FIND(",", E7348) + 1, LEN(E7348))), E7348)</f>
        <v>Indonesia</v>
      </c>
    </row>
    <row r="7349" spans="1:8" x14ac:dyDescent="0.25">
      <c r="A7349" s="2">
        <v>11401</v>
      </c>
      <c r="B7349">
        <v>18.11</v>
      </c>
      <c r="C7349">
        <v>120.354</v>
      </c>
      <c r="D7349" t="s">
        <v>17</v>
      </c>
      <c r="E7349" t="s">
        <v>297</v>
      </c>
      <c r="F7349">
        <f t="shared" si="228"/>
        <v>1931</v>
      </c>
      <c r="G7349">
        <f t="shared" si="229"/>
        <v>3</v>
      </c>
      <c r="H7349" t="str">
        <f>IF(ISNUMBER(FIND(",", E7349)), TRIM(MID(E7349, FIND(",", E7349) + 1, LEN(E7349))), E7349)</f>
        <v>Philippines</v>
      </c>
    </row>
    <row r="7350" spans="1:8" x14ac:dyDescent="0.25">
      <c r="A7350" s="2">
        <v>11400</v>
      </c>
      <c r="B7350">
        <v>5.6420000000000003</v>
      </c>
      <c r="C7350">
        <v>126.42400000000001</v>
      </c>
      <c r="D7350" t="s">
        <v>14</v>
      </c>
      <c r="E7350" t="s">
        <v>200</v>
      </c>
      <c r="F7350">
        <f t="shared" si="228"/>
        <v>1931</v>
      </c>
      <c r="G7350">
        <f t="shared" si="229"/>
        <v>3</v>
      </c>
      <c r="H7350" t="str">
        <f>IF(ISNUMBER(FIND(",", E7350)), TRIM(MID(E7350, FIND(",", E7350) + 1, LEN(E7350))), E7350)</f>
        <v>Philippines</v>
      </c>
    </row>
    <row r="7351" spans="1:8" x14ac:dyDescent="0.25">
      <c r="A7351" s="2">
        <v>11400</v>
      </c>
      <c r="B7351">
        <v>-33.825000000000003</v>
      </c>
      <c r="C7351">
        <v>-71.546000000000006</v>
      </c>
      <c r="D7351" t="s">
        <v>14</v>
      </c>
      <c r="E7351" t="s">
        <v>515</v>
      </c>
      <c r="F7351">
        <f t="shared" si="228"/>
        <v>1931</v>
      </c>
      <c r="G7351">
        <f t="shared" si="229"/>
        <v>3</v>
      </c>
      <c r="H7351" t="str">
        <f>IF(ISNUMBER(FIND(",", E7351)), TRIM(MID(E7351, FIND(",", E7351) + 1, LEN(E7351))), E7351)</f>
        <v>Chile</v>
      </c>
    </row>
    <row r="7352" spans="1:8" x14ac:dyDescent="0.25">
      <c r="A7352" s="2">
        <v>11393</v>
      </c>
      <c r="B7352">
        <v>23.132999999999999</v>
      </c>
      <c r="C7352">
        <v>143.64699999999999</v>
      </c>
      <c r="D7352" t="s">
        <v>17</v>
      </c>
      <c r="E7352" t="s">
        <v>519</v>
      </c>
      <c r="F7352">
        <f t="shared" si="228"/>
        <v>1931</v>
      </c>
      <c r="G7352">
        <f t="shared" si="229"/>
        <v>3</v>
      </c>
      <c r="H7352" t="str">
        <f>IF(ISNUMBER(FIND(",", E7352)), TRIM(MID(E7352, FIND(",", E7352) + 1, LEN(E7352))), E7352)</f>
        <v>Japan region</v>
      </c>
    </row>
    <row r="7353" spans="1:8" x14ac:dyDescent="0.25">
      <c r="A7353" s="2">
        <v>11391</v>
      </c>
      <c r="B7353">
        <v>40.484000000000002</v>
      </c>
      <c r="C7353">
        <v>142.66399999999999</v>
      </c>
      <c r="D7353" t="s">
        <v>16</v>
      </c>
      <c r="E7353" t="s">
        <v>227</v>
      </c>
      <c r="F7353">
        <f t="shared" si="228"/>
        <v>1931</v>
      </c>
      <c r="G7353">
        <f t="shared" si="229"/>
        <v>3</v>
      </c>
      <c r="H7353" t="str">
        <f>IF(ISNUMBER(FIND(",", E7353)), TRIM(MID(E7353, FIND(",", E7353) + 1, LEN(E7353))), E7353)</f>
        <v>Japan</v>
      </c>
    </row>
    <row r="7354" spans="1:8" x14ac:dyDescent="0.25">
      <c r="A7354" s="2">
        <v>11390</v>
      </c>
      <c r="B7354">
        <v>41.337000000000003</v>
      </c>
      <c r="C7354">
        <v>22.666</v>
      </c>
      <c r="D7354" t="s">
        <v>17</v>
      </c>
      <c r="E7354" t="s">
        <v>724</v>
      </c>
      <c r="F7354">
        <f t="shared" si="228"/>
        <v>1931</v>
      </c>
      <c r="G7354">
        <f t="shared" si="229"/>
        <v>3</v>
      </c>
      <c r="H7354" t="str">
        <f>IF(ISNUMBER(FIND(",", E7354)), TRIM(MID(E7354, FIND(",", E7354) + 1, LEN(E7354))), E7354)</f>
        <v>Macedonia</v>
      </c>
    </row>
    <row r="7355" spans="1:8" x14ac:dyDescent="0.25">
      <c r="A7355" s="2">
        <v>11384</v>
      </c>
      <c r="B7355">
        <v>-21.827999999999999</v>
      </c>
      <c r="C7355">
        <v>171.14699999999999</v>
      </c>
      <c r="D7355" t="s">
        <v>13</v>
      </c>
      <c r="E7355" t="s">
        <v>254</v>
      </c>
      <c r="F7355">
        <f t="shared" si="228"/>
        <v>1931</v>
      </c>
      <c r="G7355">
        <f t="shared" si="229"/>
        <v>3</v>
      </c>
      <c r="H7355" t="str">
        <f>IF(ISNUMBER(FIND(",", E7355)), TRIM(MID(E7355, FIND(",", E7355) + 1, LEN(E7355))), E7355)</f>
        <v>southeast of the Loyalty Islands</v>
      </c>
    </row>
    <row r="7356" spans="1:8" x14ac:dyDescent="0.25">
      <c r="A7356" s="2">
        <v>11381</v>
      </c>
      <c r="B7356">
        <v>2.093</v>
      </c>
      <c r="C7356">
        <v>126.23699999999999</v>
      </c>
      <c r="D7356" t="s">
        <v>17</v>
      </c>
      <c r="E7356" t="s">
        <v>186</v>
      </c>
      <c r="F7356">
        <f t="shared" si="228"/>
        <v>1931</v>
      </c>
      <c r="G7356">
        <f t="shared" si="229"/>
        <v>2</v>
      </c>
      <c r="H7356" t="str">
        <f>IF(ISNUMBER(FIND(",", E7356)), TRIM(MID(E7356, FIND(",", E7356) + 1, LEN(E7356))), E7356)</f>
        <v>Molucca Sea</v>
      </c>
    </row>
    <row r="7357" spans="1:8" x14ac:dyDescent="0.25">
      <c r="A7357" s="2">
        <v>11374</v>
      </c>
      <c r="B7357">
        <v>44.43</v>
      </c>
      <c r="C7357">
        <v>135.642</v>
      </c>
      <c r="D7357" t="s">
        <v>13</v>
      </c>
      <c r="E7357" t="s">
        <v>344</v>
      </c>
      <c r="F7357">
        <f t="shared" si="228"/>
        <v>1931</v>
      </c>
      <c r="G7357">
        <f t="shared" si="229"/>
        <v>2</v>
      </c>
      <c r="H7357" t="str">
        <f>IF(ISNUMBER(FIND(",", E7357)), TRIM(MID(E7357, FIND(",", E7357) + 1, LEN(E7357))), E7357)</f>
        <v>Russia</v>
      </c>
    </row>
    <row r="7358" spans="1:8" x14ac:dyDescent="0.25">
      <c r="A7358" s="2">
        <v>11367</v>
      </c>
      <c r="B7358">
        <v>-39.478999999999999</v>
      </c>
      <c r="C7358">
        <v>176.81299999999999</v>
      </c>
      <c r="D7358" t="s">
        <v>14</v>
      </c>
      <c r="E7358" t="s">
        <v>188</v>
      </c>
      <c r="F7358">
        <f t="shared" si="228"/>
        <v>1931</v>
      </c>
      <c r="G7358">
        <f t="shared" si="229"/>
        <v>2</v>
      </c>
      <c r="H7358" t="str">
        <f>IF(ISNUMBER(FIND(",", E7358)), TRIM(MID(E7358, FIND(",", E7358) + 1, LEN(E7358))), E7358)</f>
        <v>North Island of New Zealand</v>
      </c>
    </row>
    <row r="7359" spans="1:8" x14ac:dyDescent="0.25">
      <c r="A7359" s="2">
        <v>11364</v>
      </c>
      <c r="B7359">
        <v>-5.4329999999999998</v>
      </c>
      <c r="C7359">
        <v>102.458</v>
      </c>
      <c r="D7359" t="s">
        <v>16</v>
      </c>
      <c r="E7359" t="s">
        <v>308</v>
      </c>
      <c r="F7359">
        <f t="shared" si="228"/>
        <v>1931</v>
      </c>
      <c r="G7359">
        <f t="shared" si="229"/>
        <v>2</v>
      </c>
      <c r="H7359" t="str">
        <f>IF(ISNUMBER(FIND(",", E7359)), TRIM(MID(E7359, FIND(",", E7359) + 1, LEN(E7359))), E7359)</f>
        <v>Indonesia</v>
      </c>
    </row>
    <row r="7360" spans="1:8" x14ac:dyDescent="0.25">
      <c r="A7360" s="2">
        <v>11356</v>
      </c>
      <c r="B7360">
        <v>-39.771999999999998</v>
      </c>
      <c r="C7360">
        <v>176.02500000000001</v>
      </c>
      <c r="D7360" t="s">
        <v>16</v>
      </c>
      <c r="E7360" t="s">
        <v>188</v>
      </c>
      <c r="F7360">
        <f t="shared" si="228"/>
        <v>1931</v>
      </c>
      <c r="G7360">
        <f t="shared" si="229"/>
        <v>2</v>
      </c>
      <c r="H7360" t="str">
        <f>IF(ISNUMBER(FIND(",", E7360)), TRIM(MID(E7360, FIND(",", E7360) + 1, LEN(E7360))), E7360)</f>
        <v>North Island of New Zealand</v>
      </c>
    </row>
    <row r="7361" spans="1:8" x14ac:dyDescent="0.25">
      <c r="A7361" s="2">
        <v>11351</v>
      </c>
      <c r="B7361">
        <v>10.778</v>
      </c>
      <c r="C7361">
        <v>144.803</v>
      </c>
      <c r="D7361" t="s">
        <v>14</v>
      </c>
      <c r="E7361" t="s">
        <v>321</v>
      </c>
      <c r="F7361">
        <f t="shared" si="228"/>
        <v>1931</v>
      </c>
      <c r="G7361">
        <f t="shared" si="229"/>
        <v>1</v>
      </c>
      <c r="H7361" t="str">
        <f>IF(ISNUMBER(FIND(",", E7361)), TRIM(MID(E7361, FIND(",", E7361) + 1, LEN(E7361))), E7361)</f>
        <v>south of the Mariana Islands</v>
      </c>
    </row>
    <row r="7362" spans="1:8" x14ac:dyDescent="0.25">
      <c r="A7362" s="2">
        <v>11350</v>
      </c>
      <c r="B7362">
        <v>25.675000000000001</v>
      </c>
      <c r="C7362">
        <v>96.754999999999995</v>
      </c>
      <c r="D7362" t="s">
        <v>16</v>
      </c>
      <c r="E7362" t="s">
        <v>197</v>
      </c>
      <c r="F7362">
        <f t="shared" ref="F7362:F7425" si="230">YEAR(A7362)</f>
        <v>1931</v>
      </c>
      <c r="G7362">
        <f t="shared" si="229"/>
        <v>1</v>
      </c>
      <c r="H7362" t="str">
        <f>IF(ISNUMBER(FIND(",", E7362)), TRIM(MID(E7362, FIND(",", E7362) + 1, LEN(E7362))), E7362)</f>
        <v>Myanmar</v>
      </c>
    </row>
    <row r="7363" spans="1:8" x14ac:dyDescent="0.25">
      <c r="A7363" s="2">
        <v>11338</v>
      </c>
      <c r="B7363">
        <v>28.497</v>
      </c>
      <c r="C7363">
        <v>127.137</v>
      </c>
      <c r="D7363" t="s">
        <v>17</v>
      </c>
      <c r="E7363" t="s">
        <v>418</v>
      </c>
      <c r="F7363">
        <f t="shared" si="230"/>
        <v>1931</v>
      </c>
      <c r="G7363">
        <f t="shared" ref="G7363:G7426" si="231">MONTH(A7363)</f>
        <v>1</v>
      </c>
      <c r="H7363" t="str">
        <f>IF(ISNUMBER(FIND(",", E7363)), TRIM(MID(E7363, FIND(",", E7363) + 1, LEN(E7363))), E7363)</f>
        <v>Japan</v>
      </c>
    </row>
    <row r="7364" spans="1:8" x14ac:dyDescent="0.25">
      <c r="A7364" s="2">
        <v>11338</v>
      </c>
      <c r="B7364">
        <v>16.053000000000001</v>
      </c>
      <c r="C7364">
        <v>-96.614000000000004</v>
      </c>
      <c r="D7364" t="s">
        <v>16</v>
      </c>
      <c r="E7364" t="s">
        <v>251</v>
      </c>
      <c r="F7364">
        <f t="shared" si="230"/>
        <v>1931</v>
      </c>
      <c r="G7364">
        <f t="shared" si="231"/>
        <v>1</v>
      </c>
      <c r="H7364" t="str">
        <f>IF(ISNUMBER(FIND(",", E7364)), TRIM(MID(E7364, FIND(",", E7364) + 1, LEN(E7364))), E7364)</f>
        <v>Mexico</v>
      </c>
    </row>
    <row r="7365" spans="1:8" x14ac:dyDescent="0.25">
      <c r="A7365" s="2">
        <v>11325</v>
      </c>
      <c r="B7365">
        <v>18.614000000000001</v>
      </c>
      <c r="C7365">
        <v>-107.205</v>
      </c>
      <c r="D7365" t="s">
        <v>17</v>
      </c>
      <c r="E7365" t="s">
        <v>315</v>
      </c>
      <c r="F7365">
        <f t="shared" si="230"/>
        <v>1931</v>
      </c>
      <c r="G7365">
        <f t="shared" si="231"/>
        <v>1</v>
      </c>
      <c r="H7365" t="str">
        <f>IF(ISNUMBER(FIND(",", E7365)), TRIM(MID(E7365, FIND(",", E7365) + 1, LEN(E7365))), E7365)</f>
        <v>Mexico</v>
      </c>
    </row>
    <row r="7366" spans="1:8" x14ac:dyDescent="0.25">
      <c r="A7366" s="2">
        <v>11313</v>
      </c>
      <c r="B7366">
        <v>19.986000000000001</v>
      </c>
      <c r="C7366">
        <v>121.58499999999999</v>
      </c>
      <c r="D7366" t="s">
        <v>13</v>
      </c>
      <c r="E7366" t="s">
        <v>405</v>
      </c>
      <c r="F7366">
        <f t="shared" si="230"/>
        <v>1930</v>
      </c>
      <c r="G7366">
        <f t="shared" si="231"/>
        <v>12</v>
      </c>
      <c r="H7366" t="str">
        <f>IF(ISNUMBER(FIND(",", E7366)), TRIM(MID(E7366, FIND(",", E7366) + 1, LEN(E7366))), E7366)</f>
        <v>Philippines</v>
      </c>
    </row>
    <row r="7367" spans="1:8" x14ac:dyDescent="0.25">
      <c r="A7367" s="2">
        <v>11295</v>
      </c>
      <c r="B7367">
        <v>17.972000000000001</v>
      </c>
      <c r="C7367">
        <v>96.421999999999997</v>
      </c>
      <c r="D7367" t="s">
        <v>16</v>
      </c>
      <c r="E7367" t="s">
        <v>197</v>
      </c>
      <c r="F7367">
        <f t="shared" si="230"/>
        <v>1930</v>
      </c>
      <c r="G7367">
        <f t="shared" si="231"/>
        <v>12</v>
      </c>
      <c r="H7367" t="str">
        <f>IF(ISNUMBER(FIND(",", E7367)), TRIM(MID(E7367, FIND(",", E7367) + 1, LEN(E7367))), E7367)</f>
        <v>Myanmar</v>
      </c>
    </row>
    <row r="7368" spans="1:8" x14ac:dyDescent="0.25">
      <c r="A7368" s="2">
        <v>11287</v>
      </c>
      <c r="B7368">
        <v>34.976999999999997</v>
      </c>
      <c r="C7368">
        <v>139.10300000000001</v>
      </c>
      <c r="D7368" t="s">
        <v>16</v>
      </c>
      <c r="E7368" t="s">
        <v>360</v>
      </c>
      <c r="F7368">
        <f t="shared" si="230"/>
        <v>1930</v>
      </c>
      <c r="G7368">
        <f t="shared" si="231"/>
        <v>11</v>
      </c>
      <c r="H7368" t="str">
        <f>IF(ISNUMBER(FIND(",", E7368)), TRIM(MID(E7368, FIND(",", E7368) + 1, LEN(E7368))), E7368)</f>
        <v>Japan</v>
      </c>
    </row>
    <row r="7369" spans="1:8" x14ac:dyDescent="0.25">
      <c r="A7369" s="2">
        <v>11271</v>
      </c>
      <c r="B7369">
        <v>-0.36599999999999999</v>
      </c>
      <c r="C7369">
        <v>132.608</v>
      </c>
      <c r="D7369" t="s">
        <v>17</v>
      </c>
      <c r="E7369" t="s">
        <v>241</v>
      </c>
      <c r="F7369">
        <f t="shared" si="230"/>
        <v>1930</v>
      </c>
      <c r="G7369">
        <f t="shared" si="231"/>
        <v>11</v>
      </c>
      <c r="H7369" t="str">
        <f>IF(ISNUMBER(FIND(",", E7369)), TRIM(MID(E7369, FIND(",", E7369) + 1, LEN(E7369))), E7369)</f>
        <v>Indonesia</v>
      </c>
    </row>
    <row r="7370" spans="1:8" x14ac:dyDescent="0.25">
      <c r="A7370" s="2">
        <v>11270</v>
      </c>
      <c r="B7370">
        <v>3.7919999999999998</v>
      </c>
      <c r="C7370">
        <v>121.965</v>
      </c>
      <c r="D7370" t="s">
        <v>17</v>
      </c>
      <c r="E7370" t="s">
        <v>203</v>
      </c>
      <c r="F7370">
        <f t="shared" si="230"/>
        <v>1930</v>
      </c>
      <c r="G7370">
        <f t="shared" si="231"/>
        <v>11</v>
      </c>
      <c r="H7370" t="str">
        <f>IF(ISNUMBER(FIND(",", E7370)), TRIM(MID(E7370, FIND(",", E7370) + 1, LEN(E7370))), E7370)</f>
        <v>Celebes Sea</v>
      </c>
    </row>
    <row r="7371" spans="1:8" x14ac:dyDescent="0.25">
      <c r="A7371" s="2">
        <v>11255</v>
      </c>
      <c r="B7371">
        <v>18.350999999999999</v>
      </c>
      <c r="C7371">
        <v>146.57</v>
      </c>
      <c r="D7371" t="s">
        <v>14</v>
      </c>
      <c r="E7371" t="s">
        <v>416</v>
      </c>
      <c r="F7371">
        <f t="shared" si="230"/>
        <v>1930</v>
      </c>
      <c r="G7371">
        <f t="shared" si="231"/>
        <v>10</v>
      </c>
      <c r="H7371" t="str">
        <f>IF(ISNUMBER(FIND(",", E7371)), TRIM(MID(E7371, FIND(",", E7371) + 1, LEN(E7371))), E7371)</f>
        <v>Northern Mariana Islands</v>
      </c>
    </row>
    <row r="7372" spans="1:8" x14ac:dyDescent="0.25">
      <c r="A7372" s="2">
        <v>11239</v>
      </c>
      <c r="B7372">
        <v>-13.459</v>
      </c>
      <c r="C7372">
        <v>168.86699999999999</v>
      </c>
      <c r="D7372" t="s">
        <v>14</v>
      </c>
      <c r="E7372" t="s">
        <v>181</v>
      </c>
      <c r="F7372">
        <f t="shared" si="230"/>
        <v>1930</v>
      </c>
      <c r="G7372">
        <f t="shared" si="231"/>
        <v>10</v>
      </c>
      <c r="H7372" t="str">
        <f>IF(ISNUMBER(FIND(",", E7372)), TRIM(MID(E7372, FIND(",", E7372) + 1, LEN(E7372))), E7372)</f>
        <v>Vanuatu</v>
      </c>
    </row>
    <row r="7373" spans="1:8" x14ac:dyDescent="0.25">
      <c r="A7373" s="2">
        <v>11231</v>
      </c>
      <c r="B7373">
        <v>-4.423</v>
      </c>
      <c r="C7373">
        <v>145.46</v>
      </c>
      <c r="D7373" t="s">
        <v>17</v>
      </c>
      <c r="E7373" t="s">
        <v>216</v>
      </c>
      <c r="F7373">
        <f t="shared" si="230"/>
        <v>1930</v>
      </c>
      <c r="G7373">
        <f t="shared" si="231"/>
        <v>9</v>
      </c>
      <c r="H7373" t="str">
        <f>IF(ISNUMBER(FIND(",", E7373)), TRIM(MID(E7373, FIND(",", E7373) + 1, LEN(E7373))), E7373)</f>
        <v>Papua New Guinea</v>
      </c>
    </row>
    <row r="7374" spans="1:8" x14ac:dyDescent="0.25">
      <c r="A7374" s="2">
        <v>11188</v>
      </c>
      <c r="B7374">
        <v>-55.978000000000002</v>
      </c>
      <c r="C7374">
        <v>-26.734000000000002</v>
      </c>
      <c r="D7374" t="s">
        <v>14</v>
      </c>
      <c r="E7374" t="s">
        <v>260</v>
      </c>
      <c r="F7374">
        <f t="shared" si="230"/>
        <v>1930</v>
      </c>
      <c r="G7374">
        <f t="shared" si="231"/>
        <v>8</v>
      </c>
      <c r="H7374" t="str">
        <f>IF(ISNUMBER(FIND(",", E7374)), TRIM(MID(E7374, FIND(",", E7374) + 1, LEN(E7374))), E7374)</f>
        <v>South Sandwich Islands region</v>
      </c>
    </row>
    <row r="7375" spans="1:8" x14ac:dyDescent="0.25">
      <c r="A7375" s="2">
        <v>11161</v>
      </c>
      <c r="B7375">
        <v>44.417999999999999</v>
      </c>
      <c r="C7375">
        <v>147.59800000000001</v>
      </c>
      <c r="D7375" t="s">
        <v>13</v>
      </c>
      <c r="E7375" t="s">
        <v>191</v>
      </c>
      <c r="F7375">
        <f t="shared" si="230"/>
        <v>1930</v>
      </c>
      <c r="G7375">
        <f t="shared" si="231"/>
        <v>7</v>
      </c>
      <c r="H7375" t="str">
        <f>IF(ISNUMBER(FIND(",", E7375)), TRIM(MID(E7375, FIND(",", E7375) + 1, LEN(E7375))), E7375)</f>
        <v>Kuril Islands</v>
      </c>
    </row>
    <row r="7376" spans="1:8" x14ac:dyDescent="0.25">
      <c r="A7376" s="2">
        <v>11141</v>
      </c>
      <c r="B7376">
        <v>25.640999999999998</v>
      </c>
      <c r="C7376">
        <v>90.245000000000005</v>
      </c>
      <c r="D7376" t="s">
        <v>14</v>
      </c>
      <c r="E7376" t="s">
        <v>725</v>
      </c>
      <c r="F7376">
        <f t="shared" si="230"/>
        <v>1930</v>
      </c>
      <c r="G7376">
        <f t="shared" si="231"/>
        <v>7</v>
      </c>
      <c r="H7376" t="str">
        <f>IF(ISNUMBER(FIND(",", E7376)), TRIM(MID(E7376, FIND(",", E7376) + 1, LEN(E7376))), E7376)</f>
        <v>India region</v>
      </c>
    </row>
    <row r="7377" spans="1:8" x14ac:dyDescent="0.25">
      <c r="A7377" s="2">
        <v>11120</v>
      </c>
      <c r="B7377">
        <v>-5.8730000000000002</v>
      </c>
      <c r="C7377">
        <v>148.886</v>
      </c>
      <c r="D7377" t="s">
        <v>14</v>
      </c>
      <c r="E7377" t="s">
        <v>190</v>
      </c>
      <c r="F7377">
        <f t="shared" si="230"/>
        <v>1930</v>
      </c>
      <c r="G7377">
        <f t="shared" si="231"/>
        <v>6</v>
      </c>
      <c r="H7377" t="str">
        <f>IF(ISNUMBER(FIND(",", E7377)), TRIM(MID(E7377, FIND(",", E7377) + 1, LEN(E7377))), E7377)</f>
        <v>Papua New Guinea</v>
      </c>
    </row>
    <row r="7378" spans="1:8" x14ac:dyDescent="0.25">
      <c r="A7378" s="2">
        <v>11113</v>
      </c>
      <c r="B7378">
        <v>-6.4459999999999997</v>
      </c>
      <c r="C7378">
        <v>127.851</v>
      </c>
      <c r="D7378" t="s">
        <v>17</v>
      </c>
      <c r="E7378" t="s">
        <v>187</v>
      </c>
      <c r="F7378">
        <f t="shared" si="230"/>
        <v>1930</v>
      </c>
      <c r="G7378">
        <f t="shared" si="231"/>
        <v>6</v>
      </c>
      <c r="H7378" t="str">
        <f>IF(ISNUMBER(FIND(",", E7378)), TRIM(MID(E7378, FIND(",", E7378) + 1, LEN(E7378))), E7378)</f>
        <v>Banda Sea</v>
      </c>
    </row>
    <row r="7379" spans="1:8" x14ac:dyDescent="0.25">
      <c r="A7379" s="2">
        <v>11101</v>
      </c>
      <c r="B7379">
        <v>34.134</v>
      </c>
      <c r="C7379">
        <v>139.774</v>
      </c>
      <c r="D7379" t="s">
        <v>17</v>
      </c>
      <c r="E7379" t="s">
        <v>360</v>
      </c>
      <c r="F7379">
        <f t="shared" si="230"/>
        <v>1930</v>
      </c>
      <c r="G7379">
        <f t="shared" si="231"/>
        <v>5</v>
      </c>
      <c r="H7379" t="str">
        <f>IF(ISNUMBER(FIND(",", E7379)), TRIM(MID(E7379, FIND(",", E7379) + 1, LEN(E7379))), E7379)</f>
        <v>Japan</v>
      </c>
    </row>
    <row r="7380" spans="1:8" x14ac:dyDescent="0.25">
      <c r="A7380" s="2">
        <v>11084</v>
      </c>
      <c r="B7380">
        <v>38.152000000000001</v>
      </c>
      <c r="C7380">
        <v>44.685000000000002</v>
      </c>
      <c r="D7380" t="s">
        <v>16</v>
      </c>
      <c r="E7380" t="s">
        <v>634</v>
      </c>
      <c r="F7380">
        <f t="shared" si="230"/>
        <v>1930</v>
      </c>
      <c r="G7380">
        <f t="shared" si="231"/>
        <v>5</v>
      </c>
      <c r="H7380" t="str">
        <f>IF(ISNUMBER(FIND(",", E7380)), TRIM(MID(E7380, FIND(",", E7380) + 1, LEN(E7380))), E7380)</f>
        <v>Turkey-Iran border region</v>
      </c>
    </row>
    <row r="7381" spans="1:8" x14ac:dyDescent="0.25">
      <c r="A7381" s="2">
        <v>11083</v>
      </c>
      <c r="B7381">
        <v>17.664999999999999</v>
      </c>
      <c r="C7381">
        <v>96.543000000000006</v>
      </c>
      <c r="D7381" t="s">
        <v>16</v>
      </c>
      <c r="E7381" t="s">
        <v>197</v>
      </c>
      <c r="F7381">
        <f t="shared" si="230"/>
        <v>1930</v>
      </c>
      <c r="G7381">
        <f t="shared" si="231"/>
        <v>5</v>
      </c>
      <c r="H7381" t="str">
        <f>IF(ISNUMBER(FIND(",", E7381)), TRIM(MID(E7381, FIND(",", E7381) + 1, LEN(E7381))), E7381)</f>
        <v>Myanmar</v>
      </c>
    </row>
    <row r="7382" spans="1:8" x14ac:dyDescent="0.25">
      <c r="A7382" s="2">
        <v>11079</v>
      </c>
      <c r="B7382">
        <v>49</v>
      </c>
      <c r="C7382">
        <v>154</v>
      </c>
      <c r="D7382" t="s">
        <v>17</v>
      </c>
      <c r="E7382" t="s">
        <v>191</v>
      </c>
      <c r="F7382">
        <f t="shared" si="230"/>
        <v>1930</v>
      </c>
      <c r="G7382">
        <f t="shared" si="231"/>
        <v>5</v>
      </c>
      <c r="H7382" t="str">
        <f>IF(ISNUMBER(FIND(",", E7382)), TRIM(MID(E7382, FIND(",", E7382) + 1, LEN(E7382))), E7382)</f>
        <v>Kuril Islands</v>
      </c>
    </row>
    <row r="7383" spans="1:8" x14ac:dyDescent="0.25">
      <c r="A7383" s="2">
        <v>11078</v>
      </c>
      <c r="B7383">
        <v>-19.364000000000001</v>
      </c>
      <c r="C7383">
        <v>-175.32900000000001</v>
      </c>
      <c r="D7383" t="s">
        <v>17</v>
      </c>
      <c r="E7383" t="s">
        <v>239</v>
      </c>
      <c r="F7383">
        <f t="shared" si="230"/>
        <v>1930</v>
      </c>
      <c r="G7383">
        <f t="shared" si="231"/>
        <v>4</v>
      </c>
      <c r="H7383" t="str">
        <f>IF(ISNUMBER(FIND(",", E7383)), TRIM(MID(E7383, FIND(",", E7383) + 1, LEN(E7383))), E7383)</f>
        <v>Tonga</v>
      </c>
    </row>
    <row r="7384" spans="1:8" x14ac:dyDescent="0.25">
      <c r="A7384" s="2">
        <v>11069</v>
      </c>
      <c r="B7384">
        <v>-55.984999999999999</v>
      </c>
      <c r="C7384">
        <v>-26.14</v>
      </c>
      <c r="D7384" t="s">
        <v>17</v>
      </c>
      <c r="E7384" t="s">
        <v>260</v>
      </c>
      <c r="F7384">
        <f t="shared" si="230"/>
        <v>1930</v>
      </c>
      <c r="G7384">
        <f t="shared" si="231"/>
        <v>4</v>
      </c>
      <c r="H7384" t="str">
        <f>IF(ISNUMBER(FIND(",", E7384)), TRIM(MID(E7384, FIND(",", E7384) + 1, LEN(E7384))), E7384)</f>
        <v>South Sandwich Islands region</v>
      </c>
    </row>
    <row r="7385" spans="1:8" x14ac:dyDescent="0.25">
      <c r="A7385" s="2">
        <v>11047</v>
      </c>
      <c r="B7385">
        <v>-54.722000000000001</v>
      </c>
      <c r="C7385">
        <v>-28.861000000000001</v>
      </c>
      <c r="D7385" t="s">
        <v>17</v>
      </c>
      <c r="E7385" t="s">
        <v>260</v>
      </c>
      <c r="F7385">
        <f t="shared" si="230"/>
        <v>1930</v>
      </c>
      <c r="G7385">
        <f t="shared" si="231"/>
        <v>3</v>
      </c>
      <c r="H7385" t="str">
        <f>IF(ISNUMBER(FIND(",", E7385)), TRIM(MID(E7385, FIND(",", E7385) + 1, LEN(E7385))), E7385)</f>
        <v>South Sandwich Islands region</v>
      </c>
    </row>
    <row r="7386" spans="1:8" x14ac:dyDescent="0.25">
      <c r="A7386" s="2">
        <v>11043</v>
      </c>
      <c r="B7386">
        <v>-7.7140000000000004</v>
      </c>
      <c r="C7386">
        <v>125.755</v>
      </c>
      <c r="D7386" t="s">
        <v>14</v>
      </c>
      <c r="E7386" t="s">
        <v>49</v>
      </c>
      <c r="F7386">
        <f t="shared" si="230"/>
        <v>1930</v>
      </c>
      <c r="G7386">
        <f t="shared" si="231"/>
        <v>3</v>
      </c>
      <c r="H7386" t="str">
        <f>IF(ISNUMBER(FIND(",", E7386)), TRIM(MID(E7386, FIND(",", E7386) + 1, LEN(E7386))), E7386)</f>
        <v>Indonesia</v>
      </c>
    </row>
    <row r="7387" spans="1:8" x14ac:dyDescent="0.25">
      <c r="A7387" s="2">
        <v>11003</v>
      </c>
      <c r="B7387">
        <v>36.067</v>
      </c>
      <c r="C7387">
        <v>24.789000000000001</v>
      </c>
      <c r="D7387" t="s">
        <v>17</v>
      </c>
      <c r="E7387" t="s">
        <v>398</v>
      </c>
      <c r="F7387">
        <f t="shared" si="230"/>
        <v>1930</v>
      </c>
      <c r="G7387">
        <f t="shared" si="231"/>
        <v>2</v>
      </c>
      <c r="H7387" t="str">
        <f>IF(ISNUMBER(FIND(",", E7387)), TRIM(MID(E7387, FIND(",", E7387) + 1, LEN(E7387))), E7387)</f>
        <v>southern Greece</v>
      </c>
    </row>
    <row r="7388" spans="1:8" x14ac:dyDescent="0.25">
      <c r="A7388" s="2">
        <v>10963</v>
      </c>
      <c r="B7388">
        <v>49.963999999999999</v>
      </c>
      <c r="C7388">
        <v>153.58000000000001</v>
      </c>
      <c r="D7388" t="s">
        <v>13</v>
      </c>
      <c r="E7388" t="s">
        <v>191</v>
      </c>
      <c r="F7388">
        <f t="shared" si="230"/>
        <v>1930</v>
      </c>
      <c r="G7388">
        <f t="shared" si="231"/>
        <v>1</v>
      </c>
      <c r="H7388" t="str">
        <f>IF(ISNUMBER(FIND(",", E7388)), TRIM(MID(E7388, FIND(",", E7388) + 1, LEN(E7388))), E7388)</f>
        <v>Kuril Islands</v>
      </c>
    </row>
    <row r="7389" spans="1:8" x14ac:dyDescent="0.25">
      <c r="A7389" s="2">
        <v>10944</v>
      </c>
      <c r="B7389">
        <v>53.783000000000001</v>
      </c>
      <c r="C7389">
        <v>171.512</v>
      </c>
      <c r="D7389" t="s">
        <v>16</v>
      </c>
      <c r="E7389" t="s">
        <v>184</v>
      </c>
      <c r="F7389">
        <f t="shared" si="230"/>
        <v>1929</v>
      </c>
      <c r="G7389">
        <f t="shared" si="231"/>
        <v>12</v>
      </c>
      <c r="H7389" t="str">
        <f>IF(ISNUMBER(FIND(",", E7389)), TRIM(MID(E7389, FIND(",", E7389) + 1, LEN(E7389))), E7389)</f>
        <v>Aleutian Islands, Alaska</v>
      </c>
    </row>
    <row r="7390" spans="1:8" x14ac:dyDescent="0.25">
      <c r="A7390" s="2">
        <v>10936</v>
      </c>
      <c r="B7390">
        <v>4.2949999999999999</v>
      </c>
      <c r="C7390">
        <v>94.403999999999996</v>
      </c>
      <c r="D7390" t="s">
        <v>14</v>
      </c>
      <c r="E7390" t="s">
        <v>245</v>
      </c>
      <c r="F7390">
        <f t="shared" si="230"/>
        <v>1929</v>
      </c>
      <c r="G7390">
        <f t="shared" si="231"/>
        <v>12</v>
      </c>
      <c r="H7390" t="str">
        <f>IF(ISNUMBER(FIND(",", E7390)), TRIM(MID(E7390, FIND(",", E7390) + 1, LEN(E7390))), E7390)</f>
        <v>off the west coast of northern Sumatra</v>
      </c>
    </row>
    <row r="7391" spans="1:8" x14ac:dyDescent="0.25">
      <c r="A7391" s="2">
        <v>10933</v>
      </c>
      <c r="B7391">
        <v>-56.758000000000003</v>
      </c>
      <c r="C7391">
        <v>-30.003</v>
      </c>
      <c r="D7391" t="s">
        <v>17</v>
      </c>
      <c r="E7391" t="s">
        <v>260</v>
      </c>
      <c r="F7391">
        <f t="shared" si="230"/>
        <v>1929</v>
      </c>
      <c r="G7391">
        <f t="shared" si="231"/>
        <v>12</v>
      </c>
      <c r="H7391" t="str">
        <f>IF(ISNUMBER(FIND(",", E7391)), TRIM(MID(E7391, FIND(",", E7391) + 1, LEN(E7391))), E7391)</f>
        <v>South Sandwich Islands region</v>
      </c>
    </row>
    <row r="7392" spans="1:8" x14ac:dyDescent="0.25">
      <c r="A7392" s="2">
        <v>10933</v>
      </c>
      <c r="B7392">
        <v>-55.456000000000003</v>
      </c>
      <c r="C7392">
        <v>-28.587</v>
      </c>
      <c r="D7392" t="s">
        <v>17</v>
      </c>
      <c r="E7392" t="s">
        <v>260</v>
      </c>
      <c r="F7392">
        <f t="shared" si="230"/>
        <v>1929</v>
      </c>
      <c r="G7392">
        <f t="shared" si="231"/>
        <v>12</v>
      </c>
      <c r="H7392" t="str">
        <f>IF(ISNUMBER(FIND(",", E7392)), TRIM(MID(E7392, FIND(",", E7392) + 1, LEN(E7392))), E7392)</f>
        <v>South Sandwich Islands region</v>
      </c>
    </row>
    <row r="7393" spans="1:8" x14ac:dyDescent="0.25">
      <c r="A7393" s="2">
        <v>10915</v>
      </c>
      <c r="B7393">
        <v>44.539000000000001</v>
      </c>
      <c r="C7393">
        <v>-56.008000000000003</v>
      </c>
      <c r="D7393" t="s">
        <v>16</v>
      </c>
      <c r="E7393" t="s">
        <v>481</v>
      </c>
      <c r="F7393">
        <f t="shared" si="230"/>
        <v>1929</v>
      </c>
      <c r="G7393">
        <f t="shared" si="231"/>
        <v>11</v>
      </c>
      <c r="H7393" t="str">
        <f>IF(ISNUMBER(FIND(",", E7393)), TRIM(MID(E7393, FIND(",", E7393) + 1, LEN(E7393))), E7393)</f>
        <v>North Atlantic Ocean</v>
      </c>
    </row>
    <row r="7394" spans="1:8" x14ac:dyDescent="0.25">
      <c r="A7394" s="2">
        <v>10912</v>
      </c>
      <c r="B7394">
        <v>7.5220000000000002</v>
      </c>
      <c r="C7394">
        <v>142.73500000000001</v>
      </c>
      <c r="D7394" t="s">
        <v>14</v>
      </c>
      <c r="E7394" t="s">
        <v>458</v>
      </c>
      <c r="F7394">
        <f t="shared" si="230"/>
        <v>1929</v>
      </c>
      <c r="G7394">
        <f t="shared" si="231"/>
        <v>11</v>
      </c>
      <c r="H7394" t="str">
        <f>IF(ISNUMBER(FIND(",", E7394)), TRIM(MID(E7394, FIND(",", E7394) + 1, LEN(E7394))), E7394)</f>
        <v>Federated States of Micronesia</v>
      </c>
    </row>
    <row r="7395" spans="1:8" x14ac:dyDescent="0.25">
      <c r="A7395" s="2">
        <v>10885</v>
      </c>
      <c r="B7395">
        <v>-23.038</v>
      </c>
      <c r="C7395">
        <v>-68.736999999999995</v>
      </c>
      <c r="D7395" t="s">
        <v>13</v>
      </c>
      <c r="E7395" t="s">
        <v>289</v>
      </c>
      <c r="F7395">
        <f t="shared" si="230"/>
        <v>1929</v>
      </c>
      <c r="G7395">
        <f t="shared" si="231"/>
        <v>10</v>
      </c>
      <c r="H7395" t="str">
        <f>IF(ISNUMBER(FIND(",", E7395)), TRIM(MID(E7395, FIND(",", E7395) + 1, LEN(E7395))), E7395)</f>
        <v>Chile</v>
      </c>
    </row>
    <row r="7396" spans="1:8" x14ac:dyDescent="0.25">
      <c r="A7396" s="2">
        <v>10824</v>
      </c>
      <c r="B7396">
        <v>24.087</v>
      </c>
      <c r="C7396">
        <v>121.66200000000001</v>
      </c>
      <c r="D7396" t="s">
        <v>17</v>
      </c>
      <c r="E7396" t="s">
        <v>336</v>
      </c>
      <c r="F7396">
        <f t="shared" si="230"/>
        <v>1929</v>
      </c>
      <c r="G7396">
        <f t="shared" si="231"/>
        <v>8</v>
      </c>
      <c r="H7396" t="str">
        <f>IF(ISNUMBER(FIND(",", E7396)), TRIM(MID(E7396, FIND(",", E7396) + 1, LEN(E7396))), E7396)</f>
        <v>Taiwan</v>
      </c>
    </row>
    <row r="7397" spans="1:8" x14ac:dyDescent="0.25">
      <c r="A7397" s="2">
        <v>10781</v>
      </c>
      <c r="B7397">
        <v>51.347000000000001</v>
      </c>
      <c r="C7397">
        <v>-177.91</v>
      </c>
      <c r="D7397" t="s">
        <v>16</v>
      </c>
      <c r="E7397" t="s">
        <v>207</v>
      </c>
      <c r="F7397">
        <f t="shared" si="230"/>
        <v>1929</v>
      </c>
      <c r="G7397">
        <f t="shared" si="231"/>
        <v>7</v>
      </c>
      <c r="H7397" t="str">
        <f>IF(ISNUMBER(FIND(",", E7397)), TRIM(MID(E7397, FIND(",", E7397) + 1, LEN(E7397))), E7397)</f>
        <v>Aleutian Islands, Alaska</v>
      </c>
    </row>
    <row r="7398" spans="1:8" x14ac:dyDescent="0.25">
      <c r="A7398" s="2">
        <v>10779</v>
      </c>
      <c r="B7398">
        <v>51.423999999999999</v>
      </c>
      <c r="C7398">
        <v>-178.136</v>
      </c>
      <c r="D7398" t="s">
        <v>14</v>
      </c>
      <c r="E7398" t="s">
        <v>207</v>
      </c>
      <c r="F7398">
        <f t="shared" si="230"/>
        <v>1929</v>
      </c>
      <c r="G7398">
        <f t="shared" si="231"/>
        <v>7</v>
      </c>
      <c r="H7398" t="str">
        <f>IF(ISNUMBER(FIND(",", E7398)), TRIM(MID(E7398, FIND(",", E7398) + 1, LEN(E7398))), E7398)</f>
        <v>Aleutian Islands, Alaska</v>
      </c>
    </row>
    <row r="7399" spans="1:8" x14ac:dyDescent="0.25">
      <c r="A7399" s="2">
        <v>10771</v>
      </c>
      <c r="B7399">
        <v>-54.713999999999999</v>
      </c>
      <c r="C7399">
        <v>-29.548999999999999</v>
      </c>
      <c r="D7399" t="s">
        <v>16</v>
      </c>
      <c r="E7399" t="s">
        <v>260</v>
      </c>
      <c r="F7399">
        <f t="shared" si="230"/>
        <v>1929</v>
      </c>
      <c r="G7399">
        <f t="shared" si="231"/>
        <v>6</v>
      </c>
      <c r="H7399" t="str">
        <f>IF(ISNUMBER(FIND(",", E7399)), TRIM(MID(E7399, FIND(",", E7399) + 1, LEN(E7399))), E7399)</f>
        <v>South Sandwich Islands region</v>
      </c>
    </row>
    <row r="7400" spans="1:8" x14ac:dyDescent="0.25">
      <c r="A7400" s="2">
        <v>10760</v>
      </c>
      <c r="B7400">
        <v>-41.831000000000003</v>
      </c>
      <c r="C7400">
        <v>172.292</v>
      </c>
      <c r="D7400" t="s">
        <v>16</v>
      </c>
      <c r="E7400" t="s">
        <v>300</v>
      </c>
      <c r="F7400">
        <f t="shared" si="230"/>
        <v>1929</v>
      </c>
      <c r="G7400">
        <f t="shared" si="231"/>
        <v>6</v>
      </c>
      <c r="H7400" t="str">
        <f>IF(ISNUMBER(FIND(",", E7400)), TRIM(MID(E7400, FIND(",", E7400) + 1, LEN(E7400))), E7400)</f>
        <v>South Island of New Zealand</v>
      </c>
    </row>
    <row r="7401" spans="1:8" x14ac:dyDescent="0.25">
      <c r="A7401" s="2">
        <v>10757</v>
      </c>
      <c r="B7401">
        <v>7.9450000000000003</v>
      </c>
      <c r="C7401">
        <v>126.806</v>
      </c>
      <c r="D7401" t="s">
        <v>16</v>
      </c>
      <c r="E7401" t="s">
        <v>200</v>
      </c>
      <c r="F7401">
        <f t="shared" si="230"/>
        <v>1929</v>
      </c>
      <c r="G7401">
        <f t="shared" si="231"/>
        <v>6</v>
      </c>
      <c r="H7401" t="str">
        <f>IF(ISNUMBER(FIND(",", E7401)), TRIM(MID(E7401, FIND(",", E7401) + 1, LEN(E7401))), E7401)</f>
        <v>Philippines</v>
      </c>
    </row>
    <row r="7402" spans="1:8" x14ac:dyDescent="0.25">
      <c r="A7402" s="2">
        <v>10756</v>
      </c>
      <c r="B7402">
        <v>-4.2329999999999997</v>
      </c>
      <c r="C7402">
        <v>143.64400000000001</v>
      </c>
      <c r="D7402" t="s">
        <v>17</v>
      </c>
      <c r="E7402" t="s">
        <v>253</v>
      </c>
      <c r="F7402">
        <f t="shared" si="230"/>
        <v>1929</v>
      </c>
      <c r="G7402">
        <f t="shared" si="231"/>
        <v>6</v>
      </c>
      <c r="H7402" t="str">
        <f>IF(ISNUMBER(FIND(",", E7402)), TRIM(MID(E7402, FIND(",", E7402) + 1, LEN(E7402))), E7402)</f>
        <v>Papua New Guinea</v>
      </c>
    </row>
    <row r="7403" spans="1:8" x14ac:dyDescent="0.25">
      <c r="A7403" s="2">
        <v>10748</v>
      </c>
      <c r="B7403">
        <v>6.0209999999999999</v>
      </c>
      <c r="C7403">
        <v>125.639</v>
      </c>
      <c r="D7403" t="s">
        <v>13</v>
      </c>
      <c r="E7403" t="s">
        <v>200</v>
      </c>
      <c r="F7403">
        <f t="shared" si="230"/>
        <v>1929</v>
      </c>
      <c r="G7403">
        <f t="shared" si="231"/>
        <v>6</v>
      </c>
      <c r="H7403" t="str">
        <f>IF(ISNUMBER(FIND(",", E7403)), TRIM(MID(E7403, FIND(",", E7403) + 1, LEN(E7403))), E7403)</f>
        <v>Philippines</v>
      </c>
    </row>
    <row r="7404" spans="1:8" x14ac:dyDescent="0.25">
      <c r="A7404" s="2">
        <v>10746</v>
      </c>
      <c r="B7404">
        <v>34.045000000000002</v>
      </c>
      <c r="C7404">
        <v>137.08000000000001</v>
      </c>
      <c r="D7404" t="s">
        <v>13</v>
      </c>
      <c r="E7404" t="s">
        <v>360</v>
      </c>
      <c r="F7404">
        <f t="shared" si="230"/>
        <v>1929</v>
      </c>
      <c r="G7404">
        <f t="shared" si="231"/>
        <v>6</v>
      </c>
      <c r="H7404" t="str">
        <f>IF(ISNUMBER(FIND(",", E7404)), TRIM(MID(E7404, FIND(",", E7404) + 1, LEN(E7404))), E7404)</f>
        <v>Japan</v>
      </c>
    </row>
    <row r="7405" spans="1:8" x14ac:dyDescent="0.25">
      <c r="A7405" s="2">
        <v>10743</v>
      </c>
      <c r="B7405">
        <v>-34.768000000000001</v>
      </c>
      <c r="C7405">
        <v>-67.597999999999999</v>
      </c>
      <c r="D7405" t="s">
        <v>17</v>
      </c>
      <c r="E7405" t="s">
        <v>726</v>
      </c>
      <c r="F7405">
        <f t="shared" si="230"/>
        <v>1929</v>
      </c>
      <c r="G7405">
        <f t="shared" si="231"/>
        <v>5</v>
      </c>
      <c r="H7405" t="str">
        <f>IF(ISNUMBER(FIND(",", E7405)), TRIM(MID(E7405, FIND(",", E7405) + 1, LEN(E7405))), E7405)</f>
        <v>Argentina</v>
      </c>
    </row>
    <row r="7406" spans="1:8" x14ac:dyDescent="0.25">
      <c r="A7406" s="2">
        <v>10739</v>
      </c>
      <c r="B7406">
        <v>51.234999999999999</v>
      </c>
      <c r="C7406">
        <v>-130.55600000000001</v>
      </c>
      <c r="D7406" t="s">
        <v>14</v>
      </c>
      <c r="E7406" t="s">
        <v>409</v>
      </c>
      <c r="F7406">
        <f t="shared" si="230"/>
        <v>1929</v>
      </c>
      <c r="G7406">
        <f t="shared" si="231"/>
        <v>5</v>
      </c>
      <c r="H7406" t="str">
        <f>IF(ISNUMBER(FIND(",", E7406)), TRIM(MID(E7406, FIND(",", E7406) + 1, LEN(E7406))), E7406)</f>
        <v>Canada</v>
      </c>
    </row>
    <row r="7407" spans="1:8" x14ac:dyDescent="0.25">
      <c r="A7407" s="2">
        <v>10738</v>
      </c>
      <c r="B7407">
        <v>-7.3630000000000004</v>
      </c>
      <c r="C7407">
        <v>-74.096999999999994</v>
      </c>
      <c r="D7407" t="s">
        <v>17</v>
      </c>
      <c r="E7407" t="s">
        <v>277</v>
      </c>
      <c r="F7407">
        <f t="shared" si="230"/>
        <v>1929</v>
      </c>
      <c r="G7407">
        <f t="shared" si="231"/>
        <v>5</v>
      </c>
      <c r="H7407" t="str">
        <f>IF(ISNUMBER(FIND(",", E7407)), TRIM(MID(E7407, FIND(",", E7407) + 1, LEN(E7407))), E7407)</f>
        <v>northern Peru</v>
      </c>
    </row>
    <row r="7408" spans="1:8" x14ac:dyDescent="0.25">
      <c r="A7408" s="2">
        <v>10714</v>
      </c>
      <c r="B7408">
        <v>37.957000000000001</v>
      </c>
      <c r="C7408">
        <v>57.692999999999998</v>
      </c>
      <c r="D7408" t="s">
        <v>16</v>
      </c>
      <c r="E7408" t="s">
        <v>509</v>
      </c>
      <c r="F7408">
        <f t="shared" si="230"/>
        <v>1929</v>
      </c>
      <c r="G7408">
        <f t="shared" si="231"/>
        <v>5</v>
      </c>
      <c r="H7408" t="str">
        <f>IF(ISNUMBER(FIND(",", E7408)), TRIM(MID(E7408, FIND(",", E7408) + 1, LEN(E7408))), E7408)</f>
        <v>Turkmenistan</v>
      </c>
    </row>
    <row r="7409" spans="1:8" x14ac:dyDescent="0.25">
      <c r="A7409" s="2">
        <v>10691</v>
      </c>
      <c r="B7409">
        <v>7.77</v>
      </c>
      <c r="C7409">
        <v>123.81699999999999</v>
      </c>
      <c r="D7409" t="s">
        <v>17</v>
      </c>
      <c r="E7409" t="s">
        <v>200</v>
      </c>
      <c r="F7409">
        <f t="shared" si="230"/>
        <v>1929</v>
      </c>
      <c r="G7409">
        <f t="shared" si="231"/>
        <v>4</v>
      </c>
      <c r="H7409" t="str">
        <f>IF(ISNUMBER(FIND(",", E7409)), TRIM(MID(E7409, FIND(",", E7409) + 1, LEN(E7409))), E7409)</f>
        <v>Philippines</v>
      </c>
    </row>
    <row r="7410" spans="1:8" x14ac:dyDescent="0.25">
      <c r="A7410" s="2">
        <v>10662</v>
      </c>
      <c r="B7410">
        <v>18.760999999999999</v>
      </c>
      <c r="C7410">
        <v>145.68600000000001</v>
      </c>
      <c r="D7410" t="s">
        <v>17</v>
      </c>
      <c r="E7410" t="s">
        <v>416</v>
      </c>
      <c r="F7410">
        <f t="shared" si="230"/>
        <v>1929</v>
      </c>
      <c r="G7410">
        <f t="shared" si="231"/>
        <v>3</v>
      </c>
      <c r="H7410" t="str">
        <f>IF(ISNUMBER(FIND(",", E7410)), TRIM(MID(E7410, FIND(",", E7410) + 1, LEN(E7410))), E7410)</f>
        <v>Northern Mariana Islands</v>
      </c>
    </row>
    <row r="7411" spans="1:8" x14ac:dyDescent="0.25">
      <c r="A7411" s="2">
        <v>10661</v>
      </c>
      <c r="B7411">
        <v>-43.226999999999997</v>
      </c>
      <c r="C7411">
        <v>173.00200000000001</v>
      </c>
      <c r="D7411" t="s">
        <v>17</v>
      </c>
      <c r="E7411" t="s">
        <v>674</v>
      </c>
      <c r="F7411">
        <f t="shared" si="230"/>
        <v>1929</v>
      </c>
      <c r="G7411">
        <f t="shared" si="231"/>
        <v>3</v>
      </c>
      <c r="H7411" t="str">
        <f>IF(ISNUMBER(FIND(",", E7411)), TRIM(MID(E7411, FIND(",", E7411) + 1, LEN(E7411))), E7411)</f>
        <v>off the east coast of the South Island of New Zealand</v>
      </c>
    </row>
    <row r="7412" spans="1:8" x14ac:dyDescent="0.25">
      <c r="A7412" s="2">
        <v>10659</v>
      </c>
      <c r="B7412">
        <v>50.786000000000001</v>
      </c>
      <c r="C7412">
        <v>-169.524</v>
      </c>
      <c r="D7412" t="s">
        <v>16</v>
      </c>
      <c r="E7412" t="s">
        <v>588</v>
      </c>
      <c r="F7412">
        <f t="shared" si="230"/>
        <v>1929</v>
      </c>
      <c r="G7412">
        <f t="shared" si="231"/>
        <v>3</v>
      </c>
      <c r="H7412" t="str">
        <f>IF(ISNUMBER(FIND(",", E7412)), TRIM(MID(E7412, FIND(",", E7412) + 1, LEN(E7412))), E7412)</f>
        <v>south of the Aleutian Islands</v>
      </c>
    </row>
    <row r="7413" spans="1:8" x14ac:dyDescent="0.25">
      <c r="A7413" s="2">
        <v>10646</v>
      </c>
      <c r="B7413">
        <v>10.481999999999999</v>
      </c>
      <c r="C7413">
        <v>-41.883000000000003</v>
      </c>
      <c r="D7413" t="s">
        <v>14</v>
      </c>
      <c r="E7413" t="s">
        <v>325</v>
      </c>
      <c r="F7413">
        <f t="shared" si="230"/>
        <v>1929</v>
      </c>
      <c r="G7413">
        <f t="shared" si="231"/>
        <v>2</v>
      </c>
      <c r="H7413" t="str">
        <f>IF(ISNUMBER(FIND(",", E7413)), TRIM(MID(E7413, FIND(",", E7413) + 1, LEN(E7413))), E7413)</f>
        <v>northern Mid-Atlantic Ridge</v>
      </c>
    </row>
    <row r="7414" spans="1:8" x14ac:dyDescent="0.25">
      <c r="A7414" s="2">
        <v>10630</v>
      </c>
      <c r="B7414">
        <v>48.527999999999999</v>
      </c>
      <c r="C7414">
        <v>152.84</v>
      </c>
      <c r="D7414" t="s">
        <v>17</v>
      </c>
      <c r="E7414" t="s">
        <v>191</v>
      </c>
      <c r="F7414">
        <f t="shared" si="230"/>
        <v>1929</v>
      </c>
      <c r="G7414">
        <f t="shared" si="231"/>
        <v>2</v>
      </c>
      <c r="H7414" t="str">
        <f>IF(ISNUMBER(FIND(",", E7414)), TRIM(MID(E7414, FIND(",", E7414) + 1, LEN(E7414))), E7414)</f>
        <v>Kuril Islands</v>
      </c>
    </row>
    <row r="7415" spans="1:8" x14ac:dyDescent="0.25">
      <c r="A7415" s="2">
        <v>10626</v>
      </c>
      <c r="B7415">
        <v>-1.5129999999999999</v>
      </c>
      <c r="C7415">
        <v>-21.783999999999999</v>
      </c>
      <c r="D7415" t="s">
        <v>14</v>
      </c>
      <c r="E7415" t="s">
        <v>291</v>
      </c>
      <c r="F7415">
        <f t="shared" si="230"/>
        <v>1929</v>
      </c>
      <c r="G7415">
        <f t="shared" si="231"/>
        <v>2</v>
      </c>
      <c r="H7415" t="str">
        <f>IF(ISNUMBER(FIND(",", E7415)), TRIM(MID(E7415, FIND(",", E7415) + 1, LEN(E7415))), E7415)</f>
        <v>central Mid-Atlantic Ridge</v>
      </c>
    </row>
    <row r="7416" spans="1:8" x14ac:dyDescent="0.25">
      <c r="A7416" s="2">
        <v>10625</v>
      </c>
      <c r="B7416">
        <v>36.459000000000003</v>
      </c>
      <c r="C7416">
        <v>70.930999999999997</v>
      </c>
      <c r="D7416" t="s">
        <v>13</v>
      </c>
      <c r="E7416" t="s">
        <v>314</v>
      </c>
      <c r="F7416">
        <f t="shared" si="230"/>
        <v>1929</v>
      </c>
      <c r="G7416">
        <f t="shared" si="231"/>
        <v>2</v>
      </c>
      <c r="H7416" t="str">
        <f>IF(ISNUMBER(FIND(",", E7416)), TRIM(MID(E7416, FIND(",", E7416) + 1, LEN(E7416))), E7416)</f>
        <v>Afghanistan</v>
      </c>
    </row>
    <row r="7417" spans="1:8" x14ac:dyDescent="0.25">
      <c r="A7417" s="2">
        <v>10610</v>
      </c>
      <c r="B7417">
        <v>9.4990000000000006</v>
      </c>
      <c r="C7417">
        <v>-64.381</v>
      </c>
      <c r="D7417" t="s">
        <v>17</v>
      </c>
      <c r="E7417" t="s">
        <v>727</v>
      </c>
      <c r="F7417">
        <f t="shared" si="230"/>
        <v>1929</v>
      </c>
      <c r="G7417">
        <f t="shared" si="231"/>
        <v>1</v>
      </c>
      <c r="H7417" t="str">
        <f>IF(ISNUMBER(FIND(",", E7417)), TRIM(MID(E7417, FIND(",", E7417) + 1, LEN(E7417))), E7417)</f>
        <v>Venezuela</v>
      </c>
    </row>
    <row r="7418" spans="1:8" x14ac:dyDescent="0.25">
      <c r="A7418" s="2">
        <v>10606</v>
      </c>
      <c r="B7418">
        <v>50.447000000000003</v>
      </c>
      <c r="C7418">
        <v>154.87200000000001</v>
      </c>
      <c r="D7418" t="s">
        <v>13</v>
      </c>
      <c r="E7418" t="s">
        <v>191</v>
      </c>
      <c r="F7418">
        <f t="shared" si="230"/>
        <v>1929</v>
      </c>
      <c r="G7418">
        <f t="shared" si="231"/>
        <v>1</v>
      </c>
      <c r="H7418" t="str">
        <f>IF(ISNUMBER(FIND(",", E7418)), TRIM(MID(E7418, FIND(",", E7418) + 1, LEN(E7418))), E7418)</f>
        <v>Kuril Islands</v>
      </c>
    </row>
    <row r="7419" spans="1:8" x14ac:dyDescent="0.25">
      <c r="A7419" s="2">
        <v>10590</v>
      </c>
      <c r="B7419">
        <v>7.726</v>
      </c>
      <c r="C7419">
        <v>123.675</v>
      </c>
      <c r="D7419" t="s">
        <v>17</v>
      </c>
      <c r="E7419" t="s">
        <v>200</v>
      </c>
      <c r="F7419">
        <f t="shared" si="230"/>
        <v>1928</v>
      </c>
      <c r="G7419">
        <f t="shared" si="231"/>
        <v>12</v>
      </c>
      <c r="H7419" t="str">
        <f>IF(ISNUMBER(FIND(",", E7419)), TRIM(MID(E7419, FIND(",", E7419) + 1, LEN(E7419))), E7419)</f>
        <v>Philippines</v>
      </c>
    </row>
    <row r="7420" spans="1:8" x14ac:dyDescent="0.25">
      <c r="A7420" s="2">
        <v>10581</v>
      </c>
      <c r="B7420">
        <v>6.9770000000000003</v>
      </c>
      <c r="C7420">
        <v>124.85599999999999</v>
      </c>
      <c r="D7420" t="s">
        <v>16</v>
      </c>
      <c r="E7420" t="s">
        <v>200</v>
      </c>
      <c r="F7420">
        <f t="shared" si="230"/>
        <v>1928</v>
      </c>
      <c r="G7420">
        <f t="shared" si="231"/>
        <v>12</v>
      </c>
      <c r="H7420" t="str">
        <f>IF(ISNUMBER(FIND(",", E7420)), TRIM(MID(E7420, FIND(",", E7420) + 1, LEN(E7420))), E7420)</f>
        <v>Philippines</v>
      </c>
    </row>
    <row r="7421" spans="1:8" x14ac:dyDescent="0.25">
      <c r="A7421" s="2">
        <v>10563</v>
      </c>
      <c r="B7421">
        <v>-35.085999999999999</v>
      </c>
      <c r="C7421">
        <v>-71.683000000000007</v>
      </c>
      <c r="D7421" t="s">
        <v>16</v>
      </c>
      <c r="E7421" t="s">
        <v>230</v>
      </c>
      <c r="F7421">
        <f t="shared" si="230"/>
        <v>1928</v>
      </c>
      <c r="G7421">
        <f t="shared" si="231"/>
        <v>12</v>
      </c>
      <c r="H7421" t="str">
        <f>IF(ISNUMBER(FIND(",", E7421)), TRIM(MID(E7421, FIND(",", E7421) + 1, LEN(E7421))), E7421)</f>
        <v>Chile</v>
      </c>
    </row>
    <row r="7422" spans="1:8" x14ac:dyDescent="0.25">
      <c r="A7422" s="2">
        <v>10560</v>
      </c>
      <c r="B7422">
        <v>-8.3789999999999996</v>
      </c>
      <c r="C7422">
        <v>120.965</v>
      </c>
      <c r="D7422" t="s">
        <v>14</v>
      </c>
      <c r="E7422" t="s">
        <v>399</v>
      </c>
      <c r="F7422">
        <f t="shared" si="230"/>
        <v>1928</v>
      </c>
      <c r="G7422">
        <f t="shared" si="231"/>
        <v>11</v>
      </c>
      <c r="H7422" t="str">
        <f>IF(ISNUMBER(FIND(",", E7422)), TRIM(MID(E7422, FIND(",", E7422) + 1, LEN(E7422))), E7422)</f>
        <v>Indonesia</v>
      </c>
    </row>
    <row r="7423" spans="1:8" x14ac:dyDescent="0.25">
      <c r="A7423" s="2">
        <v>10554</v>
      </c>
      <c r="B7423">
        <v>-57.070999999999998</v>
      </c>
      <c r="C7423">
        <v>-3.3119999999999998</v>
      </c>
      <c r="D7423" t="s">
        <v>17</v>
      </c>
      <c r="E7423" t="s">
        <v>422</v>
      </c>
      <c r="F7423">
        <f t="shared" si="230"/>
        <v>1928</v>
      </c>
      <c r="G7423">
        <f t="shared" si="231"/>
        <v>11</v>
      </c>
      <c r="H7423" t="str">
        <f>IF(ISNUMBER(FIND(",", E7423)), TRIM(MID(E7423, FIND(",", E7423) + 1, LEN(E7423))), E7423)</f>
        <v>southern Mid-Atlantic Ridge</v>
      </c>
    </row>
    <row r="7424" spans="1:8" x14ac:dyDescent="0.25">
      <c r="A7424" s="2">
        <v>10552</v>
      </c>
      <c r="B7424">
        <v>-23.111000000000001</v>
      </c>
      <c r="C7424">
        <v>-69.930999999999997</v>
      </c>
      <c r="D7424" t="s">
        <v>14</v>
      </c>
      <c r="E7424" t="s">
        <v>289</v>
      </c>
      <c r="F7424">
        <f t="shared" si="230"/>
        <v>1928</v>
      </c>
      <c r="G7424">
        <f t="shared" si="231"/>
        <v>11</v>
      </c>
      <c r="H7424" t="str">
        <f>IF(ISNUMBER(FIND(",", E7424)), TRIM(MID(E7424, FIND(",", E7424) + 1, LEN(E7424))), E7424)</f>
        <v>Chile</v>
      </c>
    </row>
    <row r="7425" spans="1:8" x14ac:dyDescent="0.25">
      <c r="A7425" s="2">
        <v>10516</v>
      </c>
      <c r="B7425">
        <v>28.350999999999999</v>
      </c>
      <c r="C7425">
        <v>67.093999999999994</v>
      </c>
      <c r="D7425" t="s">
        <v>17</v>
      </c>
      <c r="E7425" t="s">
        <v>382</v>
      </c>
      <c r="F7425">
        <f t="shared" si="230"/>
        <v>1928</v>
      </c>
      <c r="G7425">
        <f t="shared" si="231"/>
        <v>10</v>
      </c>
      <c r="H7425" t="str">
        <f>IF(ISNUMBER(FIND(",", E7425)), TRIM(MID(E7425, FIND(",", E7425) + 1, LEN(E7425))), E7425)</f>
        <v>Pakistan</v>
      </c>
    </row>
    <row r="7426" spans="1:8" x14ac:dyDescent="0.25">
      <c r="A7426" s="2">
        <v>10510</v>
      </c>
      <c r="B7426">
        <v>16.228999999999999</v>
      </c>
      <c r="C7426">
        <v>-97.55</v>
      </c>
      <c r="D7426" t="s">
        <v>16</v>
      </c>
      <c r="E7426" t="s">
        <v>251</v>
      </c>
      <c r="F7426">
        <f t="shared" ref="F7426:F7489" si="232">YEAR(A7426)</f>
        <v>1928</v>
      </c>
      <c r="G7426">
        <f t="shared" si="231"/>
        <v>10</v>
      </c>
      <c r="H7426" t="str">
        <f>IF(ISNUMBER(FIND(",", E7426)), TRIM(MID(E7426, FIND(",", E7426) + 1, LEN(E7426))), E7426)</f>
        <v>Mexico</v>
      </c>
    </row>
    <row r="7427" spans="1:8" x14ac:dyDescent="0.25">
      <c r="A7427" s="2">
        <v>10493</v>
      </c>
      <c r="B7427">
        <v>-12.708</v>
      </c>
      <c r="C7427">
        <v>165.892</v>
      </c>
      <c r="D7427" t="s">
        <v>17</v>
      </c>
      <c r="E7427" t="s">
        <v>211</v>
      </c>
      <c r="F7427">
        <f t="shared" si="232"/>
        <v>1928</v>
      </c>
      <c r="G7427">
        <f t="shared" ref="G7427:G7490" si="233">MONTH(A7427)</f>
        <v>9</v>
      </c>
      <c r="H7427" t="str">
        <f>IF(ISNUMBER(FIND(",", E7427)), TRIM(MID(E7427, FIND(",", E7427) + 1, LEN(E7427))), E7427)</f>
        <v>Santa Cruz Islands</v>
      </c>
    </row>
    <row r="7428" spans="1:8" x14ac:dyDescent="0.25">
      <c r="A7428" s="2">
        <v>10492</v>
      </c>
      <c r="B7428">
        <v>-14.954000000000001</v>
      </c>
      <c r="C7428">
        <v>-70.331000000000003</v>
      </c>
      <c r="D7428" t="s">
        <v>17</v>
      </c>
      <c r="E7428" t="s">
        <v>229</v>
      </c>
      <c r="F7428">
        <f t="shared" si="232"/>
        <v>1928</v>
      </c>
      <c r="G7428">
        <f t="shared" si="233"/>
        <v>9</v>
      </c>
      <c r="H7428" t="str">
        <f>IF(ISNUMBER(FIND(",", E7428)), TRIM(MID(E7428, FIND(",", E7428) + 1, LEN(E7428))), E7428)</f>
        <v>southern Peru</v>
      </c>
    </row>
    <row r="7429" spans="1:8" x14ac:dyDescent="0.25">
      <c r="A7429" s="2">
        <v>10478</v>
      </c>
      <c r="B7429">
        <v>-5.4950000000000001</v>
      </c>
      <c r="C7429">
        <v>147.001</v>
      </c>
      <c r="D7429" t="s">
        <v>17</v>
      </c>
      <c r="E7429" t="s">
        <v>243</v>
      </c>
      <c r="F7429">
        <f t="shared" si="232"/>
        <v>1928</v>
      </c>
      <c r="G7429">
        <f t="shared" si="233"/>
        <v>9</v>
      </c>
      <c r="H7429" t="str">
        <f>IF(ISNUMBER(FIND(",", E7429)), TRIM(MID(E7429, FIND(",", E7429) + 1, LEN(E7429))), E7429)</f>
        <v>Papua New Guinea</v>
      </c>
    </row>
    <row r="7430" spans="1:8" x14ac:dyDescent="0.25">
      <c r="A7430" s="2">
        <v>10464</v>
      </c>
      <c r="B7430">
        <v>-14.287000000000001</v>
      </c>
      <c r="C7430">
        <v>168.49700000000001</v>
      </c>
      <c r="D7430" t="s">
        <v>13</v>
      </c>
      <c r="E7430" t="s">
        <v>181</v>
      </c>
      <c r="F7430">
        <f t="shared" si="232"/>
        <v>1928</v>
      </c>
      <c r="G7430">
        <f t="shared" si="233"/>
        <v>8</v>
      </c>
      <c r="H7430" t="str">
        <f>IF(ISNUMBER(FIND(",", E7430)), TRIM(MID(E7430, FIND(",", E7430) + 1, LEN(E7430))), E7430)</f>
        <v>Vanuatu</v>
      </c>
    </row>
    <row r="7431" spans="1:8" x14ac:dyDescent="0.25">
      <c r="A7431" s="2">
        <v>10452</v>
      </c>
      <c r="B7431">
        <v>1.8340000000000001</v>
      </c>
      <c r="C7431">
        <v>127.24299999999999</v>
      </c>
      <c r="D7431" t="s">
        <v>13</v>
      </c>
      <c r="E7431" t="s">
        <v>311</v>
      </c>
      <c r="F7431">
        <f t="shared" si="232"/>
        <v>1928</v>
      </c>
      <c r="G7431">
        <f t="shared" si="233"/>
        <v>8</v>
      </c>
      <c r="H7431" t="str">
        <f>IF(ISNUMBER(FIND(",", E7431)), TRIM(MID(E7431, FIND(",", E7431) + 1, LEN(E7431))), E7431)</f>
        <v>Indonesia</v>
      </c>
    </row>
    <row r="7432" spans="1:8" x14ac:dyDescent="0.25">
      <c r="A7432" s="2">
        <v>10450</v>
      </c>
      <c r="B7432">
        <v>36.636000000000003</v>
      </c>
      <c r="C7432">
        <v>70.489999999999995</v>
      </c>
      <c r="D7432" t="s">
        <v>17</v>
      </c>
      <c r="E7432" t="s">
        <v>314</v>
      </c>
      <c r="F7432">
        <f t="shared" si="232"/>
        <v>1928</v>
      </c>
      <c r="G7432">
        <f t="shared" si="233"/>
        <v>8</v>
      </c>
      <c r="H7432" t="str">
        <f>IF(ISNUMBER(FIND(",", E7432)), TRIM(MID(E7432, FIND(",", E7432) + 1, LEN(E7432))), E7432)</f>
        <v>Afghanistan</v>
      </c>
    </row>
    <row r="7433" spans="1:8" x14ac:dyDescent="0.25">
      <c r="A7433" s="2">
        <v>10444</v>
      </c>
      <c r="B7433">
        <v>16.417999999999999</v>
      </c>
      <c r="C7433">
        <v>-98.266000000000005</v>
      </c>
      <c r="D7433" t="s">
        <v>16</v>
      </c>
      <c r="E7433" t="s">
        <v>251</v>
      </c>
      <c r="F7433">
        <f t="shared" si="232"/>
        <v>1928</v>
      </c>
      <c r="G7433">
        <f t="shared" si="233"/>
        <v>8</v>
      </c>
      <c r="H7433" t="str">
        <f>IF(ISNUMBER(FIND(",", E7433)), TRIM(MID(E7433, FIND(",", E7433) + 1, LEN(E7433))), E7433)</f>
        <v>Mexico</v>
      </c>
    </row>
    <row r="7434" spans="1:8" x14ac:dyDescent="0.25">
      <c r="A7434" s="2">
        <v>10427</v>
      </c>
      <c r="B7434">
        <v>-5.359</v>
      </c>
      <c r="C7434">
        <v>-78.738</v>
      </c>
      <c r="D7434" t="s">
        <v>14</v>
      </c>
      <c r="E7434" t="s">
        <v>277</v>
      </c>
      <c r="F7434">
        <f t="shared" si="232"/>
        <v>1928</v>
      </c>
      <c r="G7434">
        <f t="shared" si="233"/>
        <v>7</v>
      </c>
      <c r="H7434" t="str">
        <f>IF(ISNUMBER(FIND(",", E7434)), TRIM(MID(E7434, FIND(",", E7434) + 1, LEN(E7434))), E7434)</f>
        <v>northern Peru</v>
      </c>
    </row>
    <row r="7435" spans="1:8" x14ac:dyDescent="0.25">
      <c r="A7435" s="2">
        <v>10408</v>
      </c>
      <c r="B7435">
        <v>-15.664</v>
      </c>
      <c r="C7435">
        <v>170.70099999999999</v>
      </c>
      <c r="D7435" t="s">
        <v>14</v>
      </c>
      <c r="E7435" t="s">
        <v>281</v>
      </c>
      <c r="F7435">
        <f t="shared" si="232"/>
        <v>1928</v>
      </c>
      <c r="G7435">
        <f t="shared" si="233"/>
        <v>6</v>
      </c>
      <c r="H7435" t="str">
        <f>IF(ISNUMBER(FIND(",", E7435)), TRIM(MID(E7435, FIND(",", E7435) + 1, LEN(E7435))), E7435)</f>
        <v>Vanuatu region</v>
      </c>
    </row>
    <row r="7436" spans="1:8" x14ac:dyDescent="0.25">
      <c r="A7436" s="2">
        <v>10400</v>
      </c>
      <c r="B7436">
        <v>60.191000000000003</v>
      </c>
      <c r="C7436">
        <v>-147.53800000000001</v>
      </c>
      <c r="D7436" t="s">
        <v>14</v>
      </c>
      <c r="E7436" t="s">
        <v>497</v>
      </c>
      <c r="F7436">
        <f t="shared" si="232"/>
        <v>1928</v>
      </c>
      <c r="G7436">
        <f t="shared" si="233"/>
        <v>6</v>
      </c>
      <c r="H7436" t="str">
        <f>IF(ISNUMBER(FIND(",", E7436)), TRIM(MID(E7436, FIND(",", E7436) + 1, LEN(E7436))), E7436)</f>
        <v>Southern Alaska</v>
      </c>
    </row>
    <row r="7437" spans="1:8" x14ac:dyDescent="0.25">
      <c r="A7437" s="2">
        <v>10396</v>
      </c>
      <c r="B7437">
        <v>16.027999999999999</v>
      </c>
      <c r="C7437">
        <v>-97.036000000000001</v>
      </c>
      <c r="D7437" t="s">
        <v>16</v>
      </c>
      <c r="E7437" t="s">
        <v>251</v>
      </c>
      <c r="F7437">
        <f t="shared" si="232"/>
        <v>1928</v>
      </c>
      <c r="G7437">
        <f t="shared" si="233"/>
        <v>6</v>
      </c>
      <c r="H7437" t="str">
        <f>IF(ISNUMBER(FIND(",", E7437)), TRIM(MID(E7437, FIND(",", E7437) + 1, LEN(E7437))), E7437)</f>
        <v>Mexico</v>
      </c>
    </row>
    <row r="7438" spans="1:8" x14ac:dyDescent="0.25">
      <c r="A7438" s="2">
        <v>10394</v>
      </c>
      <c r="B7438">
        <v>13.007</v>
      </c>
      <c r="C7438">
        <v>120.748</v>
      </c>
      <c r="D7438" t="s">
        <v>17</v>
      </c>
      <c r="E7438" t="s">
        <v>333</v>
      </c>
      <c r="F7438">
        <f t="shared" si="232"/>
        <v>1928</v>
      </c>
      <c r="G7438">
        <f t="shared" si="233"/>
        <v>6</v>
      </c>
      <c r="H7438" t="str">
        <f>IF(ISNUMBER(FIND(",", E7438)), TRIM(MID(E7438, FIND(",", E7438) + 1, LEN(E7438))), E7438)</f>
        <v>Philippines</v>
      </c>
    </row>
    <row r="7439" spans="1:8" x14ac:dyDescent="0.25">
      <c r="A7439" s="2">
        <v>10394</v>
      </c>
      <c r="B7439">
        <v>12.731999999999999</v>
      </c>
      <c r="C7439">
        <v>120.819</v>
      </c>
      <c r="D7439" t="s">
        <v>14</v>
      </c>
      <c r="E7439" t="s">
        <v>333</v>
      </c>
      <c r="F7439">
        <f t="shared" si="232"/>
        <v>1928</v>
      </c>
      <c r="G7439">
        <f t="shared" si="233"/>
        <v>6</v>
      </c>
      <c r="H7439" t="str">
        <f>IF(ISNUMBER(FIND(",", E7439)), TRIM(MID(E7439, FIND(",", E7439) + 1, LEN(E7439))), E7439)</f>
        <v>Philippines</v>
      </c>
    </row>
    <row r="7440" spans="1:8" x14ac:dyDescent="0.25">
      <c r="A7440" s="2">
        <v>10375</v>
      </c>
      <c r="B7440">
        <v>39.813000000000002</v>
      </c>
      <c r="C7440">
        <v>142.999</v>
      </c>
      <c r="D7440" t="s">
        <v>14</v>
      </c>
      <c r="E7440" t="s">
        <v>227</v>
      </c>
      <c r="F7440">
        <f t="shared" si="232"/>
        <v>1928</v>
      </c>
      <c r="G7440">
        <f t="shared" si="233"/>
        <v>5</v>
      </c>
      <c r="H7440" t="str">
        <f>IF(ISNUMBER(FIND(",", E7440)), TRIM(MID(E7440, FIND(",", E7440) + 1, LEN(E7440))), E7440)</f>
        <v>Japan</v>
      </c>
    </row>
    <row r="7441" spans="1:8" x14ac:dyDescent="0.25">
      <c r="A7441" s="2">
        <v>10362</v>
      </c>
      <c r="B7441">
        <v>-5.2610000000000001</v>
      </c>
      <c r="C7441">
        <v>-78.558999999999997</v>
      </c>
      <c r="D7441" t="s">
        <v>16</v>
      </c>
      <c r="E7441" t="s">
        <v>277</v>
      </c>
      <c r="F7441">
        <f t="shared" si="232"/>
        <v>1928</v>
      </c>
      <c r="G7441">
        <f t="shared" si="233"/>
        <v>5</v>
      </c>
      <c r="H7441" t="str">
        <f>IF(ISNUMBER(FIND(",", E7441)), TRIM(MID(E7441, FIND(",", E7441) + 1, LEN(E7441))), E7441)</f>
        <v>northern Peru</v>
      </c>
    </row>
    <row r="7442" spans="1:8" x14ac:dyDescent="0.25">
      <c r="A7442" s="2">
        <v>10345</v>
      </c>
      <c r="B7442">
        <v>-13.715999999999999</v>
      </c>
      <c r="C7442">
        <v>-70.528999999999996</v>
      </c>
      <c r="D7442" t="s">
        <v>17</v>
      </c>
      <c r="E7442" t="s">
        <v>198</v>
      </c>
      <c r="F7442">
        <f t="shared" si="232"/>
        <v>1928</v>
      </c>
      <c r="G7442">
        <f t="shared" si="233"/>
        <v>4</v>
      </c>
      <c r="H7442" t="str">
        <f>IF(ISNUMBER(FIND(",", E7442)), TRIM(MID(E7442, FIND(",", E7442) + 1, LEN(E7442))), E7442)</f>
        <v>central Peru</v>
      </c>
    </row>
    <row r="7443" spans="1:8" x14ac:dyDescent="0.25">
      <c r="A7443" s="2">
        <v>10336</v>
      </c>
      <c r="B7443">
        <v>42.386000000000003</v>
      </c>
      <c r="C7443">
        <v>25.087</v>
      </c>
      <c r="D7443" t="s">
        <v>17</v>
      </c>
      <c r="E7443" t="s">
        <v>728</v>
      </c>
      <c r="F7443">
        <f t="shared" si="232"/>
        <v>1928</v>
      </c>
      <c r="G7443">
        <f t="shared" si="233"/>
        <v>4</v>
      </c>
      <c r="H7443" t="str">
        <f>IF(ISNUMBER(FIND(",", E7443)), TRIM(MID(E7443, FIND(",", E7443) + 1, LEN(E7443))), E7443)</f>
        <v>Bulgaria</v>
      </c>
    </row>
    <row r="7444" spans="1:8" x14ac:dyDescent="0.25">
      <c r="A7444" s="2">
        <v>10332</v>
      </c>
      <c r="B7444">
        <v>42.402000000000001</v>
      </c>
      <c r="C7444">
        <v>25.667000000000002</v>
      </c>
      <c r="D7444" t="s">
        <v>17</v>
      </c>
      <c r="E7444" t="s">
        <v>728</v>
      </c>
      <c r="F7444">
        <f t="shared" si="232"/>
        <v>1928</v>
      </c>
      <c r="G7444">
        <f t="shared" si="233"/>
        <v>4</v>
      </c>
      <c r="H7444" t="str">
        <f>IF(ISNUMBER(FIND(",", E7444)), TRIM(MID(E7444, FIND(",", E7444) + 1, LEN(E7444))), E7444)</f>
        <v>Bulgaria</v>
      </c>
    </row>
    <row r="7445" spans="1:8" x14ac:dyDescent="0.25">
      <c r="A7445" s="2">
        <v>10327</v>
      </c>
      <c r="B7445">
        <v>-13.731</v>
      </c>
      <c r="C7445">
        <v>-70.628</v>
      </c>
      <c r="D7445" t="s">
        <v>14</v>
      </c>
      <c r="E7445" t="s">
        <v>198</v>
      </c>
      <c r="F7445">
        <f t="shared" si="232"/>
        <v>1928</v>
      </c>
      <c r="G7445">
        <f t="shared" si="233"/>
        <v>4</v>
      </c>
      <c r="H7445" t="str">
        <f>IF(ISNUMBER(FIND(",", E7445)), TRIM(MID(E7445, FIND(",", E7445) + 1, LEN(E7445))), E7445)</f>
        <v>central Peru</v>
      </c>
    </row>
    <row r="7446" spans="1:8" x14ac:dyDescent="0.25">
      <c r="A7446" s="2">
        <v>10316</v>
      </c>
      <c r="B7446">
        <v>31.681999999999999</v>
      </c>
      <c r="C7446">
        <v>137.72999999999999</v>
      </c>
      <c r="D7446" t="s">
        <v>13</v>
      </c>
      <c r="E7446" t="s">
        <v>88</v>
      </c>
      <c r="F7446">
        <f t="shared" si="232"/>
        <v>1928</v>
      </c>
      <c r="G7446">
        <f t="shared" si="233"/>
        <v>3</v>
      </c>
      <c r="H7446" t="str">
        <f>IF(ISNUMBER(FIND(",", E7446)), TRIM(MID(E7446, FIND(",", E7446) + 1, LEN(E7446))), E7446)</f>
        <v>Japan region</v>
      </c>
    </row>
    <row r="7447" spans="1:8" x14ac:dyDescent="0.25">
      <c r="A7447" s="2">
        <v>10309</v>
      </c>
      <c r="B7447">
        <v>16.126999999999999</v>
      </c>
      <c r="C7447">
        <v>-96.504999999999995</v>
      </c>
      <c r="D7447" t="s">
        <v>16</v>
      </c>
      <c r="E7447" t="s">
        <v>251</v>
      </c>
      <c r="F7447">
        <f t="shared" si="232"/>
        <v>1928</v>
      </c>
      <c r="G7447">
        <f t="shared" si="233"/>
        <v>3</v>
      </c>
      <c r="H7447" t="str">
        <f>IF(ISNUMBER(FIND(",", E7447)), TRIM(MID(E7447, FIND(",", E7447) + 1, LEN(E7447))), E7447)</f>
        <v>Mexico</v>
      </c>
    </row>
    <row r="7448" spans="1:8" x14ac:dyDescent="0.25">
      <c r="A7448" s="2">
        <v>10303</v>
      </c>
      <c r="B7448">
        <v>-22.280999999999999</v>
      </c>
      <c r="C7448">
        <v>170.476</v>
      </c>
      <c r="D7448" t="s">
        <v>16</v>
      </c>
      <c r="E7448" t="s">
        <v>254</v>
      </c>
      <c r="F7448">
        <f t="shared" si="232"/>
        <v>1928</v>
      </c>
      <c r="G7448">
        <f t="shared" si="233"/>
        <v>3</v>
      </c>
      <c r="H7448" t="str">
        <f>IF(ISNUMBER(FIND(",", E7448)), TRIM(MID(E7448, FIND(",", E7448) + 1, LEN(E7448))), E7448)</f>
        <v>southeast of the Loyalty Islands</v>
      </c>
    </row>
    <row r="7449" spans="1:8" x14ac:dyDescent="0.25">
      <c r="A7449" s="2">
        <v>10300</v>
      </c>
      <c r="B7449">
        <v>-7.2130000000000001</v>
      </c>
      <c r="C7449">
        <v>153.87299999999999</v>
      </c>
      <c r="D7449" t="s">
        <v>13</v>
      </c>
      <c r="E7449" t="s">
        <v>190</v>
      </c>
      <c r="F7449">
        <f t="shared" si="232"/>
        <v>1928</v>
      </c>
      <c r="G7449">
        <f t="shared" si="233"/>
        <v>3</v>
      </c>
      <c r="H7449" t="str">
        <f>IF(ISNUMBER(FIND(",", E7449)), TRIM(MID(E7449, FIND(",", E7449) + 1, LEN(E7449))), E7449)</f>
        <v>Papua New Guinea</v>
      </c>
    </row>
    <row r="7450" spans="1:8" x14ac:dyDescent="0.25">
      <c r="A7450" s="2">
        <v>10296</v>
      </c>
      <c r="B7450">
        <v>-2.9540000000000002</v>
      </c>
      <c r="C7450">
        <v>88.801000000000002</v>
      </c>
      <c r="D7450" t="s">
        <v>16</v>
      </c>
      <c r="E7450" t="s">
        <v>473</v>
      </c>
      <c r="F7450">
        <f t="shared" si="232"/>
        <v>1928</v>
      </c>
      <c r="G7450">
        <f t="shared" si="233"/>
        <v>3</v>
      </c>
      <c r="H7450" t="str">
        <f>IF(ISNUMBER(FIND(",", E7450)), TRIM(MID(E7450, FIND(",", E7450) + 1, LEN(E7450))), E7450)</f>
        <v>South Indian Ocean</v>
      </c>
    </row>
    <row r="7451" spans="1:8" x14ac:dyDescent="0.25">
      <c r="A7451" s="2">
        <v>10279</v>
      </c>
      <c r="B7451">
        <v>67.503</v>
      </c>
      <c r="C7451">
        <v>-172.50399999999999</v>
      </c>
      <c r="D7451" t="s">
        <v>17</v>
      </c>
      <c r="E7451" t="s">
        <v>729</v>
      </c>
      <c r="F7451">
        <f t="shared" si="232"/>
        <v>1928</v>
      </c>
      <c r="G7451">
        <f t="shared" si="233"/>
        <v>2</v>
      </c>
      <c r="H7451" t="str">
        <f>IF(ISNUMBER(FIND(",", E7451)), TRIM(MID(E7451, FIND(",", E7451) + 1, LEN(E7451))), E7451)</f>
        <v>Russia</v>
      </c>
    </row>
    <row r="7452" spans="1:8" x14ac:dyDescent="0.25">
      <c r="A7452" s="2">
        <v>10265</v>
      </c>
      <c r="B7452">
        <v>-2.573</v>
      </c>
      <c r="C7452">
        <v>88.593000000000004</v>
      </c>
      <c r="D7452" t="s">
        <v>17</v>
      </c>
      <c r="E7452" t="s">
        <v>473</v>
      </c>
      <c r="F7452">
        <f t="shared" si="232"/>
        <v>1928</v>
      </c>
      <c r="G7452">
        <f t="shared" si="233"/>
        <v>2</v>
      </c>
      <c r="H7452" t="str">
        <f>IF(ISNUMBER(FIND(",", E7452)), TRIM(MID(E7452, FIND(",", E7452) + 1, LEN(E7452))), E7452)</f>
        <v>South Indian Ocean</v>
      </c>
    </row>
    <row r="7453" spans="1:8" x14ac:dyDescent="0.25">
      <c r="A7453" s="2">
        <v>10233</v>
      </c>
      <c r="B7453">
        <v>0.155</v>
      </c>
      <c r="C7453">
        <v>35.747999999999998</v>
      </c>
      <c r="D7453" t="s">
        <v>14</v>
      </c>
      <c r="E7453" t="s">
        <v>730</v>
      </c>
      <c r="F7453">
        <f t="shared" si="232"/>
        <v>1928</v>
      </c>
      <c r="G7453">
        <f t="shared" si="233"/>
        <v>1</v>
      </c>
      <c r="H7453" t="str">
        <f>IF(ISNUMBER(FIND(",", E7453)), TRIM(MID(E7453, FIND(",", E7453) + 1, LEN(E7453))), E7453)</f>
        <v>Kenya</v>
      </c>
    </row>
    <row r="7454" spans="1:8" x14ac:dyDescent="0.25">
      <c r="A7454" s="2">
        <v>10232</v>
      </c>
      <c r="B7454">
        <v>-19.091999999999999</v>
      </c>
      <c r="C7454">
        <v>-63.79</v>
      </c>
      <c r="D7454" t="s">
        <v>17</v>
      </c>
      <c r="E7454" t="s">
        <v>384</v>
      </c>
      <c r="F7454">
        <f t="shared" si="232"/>
        <v>1928</v>
      </c>
      <c r="G7454">
        <f t="shared" si="233"/>
        <v>1</v>
      </c>
      <c r="H7454" t="str">
        <f>IF(ISNUMBER(FIND(",", E7454)), TRIM(MID(E7454, FIND(",", E7454) + 1, LEN(E7454))), E7454)</f>
        <v>Bolivia</v>
      </c>
    </row>
    <row r="7455" spans="1:8" x14ac:dyDescent="0.25">
      <c r="A7455" s="2">
        <v>10224</v>
      </c>
      <c r="B7455">
        <v>55.662999999999997</v>
      </c>
      <c r="C7455">
        <v>160.03899999999999</v>
      </c>
      <c r="D7455" t="s">
        <v>16</v>
      </c>
      <c r="E7455" t="s">
        <v>424</v>
      </c>
      <c r="F7455">
        <f t="shared" si="232"/>
        <v>1927</v>
      </c>
      <c r="G7455">
        <f t="shared" si="233"/>
        <v>12</v>
      </c>
      <c r="H7455" t="str">
        <f>IF(ISNUMBER(FIND(",", E7455)), TRIM(MID(E7455, FIND(",", E7455) + 1, LEN(E7455))), E7455)</f>
        <v>Russia</v>
      </c>
    </row>
    <row r="7456" spans="1:8" x14ac:dyDescent="0.25">
      <c r="A7456" s="2">
        <v>10192</v>
      </c>
      <c r="B7456">
        <v>-24.32</v>
      </c>
      <c r="C7456">
        <v>-66.962999999999994</v>
      </c>
      <c r="D7456" t="s">
        <v>13</v>
      </c>
      <c r="E7456" t="s">
        <v>337</v>
      </c>
      <c r="F7456">
        <f t="shared" si="232"/>
        <v>1927</v>
      </c>
      <c r="G7456">
        <f t="shared" si="233"/>
        <v>11</v>
      </c>
      <c r="H7456" t="str">
        <f>IF(ISNUMBER(FIND(",", E7456)), TRIM(MID(E7456, FIND(",", E7456) + 1, LEN(E7456))), E7456)</f>
        <v>Argentina</v>
      </c>
    </row>
    <row r="7457" spans="1:8" x14ac:dyDescent="0.25">
      <c r="A7457" s="2">
        <v>10187</v>
      </c>
      <c r="B7457">
        <v>-45.112000000000002</v>
      </c>
      <c r="C7457">
        <v>-73.622</v>
      </c>
      <c r="D7457" t="s">
        <v>16</v>
      </c>
      <c r="E7457" t="s">
        <v>426</v>
      </c>
      <c r="F7457">
        <f t="shared" si="232"/>
        <v>1927</v>
      </c>
      <c r="G7457">
        <f t="shared" si="233"/>
        <v>11</v>
      </c>
      <c r="H7457" t="str">
        <f>IF(ISNUMBER(FIND(",", E7457)), TRIM(MID(E7457, FIND(",", E7457) + 1, LEN(E7457))), E7457)</f>
        <v>Chile</v>
      </c>
    </row>
    <row r="7458" spans="1:8" x14ac:dyDescent="0.25">
      <c r="A7458" s="2">
        <v>10182</v>
      </c>
      <c r="B7458">
        <v>6.7460000000000004</v>
      </c>
      <c r="C7458">
        <v>125.538</v>
      </c>
      <c r="D7458" t="s">
        <v>14</v>
      </c>
      <c r="E7458" t="s">
        <v>200</v>
      </c>
      <c r="F7458">
        <f t="shared" si="232"/>
        <v>1927</v>
      </c>
      <c r="G7458">
        <f t="shared" si="233"/>
        <v>11</v>
      </c>
      <c r="H7458" t="str">
        <f>IF(ISNUMBER(FIND(",", E7458)), TRIM(MID(E7458, FIND(",", E7458) + 1, LEN(E7458))), E7458)</f>
        <v>Philippines</v>
      </c>
    </row>
    <row r="7459" spans="1:8" x14ac:dyDescent="0.25">
      <c r="A7459" s="2">
        <v>10180</v>
      </c>
      <c r="B7459">
        <v>-30.905000000000001</v>
      </c>
      <c r="C7459">
        <v>-70.974999999999994</v>
      </c>
      <c r="D7459" t="s">
        <v>17</v>
      </c>
      <c r="E7459" t="s">
        <v>193</v>
      </c>
      <c r="F7459">
        <f t="shared" si="232"/>
        <v>1927</v>
      </c>
      <c r="G7459">
        <f t="shared" si="233"/>
        <v>11</v>
      </c>
      <c r="H7459" t="str">
        <f>IF(ISNUMBER(FIND(",", E7459)), TRIM(MID(E7459, FIND(",", E7459) + 1, LEN(E7459))), E7459)</f>
        <v>Chile</v>
      </c>
    </row>
    <row r="7460" spans="1:8" x14ac:dyDescent="0.25">
      <c r="A7460" s="2">
        <v>10180</v>
      </c>
      <c r="B7460">
        <v>70.033000000000001</v>
      </c>
      <c r="C7460">
        <v>128.69</v>
      </c>
      <c r="D7460" t="s">
        <v>17</v>
      </c>
      <c r="E7460" t="s">
        <v>731</v>
      </c>
      <c r="F7460">
        <f t="shared" si="232"/>
        <v>1927</v>
      </c>
      <c r="G7460">
        <f t="shared" si="233"/>
        <v>11</v>
      </c>
      <c r="H7460" t="str">
        <f>IF(ISNUMBER(FIND(",", E7460)), TRIM(MID(E7460, FIND(",", E7460) + 1, LEN(E7460))), E7460)</f>
        <v>Russia</v>
      </c>
    </row>
    <row r="7461" spans="1:8" x14ac:dyDescent="0.25">
      <c r="A7461" s="2">
        <v>10172</v>
      </c>
      <c r="B7461">
        <v>-6.86</v>
      </c>
      <c r="C7461">
        <v>129.434</v>
      </c>
      <c r="D7461" t="s">
        <v>17</v>
      </c>
      <c r="E7461" t="s">
        <v>187</v>
      </c>
      <c r="F7461">
        <f t="shared" si="232"/>
        <v>1927</v>
      </c>
      <c r="G7461">
        <f t="shared" si="233"/>
        <v>11</v>
      </c>
      <c r="H7461" t="str">
        <f>IF(ISNUMBER(FIND(",", E7461)), TRIM(MID(E7461, FIND(",", E7461) + 1, LEN(E7461))), E7461)</f>
        <v>Banda Sea</v>
      </c>
    </row>
    <row r="7462" spans="1:8" x14ac:dyDescent="0.25">
      <c r="A7462" s="2">
        <v>10170</v>
      </c>
      <c r="B7462">
        <v>34.914999999999999</v>
      </c>
      <c r="C7462">
        <v>-121.03100000000001</v>
      </c>
      <c r="D7462" t="s">
        <v>14</v>
      </c>
      <c r="E7462" t="s">
        <v>732</v>
      </c>
      <c r="F7462">
        <f t="shared" si="232"/>
        <v>1927</v>
      </c>
      <c r="G7462">
        <f t="shared" si="233"/>
        <v>11</v>
      </c>
      <c r="H7462" t="str">
        <f>IF(ISNUMBER(FIND(",", E7462)), TRIM(MID(E7462, FIND(",", E7462) + 1, LEN(E7462))), E7462)</f>
        <v>offshore Central California</v>
      </c>
    </row>
    <row r="7463" spans="1:8" x14ac:dyDescent="0.25">
      <c r="A7463" s="2">
        <v>10159</v>
      </c>
      <c r="B7463">
        <v>57.44</v>
      </c>
      <c r="C7463">
        <v>-136.37299999999999</v>
      </c>
      <c r="D7463" t="s">
        <v>14</v>
      </c>
      <c r="E7463" t="s">
        <v>180</v>
      </c>
      <c r="F7463">
        <f t="shared" si="232"/>
        <v>1927</v>
      </c>
      <c r="G7463">
        <f t="shared" si="233"/>
        <v>10</v>
      </c>
      <c r="H7463" t="str">
        <f>IF(ISNUMBER(FIND(",", E7463)), TRIM(MID(E7463, FIND(",", E7463) + 1, LEN(E7463))), E7463)</f>
        <v>Southeastern Alaska</v>
      </c>
    </row>
    <row r="7464" spans="1:8" x14ac:dyDescent="0.25">
      <c r="A7464" s="2">
        <v>10128</v>
      </c>
      <c r="B7464">
        <v>42.066000000000003</v>
      </c>
      <c r="C7464">
        <v>84.091999999999999</v>
      </c>
      <c r="D7464" t="s">
        <v>17</v>
      </c>
      <c r="E7464" t="s">
        <v>224</v>
      </c>
      <c r="F7464">
        <f t="shared" si="232"/>
        <v>1927</v>
      </c>
      <c r="G7464">
        <f t="shared" si="233"/>
        <v>9</v>
      </c>
      <c r="H7464" t="str">
        <f>IF(ISNUMBER(FIND(",", E7464)), TRIM(MID(E7464, FIND(",", E7464) + 1, LEN(E7464))), E7464)</f>
        <v>China</v>
      </c>
    </row>
    <row r="7465" spans="1:8" x14ac:dyDescent="0.25">
      <c r="A7465" s="2">
        <v>10108</v>
      </c>
      <c r="B7465">
        <v>10.871</v>
      </c>
      <c r="C7465">
        <v>-43.487000000000002</v>
      </c>
      <c r="D7465" t="s">
        <v>17</v>
      </c>
      <c r="E7465" t="s">
        <v>325</v>
      </c>
      <c r="F7465">
        <f t="shared" si="232"/>
        <v>1927</v>
      </c>
      <c r="G7465">
        <f t="shared" si="233"/>
        <v>9</v>
      </c>
      <c r="H7465" t="str">
        <f>IF(ISNUMBER(FIND(",", E7465)), TRIM(MID(E7465, FIND(",", E7465) + 1, LEN(E7465))), E7465)</f>
        <v>northern Mid-Atlantic Ridge</v>
      </c>
    </row>
    <row r="7466" spans="1:8" x14ac:dyDescent="0.25">
      <c r="A7466" s="2">
        <v>10098</v>
      </c>
      <c r="B7466">
        <v>23.117999999999999</v>
      </c>
      <c r="C7466">
        <v>120.23699999999999</v>
      </c>
      <c r="D7466" t="s">
        <v>17</v>
      </c>
      <c r="E7466" t="s">
        <v>336</v>
      </c>
      <c r="F7466">
        <f t="shared" si="232"/>
        <v>1927</v>
      </c>
      <c r="G7466">
        <f t="shared" si="233"/>
        <v>8</v>
      </c>
      <c r="H7466" t="str">
        <f>IF(ISNUMBER(FIND(",", E7466)), TRIM(MID(E7466, FIND(",", E7466) + 1, LEN(E7466))), E7466)</f>
        <v>Taiwan</v>
      </c>
    </row>
    <row r="7467" spans="1:8" x14ac:dyDescent="0.25">
      <c r="A7467" s="2">
        <v>10094</v>
      </c>
      <c r="B7467">
        <v>4.9880000000000004</v>
      </c>
      <c r="C7467">
        <v>-82.195999999999998</v>
      </c>
      <c r="D7467" t="s">
        <v>14</v>
      </c>
      <c r="E7467" t="s">
        <v>231</v>
      </c>
      <c r="F7467">
        <f t="shared" si="232"/>
        <v>1927</v>
      </c>
      <c r="G7467">
        <f t="shared" si="233"/>
        <v>8</v>
      </c>
      <c r="H7467" t="str">
        <f>IF(ISNUMBER(FIND(",", E7467)), TRIM(MID(E7467, FIND(",", E7467) + 1, LEN(E7467))), E7467)</f>
        <v>south of Panama</v>
      </c>
    </row>
    <row r="7468" spans="1:8" x14ac:dyDescent="0.25">
      <c r="A7468" s="2">
        <v>10092</v>
      </c>
      <c r="B7468">
        <v>34.472999999999999</v>
      </c>
      <c r="C7468">
        <v>141.15299999999999</v>
      </c>
      <c r="D7468" t="s">
        <v>14</v>
      </c>
      <c r="E7468" t="s">
        <v>189</v>
      </c>
      <c r="F7468">
        <f t="shared" si="232"/>
        <v>1927</v>
      </c>
      <c r="G7468">
        <f t="shared" si="233"/>
        <v>8</v>
      </c>
      <c r="H7468" t="str">
        <f>IF(ISNUMBER(FIND(",", E7468)), TRIM(MID(E7468, FIND(",", E7468) + 1, LEN(E7468))), E7468)</f>
        <v>Japan</v>
      </c>
    </row>
    <row r="7469" spans="1:8" x14ac:dyDescent="0.25">
      <c r="A7469" s="2">
        <v>10086</v>
      </c>
      <c r="B7469">
        <v>27.721</v>
      </c>
      <c r="C7469">
        <v>139.70599999999999</v>
      </c>
      <c r="D7469" t="s">
        <v>17</v>
      </c>
      <c r="E7469" t="s">
        <v>233</v>
      </c>
      <c r="F7469">
        <f t="shared" si="232"/>
        <v>1927</v>
      </c>
      <c r="G7469">
        <f t="shared" si="233"/>
        <v>8</v>
      </c>
      <c r="H7469" t="str">
        <f>IF(ISNUMBER(FIND(",", E7469)), TRIM(MID(E7469, FIND(",", E7469) + 1, LEN(E7469))), E7469)</f>
        <v>Japan region</v>
      </c>
    </row>
    <row r="7470" spans="1:8" x14ac:dyDescent="0.25">
      <c r="A7470" s="2">
        <v>10084</v>
      </c>
      <c r="B7470">
        <v>-0.53400000000000003</v>
      </c>
      <c r="C7470">
        <v>131.673</v>
      </c>
      <c r="D7470" t="s">
        <v>16</v>
      </c>
      <c r="E7470" t="s">
        <v>241</v>
      </c>
      <c r="F7470">
        <f t="shared" si="232"/>
        <v>1927</v>
      </c>
      <c r="G7470">
        <f t="shared" si="233"/>
        <v>8</v>
      </c>
      <c r="H7470" t="str">
        <f>IF(ISNUMBER(FIND(",", E7470)), TRIM(MID(E7470, FIND(",", E7470) + 1, LEN(E7470))), E7470)</f>
        <v>Indonesia</v>
      </c>
    </row>
    <row r="7471" spans="1:8" x14ac:dyDescent="0.25">
      <c r="A7471" s="2">
        <v>10082</v>
      </c>
      <c r="B7471">
        <v>50.329000000000001</v>
      </c>
      <c r="C7471">
        <v>155.72800000000001</v>
      </c>
      <c r="D7471" t="s">
        <v>17</v>
      </c>
      <c r="E7471" t="s">
        <v>191</v>
      </c>
      <c r="F7471">
        <f t="shared" si="232"/>
        <v>1927</v>
      </c>
      <c r="G7471">
        <f t="shared" si="233"/>
        <v>8</v>
      </c>
      <c r="H7471" t="str">
        <f>IF(ISNUMBER(FIND(",", E7471)), TRIM(MID(E7471, FIND(",", E7471) + 1, LEN(E7471))), E7471)</f>
        <v>Kuril Islands</v>
      </c>
    </row>
    <row r="7472" spans="1:8" x14ac:dyDescent="0.25">
      <c r="A7472" s="2">
        <v>10079</v>
      </c>
      <c r="B7472">
        <v>37.872999999999998</v>
      </c>
      <c r="C7472">
        <v>142.191</v>
      </c>
      <c r="D7472" t="s">
        <v>14</v>
      </c>
      <c r="E7472" t="s">
        <v>189</v>
      </c>
      <c r="F7472">
        <f t="shared" si="232"/>
        <v>1927</v>
      </c>
      <c r="G7472">
        <f t="shared" si="233"/>
        <v>8</v>
      </c>
      <c r="H7472" t="str">
        <f>IF(ISNUMBER(FIND(",", E7472)), TRIM(MID(E7472, FIND(",", E7472) + 1, LEN(E7472))), E7472)</f>
        <v>Japan</v>
      </c>
    </row>
    <row r="7473" spans="1:8" x14ac:dyDescent="0.25">
      <c r="A7473" s="2">
        <v>10078</v>
      </c>
      <c r="B7473">
        <v>-6.8090000000000002</v>
      </c>
      <c r="C7473">
        <v>125.768</v>
      </c>
      <c r="D7473" t="s">
        <v>17</v>
      </c>
      <c r="E7473" t="s">
        <v>187</v>
      </c>
      <c r="F7473">
        <f t="shared" si="232"/>
        <v>1927</v>
      </c>
      <c r="G7473">
        <f t="shared" si="233"/>
        <v>8</v>
      </c>
      <c r="H7473" t="str">
        <f>IF(ISNUMBER(FIND(",", E7473)), TRIM(MID(E7473, FIND(",", E7473) + 1, LEN(E7473))), E7473)</f>
        <v>Banda Sea</v>
      </c>
    </row>
    <row r="7474" spans="1:8" x14ac:dyDescent="0.25">
      <c r="A7474" s="2">
        <v>10055</v>
      </c>
      <c r="B7474">
        <v>44.366999999999997</v>
      </c>
      <c r="C7474">
        <v>145.72200000000001</v>
      </c>
      <c r="D7474" t="s">
        <v>17</v>
      </c>
      <c r="E7474" t="s">
        <v>265</v>
      </c>
      <c r="F7474">
        <f t="shared" si="232"/>
        <v>1927</v>
      </c>
      <c r="G7474">
        <f t="shared" si="233"/>
        <v>7</v>
      </c>
      <c r="H7474" t="str">
        <f>IF(ISNUMBER(FIND(",", E7474)), TRIM(MID(E7474, FIND(",", E7474) + 1, LEN(E7474))), E7474)</f>
        <v>Japan region</v>
      </c>
    </row>
    <row r="7475" spans="1:8" x14ac:dyDescent="0.25">
      <c r="A7475" s="2">
        <v>10044</v>
      </c>
      <c r="B7475">
        <v>36.381</v>
      </c>
      <c r="C7475">
        <v>22.722999999999999</v>
      </c>
      <c r="D7475" t="s">
        <v>13</v>
      </c>
      <c r="E7475" t="s">
        <v>398</v>
      </c>
      <c r="F7475">
        <f t="shared" si="232"/>
        <v>1927</v>
      </c>
      <c r="G7475">
        <f t="shared" si="233"/>
        <v>7</v>
      </c>
      <c r="H7475" t="str">
        <f>IF(ISNUMBER(FIND(",", E7475)), TRIM(MID(E7475, FIND(",", E7475) + 1, LEN(E7475))), E7475)</f>
        <v>southern Greece</v>
      </c>
    </row>
    <row r="7476" spans="1:8" x14ac:dyDescent="0.25">
      <c r="A7476" s="2">
        <v>10016</v>
      </c>
      <c r="B7476">
        <v>-7.0709999999999997</v>
      </c>
      <c r="C7476">
        <v>130.96</v>
      </c>
      <c r="D7476" t="s">
        <v>13</v>
      </c>
      <c r="E7476" t="s">
        <v>411</v>
      </c>
      <c r="F7476">
        <f t="shared" si="232"/>
        <v>1927</v>
      </c>
      <c r="G7476">
        <f t="shared" si="233"/>
        <v>6</v>
      </c>
      <c r="H7476" t="str">
        <f>IF(ISNUMBER(FIND(",", E7476)), TRIM(MID(E7476, FIND(",", E7476) + 1, LEN(E7476))), E7476)</f>
        <v>Indonesia</v>
      </c>
    </row>
    <row r="7477" spans="1:8" x14ac:dyDescent="0.25">
      <c r="A7477" s="2">
        <v>10004</v>
      </c>
      <c r="B7477">
        <v>37.386000000000003</v>
      </c>
      <c r="C7477">
        <v>102.31100000000001</v>
      </c>
      <c r="D7477" t="s">
        <v>16</v>
      </c>
      <c r="E7477" t="s">
        <v>733</v>
      </c>
      <c r="F7477">
        <f t="shared" si="232"/>
        <v>1927</v>
      </c>
      <c r="G7477">
        <f t="shared" si="233"/>
        <v>5</v>
      </c>
      <c r="H7477" t="str">
        <f>IF(ISNUMBER(FIND(",", E7477)), TRIM(MID(E7477, FIND(",", E7477) + 1, LEN(E7477))), E7477)</f>
        <v>China</v>
      </c>
    </row>
    <row r="7478" spans="1:8" x14ac:dyDescent="0.25">
      <c r="A7478" s="2">
        <v>9971</v>
      </c>
      <c r="B7478">
        <v>15.25</v>
      </c>
      <c r="C7478">
        <v>120.45399999999999</v>
      </c>
      <c r="D7478" t="s">
        <v>13</v>
      </c>
      <c r="E7478" t="s">
        <v>297</v>
      </c>
      <c r="F7478">
        <f t="shared" si="232"/>
        <v>1927</v>
      </c>
      <c r="G7478">
        <f t="shared" si="233"/>
        <v>4</v>
      </c>
      <c r="H7478" t="str">
        <f>IF(ISNUMBER(FIND(",", E7478)), TRIM(MID(E7478, FIND(",", E7478) + 1, LEN(E7478))), E7478)</f>
        <v>Philippines</v>
      </c>
    </row>
    <row r="7479" spans="1:8" x14ac:dyDescent="0.25">
      <c r="A7479" s="2">
        <v>9966</v>
      </c>
      <c r="B7479">
        <v>-32.476999999999997</v>
      </c>
      <c r="C7479">
        <v>-69.674999999999997</v>
      </c>
      <c r="D7479" t="s">
        <v>13</v>
      </c>
      <c r="E7479" t="s">
        <v>726</v>
      </c>
      <c r="F7479">
        <f t="shared" si="232"/>
        <v>1927</v>
      </c>
      <c r="G7479">
        <f t="shared" si="233"/>
        <v>4</v>
      </c>
      <c r="H7479" t="str">
        <f>IF(ISNUMBER(FIND(",", E7479)), TRIM(MID(E7479, FIND(",", E7479) + 1, LEN(E7479))), E7479)</f>
        <v>Argentina</v>
      </c>
    </row>
    <row r="7480" spans="1:8" x14ac:dyDescent="0.25">
      <c r="A7480" s="2">
        <v>9965</v>
      </c>
      <c r="B7480">
        <v>15.433999999999999</v>
      </c>
      <c r="C7480">
        <v>120.72199999999999</v>
      </c>
      <c r="D7480" t="s">
        <v>17</v>
      </c>
      <c r="E7480" t="s">
        <v>297</v>
      </c>
      <c r="F7480">
        <f t="shared" si="232"/>
        <v>1927</v>
      </c>
      <c r="G7480">
        <f t="shared" si="233"/>
        <v>4</v>
      </c>
      <c r="H7480" t="str">
        <f>IF(ISNUMBER(FIND(",", E7480)), TRIM(MID(E7480, FIND(",", E7480) + 1, LEN(E7480))), E7480)</f>
        <v>Philippines</v>
      </c>
    </row>
    <row r="7481" spans="1:8" x14ac:dyDescent="0.25">
      <c r="A7481" s="2">
        <v>9953</v>
      </c>
      <c r="B7481">
        <v>-19.802</v>
      </c>
      <c r="C7481">
        <v>-177.47800000000001</v>
      </c>
      <c r="D7481" t="s">
        <v>13</v>
      </c>
      <c r="E7481" t="s">
        <v>53</v>
      </c>
      <c r="F7481">
        <f t="shared" si="232"/>
        <v>1927</v>
      </c>
      <c r="G7481">
        <f t="shared" si="233"/>
        <v>4</v>
      </c>
      <c r="H7481" t="str">
        <f>IF(ISNUMBER(FIND(",", E7481)), TRIM(MID(E7481, FIND(",", E7481) + 1, LEN(E7481))), E7481)</f>
        <v>Fiji region</v>
      </c>
    </row>
    <row r="7482" spans="1:8" x14ac:dyDescent="0.25">
      <c r="A7482" s="2">
        <v>9928</v>
      </c>
      <c r="B7482">
        <v>35.802</v>
      </c>
      <c r="C7482">
        <v>134.92400000000001</v>
      </c>
      <c r="D7482" t="s">
        <v>16</v>
      </c>
      <c r="E7482" t="s">
        <v>502</v>
      </c>
      <c r="F7482">
        <f t="shared" si="232"/>
        <v>1927</v>
      </c>
      <c r="G7482">
        <f t="shared" si="233"/>
        <v>3</v>
      </c>
      <c r="H7482" t="str">
        <f>IF(ISNUMBER(FIND(",", E7482)), TRIM(MID(E7482, FIND(",", E7482) + 1, LEN(E7482))), E7482)</f>
        <v>Japan</v>
      </c>
    </row>
    <row r="7483" spans="1:8" x14ac:dyDescent="0.25">
      <c r="A7483" s="2">
        <v>9924</v>
      </c>
      <c r="B7483">
        <v>-6.617</v>
      </c>
      <c r="C7483">
        <v>121.807</v>
      </c>
      <c r="D7483" t="s">
        <v>14</v>
      </c>
      <c r="E7483" t="s">
        <v>438</v>
      </c>
      <c r="F7483">
        <f t="shared" si="232"/>
        <v>1927</v>
      </c>
      <c r="G7483">
        <f t="shared" si="233"/>
        <v>3</v>
      </c>
      <c r="H7483" t="str">
        <f>IF(ISNUMBER(FIND(",", E7483)), TRIM(MID(E7483, FIND(",", E7483) + 1, LEN(E7483))), E7483)</f>
        <v>Flores Sea</v>
      </c>
    </row>
    <row r="7484" spans="1:8" x14ac:dyDescent="0.25">
      <c r="A7484" s="2">
        <v>9918</v>
      </c>
      <c r="B7484">
        <v>-38.326999999999998</v>
      </c>
      <c r="C7484">
        <v>177.94300000000001</v>
      </c>
      <c r="D7484" t="s">
        <v>17</v>
      </c>
      <c r="E7484" t="s">
        <v>188</v>
      </c>
      <c r="F7484">
        <f t="shared" si="232"/>
        <v>1927</v>
      </c>
      <c r="G7484">
        <f t="shared" si="233"/>
        <v>2</v>
      </c>
      <c r="H7484" t="str">
        <f>IF(ISNUMBER(FIND(",", E7484)), TRIM(MID(E7484, FIND(",", E7484) + 1, LEN(E7484))), E7484)</f>
        <v>North Island of New Zealand</v>
      </c>
    </row>
    <row r="7485" spans="1:8" x14ac:dyDescent="0.25">
      <c r="A7485" s="2">
        <v>9909</v>
      </c>
      <c r="B7485">
        <v>46.616999999999997</v>
      </c>
      <c r="C7485">
        <v>153.07300000000001</v>
      </c>
      <c r="D7485" t="s">
        <v>14</v>
      </c>
      <c r="E7485" t="s">
        <v>191</v>
      </c>
      <c r="F7485">
        <f t="shared" si="232"/>
        <v>1927</v>
      </c>
      <c r="G7485">
        <f t="shared" si="233"/>
        <v>2</v>
      </c>
      <c r="H7485" t="str">
        <f>IF(ISNUMBER(FIND(",", E7485)), TRIM(MID(E7485, FIND(",", E7485) + 1, LEN(E7485))), E7485)</f>
        <v>Kuril Islands</v>
      </c>
    </row>
    <row r="7486" spans="1:8" x14ac:dyDescent="0.25">
      <c r="A7486" s="2">
        <v>9894</v>
      </c>
      <c r="B7486">
        <v>-6.7039999999999997</v>
      </c>
      <c r="C7486">
        <v>154.97200000000001</v>
      </c>
      <c r="D7486" t="s">
        <v>17</v>
      </c>
      <c r="E7486" t="s">
        <v>290</v>
      </c>
      <c r="F7486">
        <f t="shared" si="232"/>
        <v>1927</v>
      </c>
      <c r="G7486">
        <f t="shared" si="233"/>
        <v>2</v>
      </c>
      <c r="H7486" t="str">
        <f>IF(ISNUMBER(FIND(",", E7486)), TRIM(MID(E7486, FIND(",", E7486) + 1, LEN(E7486))), E7486)</f>
        <v>Papua New Guinea</v>
      </c>
    </row>
    <row r="7487" spans="1:8" x14ac:dyDescent="0.25">
      <c r="A7487" s="2">
        <v>9886</v>
      </c>
      <c r="B7487">
        <v>-18.388000000000002</v>
      </c>
      <c r="C7487">
        <v>168.226</v>
      </c>
      <c r="D7487" t="s">
        <v>14</v>
      </c>
      <c r="E7487" t="s">
        <v>181</v>
      </c>
      <c r="F7487">
        <f t="shared" si="232"/>
        <v>1927</v>
      </c>
      <c r="G7487">
        <f t="shared" si="233"/>
        <v>1</v>
      </c>
      <c r="H7487" t="str">
        <f>IF(ISNUMBER(FIND(",", E7487)), TRIM(MID(E7487, FIND(",", E7487) + 1, LEN(E7487))), E7487)</f>
        <v>Vanuatu</v>
      </c>
    </row>
    <row r="7488" spans="1:8" x14ac:dyDescent="0.25">
      <c r="A7488" s="2">
        <v>9856</v>
      </c>
      <c r="B7488">
        <v>1.8220000000000001</v>
      </c>
      <c r="C7488">
        <v>116.881</v>
      </c>
      <c r="D7488" t="s">
        <v>17</v>
      </c>
      <c r="E7488" t="s">
        <v>734</v>
      </c>
      <c r="F7488">
        <f t="shared" si="232"/>
        <v>1926</v>
      </c>
      <c r="G7488">
        <f t="shared" si="233"/>
        <v>12</v>
      </c>
      <c r="H7488" t="str">
        <f>IF(ISNUMBER(FIND(",", E7488)), TRIM(MID(E7488, FIND(",", E7488) + 1, LEN(E7488))), E7488)</f>
        <v>Indonesia</v>
      </c>
    </row>
    <row r="7489" spans="1:8" x14ac:dyDescent="0.25">
      <c r="A7489" s="2">
        <v>9806</v>
      </c>
      <c r="B7489">
        <v>12.67</v>
      </c>
      <c r="C7489">
        <v>-86.736000000000004</v>
      </c>
      <c r="D7489" t="s">
        <v>13</v>
      </c>
      <c r="E7489" t="s">
        <v>270</v>
      </c>
      <c r="F7489">
        <f t="shared" si="232"/>
        <v>1926</v>
      </c>
      <c r="G7489">
        <f t="shared" si="233"/>
        <v>11</v>
      </c>
      <c r="H7489" t="str">
        <f>IF(ISNUMBER(FIND(",", E7489)), TRIM(MID(E7489, FIND(",", E7489) + 1, LEN(E7489))), E7489)</f>
        <v>Nicaragua</v>
      </c>
    </row>
    <row r="7490" spans="1:8" x14ac:dyDescent="0.25">
      <c r="A7490" s="2">
        <v>9796</v>
      </c>
      <c r="B7490">
        <v>-3.2189999999999999</v>
      </c>
      <c r="C7490">
        <v>139.09700000000001</v>
      </c>
      <c r="D7490" t="s">
        <v>16</v>
      </c>
      <c r="E7490" t="s">
        <v>210</v>
      </c>
      <c r="F7490">
        <f t="shared" ref="F7490:F7553" si="234">YEAR(A7490)</f>
        <v>1926</v>
      </c>
      <c r="G7490">
        <f t="shared" si="233"/>
        <v>10</v>
      </c>
      <c r="H7490" t="str">
        <f>IF(ISNUMBER(FIND(",", E7490)), TRIM(MID(E7490, FIND(",", E7490) + 1, LEN(E7490))), E7490)</f>
        <v>Indonesia</v>
      </c>
    </row>
    <row r="7491" spans="1:8" x14ac:dyDescent="0.25">
      <c r="A7491" s="2">
        <v>9783</v>
      </c>
      <c r="B7491">
        <v>51.771000000000001</v>
      </c>
      <c r="C7491">
        <v>-175.36099999999999</v>
      </c>
      <c r="D7491" t="s">
        <v>14</v>
      </c>
      <c r="E7491" t="s">
        <v>207</v>
      </c>
      <c r="F7491">
        <f t="shared" si="234"/>
        <v>1926</v>
      </c>
      <c r="G7491">
        <f t="shared" ref="G7491:G7554" si="235">MONTH(A7491)</f>
        <v>10</v>
      </c>
      <c r="H7491" t="str">
        <f>IF(ISNUMBER(FIND(",", E7491)), TRIM(MID(E7491, FIND(",", E7491) + 1, LEN(E7491))), E7491)</f>
        <v>Aleutian Islands, Alaska</v>
      </c>
    </row>
    <row r="7492" spans="1:8" x14ac:dyDescent="0.25">
      <c r="A7492" s="2">
        <v>9773</v>
      </c>
      <c r="B7492">
        <v>-49.808999999999997</v>
      </c>
      <c r="C7492">
        <v>161.703</v>
      </c>
      <c r="D7492" t="s">
        <v>16</v>
      </c>
      <c r="E7492" t="s">
        <v>415</v>
      </c>
      <c r="F7492">
        <f t="shared" si="234"/>
        <v>1926</v>
      </c>
      <c r="G7492">
        <f t="shared" si="235"/>
        <v>10</v>
      </c>
      <c r="H7492" t="str">
        <f>IF(ISNUMBER(FIND(",", E7492)), TRIM(MID(E7492, FIND(",", E7492) + 1, LEN(E7492))), E7492)</f>
        <v>north of Macquarie Island</v>
      </c>
    </row>
    <row r="7493" spans="1:8" x14ac:dyDescent="0.25">
      <c r="A7493" s="2">
        <v>9756</v>
      </c>
      <c r="B7493">
        <v>-9.6739999999999995</v>
      </c>
      <c r="C7493">
        <v>159.51900000000001</v>
      </c>
      <c r="D7493" t="s">
        <v>14</v>
      </c>
      <c r="E7493" t="s">
        <v>221</v>
      </c>
      <c r="F7493">
        <f t="shared" si="234"/>
        <v>1926</v>
      </c>
      <c r="G7493">
        <f t="shared" si="235"/>
        <v>9</v>
      </c>
      <c r="H7493" t="str">
        <f>IF(ISNUMBER(FIND(",", E7493)), TRIM(MID(E7493, FIND(",", E7493) + 1, LEN(E7493))), E7493)</f>
        <v>Solomon Islands</v>
      </c>
    </row>
    <row r="7494" spans="1:8" x14ac:dyDescent="0.25">
      <c r="A7494" s="2">
        <v>9750</v>
      </c>
      <c r="B7494">
        <v>-9.1519999999999992</v>
      </c>
      <c r="C7494">
        <v>110.70099999999999</v>
      </c>
      <c r="D7494" t="s">
        <v>13</v>
      </c>
      <c r="E7494" t="s">
        <v>212</v>
      </c>
      <c r="F7494">
        <f t="shared" si="234"/>
        <v>1926</v>
      </c>
      <c r="G7494">
        <f t="shared" si="235"/>
        <v>9</v>
      </c>
      <c r="H7494" t="str">
        <f>IF(ISNUMBER(FIND(",", E7494)), TRIM(MID(E7494, FIND(",", E7494) + 1, LEN(E7494))), E7494)</f>
        <v>Indonesia</v>
      </c>
    </row>
    <row r="7495" spans="1:8" x14ac:dyDescent="0.25">
      <c r="A7495" s="2">
        <v>9747</v>
      </c>
      <c r="B7495">
        <v>-3.5409999999999999</v>
      </c>
      <c r="C7495">
        <v>146.18799999999999</v>
      </c>
      <c r="D7495" t="s">
        <v>17</v>
      </c>
      <c r="E7495" t="s">
        <v>380</v>
      </c>
      <c r="F7495">
        <f t="shared" si="234"/>
        <v>1926</v>
      </c>
      <c r="G7495">
        <f t="shared" si="235"/>
        <v>9</v>
      </c>
      <c r="H7495" t="str">
        <f>IF(ISNUMBER(FIND(",", E7495)), TRIM(MID(E7495, FIND(",", E7495) + 1, LEN(E7495))), E7495)</f>
        <v>Bismarck Sea</v>
      </c>
    </row>
    <row r="7496" spans="1:8" x14ac:dyDescent="0.25">
      <c r="A7496" s="2">
        <v>9742</v>
      </c>
      <c r="B7496">
        <v>-34.020000000000003</v>
      </c>
      <c r="C7496">
        <v>58.226999999999997</v>
      </c>
      <c r="D7496" t="s">
        <v>14</v>
      </c>
      <c r="E7496" t="s">
        <v>473</v>
      </c>
      <c r="F7496">
        <f t="shared" si="234"/>
        <v>1926</v>
      </c>
      <c r="G7496">
        <f t="shared" si="235"/>
        <v>9</v>
      </c>
      <c r="H7496" t="str">
        <f>IF(ISNUMBER(FIND(",", E7496)), TRIM(MID(E7496, FIND(",", E7496) + 1, LEN(E7496))), E7496)</f>
        <v>South Indian Ocean</v>
      </c>
    </row>
    <row r="7497" spans="1:8" x14ac:dyDescent="0.25">
      <c r="A7497" s="2">
        <v>9739</v>
      </c>
      <c r="B7497">
        <v>36.901000000000003</v>
      </c>
      <c r="C7497">
        <v>22.995999999999999</v>
      </c>
      <c r="D7497" t="s">
        <v>13</v>
      </c>
      <c r="E7497" t="s">
        <v>398</v>
      </c>
      <c r="F7497">
        <f t="shared" si="234"/>
        <v>1926</v>
      </c>
      <c r="G7497">
        <f t="shared" si="235"/>
        <v>8</v>
      </c>
      <c r="H7497" t="str">
        <f>IF(ISNUMBER(FIND(",", E7497)), TRIM(MID(E7497, FIND(",", E7497) + 1, LEN(E7497))), E7497)</f>
        <v>southern Greece</v>
      </c>
    </row>
    <row r="7498" spans="1:8" x14ac:dyDescent="0.25">
      <c r="A7498" s="2">
        <v>9734</v>
      </c>
      <c r="B7498">
        <v>-23.007000000000001</v>
      </c>
      <c r="C7498">
        <v>171.822</v>
      </c>
      <c r="D7498" t="s">
        <v>14</v>
      </c>
      <c r="E7498" t="s">
        <v>254</v>
      </c>
      <c r="F7498">
        <f t="shared" si="234"/>
        <v>1926</v>
      </c>
      <c r="G7498">
        <f t="shared" si="235"/>
        <v>8</v>
      </c>
      <c r="H7498" t="str">
        <f>IF(ISNUMBER(FIND(",", E7498)), TRIM(MID(E7498, FIND(",", E7498) + 1, LEN(E7498))), E7498)</f>
        <v>southeast of the Loyalty Islands</v>
      </c>
    </row>
    <row r="7499" spans="1:8" x14ac:dyDescent="0.25">
      <c r="A7499" s="2">
        <v>9721</v>
      </c>
      <c r="B7499">
        <v>-23.138999999999999</v>
      </c>
      <c r="C7499">
        <v>-70.552000000000007</v>
      </c>
      <c r="D7499" t="s">
        <v>17</v>
      </c>
      <c r="E7499" t="s">
        <v>289</v>
      </c>
      <c r="F7499">
        <f t="shared" si="234"/>
        <v>1926</v>
      </c>
      <c r="G7499">
        <f t="shared" si="235"/>
        <v>8</v>
      </c>
      <c r="H7499" t="str">
        <f>IF(ISNUMBER(FIND(",", E7499)), TRIM(MID(E7499, FIND(",", E7499) + 1, LEN(E7499))), E7499)</f>
        <v>Chile</v>
      </c>
    </row>
    <row r="7500" spans="1:8" x14ac:dyDescent="0.25">
      <c r="A7500" s="2">
        <v>9712</v>
      </c>
      <c r="B7500">
        <v>-2.2170000000000001</v>
      </c>
      <c r="C7500">
        <v>126.379</v>
      </c>
      <c r="D7500" t="s">
        <v>17</v>
      </c>
      <c r="E7500" t="s">
        <v>279</v>
      </c>
      <c r="F7500">
        <f t="shared" si="234"/>
        <v>1926</v>
      </c>
      <c r="G7500">
        <f t="shared" si="235"/>
        <v>8</v>
      </c>
      <c r="H7500" t="str">
        <f>IF(ISNUMBER(FIND(",", E7500)), TRIM(MID(E7500, FIND(",", E7500) + 1, LEN(E7500))), E7500)</f>
        <v>Indonesia</v>
      </c>
    </row>
    <row r="7501" spans="1:8" x14ac:dyDescent="0.25">
      <c r="A7501" s="2">
        <v>9704</v>
      </c>
      <c r="B7501">
        <v>35.887</v>
      </c>
      <c r="C7501">
        <v>135.583</v>
      </c>
      <c r="D7501" t="s">
        <v>17</v>
      </c>
      <c r="E7501" t="s">
        <v>502</v>
      </c>
      <c r="F7501">
        <f t="shared" si="234"/>
        <v>1926</v>
      </c>
      <c r="G7501">
        <f t="shared" si="235"/>
        <v>7</v>
      </c>
      <c r="H7501" t="str">
        <f>IF(ISNUMBER(FIND(",", E7501)), TRIM(MID(E7501, FIND(",", E7501) + 1, LEN(E7501))), E7501)</f>
        <v>Japan</v>
      </c>
    </row>
    <row r="7502" spans="1:8" x14ac:dyDescent="0.25">
      <c r="A7502" s="2">
        <v>9688</v>
      </c>
      <c r="B7502">
        <v>0.73199999999999998</v>
      </c>
      <c r="C7502">
        <v>126.11199999999999</v>
      </c>
      <c r="D7502" t="s">
        <v>14</v>
      </c>
      <c r="E7502" t="s">
        <v>186</v>
      </c>
      <c r="F7502">
        <f t="shared" si="234"/>
        <v>1926</v>
      </c>
      <c r="G7502">
        <f t="shared" si="235"/>
        <v>7</v>
      </c>
      <c r="H7502" t="str">
        <f>IF(ISNUMBER(FIND(",", E7502)), TRIM(MID(E7502, FIND(",", E7502) + 1, LEN(E7502))), E7502)</f>
        <v>Molucca Sea</v>
      </c>
    </row>
    <row r="7503" spans="1:8" x14ac:dyDescent="0.25">
      <c r="A7503" s="2">
        <v>9679</v>
      </c>
      <c r="B7503">
        <v>-3.1309999999999998</v>
      </c>
      <c r="C7503">
        <v>100.56100000000001</v>
      </c>
      <c r="D7503" t="s">
        <v>17</v>
      </c>
      <c r="E7503" t="s">
        <v>209</v>
      </c>
      <c r="F7503">
        <f t="shared" si="234"/>
        <v>1926</v>
      </c>
      <c r="G7503">
        <f t="shared" si="235"/>
        <v>7</v>
      </c>
      <c r="H7503" t="str">
        <f>IF(ISNUMBER(FIND(",", E7503)), TRIM(MID(E7503, FIND(",", E7503) + 1, LEN(E7503))), E7503)</f>
        <v>Indonesia</v>
      </c>
    </row>
    <row r="7504" spans="1:8" x14ac:dyDescent="0.25">
      <c r="A7504" s="2">
        <v>9677</v>
      </c>
      <c r="B7504">
        <v>26.986000000000001</v>
      </c>
      <c r="C7504">
        <v>127.473</v>
      </c>
      <c r="D7504" t="s">
        <v>13</v>
      </c>
      <c r="E7504" t="s">
        <v>340</v>
      </c>
      <c r="F7504">
        <f t="shared" si="234"/>
        <v>1926</v>
      </c>
      <c r="G7504">
        <f t="shared" si="235"/>
        <v>6</v>
      </c>
      <c r="H7504" t="str">
        <f>IF(ISNUMBER(FIND(",", E7504)), TRIM(MID(E7504, FIND(",", E7504) + 1, LEN(E7504))), E7504)</f>
        <v>Japan</v>
      </c>
    </row>
    <row r="7505" spans="1:8" x14ac:dyDescent="0.25">
      <c r="A7505" s="2">
        <v>9676</v>
      </c>
      <c r="B7505">
        <v>-5.0999999999999997E-2</v>
      </c>
      <c r="C7505">
        <v>101.52200000000001</v>
      </c>
      <c r="D7505" t="s">
        <v>17</v>
      </c>
      <c r="E7505" t="s">
        <v>308</v>
      </c>
      <c r="F7505">
        <f t="shared" si="234"/>
        <v>1926</v>
      </c>
      <c r="G7505">
        <f t="shared" si="235"/>
        <v>6</v>
      </c>
      <c r="H7505" t="str">
        <f>IF(ISNUMBER(FIND(",", E7505)), TRIM(MID(E7505, FIND(",", E7505) + 1, LEN(E7505))), E7505)</f>
        <v>Indonesia</v>
      </c>
    </row>
    <row r="7506" spans="1:8" x14ac:dyDescent="0.25">
      <c r="A7506" s="2">
        <v>9674</v>
      </c>
      <c r="B7506">
        <v>36.604999999999997</v>
      </c>
      <c r="C7506">
        <v>26.888000000000002</v>
      </c>
      <c r="D7506" t="s">
        <v>13</v>
      </c>
      <c r="E7506" t="s">
        <v>228</v>
      </c>
      <c r="F7506">
        <f t="shared" si="234"/>
        <v>1926</v>
      </c>
      <c r="G7506">
        <f t="shared" si="235"/>
        <v>6</v>
      </c>
      <c r="H7506" t="str">
        <f>IF(ISNUMBER(FIND(",", E7506)), TRIM(MID(E7506, FIND(",", E7506) + 1, LEN(E7506))), E7506)</f>
        <v>Greece</v>
      </c>
    </row>
    <row r="7507" spans="1:8" x14ac:dyDescent="0.25">
      <c r="A7507" s="2">
        <v>9668</v>
      </c>
      <c r="B7507">
        <v>-56.726999999999997</v>
      </c>
      <c r="C7507">
        <v>-26.803000000000001</v>
      </c>
      <c r="D7507" t="s">
        <v>17</v>
      </c>
      <c r="E7507" t="s">
        <v>260</v>
      </c>
      <c r="F7507">
        <f t="shared" si="234"/>
        <v>1926</v>
      </c>
      <c r="G7507">
        <f t="shared" si="235"/>
        <v>6</v>
      </c>
      <c r="H7507" t="str">
        <f>IF(ISNUMBER(FIND(",", E7507)), TRIM(MID(E7507, FIND(",", E7507) + 1, LEN(E7507))), E7507)</f>
        <v>South Sandwich Islands region</v>
      </c>
    </row>
    <row r="7508" spans="1:8" x14ac:dyDescent="0.25">
      <c r="A7508" s="2">
        <v>9651</v>
      </c>
      <c r="B7508">
        <v>-15.048</v>
      </c>
      <c r="C7508">
        <v>168.19200000000001</v>
      </c>
      <c r="D7508" t="s">
        <v>13</v>
      </c>
      <c r="E7508" t="s">
        <v>181</v>
      </c>
      <c r="F7508">
        <f t="shared" si="234"/>
        <v>1926</v>
      </c>
      <c r="G7508">
        <f t="shared" si="235"/>
        <v>6</v>
      </c>
      <c r="H7508" t="str">
        <f>IF(ISNUMBER(FIND(",", E7508)), TRIM(MID(E7508, FIND(",", E7508) + 1, LEN(E7508))), E7508)</f>
        <v>Vanuatu</v>
      </c>
    </row>
    <row r="7509" spans="1:8" x14ac:dyDescent="0.25">
      <c r="A7509" s="2">
        <v>9615</v>
      </c>
      <c r="B7509">
        <v>-22.664999999999999</v>
      </c>
      <c r="C7509">
        <v>-68.164000000000001</v>
      </c>
      <c r="D7509" t="s">
        <v>13</v>
      </c>
      <c r="E7509" t="s">
        <v>289</v>
      </c>
      <c r="F7509">
        <f t="shared" si="234"/>
        <v>1926</v>
      </c>
      <c r="G7509">
        <f t="shared" si="235"/>
        <v>4</v>
      </c>
      <c r="H7509" t="str">
        <f>IF(ISNUMBER(FIND(",", E7509)), TRIM(MID(E7509, FIND(",", E7509) + 1, LEN(E7509))), E7509)</f>
        <v>Chile</v>
      </c>
    </row>
    <row r="7510" spans="1:8" x14ac:dyDescent="0.25">
      <c r="A7510" s="2">
        <v>9599</v>
      </c>
      <c r="B7510">
        <v>-10.709</v>
      </c>
      <c r="C7510">
        <v>160.626</v>
      </c>
      <c r="D7510" t="s">
        <v>16</v>
      </c>
      <c r="E7510" t="s">
        <v>221</v>
      </c>
      <c r="F7510">
        <f t="shared" si="234"/>
        <v>1926</v>
      </c>
      <c r="G7510">
        <f t="shared" si="235"/>
        <v>4</v>
      </c>
      <c r="H7510" t="str">
        <f>IF(ISNUMBER(FIND(",", E7510)), TRIM(MID(E7510, FIND(",", E7510) + 1, LEN(E7510))), E7510)</f>
        <v>Solomon Islands</v>
      </c>
    </row>
    <row r="7511" spans="1:8" x14ac:dyDescent="0.25">
      <c r="A7511" s="2">
        <v>9588</v>
      </c>
      <c r="B7511">
        <v>34.152000000000001</v>
      </c>
      <c r="C7511">
        <v>136.923</v>
      </c>
      <c r="D7511" t="s">
        <v>17</v>
      </c>
      <c r="E7511" t="s">
        <v>502</v>
      </c>
      <c r="F7511">
        <f t="shared" si="234"/>
        <v>1926</v>
      </c>
      <c r="G7511">
        <f t="shared" si="235"/>
        <v>4</v>
      </c>
      <c r="H7511" t="str">
        <f>IF(ISNUMBER(FIND(",", E7511)), TRIM(MID(E7511, FIND(",", E7511) + 1, LEN(E7511))), E7511)</f>
        <v>Japan</v>
      </c>
    </row>
    <row r="7512" spans="1:8" x14ac:dyDescent="0.25">
      <c r="A7512" s="2">
        <v>9583</v>
      </c>
      <c r="B7512">
        <v>-8.5630000000000006</v>
      </c>
      <c r="C7512">
        <v>160.554</v>
      </c>
      <c r="D7512" t="s">
        <v>16</v>
      </c>
      <c r="E7512" t="s">
        <v>221</v>
      </c>
      <c r="F7512">
        <f t="shared" si="234"/>
        <v>1926</v>
      </c>
      <c r="G7512">
        <f t="shared" si="235"/>
        <v>3</v>
      </c>
      <c r="H7512" t="str">
        <f>IF(ISNUMBER(FIND(",", E7512)), TRIM(MID(E7512, FIND(",", E7512) + 1, LEN(E7512))), E7512)</f>
        <v>Solomon Islands</v>
      </c>
    </row>
    <row r="7513" spans="1:8" x14ac:dyDescent="0.25">
      <c r="A7513" s="2">
        <v>9577</v>
      </c>
      <c r="B7513">
        <v>-60.631</v>
      </c>
      <c r="C7513">
        <v>-23.672999999999998</v>
      </c>
      <c r="D7513" t="s">
        <v>14</v>
      </c>
      <c r="E7513" t="s">
        <v>260</v>
      </c>
      <c r="F7513">
        <f t="shared" si="234"/>
        <v>1926</v>
      </c>
      <c r="G7513">
        <f t="shared" si="235"/>
        <v>3</v>
      </c>
      <c r="H7513" t="str">
        <f>IF(ISNUMBER(FIND(",", E7513)), TRIM(MID(E7513, FIND(",", E7513) + 1, LEN(E7513))), E7513)</f>
        <v>South Sandwich Islands region</v>
      </c>
    </row>
    <row r="7514" spans="1:8" x14ac:dyDescent="0.25">
      <c r="A7514" s="2">
        <v>9574</v>
      </c>
      <c r="B7514">
        <v>35.786999999999999</v>
      </c>
      <c r="C7514">
        <v>29.245999999999999</v>
      </c>
      <c r="D7514" t="s">
        <v>17</v>
      </c>
      <c r="E7514" t="s">
        <v>690</v>
      </c>
      <c r="F7514">
        <f t="shared" si="234"/>
        <v>1926</v>
      </c>
      <c r="G7514">
        <f t="shared" si="235"/>
        <v>3</v>
      </c>
      <c r="H7514" t="str">
        <f>IF(ISNUMBER(FIND(",", E7514)), TRIM(MID(E7514, FIND(",", E7514) + 1, LEN(E7514))), E7514)</f>
        <v>eastern Mediterranean Sea</v>
      </c>
    </row>
    <row r="7515" spans="1:8" x14ac:dyDescent="0.25">
      <c r="A7515" s="2">
        <v>9573</v>
      </c>
      <c r="B7515">
        <v>11.984</v>
      </c>
      <c r="C7515">
        <v>-82.064999999999998</v>
      </c>
      <c r="D7515" t="s">
        <v>17</v>
      </c>
      <c r="E7515" t="s">
        <v>598</v>
      </c>
      <c r="F7515">
        <f t="shared" si="234"/>
        <v>1926</v>
      </c>
      <c r="G7515">
        <f t="shared" si="235"/>
        <v>3</v>
      </c>
      <c r="H7515" t="str">
        <f>IF(ISNUMBER(FIND(",", E7515)), TRIM(MID(E7515, FIND(",", E7515) + 1, LEN(E7515))), E7515)</f>
        <v>north of Panama</v>
      </c>
    </row>
    <row r="7516" spans="1:8" x14ac:dyDescent="0.25">
      <c r="A7516" s="2">
        <v>9543</v>
      </c>
      <c r="B7516">
        <v>11.355</v>
      </c>
      <c r="C7516">
        <v>-91.793999999999997</v>
      </c>
      <c r="D7516" t="s">
        <v>17</v>
      </c>
      <c r="E7516" t="s">
        <v>617</v>
      </c>
      <c r="F7516">
        <f t="shared" si="234"/>
        <v>1926</v>
      </c>
      <c r="G7516">
        <f t="shared" si="235"/>
        <v>2</v>
      </c>
      <c r="H7516" t="str">
        <f>IF(ISNUMBER(FIND(",", E7516)), TRIM(MID(E7516, FIND(",", E7516) + 1, LEN(E7516))), E7516)</f>
        <v>off the coast of Central America</v>
      </c>
    </row>
    <row r="7517" spans="1:8" x14ac:dyDescent="0.25">
      <c r="A7517" s="2">
        <v>9536</v>
      </c>
      <c r="B7517">
        <v>12.010999999999999</v>
      </c>
      <c r="C7517">
        <v>-88.757999999999996</v>
      </c>
      <c r="D7517" t="s">
        <v>16</v>
      </c>
      <c r="E7517" t="s">
        <v>215</v>
      </c>
      <c r="F7517">
        <f t="shared" si="234"/>
        <v>1926</v>
      </c>
      <c r="G7517">
        <f t="shared" si="235"/>
        <v>2</v>
      </c>
      <c r="H7517" t="str">
        <f>IF(ISNUMBER(FIND(",", E7517)), TRIM(MID(E7517, FIND(",", E7517) + 1, LEN(E7517))), E7517)</f>
        <v>off the coast of El Salvador</v>
      </c>
    </row>
    <row r="7518" spans="1:8" x14ac:dyDescent="0.25">
      <c r="A7518" s="2">
        <v>9522</v>
      </c>
      <c r="B7518">
        <v>-9.9939999999999998</v>
      </c>
      <c r="C7518">
        <v>159.02699999999999</v>
      </c>
      <c r="D7518" t="s">
        <v>16</v>
      </c>
      <c r="E7518" t="s">
        <v>221</v>
      </c>
      <c r="F7518">
        <f t="shared" si="234"/>
        <v>1926</v>
      </c>
      <c r="G7518">
        <f t="shared" si="235"/>
        <v>1</v>
      </c>
      <c r="H7518" t="str">
        <f>IF(ISNUMBER(FIND(",", E7518)), TRIM(MID(E7518, FIND(",", E7518) + 1, LEN(E7518))), E7518)</f>
        <v>Solomon Islands</v>
      </c>
    </row>
    <row r="7519" spans="1:8" x14ac:dyDescent="0.25">
      <c r="A7519" s="2">
        <v>9515</v>
      </c>
      <c r="B7519">
        <v>-2.7770000000000001</v>
      </c>
      <c r="C7519">
        <v>88.254999999999995</v>
      </c>
      <c r="D7519" t="s">
        <v>17</v>
      </c>
      <c r="E7519" t="s">
        <v>473</v>
      </c>
      <c r="F7519">
        <f t="shared" si="234"/>
        <v>1926</v>
      </c>
      <c r="G7519">
        <f t="shared" si="235"/>
        <v>1</v>
      </c>
      <c r="H7519" t="str">
        <f>IF(ISNUMBER(FIND(",", E7519)), TRIM(MID(E7519, FIND(",", E7519) + 1, LEN(E7519))), E7519)</f>
        <v>South Indian Ocean</v>
      </c>
    </row>
    <row r="7520" spans="1:8" x14ac:dyDescent="0.25">
      <c r="A7520" s="2">
        <v>9488</v>
      </c>
      <c r="B7520">
        <v>20.538</v>
      </c>
      <c r="C7520">
        <v>101.667</v>
      </c>
      <c r="D7520" t="s">
        <v>17</v>
      </c>
      <c r="E7520" t="s">
        <v>425</v>
      </c>
      <c r="F7520">
        <f t="shared" si="234"/>
        <v>1925</v>
      </c>
      <c r="G7520">
        <f t="shared" si="235"/>
        <v>12</v>
      </c>
      <c r="H7520" t="str">
        <f>IF(ISNUMBER(FIND(",", E7520)), TRIM(MID(E7520, FIND(",", E7520) + 1, LEN(E7520))), E7520)</f>
        <v>Laos</v>
      </c>
    </row>
    <row r="7521" spans="1:8" x14ac:dyDescent="0.25">
      <c r="A7521" s="2">
        <v>9485</v>
      </c>
      <c r="B7521">
        <v>-32.341000000000001</v>
      </c>
      <c r="C7521">
        <v>-110.414</v>
      </c>
      <c r="D7521" t="s">
        <v>17</v>
      </c>
      <c r="E7521" t="s">
        <v>268</v>
      </c>
      <c r="F7521">
        <f t="shared" si="234"/>
        <v>1925</v>
      </c>
      <c r="G7521">
        <f t="shared" si="235"/>
        <v>12</v>
      </c>
      <c r="H7521" t="str">
        <f>IF(ISNUMBER(FIND(",", E7521)), TRIM(MID(E7521, FIND(",", E7521) + 1, LEN(E7521))), E7521)</f>
        <v>southern East Pacific Rise</v>
      </c>
    </row>
    <row r="7522" spans="1:8" x14ac:dyDescent="0.25">
      <c r="A7522" s="2">
        <v>9452</v>
      </c>
      <c r="B7522">
        <v>18.375</v>
      </c>
      <c r="C7522">
        <v>-106.809</v>
      </c>
      <c r="D7522" t="s">
        <v>14</v>
      </c>
      <c r="E7522" t="s">
        <v>315</v>
      </c>
      <c r="F7522">
        <f t="shared" si="234"/>
        <v>1925</v>
      </c>
      <c r="G7522">
        <f t="shared" si="235"/>
        <v>11</v>
      </c>
      <c r="H7522" t="str">
        <f>IF(ISNUMBER(FIND(",", E7522)), TRIM(MID(E7522, FIND(",", E7522) + 1, LEN(E7522))), E7522)</f>
        <v>Mexico</v>
      </c>
    </row>
    <row r="7523" spans="1:8" x14ac:dyDescent="0.25">
      <c r="A7523" s="2">
        <v>9449</v>
      </c>
      <c r="B7523">
        <v>12.726000000000001</v>
      </c>
      <c r="C7523">
        <v>124.849</v>
      </c>
      <c r="D7523" t="s">
        <v>16</v>
      </c>
      <c r="E7523" t="s">
        <v>394</v>
      </c>
      <c r="F7523">
        <f t="shared" si="234"/>
        <v>1925</v>
      </c>
      <c r="G7523">
        <f t="shared" si="235"/>
        <v>11</v>
      </c>
      <c r="H7523" t="str">
        <f>IF(ISNUMBER(FIND(",", E7523)), TRIM(MID(E7523, FIND(",", E7523) + 1, LEN(E7523))), E7523)</f>
        <v>Philippines</v>
      </c>
    </row>
    <row r="7524" spans="1:8" x14ac:dyDescent="0.25">
      <c r="A7524" s="2">
        <v>9446</v>
      </c>
      <c r="B7524">
        <v>-0.63300000000000001</v>
      </c>
      <c r="C7524">
        <v>130.267</v>
      </c>
      <c r="D7524" t="s">
        <v>16</v>
      </c>
      <c r="E7524" t="s">
        <v>513</v>
      </c>
      <c r="F7524">
        <f t="shared" si="234"/>
        <v>1925</v>
      </c>
      <c r="G7524">
        <f t="shared" si="235"/>
        <v>11</v>
      </c>
      <c r="H7524" t="str">
        <f>IF(ISNUMBER(FIND(",", E7524)), TRIM(MID(E7524, FIND(",", E7524) + 1, LEN(E7524))), E7524)</f>
        <v>Indonesia</v>
      </c>
    </row>
    <row r="7525" spans="1:8" x14ac:dyDescent="0.25">
      <c r="A7525" s="2">
        <v>9418</v>
      </c>
      <c r="B7525">
        <v>10.603999999999999</v>
      </c>
      <c r="C7525">
        <v>-42.128999999999998</v>
      </c>
      <c r="D7525" t="s">
        <v>14</v>
      </c>
      <c r="E7525" t="s">
        <v>325</v>
      </c>
      <c r="F7525">
        <f t="shared" si="234"/>
        <v>1925</v>
      </c>
      <c r="G7525">
        <f t="shared" si="235"/>
        <v>10</v>
      </c>
      <c r="H7525" t="str">
        <f>IF(ISNUMBER(FIND(",", E7525)), TRIM(MID(E7525, FIND(",", E7525) + 1, LEN(E7525))), E7525)</f>
        <v>northern Mid-Atlantic Ridge</v>
      </c>
    </row>
    <row r="7526" spans="1:8" x14ac:dyDescent="0.25">
      <c r="A7526" s="2">
        <v>9410</v>
      </c>
      <c r="B7526">
        <v>12.215999999999999</v>
      </c>
      <c r="C7526">
        <v>-85.870999999999995</v>
      </c>
      <c r="D7526" t="s">
        <v>17</v>
      </c>
      <c r="E7526" t="s">
        <v>270</v>
      </c>
      <c r="F7526">
        <f t="shared" si="234"/>
        <v>1925</v>
      </c>
      <c r="G7526">
        <f t="shared" si="235"/>
        <v>10</v>
      </c>
      <c r="H7526" t="str">
        <f>IF(ISNUMBER(FIND(",", E7526)), TRIM(MID(E7526, FIND(",", E7526) + 1, LEN(E7526))), E7526)</f>
        <v>Nicaragua</v>
      </c>
    </row>
    <row r="7527" spans="1:8" x14ac:dyDescent="0.25">
      <c r="A7527" s="2">
        <v>9363</v>
      </c>
      <c r="B7527">
        <v>55.131999999999998</v>
      </c>
      <c r="C7527">
        <v>167.68</v>
      </c>
      <c r="D7527" t="s">
        <v>14</v>
      </c>
      <c r="E7527" t="s">
        <v>443</v>
      </c>
      <c r="F7527">
        <f t="shared" si="234"/>
        <v>1925</v>
      </c>
      <c r="G7527">
        <f t="shared" si="235"/>
        <v>8</v>
      </c>
      <c r="H7527" t="str">
        <f>IF(ISNUMBER(FIND(",", E7527)), TRIM(MID(E7527, FIND(",", E7527) + 1, LEN(E7527))), E7527)</f>
        <v>Russia region</v>
      </c>
    </row>
    <row r="7528" spans="1:8" x14ac:dyDescent="0.25">
      <c r="A7528" s="2">
        <v>9351</v>
      </c>
      <c r="B7528">
        <v>18.401</v>
      </c>
      <c r="C7528">
        <v>-101.26300000000001</v>
      </c>
      <c r="D7528" t="s">
        <v>17</v>
      </c>
      <c r="E7528" t="s">
        <v>192</v>
      </c>
      <c r="F7528">
        <f t="shared" si="234"/>
        <v>1925</v>
      </c>
      <c r="G7528">
        <f t="shared" si="235"/>
        <v>8</v>
      </c>
      <c r="H7528" t="str">
        <f>IF(ISNUMBER(FIND(",", E7528)), TRIM(MID(E7528, FIND(",", E7528) + 1, LEN(E7528))), E7528)</f>
        <v>Mexico</v>
      </c>
    </row>
    <row r="7529" spans="1:8" x14ac:dyDescent="0.25">
      <c r="A7529" s="2">
        <v>9320</v>
      </c>
      <c r="B7529">
        <v>17.361999999999998</v>
      </c>
      <c r="C7529">
        <v>-60.741999999999997</v>
      </c>
      <c r="D7529" t="s">
        <v>17</v>
      </c>
      <c r="E7529" t="s">
        <v>651</v>
      </c>
      <c r="F7529">
        <f t="shared" si="234"/>
        <v>1925</v>
      </c>
      <c r="G7529">
        <f t="shared" si="235"/>
        <v>7</v>
      </c>
      <c r="H7529" t="str">
        <f>IF(ISNUMBER(FIND(",", E7529)), TRIM(MID(E7529, FIND(",", E7529) + 1, LEN(E7529))), E7529)</f>
        <v>Leeward Islands</v>
      </c>
    </row>
    <row r="7530" spans="1:8" x14ac:dyDescent="0.25">
      <c r="A7530" s="2">
        <v>9311</v>
      </c>
      <c r="B7530">
        <v>46.5</v>
      </c>
      <c r="C7530">
        <v>-111.473</v>
      </c>
      <c r="D7530" t="s">
        <v>17</v>
      </c>
      <c r="E7530" t="s">
        <v>735</v>
      </c>
      <c r="F7530">
        <f t="shared" si="234"/>
        <v>1925</v>
      </c>
      <c r="G7530">
        <f t="shared" si="235"/>
        <v>6</v>
      </c>
      <c r="H7530" t="str">
        <f>IF(ISNUMBER(FIND(",", E7530)), TRIM(MID(E7530, FIND(",", E7530) + 1, LEN(E7530))), E7530)</f>
        <v>western Montana</v>
      </c>
    </row>
    <row r="7531" spans="1:8" x14ac:dyDescent="0.25">
      <c r="A7531" s="2">
        <v>9306</v>
      </c>
      <c r="B7531">
        <v>-0.11</v>
      </c>
      <c r="C7531">
        <v>-77.039000000000001</v>
      </c>
      <c r="D7531" t="s">
        <v>17</v>
      </c>
      <c r="E7531" t="s">
        <v>316</v>
      </c>
      <c r="F7531">
        <f t="shared" si="234"/>
        <v>1925</v>
      </c>
      <c r="G7531">
        <f t="shared" si="235"/>
        <v>6</v>
      </c>
      <c r="H7531" t="str">
        <f>IF(ISNUMBER(FIND(",", E7531)), TRIM(MID(E7531, FIND(",", E7531) + 1, LEN(E7531))), E7531)</f>
        <v>Ecuador</v>
      </c>
    </row>
    <row r="7532" spans="1:8" x14ac:dyDescent="0.25">
      <c r="A7532" s="2">
        <v>9292</v>
      </c>
      <c r="B7532">
        <v>-4.1420000000000003</v>
      </c>
      <c r="C7532">
        <v>143.09800000000001</v>
      </c>
      <c r="D7532" t="s">
        <v>14</v>
      </c>
      <c r="E7532" t="s">
        <v>253</v>
      </c>
      <c r="F7532">
        <f t="shared" si="234"/>
        <v>1925</v>
      </c>
      <c r="G7532">
        <f t="shared" si="235"/>
        <v>6</v>
      </c>
      <c r="H7532" t="str">
        <f>IF(ISNUMBER(FIND(",", E7532)), TRIM(MID(E7532, FIND(",", E7532) + 1, LEN(E7532))), E7532)</f>
        <v>Papua New Guinea</v>
      </c>
    </row>
    <row r="7533" spans="1:8" x14ac:dyDescent="0.25">
      <c r="A7533" s="2">
        <v>9290</v>
      </c>
      <c r="B7533">
        <v>4.0289999999999999</v>
      </c>
      <c r="C7533">
        <v>-76.078999999999994</v>
      </c>
      <c r="D7533" t="s">
        <v>17</v>
      </c>
      <c r="E7533" t="s">
        <v>206</v>
      </c>
      <c r="F7533">
        <f t="shared" si="234"/>
        <v>1925</v>
      </c>
      <c r="G7533">
        <f t="shared" si="235"/>
        <v>6</v>
      </c>
      <c r="H7533" t="str">
        <f>IF(ISNUMBER(FIND(",", E7533)), TRIM(MID(E7533, FIND(",", E7533) + 1, LEN(E7533))), E7533)</f>
        <v>Colombia</v>
      </c>
    </row>
    <row r="7534" spans="1:8" x14ac:dyDescent="0.25">
      <c r="A7534" s="2">
        <v>9286</v>
      </c>
      <c r="B7534">
        <v>1.4670000000000001</v>
      </c>
      <c r="C7534">
        <v>126.193</v>
      </c>
      <c r="D7534" t="s">
        <v>14</v>
      </c>
      <c r="E7534" t="s">
        <v>186</v>
      </c>
      <c r="F7534">
        <f t="shared" si="234"/>
        <v>1925</v>
      </c>
      <c r="G7534">
        <f t="shared" si="235"/>
        <v>6</v>
      </c>
      <c r="H7534" t="str">
        <f>IF(ISNUMBER(FIND(",", E7534)), TRIM(MID(E7534, FIND(",", E7534) + 1, LEN(E7534))), E7534)</f>
        <v>Molucca Sea</v>
      </c>
    </row>
    <row r="7535" spans="1:8" x14ac:dyDescent="0.25">
      <c r="A7535" s="2">
        <v>9275</v>
      </c>
      <c r="B7535">
        <v>35.6</v>
      </c>
      <c r="C7535">
        <v>134.80000000000001</v>
      </c>
      <c r="D7535" t="s">
        <v>17</v>
      </c>
      <c r="E7535" t="s">
        <v>502</v>
      </c>
      <c r="F7535">
        <f t="shared" si="234"/>
        <v>1925</v>
      </c>
      <c r="G7535">
        <f t="shared" si="235"/>
        <v>5</v>
      </c>
      <c r="H7535" t="str">
        <f>IF(ISNUMBER(FIND(",", E7535)), TRIM(MID(E7535, FIND(",", E7535) + 1, LEN(E7535))), E7535)</f>
        <v>Japan</v>
      </c>
    </row>
    <row r="7536" spans="1:8" x14ac:dyDescent="0.25">
      <c r="A7536" s="2">
        <v>9271</v>
      </c>
      <c r="B7536">
        <v>-34.207999999999998</v>
      </c>
      <c r="C7536">
        <v>57.88</v>
      </c>
      <c r="D7536" t="s">
        <v>17</v>
      </c>
      <c r="E7536" t="s">
        <v>473</v>
      </c>
      <c r="F7536">
        <f t="shared" si="234"/>
        <v>1925</v>
      </c>
      <c r="G7536">
        <f t="shared" si="235"/>
        <v>5</v>
      </c>
      <c r="H7536" t="str">
        <f>IF(ISNUMBER(FIND(",", E7536)), TRIM(MID(E7536, FIND(",", E7536) + 1, LEN(E7536))), E7536)</f>
        <v>South Indian Ocean</v>
      </c>
    </row>
    <row r="7537" spans="1:8" x14ac:dyDescent="0.25">
      <c r="A7537" s="2">
        <v>9267</v>
      </c>
      <c r="B7537">
        <v>-25.5</v>
      </c>
      <c r="C7537">
        <v>-70.546000000000006</v>
      </c>
      <c r="D7537" t="s">
        <v>14</v>
      </c>
      <c r="E7537" t="s">
        <v>289</v>
      </c>
      <c r="F7537">
        <f t="shared" si="234"/>
        <v>1925</v>
      </c>
      <c r="G7537">
        <f t="shared" si="235"/>
        <v>5</v>
      </c>
      <c r="H7537" t="str">
        <f>IF(ISNUMBER(FIND(",", E7537)), TRIM(MID(E7537, FIND(",", E7537) + 1, LEN(E7537))), E7537)</f>
        <v>Chile</v>
      </c>
    </row>
    <row r="7538" spans="1:8" x14ac:dyDescent="0.25">
      <c r="A7538" s="2">
        <v>9257</v>
      </c>
      <c r="B7538">
        <v>9.7170000000000005</v>
      </c>
      <c r="C7538">
        <v>123.13800000000001</v>
      </c>
      <c r="D7538" t="s">
        <v>17</v>
      </c>
      <c r="E7538" t="s">
        <v>257</v>
      </c>
      <c r="F7538">
        <f t="shared" si="234"/>
        <v>1925</v>
      </c>
      <c r="G7538">
        <f t="shared" si="235"/>
        <v>5</v>
      </c>
      <c r="H7538" t="str">
        <f>IF(ISNUMBER(FIND(",", E7538)), TRIM(MID(E7538, FIND(",", E7538) + 1, LEN(E7538))), E7538)</f>
        <v>Philippines</v>
      </c>
    </row>
    <row r="7539" spans="1:8" x14ac:dyDescent="0.25">
      <c r="A7539" s="2">
        <v>9255</v>
      </c>
      <c r="B7539">
        <v>-34.106999999999999</v>
      </c>
      <c r="C7539">
        <v>57.95</v>
      </c>
      <c r="D7539" t="s">
        <v>14</v>
      </c>
      <c r="E7539" t="s">
        <v>473</v>
      </c>
      <c r="F7539">
        <f t="shared" si="234"/>
        <v>1925</v>
      </c>
      <c r="G7539">
        <f t="shared" si="235"/>
        <v>5</v>
      </c>
      <c r="H7539" t="str">
        <f>IF(ISNUMBER(FIND(",", E7539)), TRIM(MID(E7539, FIND(",", E7539) + 1, LEN(E7539))), E7539)</f>
        <v>South Indian Ocean</v>
      </c>
    </row>
    <row r="7540" spans="1:8" x14ac:dyDescent="0.25">
      <c r="A7540" s="2">
        <v>9255</v>
      </c>
      <c r="B7540">
        <v>1.216</v>
      </c>
      <c r="C7540">
        <v>126.57599999999999</v>
      </c>
      <c r="D7540" t="s">
        <v>14</v>
      </c>
      <c r="E7540" t="s">
        <v>186</v>
      </c>
      <c r="F7540">
        <f t="shared" si="234"/>
        <v>1925</v>
      </c>
      <c r="G7540">
        <f t="shared" si="235"/>
        <v>5</v>
      </c>
      <c r="H7540" t="str">
        <f>IF(ISNUMBER(FIND(",", E7540)), TRIM(MID(E7540, FIND(",", E7540) + 1, LEN(E7540))), E7540)</f>
        <v>Molucca Sea</v>
      </c>
    </row>
    <row r="7541" spans="1:8" x14ac:dyDescent="0.25">
      <c r="A7541" s="2">
        <v>9241</v>
      </c>
      <c r="B7541">
        <v>33.512999999999998</v>
      </c>
      <c r="C7541">
        <v>137.83500000000001</v>
      </c>
      <c r="D7541" t="s">
        <v>17</v>
      </c>
      <c r="E7541" t="s">
        <v>360</v>
      </c>
      <c r="F7541">
        <f t="shared" si="234"/>
        <v>1925</v>
      </c>
      <c r="G7541">
        <f t="shared" si="235"/>
        <v>4</v>
      </c>
      <c r="H7541" t="str">
        <f>IF(ISNUMBER(FIND(",", E7541)), TRIM(MID(E7541, FIND(",", E7541) + 1, LEN(E7541))), E7541)</f>
        <v>Japan</v>
      </c>
    </row>
    <row r="7542" spans="1:8" x14ac:dyDescent="0.25">
      <c r="A7542" s="2">
        <v>9238</v>
      </c>
      <c r="B7542">
        <v>21.797999999999998</v>
      </c>
      <c r="C7542">
        <v>121.111</v>
      </c>
      <c r="D7542" t="s">
        <v>14</v>
      </c>
      <c r="E7542" t="s">
        <v>363</v>
      </c>
      <c r="F7542">
        <f t="shared" si="234"/>
        <v>1925</v>
      </c>
      <c r="G7542">
        <f t="shared" si="235"/>
        <v>4</v>
      </c>
      <c r="H7542" t="str">
        <f>IF(ISNUMBER(FIND(",", E7542)), TRIM(MID(E7542, FIND(",", E7542) + 1, LEN(E7542))), E7542)</f>
        <v>Taiwan region</v>
      </c>
    </row>
    <row r="7543" spans="1:8" x14ac:dyDescent="0.25">
      <c r="A7543" s="2">
        <v>9233</v>
      </c>
      <c r="B7543">
        <v>-34.238</v>
      </c>
      <c r="C7543">
        <v>58.267000000000003</v>
      </c>
      <c r="D7543" t="s">
        <v>14</v>
      </c>
      <c r="E7543" t="s">
        <v>473</v>
      </c>
      <c r="F7543">
        <f t="shared" si="234"/>
        <v>1925</v>
      </c>
      <c r="G7543">
        <f t="shared" si="235"/>
        <v>4</v>
      </c>
      <c r="H7543" t="str">
        <f>IF(ISNUMBER(FIND(",", E7543)), TRIM(MID(E7543, FIND(",", E7543) + 1, LEN(E7543))), E7543)</f>
        <v>South Indian Ocean</v>
      </c>
    </row>
    <row r="7544" spans="1:8" x14ac:dyDescent="0.25">
      <c r="A7544" s="2">
        <v>9213</v>
      </c>
      <c r="B7544">
        <v>-18.581</v>
      </c>
      <c r="C7544">
        <v>168.529</v>
      </c>
      <c r="D7544" t="s">
        <v>16</v>
      </c>
      <c r="E7544" t="s">
        <v>181</v>
      </c>
      <c r="F7544">
        <f t="shared" si="234"/>
        <v>1925</v>
      </c>
      <c r="G7544">
        <f t="shared" si="235"/>
        <v>3</v>
      </c>
      <c r="H7544" t="str">
        <f>IF(ISNUMBER(FIND(",", E7544)), TRIM(MID(E7544, FIND(",", E7544) + 1, LEN(E7544))), E7544)</f>
        <v>Vanuatu</v>
      </c>
    </row>
    <row r="7545" spans="1:8" x14ac:dyDescent="0.25">
      <c r="A7545" s="2">
        <v>9207</v>
      </c>
      <c r="B7545">
        <v>25.687999999999999</v>
      </c>
      <c r="C7545">
        <v>100.494</v>
      </c>
      <c r="D7545" t="s">
        <v>14</v>
      </c>
      <c r="E7545" t="s">
        <v>423</v>
      </c>
      <c r="F7545">
        <f t="shared" si="234"/>
        <v>1925</v>
      </c>
      <c r="G7545">
        <f t="shared" si="235"/>
        <v>3</v>
      </c>
      <c r="H7545" t="str">
        <f>IF(ISNUMBER(FIND(",", E7545)), TRIM(MID(E7545, FIND(",", E7545) + 1, LEN(E7545))), E7545)</f>
        <v>China</v>
      </c>
    </row>
    <row r="7546" spans="1:8" x14ac:dyDescent="0.25">
      <c r="A7546" s="2">
        <v>9183</v>
      </c>
      <c r="B7546">
        <v>45.5</v>
      </c>
      <c r="C7546">
        <v>150.5</v>
      </c>
      <c r="D7546" t="s">
        <v>18</v>
      </c>
      <c r="E7546" t="s">
        <v>191</v>
      </c>
      <c r="F7546">
        <f t="shared" si="234"/>
        <v>1925</v>
      </c>
      <c r="G7546">
        <f t="shared" si="235"/>
        <v>2</v>
      </c>
      <c r="H7546" t="str">
        <f>IF(ISNUMBER(FIND(",", E7546)), TRIM(MID(E7546, FIND(",", E7546) + 1, LEN(E7546))), E7546)</f>
        <v>Kuril Islands</v>
      </c>
    </row>
    <row r="7547" spans="1:8" x14ac:dyDescent="0.25">
      <c r="A7547" s="2">
        <v>9179</v>
      </c>
      <c r="B7547">
        <v>-58.005000000000003</v>
      </c>
      <c r="C7547">
        <v>-6.9320000000000004</v>
      </c>
      <c r="D7547" t="s">
        <v>17</v>
      </c>
      <c r="E7547" t="s">
        <v>422</v>
      </c>
      <c r="F7547">
        <f t="shared" si="234"/>
        <v>1925</v>
      </c>
      <c r="G7547">
        <f t="shared" si="235"/>
        <v>2</v>
      </c>
      <c r="H7547" t="str">
        <f>IF(ISNUMBER(FIND(",", E7547)), TRIM(MID(E7547, FIND(",", E7547) + 1, LEN(E7547))), E7547)</f>
        <v>southern Mid-Atlantic Ridge</v>
      </c>
    </row>
    <row r="7548" spans="1:8" x14ac:dyDescent="0.25">
      <c r="A7548" s="2">
        <v>9165</v>
      </c>
      <c r="B7548">
        <v>43</v>
      </c>
      <c r="C7548">
        <v>148</v>
      </c>
      <c r="D7548" t="s">
        <v>18</v>
      </c>
      <c r="E7548" t="s">
        <v>191</v>
      </c>
      <c r="F7548">
        <f t="shared" si="234"/>
        <v>1925</v>
      </c>
      <c r="G7548">
        <f t="shared" si="235"/>
        <v>2</v>
      </c>
      <c r="H7548" t="str">
        <f>IF(ISNUMBER(FIND(",", E7548)), TRIM(MID(E7548, FIND(",", E7548) + 1, LEN(E7548))), E7548)</f>
        <v>Kuril Islands</v>
      </c>
    </row>
    <row r="7549" spans="1:8" x14ac:dyDescent="0.25">
      <c r="A7549" s="2">
        <v>9160</v>
      </c>
      <c r="B7549">
        <v>43.5</v>
      </c>
      <c r="C7549">
        <v>147.5</v>
      </c>
      <c r="D7549" t="s">
        <v>18</v>
      </c>
      <c r="E7549" t="s">
        <v>191</v>
      </c>
      <c r="F7549">
        <f t="shared" si="234"/>
        <v>1925</v>
      </c>
      <c r="G7549">
        <f t="shared" si="235"/>
        <v>1</v>
      </c>
      <c r="H7549" t="str">
        <f>IF(ISNUMBER(FIND(",", E7549)), TRIM(MID(E7549, FIND(",", E7549) + 1, LEN(E7549))), E7549)</f>
        <v>Kuril Islands</v>
      </c>
    </row>
    <row r="7550" spans="1:8" x14ac:dyDescent="0.25">
      <c r="A7550" s="2">
        <v>9153</v>
      </c>
      <c r="B7550">
        <v>-55</v>
      </c>
      <c r="C7550">
        <v>-24</v>
      </c>
      <c r="D7550" t="s">
        <v>17</v>
      </c>
      <c r="E7550" t="s">
        <v>260</v>
      </c>
      <c r="F7550">
        <f t="shared" si="234"/>
        <v>1925</v>
      </c>
      <c r="G7550">
        <f t="shared" si="235"/>
        <v>1</v>
      </c>
      <c r="H7550" t="str">
        <f>IF(ISNUMBER(FIND(",", E7550)), TRIM(MID(E7550, FIND(",", E7550) + 1, LEN(E7550))), E7550)</f>
        <v>South Sandwich Islands region</v>
      </c>
    </row>
    <row r="7551" spans="1:8" x14ac:dyDescent="0.25">
      <c r="A7551" s="2">
        <v>9150</v>
      </c>
      <c r="B7551">
        <v>47.911999999999999</v>
      </c>
      <c r="C7551">
        <v>153.63499999999999</v>
      </c>
      <c r="D7551" t="s">
        <v>16</v>
      </c>
      <c r="E7551" t="s">
        <v>191</v>
      </c>
      <c r="F7551">
        <f t="shared" si="234"/>
        <v>1925</v>
      </c>
      <c r="G7551">
        <f t="shared" si="235"/>
        <v>1</v>
      </c>
      <c r="H7551" t="str">
        <f>IF(ISNUMBER(FIND(",", E7551)), TRIM(MID(E7551, FIND(",", E7551) + 1, LEN(E7551))), E7551)</f>
        <v>Kuril Islands</v>
      </c>
    </row>
    <row r="7552" spans="1:8" x14ac:dyDescent="0.25">
      <c r="A7552" s="2">
        <v>9129</v>
      </c>
      <c r="B7552">
        <v>43.396999999999998</v>
      </c>
      <c r="C7552">
        <v>146.57900000000001</v>
      </c>
      <c r="D7552" t="s">
        <v>14</v>
      </c>
      <c r="E7552" t="s">
        <v>191</v>
      </c>
      <c r="F7552">
        <f t="shared" si="234"/>
        <v>1924</v>
      </c>
      <c r="G7552">
        <f t="shared" si="235"/>
        <v>12</v>
      </c>
      <c r="H7552" t="str">
        <f>IF(ISNUMBER(FIND(",", E7552)), TRIM(MID(E7552, FIND(",", E7552) + 1, LEN(E7552))), E7552)</f>
        <v>Kuril Islands</v>
      </c>
    </row>
    <row r="7553" spans="1:8" x14ac:dyDescent="0.25">
      <c r="A7553" s="2">
        <v>9128</v>
      </c>
      <c r="B7553">
        <v>44.158999999999999</v>
      </c>
      <c r="C7553">
        <v>146.37</v>
      </c>
      <c r="D7553" t="s">
        <v>13</v>
      </c>
      <c r="E7553" t="s">
        <v>191</v>
      </c>
      <c r="F7553">
        <f t="shared" si="234"/>
        <v>1924</v>
      </c>
      <c r="G7553">
        <f t="shared" si="235"/>
        <v>12</v>
      </c>
      <c r="H7553" t="str">
        <f>IF(ISNUMBER(FIND(",", E7553)), TRIM(MID(E7553, FIND(",", E7553) + 1, LEN(E7553))), E7553)</f>
        <v>Kuril Islands</v>
      </c>
    </row>
    <row r="7554" spans="1:8" x14ac:dyDescent="0.25">
      <c r="A7554" s="2">
        <v>9096</v>
      </c>
      <c r="B7554">
        <v>45.5</v>
      </c>
      <c r="C7554">
        <v>142</v>
      </c>
      <c r="D7554" t="s">
        <v>18</v>
      </c>
      <c r="E7554" t="s">
        <v>265</v>
      </c>
      <c r="F7554">
        <f t="shared" ref="F7554:F7617" si="236">YEAR(A7554)</f>
        <v>1924</v>
      </c>
      <c r="G7554">
        <f t="shared" si="235"/>
        <v>11</v>
      </c>
      <c r="H7554" t="str">
        <f>IF(ISNUMBER(FIND(",", E7554)), TRIM(MID(E7554, FIND(",", E7554) + 1, LEN(E7554))), E7554)</f>
        <v>Japan region</v>
      </c>
    </row>
    <row r="7555" spans="1:8" x14ac:dyDescent="0.25">
      <c r="A7555" s="2">
        <v>9058</v>
      </c>
      <c r="B7555">
        <v>2.8140000000000001</v>
      </c>
      <c r="C7555">
        <v>-80.168999999999997</v>
      </c>
      <c r="D7555" t="s">
        <v>17</v>
      </c>
      <c r="E7555" t="s">
        <v>231</v>
      </c>
      <c r="F7555">
        <f t="shared" si="236"/>
        <v>1924</v>
      </c>
      <c r="G7555">
        <f t="shared" ref="G7555:G7618" si="237">MONTH(A7555)</f>
        <v>10</v>
      </c>
      <c r="H7555" t="str">
        <f>IF(ISNUMBER(FIND(",", E7555)), TRIM(MID(E7555, FIND(",", E7555) + 1, LEN(E7555))), E7555)</f>
        <v>south of Panama</v>
      </c>
    </row>
    <row r="7556" spans="1:8" x14ac:dyDescent="0.25">
      <c r="A7556" s="2">
        <v>9053</v>
      </c>
      <c r="B7556">
        <v>36.521999999999998</v>
      </c>
      <c r="C7556">
        <v>70.831000000000003</v>
      </c>
      <c r="D7556" t="s">
        <v>13</v>
      </c>
      <c r="E7556" t="s">
        <v>314</v>
      </c>
      <c r="F7556">
        <f t="shared" si="236"/>
        <v>1924</v>
      </c>
      <c r="G7556">
        <f t="shared" si="237"/>
        <v>10</v>
      </c>
      <c r="H7556" t="str">
        <f>IF(ISNUMBER(FIND(",", E7556)), TRIM(MID(E7556, FIND(",", E7556) + 1, LEN(E7556))), E7556)</f>
        <v>Afghanistan</v>
      </c>
    </row>
    <row r="7557" spans="1:8" x14ac:dyDescent="0.25">
      <c r="A7557" s="2">
        <v>9028</v>
      </c>
      <c r="B7557">
        <v>36.299999999999997</v>
      </c>
      <c r="C7557">
        <v>140.19999999999999</v>
      </c>
      <c r="D7557" t="s">
        <v>18</v>
      </c>
      <c r="E7557" t="s">
        <v>227</v>
      </c>
      <c r="F7557">
        <f t="shared" si="236"/>
        <v>1924</v>
      </c>
      <c r="G7557">
        <f t="shared" si="237"/>
        <v>9</v>
      </c>
      <c r="H7557" t="str">
        <f>IF(ISNUMBER(FIND(",", E7557)), TRIM(MID(E7557, FIND(",", E7557) + 1, LEN(E7557))), E7557)</f>
        <v>Japan</v>
      </c>
    </row>
    <row r="7558" spans="1:8" x14ac:dyDescent="0.25">
      <c r="A7558" s="2">
        <v>9023</v>
      </c>
      <c r="B7558">
        <v>39.863999999999997</v>
      </c>
      <c r="C7558">
        <v>41.875999999999998</v>
      </c>
      <c r="D7558" t="s">
        <v>17</v>
      </c>
      <c r="E7558" t="s">
        <v>272</v>
      </c>
      <c r="F7558">
        <f t="shared" si="236"/>
        <v>1924</v>
      </c>
      <c r="G7558">
        <f t="shared" si="237"/>
        <v>9</v>
      </c>
      <c r="H7558" t="str">
        <f>IF(ISNUMBER(FIND(",", E7558)), TRIM(MID(E7558, FIND(",", E7558) + 1, LEN(E7558))), E7558)</f>
        <v>eastern Turkey</v>
      </c>
    </row>
    <row r="7559" spans="1:8" x14ac:dyDescent="0.25">
      <c r="A7559" s="2">
        <v>9009</v>
      </c>
      <c r="B7559">
        <v>8.6449999999999996</v>
      </c>
      <c r="C7559">
        <v>126.53100000000001</v>
      </c>
      <c r="D7559" t="s">
        <v>16</v>
      </c>
      <c r="E7559" t="s">
        <v>200</v>
      </c>
      <c r="F7559">
        <f t="shared" si="236"/>
        <v>1924</v>
      </c>
      <c r="G7559">
        <f t="shared" si="237"/>
        <v>8</v>
      </c>
      <c r="H7559" t="str">
        <f>IF(ISNUMBER(FIND(",", E7559)), TRIM(MID(E7559, FIND(",", E7559) + 1, LEN(E7559))), E7559)</f>
        <v>Philippines</v>
      </c>
    </row>
    <row r="7560" spans="1:8" x14ac:dyDescent="0.25">
      <c r="A7560" s="2">
        <v>9004</v>
      </c>
      <c r="B7560">
        <v>36.200000000000003</v>
      </c>
      <c r="C7560">
        <v>142</v>
      </c>
      <c r="D7560" t="s">
        <v>18</v>
      </c>
      <c r="E7560" t="s">
        <v>189</v>
      </c>
      <c r="F7560">
        <f t="shared" si="236"/>
        <v>1924</v>
      </c>
      <c r="G7560">
        <f t="shared" si="237"/>
        <v>8</v>
      </c>
      <c r="H7560" t="str">
        <f>IF(ISNUMBER(FIND(",", E7560)), TRIM(MID(E7560, FIND(",", E7560) + 1, LEN(E7560))), E7560)</f>
        <v>Japan</v>
      </c>
    </row>
    <row r="7561" spans="1:8" x14ac:dyDescent="0.25">
      <c r="A7561" s="2">
        <v>9004</v>
      </c>
      <c r="B7561">
        <v>-44.863</v>
      </c>
      <c r="C7561">
        <v>34.929000000000002</v>
      </c>
      <c r="D7561" t="s">
        <v>17</v>
      </c>
      <c r="E7561" t="s">
        <v>369</v>
      </c>
      <c r="F7561">
        <f t="shared" si="236"/>
        <v>1924</v>
      </c>
      <c r="G7561">
        <f t="shared" si="237"/>
        <v>8</v>
      </c>
      <c r="H7561" t="str">
        <f>IF(ISNUMBER(FIND(",", E7561)), TRIM(MID(E7561, FIND(",", E7561) + 1, LEN(E7561))), E7561)</f>
        <v>Prince Edward Islands region</v>
      </c>
    </row>
    <row r="7562" spans="1:8" x14ac:dyDescent="0.25">
      <c r="A7562" s="2">
        <v>8996</v>
      </c>
      <c r="B7562">
        <v>36</v>
      </c>
      <c r="C7562">
        <v>142.5</v>
      </c>
      <c r="D7562" t="s">
        <v>18</v>
      </c>
      <c r="E7562" t="s">
        <v>189</v>
      </c>
      <c r="F7562">
        <f t="shared" si="236"/>
        <v>1924</v>
      </c>
      <c r="G7562">
        <f t="shared" si="237"/>
        <v>8</v>
      </c>
      <c r="H7562" t="str">
        <f>IF(ISNUMBER(FIND(",", E7562)), TRIM(MID(E7562, FIND(",", E7562) + 1, LEN(E7562))), E7562)</f>
        <v>Japan</v>
      </c>
    </row>
    <row r="7563" spans="1:8" x14ac:dyDescent="0.25">
      <c r="A7563" s="2">
        <v>8993</v>
      </c>
      <c r="B7563">
        <v>36.299999999999997</v>
      </c>
      <c r="C7563">
        <v>142.19999999999999</v>
      </c>
      <c r="D7563" t="s">
        <v>18</v>
      </c>
      <c r="E7563" t="s">
        <v>189</v>
      </c>
      <c r="F7563">
        <f t="shared" si="236"/>
        <v>1924</v>
      </c>
      <c r="G7563">
        <f t="shared" si="237"/>
        <v>8</v>
      </c>
      <c r="H7563" t="str">
        <f>IF(ISNUMBER(FIND(",", E7563)), TRIM(MID(E7563, FIND(",", E7563) + 1, LEN(E7563))), E7563)</f>
        <v>Japan</v>
      </c>
    </row>
    <row r="7564" spans="1:8" x14ac:dyDescent="0.25">
      <c r="A7564" s="2">
        <v>8993</v>
      </c>
      <c r="B7564">
        <v>36.133000000000003</v>
      </c>
      <c r="C7564">
        <v>141.892</v>
      </c>
      <c r="D7564" t="s">
        <v>14</v>
      </c>
      <c r="E7564" t="s">
        <v>227</v>
      </c>
      <c r="F7564">
        <f t="shared" si="236"/>
        <v>1924</v>
      </c>
      <c r="G7564">
        <f t="shared" si="237"/>
        <v>8</v>
      </c>
      <c r="H7564" t="str">
        <f>IF(ISNUMBER(FIND(",", E7564)), TRIM(MID(E7564, FIND(",", E7564) + 1, LEN(E7564))), E7564)</f>
        <v>Japan</v>
      </c>
    </row>
    <row r="7565" spans="1:8" x14ac:dyDescent="0.25">
      <c r="A7565" s="2">
        <v>8989</v>
      </c>
      <c r="B7565">
        <v>-30.864999999999998</v>
      </c>
      <c r="C7565">
        <v>-177.18899999999999</v>
      </c>
      <c r="D7565" t="s">
        <v>17</v>
      </c>
      <c r="E7565" t="s">
        <v>288</v>
      </c>
      <c r="F7565">
        <f t="shared" si="236"/>
        <v>1924</v>
      </c>
      <c r="G7565">
        <f t="shared" si="237"/>
        <v>8</v>
      </c>
      <c r="H7565" t="str">
        <f>IF(ISNUMBER(FIND(",", E7565)), TRIM(MID(E7565, FIND(",", E7565) + 1, LEN(E7565))), E7565)</f>
        <v>New Zealand</v>
      </c>
    </row>
    <row r="7566" spans="1:8" x14ac:dyDescent="0.25">
      <c r="A7566" s="2">
        <v>8977</v>
      </c>
      <c r="B7566">
        <v>-3.3860000000000001</v>
      </c>
      <c r="C7566">
        <v>121.196</v>
      </c>
      <c r="D7566" t="s">
        <v>17</v>
      </c>
      <c r="E7566" t="s">
        <v>182</v>
      </c>
      <c r="F7566">
        <f t="shared" si="236"/>
        <v>1924</v>
      </c>
      <c r="G7566">
        <f t="shared" si="237"/>
        <v>7</v>
      </c>
      <c r="H7566" t="str">
        <f>IF(ISNUMBER(FIND(",", E7566)), TRIM(MID(E7566, FIND(",", E7566) + 1, LEN(E7566))), E7566)</f>
        <v>Indonesia</v>
      </c>
    </row>
    <row r="7567" spans="1:8" x14ac:dyDescent="0.25">
      <c r="A7567" s="2">
        <v>8972</v>
      </c>
      <c r="B7567">
        <v>-49.862000000000002</v>
      </c>
      <c r="C7567">
        <v>159.82400000000001</v>
      </c>
      <c r="D7567" t="s">
        <v>14</v>
      </c>
      <c r="E7567" t="s">
        <v>415</v>
      </c>
      <c r="F7567">
        <f t="shared" si="236"/>
        <v>1924</v>
      </c>
      <c r="G7567">
        <f t="shared" si="237"/>
        <v>7</v>
      </c>
      <c r="H7567" t="str">
        <f>IF(ISNUMBER(FIND(",", E7567)), TRIM(MID(E7567, FIND(",", E7567) + 1, LEN(E7567))), E7567)</f>
        <v>north of Macquarie Island</v>
      </c>
    </row>
    <row r="7568" spans="1:8" x14ac:dyDescent="0.25">
      <c r="A7568" s="2">
        <v>8970</v>
      </c>
      <c r="B7568">
        <v>23.7</v>
      </c>
      <c r="C7568">
        <v>122</v>
      </c>
      <c r="D7568" t="s">
        <v>18</v>
      </c>
      <c r="E7568" t="s">
        <v>363</v>
      </c>
      <c r="F7568">
        <f t="shared" si="236"/>
        <v>1924</v>
      </c>
      <c r="G7568">
        <f t="shared" si="237"/>
        <v>7</v>
      </c>
      <c r="H7568" t="str">
        <f>IF(ISNUMBER(FIND(",", E7568)), TRIM(MID(E7568, FIND(",", E7568) + 1, LEN(E7568))), E7568)</f>
        <v>Taiwan region</v>
      </c>
    </row>
    <row r="7569" spans="1:8" x14ac:dyDescent="0.25">
      <c r="A7569" s="2">
        <v>8960</v>
      </c>
      <c r="B7569">
        <v>40.564999999999998</v>
      </c>
      <c r="C7569">
        <v>73.397000000000006</v>
      </c>
      <c r="D7569" t="s">
        <v>17</v>
      </c>
      <c r="E7569" t="s">
        <v>284</v>
      </c>
      <c r="F7569">
        <f t="shared" si="236"/>
        <v>1924</v>
      </c>
      <c r="G7569">
        <f t="shared" si="237"/>
        <v>7</v>
      </c>
      <c r="H7569" t="str">
        <f>IF(ISNUMBER(FIND(",", E7569)), TRIM(MID(E7569, FIND(",", E7569) + 1, LEN(E7569))), E7569)</f>
        <v>Kyrgyzstan</v>
      </c>
    </row>
    <row r="7570" spans="1:8" x14ac:dyDescent="0.25">
      <c r="A7570" s="2">
        <v>8959</v>
      </c>
      <c r="B7570">
        <v>36.790999999999997</v>
      </c>
      <c r="C7570">
        <v>83.957999999999998</v>
      </c>
      <c r="D7570" t="s">
        <v>16</v>
      </c>
      <c r="E7570" t="s">
        <v>482</v>
      </c>
      <c r="F7570">
        <f t="shared" si="236"/>
        <v>1924</v>
      </c>
      <c r="G7570">
        <f t="shared" si="237"/>
        <v>7</v>
      </c>
      <c r="H7570" t="str">
        <f>IF(ISNUMBER(FIND(",", E7570)), TRIM(MID(E7570, FIND(",", E7570) + 1, LEN(E7570))), E7570)</f>
        <v>China</v>
      </c>
    </row>
    <row r="7571" spans="1:8" x14ac:dyDescent="0.25">
      <c r="A7571" s="2">
        <v>8954</v>
      </c>
      <c r="B7571">
        <v>7.0510000000000002</v>
      </c>
      <c r="C7571">
        <v>-78.454999999999998</v>
      </c>
      <c r="D7571" t="s">
        <v>17</v>
      </c>
      <c r="E7571" t="s">
        <v>367</v>
      </c>
      <c r="F7571">
        <f t="shared" si="236"/>
        <v>1924</v>
      </c>
      <c r="G7571">
        <f t="shared" si="237"/>
        <v>7</v>
      </c>
      <c r="H7571" t="str">
        <f>IF(ISNUMBER(FIND(",", E7571)), TRIM(MID(E7571, FIND(",", E7571) + 1, LEN(E7571))), E7571)</f>
        <v>Panama</v>
      </c>
    </row>
    <row r="7572" spans="1:8" x14ac:dyDescent="0.25">
      <c r="A7572" s="2">
        <v>8951</v>
      </c>
      <c r="B7572">
        <v>36.631999999999998</v>
      </c>
      <c r="C7572">
        <v>83.903000000000006</v>
      </c>
      <c r="D7572" t="s">
        <v>16</v>
      </c>
      <c r="E7572" t="s">
        <v>482</v>
      </c>
      <c r="F7572">
        <f t="shared" si="236"/>
        <v>1924</v>
      </c>
      <c r="G7572">
        <f t="shared" si="237"/>
        <v>7</v>
      </c>
      <c r="H7572" t="str">
        <f>IF(ISNUMBER(FIND(",", E7572)), TRIM(MID(E7572, FIND(",", E7572) + 1, LEN(E7572))), E7572)</f>
        <v>China</v>
      </c>
    </row>
    <row r="7573" spans="1:8" x14ac:dyDescent="0.25">
      <c r="A7573" s="2">
        <v>8948</v>
      </c>
      <c r="B7573">
        <v>44.737000000000002</v>
      </c>
      <c r="C7573">
        <v>147.416</v>
      </c>
      <c r="D7573" t="s">
        <v>13</v>
      </c>
      <c r="E7573" t="s">
        <v>191</v>
      </c>
      <c r="F7573">
        <f t="shared" si="236"/>
        <v>1924</v>
      </c>
      <c r="G7573">
        <f t="shared" si="237"/>
        <v>6</v>
      </c>
      <c r="H7573" t="str">
        <f>IF(ISNUMBER(FIND(",", E7573)), TRIM(MID(E7573, FIND(",", E7573) + 1, LEN(E7573))), E7573)</f>
        <v>Kuril Islands</v>
      </c>
    </row>
    <row r="7574" spans="1:8" x14ac:dyDescent="0.25">
      <c r="A7574" s="2">
        <v>8944</v>
      </c>
      <c r="B7574">
        <v>-56.406999999999996</v>
      </c>
      <c r="C7574">
        <v>158.489</v>
      </c>
      <c r="D7574" t="s">
        <v>14</v>
      </c>
      <c r="E7574" t="s">
        <v>350</v>
      </c>
      <c r="F7574">
        <f t="shared" si="236"/>
        <v>1924</v>
      </c>
      <c r="G7574">
        <f t="shared" si="237"/>
        <v>6</v>
      </c>
      <c r="H7574" t="str">
        <f>IF(ISNUMBER(FIND(",", E7574)), TRIM(MID(E7574, FIND(",", E7574) + 1, LEN(E7574))), E7574)</f>
        <v>Macquarie Island region</v>
      </c>
    </row>
    <row r="7575" spans="1:8" x14ac:dyDescent="0.25">
      <c r="A7575" s="2">
        <v>8915</v>
      </c>
      <c r="B7575">
        <v>48.384999999999998</v>
      </c>
      <c r="C7575">
        <v>145.74799999999999</v>
      </c>
      <c r="D7575" t="s">
        <v>13</v>
      </c>
      <c r="E7575" t="s">
        <v>74</v>
      </c>
      <c r="F7575">
        <f t="shared" si="236"/>
        <v>1924</v>
      </c>
      <c r="G7575">
        <f t="shared" si="237"/>
        <v>5</v>
      </c>
      <c r="H7575" t="str">
        <f>IF(ISNUMBER(FIND(",", E7575)), TRIM(MID(E7575, FIND(",", E7575) + 1, LEN(E7575))), E7575)</f>
        <v>Sea of Okhotsk</v>
      </c>
    </row>
    <row r="7576" spans="1:8" x14ac:dyDescent="0.25">
      <c r="A7576" s="2">
        <v>8893</v>
      </c>
      <c r="B7576">
        <v>15.935</v>
      </c>
      <c r="C7576">
        <v>118.95</v>
      </c>
      <c r="D7576" t="s">
        <v>14</v>
      </c>
      <c r="E7576" t="s">
        <v>213</v>
      </c>
      <c r="F7576">
        <f t="shared" si="236"/>
        <v>1924</v>
      </c>
      <c r="G7576">
        <f t="shared" si="237"/>
        <v>5</v>
      </c>
      <c r="H7576" t="str">
        <f>IF(ISNUMBER(FIND(",", E7576)), TRIM(MID(E7576, FIND(",", E7576) + 1, LEN(E7576))), E7576)</f>
        <v>Philippine Islands region</v>
      </c>
    </row>
    <row r="7577" spans="1:8" x14ac:dyDescent="0.25">
      <c r="A7577" s="2">
        <v>8891</v>
      </c>
      <c r="B7577">
        <v>-21.504000000000001</v>
      </c>
      <c r="C7577">
        <v>-178.441</v>
      </c>
      <c r="D7577" t="s">
        <v>13</v>
      </c>
      <c r="E7577" t="s">
        <v>53</v>
      </c>
      <c r="F7577">
        <f t="shared" si="236"/>
        <v>1924</v>
      </c>
      <c r="G7577">
        <f t="shared" si="237"/>
        <v>5</v>
      </c>
      <c r="H7577" t="str">
        <f>IF(ISNUMBER(FIND(",", E7577)), TRIM(MID(E7577, FIND(",", E7577) + 1, LEN(E7577))), E7577)</f>
        <v>Fiji region</v>
      </c>
    </row>
    <row r="7578" spans="1:8" x14ac:dyDescent="0.25">
      <c r="A7578" s="2">
        <v>8871</v>
      </c>
      <c r="B7578">
        <v>7.0229999999999997</v>
      </c>
      <c r="C7578">
        <v>125.95399999999999</v>
      </c>
      <c r="D7578" t="s">
        <v>16</v>
      </c>
      <c r="E7578" t="s">
        <v>200</v>
      </c>
      <c r="F7578">
        <f t="shared" si="236"/>
        <v>1924</v>
      </c>
      <c r="G7578">
        <f t="shared" si="237"/>
        <v>4</v>
      </c>
      <c r="H7578" t="str">
        <f>IF(ISNUMBER(FIND(",", E7578)), TRIM(MID(E7578, FIND(",", E7578) + 1, LEN(E7578))), E7578)</f>
        <v>Philippines</v>
      </c>
    </row>
    <row r="7579" spans="1:8" x14ac:dyDescent="0.25">
      <c r="A7579" s="2">
        <v>8841</v>
      </c>
      <c r="B7579">
        <v>49.125999999999998</v>
      </c>
      <c r="C7579">
        <v>143.142</v>
      </c>
      <c r="D7579" t="s">
        <v>14</v>
      </c>
      <c r="E7579" t="s">
        <v>514</v>
      </c>
      <c r="F7579">
        <f t="shared" si="236"/>
        <v>1924</v>
      </c>
      <c r="G7579">
        <f t="shared" si="237"/>
        <v>3</v>
      </c>
      <c r="H7579" t="str">
        <f>IF(ISNUMBER(FIND(",", E7579)), TRIM(MID(E7579, FIND(",", E7579) + 1, LEN(E7579))), E7579)</f>
        <v>Russia</v>
      </c>
    </row>
    <row r="7580" spans="1:8" x14ac:dyDescent="0.25">
      <c r="A7580" s="2">
        <v>8837</v>
      </c>
      <c r="B7580">
        <v>-3.5030000000000001</v>
      </c>
      <c r="C7580">
        <v>-81.686000000000007</v>
      </c>
      <c r="D7580" t="s">
        <v>17</v>
      </c>
      <c r="E7580" t="s">
        <v>376</v>
      </c>
      <c r="F7580">
        <f t="shared" si="236"/>
        <v>1924</v>
      </c>
      <c r="G7580">
        <f t="shared" si="237"/>
        <v>3</v>
      </c>
      <c r="H7580" t="str">
        <f>IF(ISNUMBER(FIND(",", E7580)), TRIM(MID(E7580, FIND(",", E7580) + 1, LEN(E7580))), E7580)</f>
        <v>near the coast of northern Peru</v>
      </c>
    </row>
    <row r="7581" spans="1:8" x14ac:dyDescent="0.25">
      <c r="A7581" s="2">
        <v>8831</v>
      </c>
      <c r="B7581">
        <v>-6.5709999999999997</v>
      </c>
      <c r="C7581">
        <v>129.67400000000001</v>
      </c>
      <c r="D7581" t="s">
        <v>17</v>
      </c>
      <c r="E7581" t="s">
        <v>187</v>
      </c>
      <c r="F7581">
        <f t="shared" si="236"/>
        <v>1924</v>
      </c>
      <c r="G7581">
        <f t="shared" si="237"/>
        <v>3</v>
      </c>
      <c r="H7581" t="str">
        <f>IF(ISNUMBER(FIND(",", E7581)), TRIM(MID(E7581, FIND(",", E7581) + 1, LEN(E7581))), E7581)</f>
        <v>Banda Sea</v>
      </c>
    </row>
    <row r="7582" spans="1:8" x14ac:dyDescent="0.25">
      <c r="A7582" s="2">
        <v>8830</v>
      </c>
      <c r="B7582">
        <v>9.5570000000000004</v>
      </c>
      <c r="C7582">
        <v>-83.843999999999994</v>
      </c>
      <c r="D7582" t="s">
        <v>14</v>
      </c>
      <c r="E7582" t="s">
        <v>202</v>
      </c>
      <c r="F7582">
        <f t="shared" si="236"/>
        <v>1924</v>
      </c>
      <c r="G7582">
        <f t="shared" si="237"/>
        <v>3</v>
      </c>
      <c r="H7582" t="str">
        <f>IF(ISNUMBER(FIND(",", E7582)), TRIM(MID(E7582, FIND(",", E7582) + 1, LEN(E7582))), E7582)</f>
        <v>Costa Rica</v>
      </c>
    </row>
    <row r="7583" spans="1:8" x14ac:dyDescent="0.25">
      <c r="A7583" s="2">
        <v>8826</v>
      </c>
      <c r="B7583">
        <v>-49.694000000000003</v>
      </c>
      <c r="C7583">
        <v>30.282</v>
      </c>
      <c r="D7583" t="s">
        <v>17</v>
      </c>
      <c r="E7583" t="s">
        <v>465</v>
      </c>
      <c r="F7583">
        <f t="shared" si="236"/>
        <v>1924</v>
      </c>
      <c r="G7583">
        <f t="shared" si="237"/>
        <v>2</v>
      </c>
      <c r="H7583" t="str">
        <f>IF(ISNUMBER(FIND(",", E7583)), TRIM(MID(E7583, FIND(",", E7583) + 1, LEN(E7583))), E7583)</f>
        <v>south of Africa</v>
      </c>
    </row>
    <row r="7584" spans="1:8" x14ac:dyDescent="0.25">
      <c r="A7584" s="2">
        <v>8787</v>
      </c>
      <c r="B7584">
        <v>56.619</v>
      </c>
      <c r="C7584">
        <v>145.166</v>
      </c>
      <c r="D7584" t="s">
        <v>13</v>
      </c>
      <c r="E7584" t="s">
        <v>74</v>
      </c>
      <c r="F7584">
        <f t="shared" si="236"/>
        <v>1924</v>
      </c>
      <c r="G7584">
        <f t="shared" si="237"/>
        <v>1</v>
      </c>
      <c r="H7584" t="str">
        <f>IF(ISNUMBER(FIND(",", E7584)), TRIM(MID(E7584, FIND(",", E7584) + 1, LEN(E7584))), E7584)</f>
        <v>Sea of Okhotsk</v>
      </c>
    </row>
    <row r="7585" spans="1:8" x14ac:dyDescent="0.25">
      <c r="A7585" s="2">
        <v>8782</v>
      </c>
      <c r="B7585">
        <v>-22.027999999999999</v>
      </c>
      <c r="C7585">
        <v>-177.90899999999999</v>
      </c>
      <c r="D7585" t="s">
        <v>13</v>
      </c>
      <c r="E7585" t="s">
        <v>256</v>
      </c>
      <c r="F7585">
        <f t="shared" si="236"/>
        <v>1924</v>
      </c>
      <c r="G7585">
        <f t="shared" si="237"/>
        <v>1</v>
      </c>
      <c r="H7585" t="str">
        <f>IF(ISNUMBER(FIND(",", E7585)), TRIM(MID(E7585, FIND(",", E7585) + 1, LEN(E7585))), E7585)</f>
        <v>south of the Fiji Islands</v>
      </c>
    </row>
    <row r="7586" spans="1:8" x14ac:dyDescent="0.25">
      <c r="A7586" s="2">
        <v>8780</v>
      </c>
      <c r="B7586">
        <v>35.5</v>
      </c>
      <c r="C7586">
        <v>139.19999999999999</v>
      </c>
      <c r="D7586" t="s">
        <v>18</v>
      </c>
      <c r="E7586" t="s">
        <v>360</v>
      </c>
      <c r="F7586">
        <f t="shared" si="236"/>
        <v>1924</v>
      </c>
      <c r="G7586">
        <f t="shared" si="237"/>
        <v>1</v>
      </c>
      <c r="H7586" t="str">
        <f>IF(ISNUMBER(FIND(",", E7586)), TRIM(MID(E7586, FIND(",", E7586) + 1, LEN(E7586))), E7586)</f>
        <v>Japan</v>
      </c>
    </row>
    <row r="7587" spans="1:8" x14ac:dyDescent="0.25">
      <c r="A7587" s="2">
        <v>8739</v>
      </c>
      <c r="B7587">
        <v>33.299999999999997</v>
      </c>
      <c r="C7587">
        <v>134</v>
      </c>
      <c r="D7587" t="s">
        <v>18</v>
      </c>
      <c r="E7587" t="s">
        <v>670</v>
      </c>
      <c r="F7587">
        <f t="shared" si="236"/>
        <v>1923</v>
      </c>
      <c r="G7587">
        <f t="shared" si="237"/>
        <v>12</v>
      </c>
      <c r="H7587" t="str">
        <f>IF(ISNUMBER(FIND(",", E7587)), TRIM(MID(E7587, FIND(",", E7587) + 1, LEN(E7587))), E7587)</f>
        <v>Japan</v>
      </c>
    </row>
    <row r="7588" spans="1:8" x14ac:dyDescent="0.25">
      <c r="A7588" s="2">
        <v>8711</v>
      </c>
      <c r="B7588">
        <v>29.2</v>
      </c>
      <c r="C7588">
        <v>130.4</v>
      </c>
      <c r="D7588" t="s">
        <v>18</v>
      </c>
      <c r="E7588" t="s">
        <v>340</v>
      </c>
      <c r="F7588">
        <f t="shared" si="236"/>
        <v>1923</v>
      </c>
      <c r="G7588">
        <f t="shared" si="237"/>
        <v>11</v>
      </c>
      <c r="H7588" t="str">
        <f>IF(ISNUMBER(FIND(",", E7588)), TRIM(MID(E7588, FIND(",", E7588) + 1, LEN(E7588))), E7588)</f>
        <v>Japan</v>
      </c>
    </row>
    <row r="7589" spans="1:8" x14ac:dyDescent="0.25">
      <c r="A7589" s="2">
        <v>8710</v>
      </c>
      <c r="B7589">
        <v>29.646000000000001</v>
      </c>
      <c r="C7589">
        <v>129.636</v>
      </c>
      <c r="D7589" t="s">
        <v>16</v>
      </c>
      <c r="E7589" t="s">
        <v>340</v>
      </c>
      <c r="F7589">
        <f t="shared" si="236"/>
        <v>1923</v>
      </c>
      <c r="G7589">
        <f t="shared" si="237"/>
        <v>11</v>
      </c>
      <c r="H7589" t="str">
        <f>IF(ISNUMBER(FIND(",", E7589)), TRIM(MID(E7589, FIND(",", E7589) + 1, LEN(E7589))), E7589)</f>
        <v>Japan</v>
      </c>
    </row>
    <row r="7590" spans="1:8" x14ac:dyDescent="0.25">
      <c r="A7590" s="2">
        <v>8709</v>
      </c>
      <c r="B7590">
        <v>-4.5389999999999997</v>
      </c>
      <c r="C7590">
        <v>153.107</v>
      </c>
      <c r="D7590" t="s">
        <v>13</v>
      </c>
      <c r="E7590" t="s">
        <v>183</v>
      </c>
      <c r="F7590">
        <f t="shared" si="236"/>
        <v>1923</v>
      </c>
      <c r="G7590">
        <f t="shared" si="237"/>
        <v>11</v>
      </c>
      <c r="H7590" t="str">
        <f>IF(ISNUMBER(FIND(",", E7590)), TRIM(MID(E7590, FIND(",", E7590) + 1, LEN(E7590))), E7590)</f>
        <v>Papua New Guinea</v>
      </c>
    </row>
    <row r="7591" spans="1:8" x14ac:dyDescent="0.25">
      <c r="A7591" s="2">
        <v>8708</v>
      </c>
      <c r="B7591">
        <v>29.4</v>
      </c>
      <c r="C7591">
        <v>130.80000000000001</v>
      </c>
      <c r="D7591" t="s">
        <v>18</v>
      </c>
      <c r="E7591" t="s">
        <v>340</v>
      </c>
      <c r="F7591">
        <f t="shared" si="236"/>
        <v>1923</v>
      </c>
      <c r="G7591">
        <f t="shared" si="237"/>
        <v>11</v>
      </c>
      <c r="H7591" t="str">
        <f>IF(ISNUMBER(FIND(",", E7591)), TRIM(MID(E7591, FIND(",", E7591) + 1, LEN(E7591))), E7591)</f>
        <v>Japan</v>
      </c>
    </row>
    <row r="7592" spans="1:8" x14ac:dyDescent="0.25">
      <c r="A7592" s="2">
        <v>8707</v>
      </c>
      <c r="B7592">
        <v>-4.6529999999999996</v>
      </c>
      <c r="C7592">
        <v>154.232</v>
      </c>
      <c r="D7592" t="s">
        <v>13</v>
      </c>
      <c r="E7592" t="s">
        <v>290</v>
      </c>
      <c r="F7592">
        <f t="shared" si="236"/>
        <v>1923</v>
      </c>
      <c r="G7592">
        <f t="shared" si="237"/>
        <v>11</v>
      </c>
      <c r="H7592" t="str">
        <f>IF(ISNUMBER(FIND(",", E7592)), TRIM(MID(E7592, FIND(",", E7592) + 1, LEN(E7592))), E7592)</f>
        <v>Papua New Guinea</v>
      </c>
    </row>
    <row r="7593" spans="1:8" x14ac:dyDescent="0.25">
      <c r="A7593" s="2">
        <v>8681</v>
      </c>
      <c r="B7593">
        <v>-1.2010000000000001</v>
      </c>
      <c r="C7593">
        <v>129.48599999999999</v>
      </c>
      <c r="D7593" t="s">
        <v>16</v>
      </c>
      <c r="E7593" t="s">
        <v>513</v>
      </c>
      <c r="F7593">
        <f t="shared" si="236"/>
        <v>1923</v>
      </c>
      <c r="G7593">
        <f t="shared" si="237"/>
        <v>10</v>
      </c>
      <c r="H7593" t="str">
        <f>IF(ISNUMBER(FIND(",", E7593)), TRIM(MID(E7593, FIND(",", E7593) + 1, LEN(E7593))), E7593)</f>
        <v>Indonesia</v>
      </c>
    </row>
    <row r="7594" spans="1:8" x14ac:dyDescent="0.25">
      <c r="A7594" s="2">
        <v>8670</v>
      </c>
      <c r="B7594">
        <v>34.799999999999997</v>
      </c>
      <c r="C7594">
        <v>139.4</v>
      </c>
      <c r="D7594" t="s">
        <v>18</v>
      </c>
      <c r="E7594" t="s">
        <v>360</v>
      </c>
      <c r="F7594">
        <f t="shared" si="236"/>
        <v>1923</v>
      </c>
      <c r="G7594">
        <f t="shared" si="237"/>
        <v>9</v>
      </c>
      <c r="H7594" t="str">
        <f>IF(ISNUMBER(FIND(",", E7594)), TRIM(MID(E7594, FIND(",", E7594) + 1, LEN(E7594))), E7594)</f>
        <v>Japan</v>
      </c>
    </row>
    <row r="7595" spans="1:8" x14ac:dyDescent="0.25">
      <c r="A7595" s="2">
        <v>8666</v>
      </c>
      <c r="B7595">
        <v>29.12</v>
      </c>
      <c r="C7595">
        <v>56.927999999999997</v>
      </c>
      <c r="D7595" t="s">
        <v>17</v>
      </c>
      <c r="E7595" t="s">
        <v>390</v>
      </c>
      <c r="F7595">
        <f t="shared" si="236"/>
        <v>1923</v>
      </c>
      <c r="G7595">
        <f t="shared" si="237"/>
        <v>9</v>
      </c>
      <c r="H7595" t="str">
        <f>IF(ISNUMBER(FIND(",", E7595)), TRIM(MID(E7595, FIND(",", E7595) + 1, LEN(E7595))), E7595)</f>
        <v>southern Iran</v>
      </c>
    </row>
    <row r="7596" spans="1:8" x14ac:dyDescent="0.25">
      <c r="A7596" s="2">
        <v>8653</v>
      </c>
      <c r="B7596">
        <v>24.943000000000001</v>
      </c>
      <c r="C7596">
        <v>90.32</v>
      </c>
      <c r="D7596" t="s">
        <v>14</v>
      </c>
      <c r="E7596" t="s">
        <v>736</v>
      </c>
      <c r="F7596">
        <f t="shared" si="236"/>
        <v>1923</v>
      </c>
      <c r="G7596">
        <f t="shared" si="237"/>
        <v>9</v>
      </c>
      <c r="H7596" t="str">
        <f>IF(ISNUMBER(FIND(",", E7596)), TRIM(MID(E7596, FIND(",", E7596) + 1, LEN(E7596))), E7596)</f>
        <v>Bangladesh</v>
      </c>
    </row>
    <row r="7597" spans="1:8" x14ac:dyDescent="0.25">
      <c r="A7597" s="2">
        <v>8646</v>
      </c>
      <c r="B7597">
        <v>-15.538</v>
      </c>
      <c r="C7597">
        <v>-66.605000000000004</v>
      </c>
      <c r="D7597" t="s">
        <v>13</v>
      </c>
      <c r="E7597" t="s">
        <v>266</v>
      </c>
      <c r="F7597">
        <f t="shared" si="236"/>
        <v>1923</v>
      </c>
      <c r="G7597">
        <f t="shared" si="237"/>
        <v>9</v>
      </c>
      <c r="H7597" t="str">
        <f>IF(ISNUMBER(FIND(",", E7597)), TRIM(MID(E7597, FIND(",", E7597) + 1, LEN(E7597))), E7597)</f>
        <v>Bolivia</v>
      </c>
    </row>
    <row r="7598" spans="1:8" x14ac:dyDescent="0.25">
      <c r="A7598" s="2">
        <v>8646</v>
      </c>
      <c r="B7598">
        <v>35.299999999999997</v>
      </c>
      <c r="C7598">
        <v>139.1</v>
      </c>
      <c r="D7598" t="s">
        <v>18</v>
      </c>
      <c r="E7598" t="s">
        <v>360</v>
      </c>
      <c r="F7598">
        <f t="shared" si="236"/>
        <v>1923</v>
      </c>
      <c r="G7598">
        <f t="shared" si="237"/>
        <v>9</v>
      </c>
      <c r="H7598" t="str">
        <f>IF(ISNUMBER(FIND(",", E7598)), TRIM(MID(E7598, FIND(",", E7598) + 1, LEN(E7598))), E7598)</f>
        <v>Japan</v>
      </c>
    </row>
    <row r="7599" spans="1:8" x14ac:dyDescent="0.25">
      <c r="A7599" s="2">
        <v>8646</v>
      </c>
      <c r="B7599">
        <v>34.9</v>
      </c>
      <c r="C7599">
        <v>140.5</v>
      </c>
      <c r="D7599" t="s">
        <v>18</v>
      </c>
      <c r="E7599" t="s">
        <v>227</v>
      </c>
      <c r="F7599">
        <f t="shared" si="236"/>
        <v>1923</v>
      </c>
      <c r="G7599">
        <f t="shared" si="237"/>
        <v>9</v>
      </c>
      <c r="H7599" t="str">
        <f>IF(ISNUMBER(FIND(",", E7599)), TRIM(MID(E7599, FIND(",", E7599) + 1, LEN(E7599))), E7599)</f>
        <v>Japan</v>
      </c>
    </row>
    <row r="7600" spans="1:8" x14ac:dyDescent="0.25">
      <c r="A7600" s="2">
        <v>8646</v>
      </c>
      <c r="B7600">
        <v>34.9</v>
      </c>
      <c r="C7600">
        <v>140.19999999999999</v>
      </c>
      <c r="D7600" t="s">
        <v>16</v>
      </c>
      <c r="E7600" t="s">
        <v>227</v>
      </c>
      <c r="F7600">
        <f t="shared" si="236"/>
        <v>1923</v>
      </c>
      <c r="G7600">
        <f t="shared" si="237"/>
        <v>9</v>
      </c>
      <c r="H7600" t="str">
        <f>IF(ISNUMBER(FIND(",", E7600)), TRIM(MID(E7600, FIND(",", E7600) + 1, LEN(E7600))), E7600)</f>
        <v>Japan</v>
      </c>
    </row>
    <row r="7601" spans="1:8" x14ac:dyDescent="0.25">
      <c r="A7601" s="2">
        <v>8645</v>
      </c>
      <c r="B7601">
        <v>35.5</v>
      </c>
      <c r="C7601">
        <v>138.9</v>
      </c>
      <c r="D7601" t="s">
        <v>18</v>
      </c>
      <c r="E7601" t="s">
        <v>293</v>
      </c>
      <c r="F7601">
        <f t="shared" si="236"/>
        <v>1923</v>
      </c>
      <c r="G7601">
        <f t="shared" si="237"/>
        <v>9</v>
      </c>
      <c r="H7601" t="str">
        <f>IF(ISNUMBER(FIND(",", E7601)), TRIM(MID(E7601, FIND(",", E7601) + 1, LEN(E7601))), E7601)</f>
        <v>Japan</v>
      </c>
    </row>
    <row r="7602" spans="1:8" x14ac:dyDescent="0.25">
      <c r="A7602" s="2">
        <v>8645</v>
      </c>
      <c r="B7602">
        <v>35.5</v>
      </c>
      <c r="C7602">
        <v>140.5</v>
      </c>
      <c r="D7602" t="s">
        <v>18</v>
      </c>
      <c r="E7602" t="s">
        <v>227</v>
      </c>
      <c r="F7602">
        <f t="shared" si="236"/>
        <v>1923</v>
      </c>
      <c r="G7602">
        <f t="shared" si="237"/>
        <v>9</v>
      </c>
      <c r="H7602" t="str">
        <f>IF(ISNUMBER(FIND(",", E7602)), TRIM(MID(E7602, FIND(",", E7602) + 1, LEN(E7602))), E7602)</f>
        <v>Japan</v>
      </c>
    </row>
    <row r="7603" spans="1:8" x14ac:dyDescent="0.25">
      <c r="A7603" s="2">
        <v>8645</v>
      </c>
      <c r="B7603">
        <v>35.4</v>
      </c>
      <c r="C7603">
        <v>139</v>
      </c>
      <c r="D7603" t="s">
        <v>18</v>
      </c>
      <c r="E7603" t="s">
        <v>360</v>
      </c>
      <c r="F7603">
        <f t="shared" si="236"/>
        <v>1923</v>
      </c>
      <c r="G7603">
        <f t="shared" si="237"/>
        <v>9</v>
      </c>
      <c r="H7603" t="str">
        <f>IF(ISNUMBER(FIND(",", E7603)), TRIM(MID(E7603, FIND(",", E7603) + 1, LEN(E7603))), E7603)</f>
        <v>Japan</v>
      </c>
    </row>
    <row r="7604" spans="1:8" x14ac:dyDescent="0.25">
      <c r="A7604" s="2">
        <v>8645</v>
      </c>
      <c r="B7604">
        <v>35.4</v>
      </c>
      <c r="C7604">
        <v>139.80000000000001</v>
      </c>
      <c r="D7604" t="s">
        <v>18</v>
      </c>
      <c r="E7604" t="s">
        <v>360</v>
      </c>
      <c r="F7604">
        <f t="shared" si="236"/>
        <v>1923</v>
      </c>
      <c r="G7604">
        <f t="shared" si="237"/>
        <v>9</v>
      </c>
      <c r="H7604" t="str">
        <f>IF(ISNUMBER(FIND(",", E7604)), TRIM(MID(E7604, FIND(",", E7604) + 1, LEN(E7604))), E7604)</f>
        <v>Japan</v>
      </c>
    </row>
    <row r="7605" spans="1:8" x14ac:dyDescent="0.25">
      <c r="A7605" s="2">
        <v>8645</v>
      </c>
      <c r="B7605">
        <v>35.200000000000003</v>
      </c>
      <c r="C7605">
        <v>139.69999999999999</v>
      </c>
      <c r="D7605" t="s">
        <v>18</v>
      </c>
      <c r="E7605" t="s">
        <v>360</v>
      </c>
      <c r="F7605">
        <f t="shared" si="236"/>
        <v>1923</v>
      </c>
      <c r="G7605">
        <f t="shared" si="237"/>
        <v>9</v>
      </c>
      <c r="H7605" t="str">
        <f>IF(ISNUMBER(FIND(",", E7605)), TRIM(MID(E7605, FIND(",", E7605) + 1, LEN(E7605))), E7605)</f>
        <v>Japan</v>
      </c>
    </row>
    <row r="7606" spans="1:8" x14ac:dyDescent="0.25">
      <c r="A7606" s="2">
        <v>8645</v>
      </c>
      <c r="B7606">
        <v>35.4</v>
      </c>
      <c r="C7606">
        <v>139.4</v>
      </c>
      <c r="D7606" t="s">
        <v>18</v>
      </c>
      <c r="E7606" t="s">
        <v>360</v>
      </c>
      <c r="F7606">
        <f t="shared" si="236"/>
        <v>1923</v>
      </c>
      <c r="G7606">
        <f t="shared" si="237"/>
        <v>9</v>
      </c>
      <c r="H7606" t="str">
        <f>IF(ISNUMBER(FIND(",", E7606)), TRIM(MID(E7606, FIND(",", E7606) + 1, LEN(E7606))), E7606)</f>
        <v>Japan</v>
      </c>
    </row>
    <row r="7607" spans="1:8" x14ac:dyDescent="0.25">
      <c r="A7607" s="2">
        <v>8645</v>
      </c>
      <c r="B7607">
        <v>35.1</v>
      </c>
      <c r="C7607">
        <v>139.5</v>
      </c>
      <c r="D7607" t="s">
        <v>18</v>
      </c>
      <c r="E7607" t="s">
        <v>360</v>
      </c>
      <c r="F7607">
        <f t="shared" si="236"/>
        <v>1923</v>
      </c>
      <c r="G7607">
        <f t="shared" si="237"/>
        <v>9</v>
      </c>
      <c r="H7607" t="str">
        <f>IF(ISNUMBER(FIND(",", E7607)), TRIM(MID(E7607, FIND(",", E7607) + 1, LEN(E7607))), E7607)</f>
        <v>Japan</v>
      </c>
    </row>
    <row r="7608" spans="1:8" x14ac:dyDescent="0.25">
      <c r="A7608" s="2">
        <v>8645</v>
      </c>
      <c r="B7608">
        <v>35.1</v>
      </c>
      <c r="C7608">
        <v>139.5</v>
      </c>
      <c r="D7608" t="s">
        <v>18</v>
      </c>
      <c r="E7608" t="s">
        <v>360</v>
      </c>
      <c r="F7608">
        <f t="shared" si="236"/>
        <v>1923</v>
      </c>
      <c r="G7608">
        <f t="shared" si="237"/>
        <v>9</v>
      </c>
      <c r="H7608" t="str">
        <f>IF(ISNUMBER(FIND(",", E7608)), TRIM(MID(E7608, FIND(",", E7608) + 1, LEN(E7608))), E7608)</f>
        <v>Japan</v>
      </c>
    </row>
    <row r="7609" spans="1:8" x14ac:dyDescent="0.25">
      <c r="A7609" s="2">
        <v>8645</v>
      </c>
      <c r="B7609">
        <v>35.405000000000001</v>
      </c>
      <c r="C7609">
        <v>139.084</v>
      </c>
      <c r="D7609" t="s">
        <v>16</v>
      </c>
      <c r="E7609" t="s">
        <v>360</v>
      </c>
      <c r="F7609">
        <f t="shared" si="236"/>
        <v>1923</v>
      </c>
      <c r="G7609">
        <f t="shared" si="237"/>
        <v>9</v>
      </c>
      <c r="H7609" t="str">
        <f>IF(ISNUMBER(FIND(",", E7609)), TRIM(MID(E7609, FIND(",", E7609) + 1, LEN(E7609))), E7609)</f>
        <v>Japan</v>
      </c>
    </row>
    <row r="7610" spans="1:8" x14ac:dyDescent="0.25">
      <c r="A7610" s="2">
        <v>8625</v>
      </c>
      <c r="B7610">
        <v>25.370999999999999</v>
      </c>
      <c r="C7610">
        <v>127.785</v>
      </c>
      <c r="D7610" t="s">
        <v>17</v>
      </c>
      <c r="E7610" t="s">
        <v>340</v>
      </c>
      <c r="F7610">
        <f t="shared" si="236"/>
        <v>1923</v>
      </c>
      <c r="G7610">
        <f t="shared" si="237"/>
        <v>8</v>
      </c>
      <c r="H7610" t="str">
        <f>IF(ISNUMBER(FIND(",", E7610)), TRIM(MID(E7610, FIND(",", E7610) + 1, LEN(E7610))), E7610)</f>
        <v>Japan</v>
      </c>
    </row>
    <row r="7611" spans="1:8" x14ac:dyDescent="0.25">
      <c r="A7611" s="2">
        <v>8614</v>
      </c>
      <c r="B7611">
        <v>34.715000000000003</v>
      </c>
      <c r="C7611">
        <v>24.974</v>
      </c>
      <c r="D7611" t="s">
        <v>17</v>
      </c>
      <c r="E7611" t="s">
        <v>296</v>
      </c>
      <c r="F7611">
        <f t="shared" si="236"/>
        <v>1923</v>
      </c>
      <c r="G7611">
        <f t="shared" si="237"/>
        <v>8</v>
      </c>
      <c r="H7611" t="str">
        <f>IF(ISNUMBER(FIND(",", E7611)), TRIM(MID(E7611, FIND(",", E7611) + 1, LEN(E7611))), E7611)</f>
        <v>Greece</v>
      </c>
    </row>
    <row r="7612" spans="1:8" x14ac:dyDescent="0.25">
      <c r="A7612" s="2">
        <v>8595</v>
      </c>
      <c r="B7612">
        <v>30.6</v>
      </c>
      <c r="C7612">
        <v>131.19999999999999</v>
      </c>
      <c r="D7612" t="s">
        <v>18</v>
      </c>
      <c r="E7612" t="s">
        <v>357</v>
      </c>
      <c r="F7612">
        <f t="shared" si="236"/>
        <v>1923</v>
      </c>
      <c r="G7612">
        <f t="shared" si="237"/>
        <v>7</v>
      </c>
      <c r="H7612" t="str">
        <f>IF(ISNUMBER(FIND(",", E7612)), TRIM(MID(E7612, FIND(",", E7612) + 1, LEN(E7612))), E7612)</f>
        <v>Japan</v>
      </c>
    </row>
    <row r="7613" spans="1:8" x14ac:dyDescent="0.25">
      <c r="A7613" s="2">
        <v>8595</v>
      </c>
      <c r="B7613">
        <v>31</v>
      </c>
      <c r="C7613">
        <v>130.9</v>
      </c>
      <c r="D7613" t="s">
        <v>14</v>
      </c>
      <c r="E7613" t="s">
        <v>357</v>
      </c>
      <c r="F7613">
        <f t="shared" si="236"/>
        <v>1923</v>
      </c>
      <c r="G7613">
        <f t="shared" si="237"/>
        <v>7</v>
      </c>
      <c r="H7613" t="str">
        <f>IF(ISNUMBER(FIND(",", E7613)), TRIM(MID(E7613, FIND(",", E7613) + 1, LEN(E7613))), E7613)</f>
        <v>Japan</v>
      </c>
    </row>
    <row r="7614" spans="1:8" x14ac:dyDescent="0.25">
      <c r="A7614" s="2">
        <v>8584</v>
      </c>
      <c r="B7614">
        <v>23.5</v>
      </c>
      <c r="C7614">
        <v>122.5</v>
      </c>
      <c r="D7614" t="s">
        <v>18</v>
      </c>
      <c r="E7614" t="s">
        <v>363</v>
      </c>
      <c r="F7614">
        <f t="shared" si="236"/>
        <v>1923</v>
      </c>
      <c r="G7614">
        <f t="shared" si="237"/>
        <v>7</v>
      </c>
      <c r="H7614" t="str">
        <f>IF(ISNUMBER(FIND(",", E7614)), TRIM(MID(E7614, FIND(",", E7614) + 1, LEN(E7614))), E7614)</f>
        <v>Taiwan region</v>
      </c>
    </row>
    <row r="7615" spans="1:8" x14ac:dyDescent="0.25">
      <c r="A7615" s="2">
        <v>8574</v>
      </c>
      <c r="B7615">
        <v>22.588999999999999</v>
      </c>
      <c r="C7615">
        <v>98.680999999999997</v>
      </c>
      <c r="D7615" t="s">
        <v>16</v>
      </c>
      <c r="E7615" t="s">
        <v>197</v>
      </c>
      <c r="F7615">
        <f t="shared" si="236"/>
        <v>1923</v>
      </c>
      <c r="G7615">
        <f t="shared" si="237"/>
        <v>6</v>
      </c>
      <c r="H7615" t="str">
        <f>IF(ISNUMBER(FIND(",", E7615)), TRIM(MID(E7615, FIND(",", E7615) + 1, LEN(E7615))), E7615)</f>
        <v>Myanmar</v>
      </c>
    </row>
    <row r="7616" spans="1:8" x14ac:dyDescent="0.25">
      <c r="A7616" s="2">
        <v>8553</v>
      </c>
      <c r="B7616">
        <v>36</v>
      </c>
      <c r="C7616">
        <v>142</v>
      </c>
      <c r="D7616" t="s">
        <v>18</v>
      </c>
      <c r="E7616" t="s">
        <v>227</v>
      </c>
      <c r="F7616">
        <f t="shared" si="236"/>
        <v>1923</v>
      </c>
      <c r="G7616">
        <f t="shared" si="237"/>
        <v>6</v>
      </c>
      <c r="H7616" t="str">
        <f>IF(ISNUMBER(FIND(",", E7616)), TRIM(MID(E7616, FIND(",", E7616) + 1, LEN(E7616))), E7616)</f>
        <v>Japan</v>
      </c>
    </row>
    <row r="7617" spans="1:8" x14ac:dyDescent="0.25">
      <c r="A7617" s="2">
        <v>8553</v>
      </c>
      <c r="B7617">
        <v>35.673999999999999</v>
      </c>
      <c r="C7617">
        <v>141.767</v>
      </c>
      <c r="D7617" t="s">
        <v>16</v>
      </c>
      <c r="E7617" t="s">
        <v>227</v>
      </c>
      <c r="F7617">
        <f t="shared" si="236"/>
        <v>1923</v>
      </c>
      <c r="G7617">
        <f t="shared" si="237"/>
        <v>6</v>
      </c>
      <c r="H7617" t="str">
        <f>IF(ISNUMBER(FIND(",", E7617)), TRIM(MID(E7617, FIND(",", E7617) + 1, LEN(E7617))), E7617)</f>
        <v>Japan</v>
      </c>
    </row>
    <row r="7618" spans="1:8" x14ac:dyDescent="0.25">
      <c r="A7618" s="2">
        <v>8525</v>
      </c>
      <c r="B7618">
        <v>-27.062000000000001</v>
      </c>
      <c r="C7618">
        <v>-69.78</v>
      </c>
      <c r="D7618" t="s">
        <v>13</v>
      </c>
      <c r="E7618" t="s">
        <v>264</v>
      </c>
      <c r="F7618">
        <f t="shared" ref="F7618:F7681" si="238">YEAR(A7618)</f>
        <v>1923</v>
      </c>
      <c r="G7618">
        <f t="shared" si="237"/>
        <v>5</v>
      </c>
      <c r="H7618" t="str">
        <f>IF(ISNUMBER(FIND(",", E7618)), TRIM(MID(E7618, FIND(",", E7618) + 1, LEN(E7618))), E7618)</f>
        <v>Chile</v>
      </c>
    </row>
    <row r="7619" spans="1:8" x14ac:dyDescent="0.25">
      <c r="A7619" s="2">
        <v>8525</v>
      </c>
      <c r="B7619">
        <v>55.765000000000001</v>
      </c>
      <c r="C7619">
        <v>-156.98599999999999</v>
      </c>
      <c r="D7619" t="s">
        <v>14</v>
      </c>
      <c r="E7619" t="s">
        <v>493</v>
      </c>
      <c r="F7619">
        <f t="shared" si="238"/>
        <v>1923</v>
      </c>
      <c r="G7619">
        <f t="shared" ref="G7619:G7682" si="239">MONTH(A7619)</f>
        <v>5</v>
      </c>
      <c r="H7619" t="str">
        <f>IF(ISNUMBER(FIND(",", E7619)), TRIM(MID(E7619, FIND(",", E7619) + 1, LEN(E7619))), E7619)</f>
        <v>south of Alaska</v>
      </c>
    </row>
    <row r="7620" spans="1:8" x14ac:dyDescent="0.25">
      <c r="A7620" s="2">
        <v>8522</v>
      </c>
      <c r="B7620">
        <v>-55.316000000000003</v>
      </c>
      <c r="C7620">
        <v>-25.844000000000001</v>
      </c>
      <c r="D7620" t="s">
        <v>17</v>
      </c>
      <c r="E7620" t="s">
        <v>260</v>
      </c>
      <c r="F7620">
        <f t="shared" si="238"/>
        <v>1923</v>
      </c>
      <c r="G7620">
        <f t="shared" si="239"/>
        <v>5</v>
      </c>
      <c r="H7620" t="str">
        <f>IF(ISNUMBER(FIND(",", E7620)), TRIM(MID(E7620, FIND(",", E7620) + 1, LEN(E7620))), E7620)</f>
        <v>South Sandwich Islands region</v>
      </c>
    </row>
    <row r="7621" spans="1:8" x14ac:dyDescent="0.25">
      <c r="A7621" s="2">
        <v>8514</v>
      </c>
      <c r="B7621">
        <v>27.885000000000002</v>
      </c>
      <c r="C7621">
        <v>125.511</v>
      </c>
      <c r="D7621" t="s">
        <v>17</v>
      </c>
      <c r="E7621" t="s">
        <v>269</v>
      </c>
      <c r="F7621">
        <f t="shared" si="238"/>
        <v>1923</v>
      </c>
      <c r="G7621">
        <f t="shared" si="239"/>
        <v>4</v>
      </c>
      <c r="H7621" t="str">
        <f>IF(ISNUMBER(FIND(",", E7621)), TRIM(MID(E7621, FIND(",", E7621) + 1, LEN(E7621))), E7621)</f>
        <v>northeast of Taiwan</v>
      </c>
    </row>
    <row r="7622" spans="1:8" x14ac:dyDescent="0.25">
      <c r="A7622" s="2">
        <v>8510</v>
      </c>
      <c r="B7622">
        <v>2.41</v>
      </c>
      <c r="C7622">
        <v>117.313</v>
      </c>
      <c r="D7622" t="s">
        <v>14</v>
      </c>
      <c r="E7622" t="s">
        <v>734</v>
      </c>
      <c r="F7622">
        <f t="shared" si="238"/>
        <v>1923</v>
      </c>
      <c r="G7622">
        <f t="shared" si="239"/>
        <v>4</v>
      </c>
      <c r="H7622" t="str">
        <f>IF(ISNUMBER(FIND(",", E7622)), TRIM(MID(E7622, FIND(",", E7622) + 1, LEN(E7622))), E7622)</f>
        <v>Indonesia</v>
      </c>
    </row>
    <row r="7623" spans="1:8" x14ac:dyDescent="0.25">
      <c r="A7623" s="2">
        <v>8504</v>
      </c>
      <c r="B7623">
        <v>55.414999999999999</v>
      </c>
      <c r="C7623">
        <v>162.58500000000001</v>
      </c>
      <c r="D7623" t="s">
        <v>16</v>
      </c>
      <c r="E7623" t="s">
        <v>225</v>
      </c>
      <c r="F7623">
        <f t="shared" si="238"/>
        <v>1923</v>
      </c>
      <c r="G7623">
        <f t="shared" si="239"/>
        <v>4</v>
      </c>
      <c r="H7623" t="str">
        <f>IF(ISNUMBER(FIND(",", E7623)), TRIM(MID(E7623, FIND(",", E7623) + 1, LEN(E7623))), E7623)</f>
        <v>Russia</v>
      </c>
    </row>
    <row r="7624" spans="1:8" x14ac:dyDescent="0.25">
      <c r="A7624" s="2">
        <v>8484</v>
      </c>
      <c r="B7624">
        <v>30.553000000000001</v>
      </c>
      <c r="C7624">
        <v>101.258</v>
      </c>
      <c r="D7624" t="s">
        <v>16</v>
      </c>
      <c r="E7624" t="s">
        <v>578</v>
      </c>
      <c r="F7624">
        <f t="shared" si="238"/>
        <v>1923</v>
      </c>
      <c r="G7624">
        <f t="shared" si="239"/>
        <v>3</v>
      </c>
      <c r="H7624" t="str">
        <f>IF(ISNUMBER(FIND(",", E7624)), TRIM(MID(E7624, FIND(",", E7624) + 1, LEN(E7624))), E7624)</f>
        <v>China</v>
      </c>
    </row>
    <row r="7625" spans="1:8" x14ac:dyDescent="0.25">
      <c r="A7625" s="2">
        <v>8476</v>
      </c>
      <c r="B7625">
        <v>6.4950000000000001</v>
      </c>
      <c r="C7625">
        <v>127.05800000000001</v>
      </c>
      <c r="D7625" t="s">
        <v>14</v>
      </c>
      <c r="E7625" t="s">
        <v>213</v>
      </c>
      <c r="F7625">
        <f t="shared" si="238"/>
        <v>1923</v>
      </c>
      <c r="G7625">
        <f t="shared" si="239"/>
        <v>3</v>
      </c>
      <c r="H7625" t="str">
        <f>IF(ISNUMBER(FIND(",", E7625)), TRIM(MID(E7625, FIND(",", E7625) + 1, LEN(E7625))), E7625)</f>
        <v>Philippine Islands region</v>
      </c>
    </row>
    <row r="7626" spans="1:8" x14ac:dyDescent="0.25">
      <c r="A7626" s="2">
        <v>8462</v>
      </c>
      <c r="B7626">
        <v>7.4870000000000001</v>
      </c>
      <c r="C7626">
        <v>124.928</v>
      </c>
      <c r="D7626" t="s">
        <v>16</v>
      </c>
      <c r="E7626" t="s">
        <v>200</v>
      </c>
      <c r="F7626">
        <f t="shared" si="238"/>
        <v>1923</v>
      </c>
      <c r="G7626">
        <f t="shared" si="239"/>
        <v>3</v>
      </c>
      <c r="H7626" t="str">
        <f>IF(ISNUMBER(FIND(",", E7626)), TRIM(MID(E7626, FIND(",", E7626) + 1, LEN(E7626))), E7626)</f>
        <v>Philippines</v>
      </c>
    </row>
    <row r="7627" spans="1:8" x14ac:dyDescent="0.25">
      <c r="A7627" s="2">
        <v>8456</v>
      </c>
      <c r="B7627">
        <v>55.936999999999998</v>
      </c>
      <c r="C7627">
        <v>162.62299999999999</v>
      </c>
      <c r="D7627" t="s">
        <v>16</v>
      </c>
      <c r="E7627" t="s">
        <v>225</v>
      </c>
      <c r="F7627">
        <f t="shared" si="238"/>
        <v>1923</v>
      </c>
      <c r="G7627">
        <f t="shared" si="239"/>
        <v>2</v>
      </c>
      <c r="H7627" t="str">
        <f>IF(ISNUMBER(FIND(",", E7627)), TRIM(MID(E7627, FIND(",", E7627) + 1, LEN(E7627))), E7627)</f>
        <v>Russia</v>
      </c>
    </row>
    <row r="7628" spans="1:8" x14ac:dyDescent="0.25">
      <c r="A7628" s="2">
        <v>8455</v>
      </c>
      <c r="B7628">
        <v>-0.68100000000000005</v>
      </c>
      <c r="C7628">
        <v>122.996</v>
      </c>
      <c r="D7628" t="s">
        <v>17</v>
      </c>
      <c r="E7628" t="s">
        <v>182</v>
      </c>
      <c r="F7628">
        <f t="shared" si="238"/>
        <v>1923</v>
      </c>
      <c r="G7628">
        <f t="shared" si="239"/>
        <v>2</v>
      </c>
      <c r="H7628" t="str">
        <f>IF(ISNUMBER(FIND(",", E7628)), TRIM(MID(E7628, FIND(",", E7628) + 1, LEN(E7628))), E7628)</f>
        <v>Indonesia</v>
      </c>
    </row>
    <row r="7629" spans="1:8" x14ac:dyDescent="0.25">
      <c r="A7629" s="2">
        <v>8435</v>
      </c>
      <c r="B7629">
        <v>53.853000000000002</v>
      </c>
      <c r="C7629">
        <v>160.761</v>
      </c>
      <c r="D7629" t="s">
        <v>16</v>
      </c>
      <c r="E7629" t="s">
        <v>225</v>
      </c>
      <c r="F7629">
        <f t="shared" si="238"/>
        <v>1923</v>
      </c>
      <c r="G7629">
        <f t="shared" si="239"/>
        <v>2</v>
      </c>
      <c r="H7629" t="str">
        <f>IF(ISNUMBER(FIND(",", E7629)), TRIM(MID(E7629, FIND(",", E7629) + 1, LEN(E7629))), E7629)</f>
        <v>Russia</v>
      </c>
    </row>
    <row r="7630" spans="1:8" x14ac:dyDescent="0.25">
      <c r="A7630" s="2">
        <v>8434</v>
      </c>
      <c r="B7630">
        <v>54.018999999999998</v>
      </c>
      <c r="C7630">
        <v>161.52099999999999</v>
      </c>
      <c r="D7630" t="s">
        <v>16</v>
      </c>
      <c r="E7630" t="s">
        <v>225</v>
      </c>
      <c r="F7630">
        <f t="shared" si="238"/>
        <v>1923</v>
      </c>
      <c r="G7630">
        <f t="shared" si="239"/>
        <v>2</v>
      </c>
      <c r="H7630" t="str">
        <f>IF(ISNUMBER(FIND(",", E7630)), TRIM(MID(E7630, FIND(",", E7630) + 1, LEN(E7630))), E7630)</f>
        <v>Russia</v>
      </c>
    </row>
    <row r="7631" spans="1:8" x14ac:dyDescent="0.25">
      <c r="A7631" s="2">
        <v>8433</v>
      </c>
      <c r="B7631">
        <v>-21.001000000000001</v>
      </c>
      <c r="C7631">
        <v>169.53700000000001</v>
      </c>
      <c r="D7631" t="s">
        <v>14</v>
      </c>
      <c r="E7631" t="s">
        <v>254</v>
      </c>
      <c r="F7631">
        <f t="shared" si="238"/>
        <v>1923</v>
      </c>
      <c r="G7631">
        <f t="shared" si="239"/>
        <v>2</v>
      </c>
      <c r="H7631" t="str">
        <f>IF(ISNUMBER(FIND(",", E7631)), TRIM(MID(E7631, FIND(",", E7631) + 1, LEN(E7631))), E7631)</f>
        <v>southeast of the Loyalty Islands</v>
      </c>
    </row>
    <row r="7632" spans="1:8" x14ac:dyDescent="0.25">
      <c r="A7632" s="2">
        <v>8423</v>
      </c>
      <c r="B7632">
        <v>40.487000000000002</v>
      </c>
      <c r="C7632">
        <v>-125.324</v>
      </c>
      <c r="D7632" t="s">
        <v>16</v>
      </c>
      <c r="E7632" t="s">
        <v>343</v>
      </c>
      <c r="F7632">
        <f t="shared" si="238"/>
        <v>1923</v>
      </c>
      <c r="G7632">
        <f t="shared" si="239"/>
        <v>1</v>
      </c>
      <c r="H7632" t="str">
        <f>IF(ISNUMBER(FIND(",", E7632)), TRIM(MID(E7632, FIND(",", E7632) + 1, LEN(E7632))), E7632)</f>
        <v>offshore Northern California</v>
      </c>
    </row>
    <row r="7633" spans="1:8" x14ac:dyDescent="0.25">
      <c r="A7633" s="2">
        <v>8401</v>
      </c>
      <c r="B7633">
        <v>45.738</v>
      </c>
      <c r="C7633">
        <v>150.80500000000001</v>
      </c>
      <c r="D7633" t="s">
        <v>14</v>
      </c>
      <c r="E7633" t="s">
        <v>191</v>
      </c>
      <c r="F7633">
        <f t="shared" si="238"/>
        <v>1922</v>
      </c>
      <c r="G7633">
        <f t="shared" si="239"/>
        <v>12</v>
      </c>
      <c r="H7633" t="str">
        <f>IF(ISNUMBER(FIND(",", E7633)), TRIM(MID(E7633, FIND(",", E7633) + 1, LEN(E7633))), E7633)</f>
        <v>Kuril Islands</v>
      </c>
    </row>
    <row r="7634" spans="1:8" x14ac:dyDescent="0.25">
      <c r="A7634" s="2">
        <v>8378</v>
      </c>
      <c r="B7634">
        <v>40.200000000000003</v>
      </c>
      <c r="C7634">
        <v>143.19999999999999</v>
      </c>
      <c r="D7634" t="s">
        <v>18</v>
      </c>
      <c r="E7634" t="s">
        <v>189</v>
      </c>
      <c r="F7634">
        <f t="shared" si="238"/>
        <v>1922</v>
      </c>
      <c r="G7634">
        <f t="shared" si="239"/>
        <v>12</v>
      </c>
      <c r="H7634" t="str">
        <f>IF(ISNUMBER(FIND(",", E7634)), TRIM(MID(E7634, FIND(",", E7634) + 1, LEN(E7634))), E7634)</f>
        <v>Japan</v>
      </c>
    </row>
    <row r="7635" spans="1:8" x14ac:dyDescent="0.25">
      <c r="A7635" s="2">
        <v>8378</v>
      </c>
      <c r="B7635">
        <v>32.700000000000003</v>
      </c>
      <c r="C7635">
        <v>130.1</v>
      </c>
      <c r="D7635" t="s">
        <v>18</v>
      </c>
      <c r="E7635" t="s">
        <v>357</v>
      </c>
      <c r="F7635">
        <f t="shared" si="238"/>
        <v>1922</v>
      </c>
      <c r="G7635">
        <f t="shared" si="239"/>
        <v>12</v>
      </c>
      <c r="H7635" t="str">
        <f>IF(ISNUMBER(FIND(",", E7635)), TRIM(MID(E7635, FIND(",", E7635) + 1, LEN(E7635))), E7635)</f>
        <v>Japan</v>
      </c>
    </row>
    <row r="7636" spans="1:8" x14ac:dyDescent="0.25">
      <c r="A7636" s="2">
        <v>8377</v>
      </c>
      <c r="B7636">
        <v>32.700000000000003</v>
      </c>
      <c r="C7636">
        <v>130.1</v>
      </c>
      <c r="D7636" t="s">
        <v>18</v>
      </c>
      <c r="E7636" t="s">
        <v>357</v>
      </c>
      <c r="F7636">
        <f t="shared" si="238"/>
        <v>1922</v>
      </c>
      <c r="G7636">
        <f t="shared" si="239"/>
        <v>12</v>
      </c>
      <c r="H7636" t="str">
        <f>IF(ISNUMBER(FIND(",", E7636)), TRIM(MID(E7636, FIND(",", E7636) + 1, LEN(E7636))), E7636)</f>
        <v>Japan</v>
      </c>
    </row>
    <row r="7637" spans="1:8" x14ac:dyDescent="0.25">
      <c r="A7637" s="2">
        <v>8376</v>
      </c>
      <c r="B7637">
        <v>36.445</v>
      </c>
      <c r="C7637">
        <v>70.938999999999993</v>
      </c>
      <c r="D7637" t="s">
        <v>13</v>
      </c>
      <c r="E7637" t="s">
        <v>314</v>
      </c>
      <c r="F7637">
        <f t="shared" si="238"/>
        <v>1922</v>
      </c>
      <c r="G7637">
        <f t="shared" si="239"/>
        <v>12</v>
      </c>
      <c r="H7637" t="str">
        <f>IF(ISNUMBER(FIND(",", E7637)), TRIM(MID(E7637, FIND(",", E7637) + 1, LEN(E7637))), E7637)</f>
        <v>Afghanistan</v>
      </c>
    </row>
    <row r="7638" spans="1:8" x14ac:dyDescent="0.25">
      <c r="A7638" s="2">
        <v>8351</v>
      </c>
      <c r="B7638">
        <v>-28.553000000000001</v>
      </c>
      <c r="C7638">
        <v>-70.754999999999995</v>
      </c>
      <c r="D7638" t="s">
        <v>16</v>
      </c>
      <c r="E7638" t="s">
        <v>264</v>
      </c>
      <c r="F7638">
        <f t="shared" si="238"/>
        <v>1922</v>
      </c>
      <c r="G7638">
        <f t="shared" si="239"/>
        <v>11</v>
      </c>
      <c r="H7638" t="str">
        <f>IF(ISNUMBER(FIND(",", E7638)), TRIM(MID(E7638, FIND(",", E7638) + 1, LEN(E7638))), E7638)</f>
        <v>Chile</v>
      </c>
    </row>
    <row r="7639" spans="1:8" x14ac:dyDescent="0.25">
      <c r="A7639" s="2">
        <v>8347</v>
      </c>
      <c r="B7639">
        <v>-28.440999999999999</v>
      </c>
      <c r="C7639">
        <v>-72.192999999999998</v>
      </c>
      <c r="D7639" t="s">
        <v>14</v>
      </c>
      <c r="E7639" t="s">
        <v>439</v>
      </c>
      <c r="F7639">
        <f t="shared" si="238"/>
        <v>1922</v>
      </c>
      <c r="G7639">
        <f t="shared" si="239"/>
        <v>11</v>
      </c>
      <c r="H7639" t="str">
        <f>IF(ISNUMBER(FIND(",", E7639)), TRIM(MID(E7639, FIND(",", E7639) + 1, LEN(E7639))), E7639)</f>
        <v>Chile</v>
      </c>
    </row>
    <row r="7640" spans="1:8" x14ac:dyDescent="0.25">
      <c r="A7640" s="2">
        <v>8333</v>
      </c>
      <c r="B7640">
        <v>47.267000000000003</v>
      </c>
      <c r="C7640">
        <v>152.19</v>
      </c>
      <c r="D7640" t="s">
        <v>13</v>
      </c>
      <c r="E7640" t="s">
        <v>191</v>
      </c>
      <c r="F7640">
        <f t="shared" si="238"/>
        <v>1922</v>
      </c>
      <c r="G7640">
        <f t="shared" si="239"/>
        <v>10</v>
      </c>
      <c r="H7640" t="str">
        <f>IF(ISNUMBER(FIND(",", E7640)), TRIM(MID(E7640, FIND(",", E7640) + 1, LEN(E7640))), E7640)</f>
        <v>Kuril Islands</v>
      </c>
    </row>
    <row r="7641" spans="1:8" x14ac:dyDescent="0.25">
      <c r="A7641" s="2">
        <v>8323</v>
      </c>
      <c r="B7641">
        <v>24.5</v>
      </c>
      <c r="C7641">
        <v>122</v>
      </c>
      <c r="D7641" t="s">
        <v>18</v>
      </c>
      <c r="E7641" t="s">
        <v>363</v>
      </c>
      <c r="F7641">
        <f t="shared" si="238"/>
        <v>1922</v>
      </c>
      <c r="G7641">
        <f t="shared" si="239"/>
        <v>10</v>
      </c>
      <c r="H7641" t="str">
        <f>IF(ISNUMBER(FIND(",", E7641)), TRIM(MID(E7641, FIND(",", E7641) + 1, LEN(E7641))), E7641)</f>
        <v>Taiwan region</v>
      </c>
    </row>
    <row r="7642" spans="1:8" x14ac:dyDescent="0.25">
      <c r="A7642" s="2">
        <v>8320</v>
      </c>
      <c r="B7642">
        <v>-16.125</v>
      </c>
      <c r="C7642">
        <v>-72.385000000000005</v>
      </c>
      <c r="D7642" t="s">
        <v>13</v>
      </c>
      <c r="E7642" t="s">
        <v>499</v>
      </c>
      <c r="F7642">
        <f t="shared" si="238"/>
        <v>1922</v>
      </c>
      <c r="G7642">
        <f t="shared" si="239"/>
        <v>10</v>
      </c>
      <c r="H7642" t="str">
        <f>IF(ISNUMBER(FIND(",", E7642)), TRIM(MID(E7642, FIND(",", E7642) + 1, LEN(E7642))), E7642)</f>
        <v>near the coast of southern Peru</v>
      </c>
    </row>
    <row r="7643" spans="1:8" x14ac:dyDescent="0.25">
      <c r="A7643" s="2">
        <v>8293</v>
      </c>
      <c r="B7643">
        <v>24.378</v>
      </c>
      <c r="C7643">
        <v>122.64400000000001</v>
      </c>
      <c r="D7643" t="s">
        <v>16</v>
      </c>
      <c r="E7643" t="s">
        <v>363</v>
      </c>
      <c r="F7643">
        <f t="shared" si="238"/>
        <v>1922</v>
      </c>
      <c r="G7643">
        <f t="shared" si="239"/>
        <v>9</v>
      </c>
      <c r="H7643" t="str">
        <f>IF(ISNUMBER(FIND(",", E7643)), TRIM(MID(E7643, FIND(",", E7643) + 1, LEN(E7643))), E7643)</f>
        <v>Taiwan region</v>
      </c>
    </row>
    <row r="7644" spans="1:8" x14ac:dyDescent="0.25">
      <c r="A7644" s="2">
        <v>8283</v>
      </c>
      <c r="B7644">
        <v>-10.83</v>
      </c>
      <c r="C7644">
        <v>-70.531000000000006</v>
      </c>
      <c r="D7644" t="s">
        <v>17</v>
      </c>
      <c r="E7644" t="s">
        <v>557</v>
      </c>
      <c r="F7644">
        <f t="shared" si="238"/>
        <v>1922</v>
      </c>
      <c r="G7644">
        <f t="shared" si="239"/>
        <v>9</v>
      </c>
      <c r="H7644" t="str">
        <f>IF(ISNUMBER(FIND(",", E7644)), TRIM(MID(E7644, FIND(",", E7644) + 1, LEN(E7644))), E7644)</f>
        <v>Peru-Brazil border region</v>
      </c>
    </row>
    <row r="7645" spans="1:8" x14ac:dyDescent="0.25">
      <c r="A7645" s="2">
        <v>8280</v>
      </c>
      <c r="B7645">
        <v>24.506</v>
      </c>
      <c r="C7645">
        <v>122.04</v>
      </c>
      <c r="D7645" t="s">
        <v>16</v>
      </c>
      <c r="E7645" t="s">
        <v>363</v>
      </c>
      <c r="F7645">
        <f t="shared" si="238"/>
        <v>1922</v>
      </c>
      <c r="G7645">
        <f t="shared" si="239"/>
        <v>9</v>
      </c>
      <c r="H7645" t="str">
        <f>IF(ISNUMBER(FIND(",", E7645)), TRIM(MID(E7645, FIND(",", E7645) + 1, LEN(E7645))), E7645)</f>
        <v>Taiwan region</v>
      </c>
    </row>
    <row r="7646" spans="1:8" x14ac:dyDescent="0.25">
      <c r="A7646" s="2">
        <v>8262</v>
      </c>
      <c r="B7646">
        <v>52.069000000000003</v>
      </c>
      <c r="C7646">
        <v>130.53899999999999</v>
      </c>
      <c r="D7646" t="s">
        <v>17</v>
      </c>
      <c r="E7646" t="s">
        <v>273</v>
      </c>
      <c r="F7646">
        <f t="shared" si="238"/>
        <v>1922</v>
      </c>
      <c r="G7646">
        <f t="shared" si="239"/>
        <v>8</v>
      </c>
      <c r="H7646" t="str">
        <f>IF(ISNUMBER(FIND(",", E7646)), TRIM(MID(E7646, FIND(",", E7646) + 1, LEN(E7646))), E7646)</f>
        <v>Russia</v>
      </c>
    </row>
    <row r="7647" spans="1:8" x14ac:dyDescent="0.25">
      <c r="A7647" s="2">
        <v>8261</v>
      </c>
      <c r="B7647">
        <v>35.325000000000003</v>
      </c>
      <c r="C7647">
        <v>27.373000000000001</v>
      </c>
      <c r="D7647" t="s">
        <v>17</v>
      </c>
      <c r="E7647" t="s">
        <v>228</v>
      </c>
      <c r="F7647">
        <f t="shared" si="238"/>
        <v>1922</v>
      </c>
      <c r="G7647">
        <f t="shared" si="239"/>
        <v>8</v>
      </c>
      <c r="H7647" t="str">
        <f>IF(ISNUMBER(FIND(",", E7647)), TRIM(MID(E7647, FIND(",", E7647) + 1, LEN(E7647))), E7647)</f>
        <v>Greece</v>
      </c>
    </row>
    <row r="7648" spans="1:8" x14ac:dyDescent="0.25">
      <c r="A7648" s="2">
        <v>8228</v>
      </c>
      <c r="B7648">
        <v>22</v>
      </c>
      <c r="C7648">
        <v>143</v>
      </c>
      <c r="D7648" t="s">
        <v>18</v>
      </c>
      <c r="E7648" t="s">
        <v>519</v>
      </c>
      <c r="F7648">
        <f t="shared" si="238"/>
        <v>1922</v>
      </c>
      <c r="G7648">
        <f t="shared" si="239"/>
        <v>7</v>
      </c>
      <c r="H7648" t="str">
        <f>IF(ISNUMBER(FIND(",", E7648)), TRIM(MID(E7648, FIND(",", E7648) + 1, LEN(E7648))), E7648)</f>
        <v>Japan region</v>
      </c>
    </row>
    <row r="7649" spans="1:8" x14ac:dyDescent="0.25">
      <c r="A7649" s="2">
        <v>8227</v>
      </c>
      <c r="B7649">
        <v>-19.286999999999999</v>
      </c>
      <c r="C7649">
        <v>-64.206999999999994</v>
      </c>
      <c r="D7649" t="s">
        <v>17</v>
      </c>
      <c r="E7649" t="s">
        <v>384</v>
      </c>
      <c r="F7649">
        <f t="shared" si="238"/>
        <v>1922</v>
      </c>
      <c r="G7649">
        <f t="shared" si="239"/>
        <v>7</v>
      </c>
      <c r="H7649" t="str">
        <f>IF(ISNUMBER(FIND(",", E7649)), TRIM(MID(E7649, FIND(",", E7649) + 1, LEN(E7649))), E7649)</f>
        <v>Bolivia</v>
      </c>
    </row>
    <row r="7650" spans="1:8" x14ac:dyDescent="0.25">
      <c r="A7650" s="2">
        <v>8222</v>
      </c>
      <c r="B7650">
        <v>38.299999999999997</v>
      </c>
      <c r="C7650">
        <v>142</v>
      </c>
      <c r="D7650" t="s">
        <v>18</v>
      </c>
      <c r="E7650" t="s">
        <v>227</v>
      </c>
      <c r="F7650">
        <f t="shared" si="238"/>
        <v>1922</v>
      </c>
      <c r="G7650">
        <f t="shared" si="239"/>
        <v>7</v>
      </c>
      <c r="H7650" t="str">
        <f>IF(ISNUMBER(FIND(",", E7650)), TRIM(MID(E7650, FIND(",", E7650) + 1, LEN(E7650))), E7650)</f>
        <v>Japan</v>
      </c>
    </row>
    <row r="7651" spans="1:8" x14ac:dyDescent="0.25">
      <c r="A7651" s="2">
        <v>8199</v>
      </c>
      <c r="B7651">
        <v>23.198</v>
      </c>
      <c r="C7651">
        <v>-108.908</v>
      </c>
      <c r="D7651" t="s">
        <v>17</v>
      </c>
      <c r="E7651" t="s">
        <v>282</v>
      </c>
      <c r="F7651">
        <f t="shared" si="238"/>
        <v>1922</v>
      </c>
      <c r="G7651">
        <f t="shared" si="239"/>
        <v>6</v>
      </c>
      <c r="H7651" t="str">
        <f>IF(ISNUMBER(FIND(",", E7651)), TRIM(MID(E7651, FIND(",", E7651) + 1, LEN(E7651))), E7651)</f>
        <v>Gulf of California</v>
      </c>
    </row>
    <row r="7652" spans="1:8" x14ac:dyDescent="0.25">
      <c r="A7652" s="2">
        <v>8189</v>
      </c>
      <c r="B7652">
        <v>7.4039999999999999</v>
      </c>
      <c r="C7652">
        <v>127.29900000000001</v>
      </c>
      <c r="D7652" t="s">
        <v>17</v>
      </c>
      <c r="E7652" t="s">
        <v>213</v>
      </c>
      <c r="F7652">
        <f t="shared" si="238"/>
        <v>1922</v>
      </c>
      <c r="G7652">
        <f t="shared" si="239"/>
        <v>6</v>
      </c>
      <c r="H7652" t="str">
        <f>IF(ISNUMBER(FIND(",", E7652)), TRIM(MID(E7652, FIND(",", E7652) + 1, LEN(E7652))), E7652)</f>
        <v>Philippine Islands region</v>
      </c>
    </row>
    <row r="7653" spans="1:8" x14ac:dyDescent="0.25">
      <c r="A7653" s="2">
        <v>8171</v>
      </c>
      <c r="B7653">
        <v>40.299999999999997</v>
      </c>
      <c r="C7653">
        <v>144.19999999999999</v>
      </c>
      <c r="D7653" t="s">
        <v>18</v>
      </c>
      <c r="E7653" t="s">
        <v>189</v>
      </c>
      <c r="F7653">
        <f t="shared" si="238"/>
        <v>1922</v>
      </c>
      <c r="G7653">
        <f t="shared" si="239"/>
        <v>5</v>
      </c>
      <c r="H7653" t="str">
        <f>IF(ISNUMBER(FIND(",", E7653)), TRIM(MID(E7653, FIND(",", E7653) + 1, LEN(E7653))), E7653)</f>
        <v>Japan</v>
      </c>
    </row>
    <row r="7654" spans="1:8" x14ac:dyDescent="0.25">
      <c r="A7654" s="2">
        <v>8152</v>
      </c>
      <c r="B7654">
        <v>35.200000000000003</v>
      </c>
      <c r="C7654">
        <v>139.80000000000001</v>
      </c>
      <c r="D7654" t="s">
        <v>18</v>
      </c>
      <c r="E7654" t="s">
        <v>360</v>
      </c>
      <c r="F7654">
        <f t="shared" si="238"/>
        <v>1922</v>
      </c>
      <c r="G7654">
        <f t="shared" si="239"/>
        <v>4</v>
      </c>
      <c r="H7654" t="str">
        <f>IF(ISNUMBER(FIND(",", E7654)), TRIM(MID(E7654, FIND(",", E7654) + 1, LEN(E7654))), E7654)</f>
        <v>Japan</v>
      </c>
    </row>
    <row r="7655" spans="1:8" x14ac:dyDescent="0.25">
      <c r="A7655" s="2">
        <v>8123</v>
      </c>
      <c r="B7655">
        <v>-21.454000000000001</v>
      </c>
      <c r="C7655">
        <v>-68.13</v>
      </c>
      <c r="D7655" t="s">
        <v>13</v>
      </c>
      <c r="E7655" t="s">
        <v>472</v>
      </c>
      <c r="F7655">
        <f t="shared" si="238"/>
        <v>1922</v>
      </c>
      <c r="G7655">
        <f t="shared" si="239"/>
        <v>3</v>
      </c>
      <c r="H7655" t="str">
        <f>IF(ISNUMBER(FIND(",", E7655)), TRIM(MID(E7655, FIND(",", E7655) + 1, LEN(E7655))), E7655)</f>
        <v>Bolivia</v>
      </c>
    </row>
    <row r="7656" spans="1:8" x14ac:dyDescent="0.25">
      <c r="A7656" s="2">
        <v>8105</v>
      </c>
      <c r="B7656">
        <v>-20.655999999999999</v>
      </c>
      <c r="C7656">
        <v>179.626</v>
      </c>
      <c r="D7656" t="s">
        <v>17</v>
      </c>
      <c r="E7656" t="s">
        <v>256</v>
      </c>
      <c r="F7656">
        <f t="shared" si="238"/>
        <v>1922</v>
      </c>
      <c r="G7656">
        <f t="shared" si="239"/>
        <v>3</v>
      </c>
      <c r="H7656" t="str">
        <f>IF(ISNUMBER(FIND(",", E7656)), TRIM(MID(E7656, FIND(",", E7656) + 1, LEN(E7656))), E7656)</f>
        <v>south of the Fiji Islands</v>
      </c>
    </row>
    <row r="7657" spans="1:8" x14ac:dyDescent="0.25">
      <c r="A7657" s="2">
        <v>8099</v>
      </c>
      <c r="B7657">
        <v>52.923999999999999</v>
      </c>
      <c r="C7657">
        <v>157.18100000000001</v>
      </c>
      <c r="D7657" t="s">
        <v>13</v>
      </c>
      <c r="E7657" t="s">
        <v>424</v>
      </c>
      <c r="F7657">
        <f t="shared" si="238"/>
        <v>1922</v>
      </c>
      <c r="G7657">
        <f t="shared" si="239"/>
        <v>3</v>
      </c>
      <c r="H7657" t="str">
        <f>IF(ISNUMBER(FIND(",", E7657)), TRIM(MID(E7657, FIND(",", E7657) + 1, LEN(E7657))), E7657)</f>
        <v>Russia</v>
      </c>
    </row>
    <row r="7658" spans="1:8" x14ac:dyDescent="0.25">
      <c r="A7658" s="2">
        <v>8067</v>
      </c>
      <c r="B7658">
        <v>40.700000000000003</v>
      </c>
      <c r="C7658">
        <v>-125.553</v>
      </c>
      <c r="D7658" t="s">
        <v>16</v>
      </c>
      <c r="E7658" t="s">
        <v>343</v>
      </c>
      <c r="F7658">
        <f t="shared" si="238"/>
        <v>1922</v>
      </c>
      <c r="G7658">
        <f t="shared" si="239"/>
        <v>1</v>
      </c>
      <c r="H7658" t="str">
        <f>IF(ISNUMBER(FIND(",", E7658)), TRIM(MID(E7658, FIND(",", E7658) + 1, LEN(E7658))), E7658)</f>
        <v>offshore Northern California</v>
      </c>
    </row>
    <row r="7659" spans="1:8" x14ac:dyDescent="0.25">
      <c r="A7659" s="2">
        <v>8058</v>
      </c>
      <c r="B7659">
        <v>37.5</v>
      </c>
      <c r="C7659">
        <v>141.5</v>
      </c>
      <c r="D7659" t="s">
        <v>18</v>
      </c>
      <c r="E7659" t="s">
        <v>227</v>
      </c>
      <c r="F7659">
        <f t="shared" si="238"/>
        <v>1922</v>
      </c>
      <c r="G7659">
        <f t="shared" si="239"/>
        <v>1</v>
      </c>
      <c r="H7659" t="str">
        <f>IF(ISNUMBER(FIND(",", E7659)), TRIM(MID(E7659, FIND(",", E7659) + 1, LEN(E7659))), E7659)</f>
        <v>Japan</v>
      </c>
    </row>
    <row r="7660" spans="1:8" x14ac:dyDescent="0.25">
      <c r="A7660" s="2">
        <v>8053</v>
      </c>
      <c r="B7660">
        <v>-6.4820000000000002</v>
      </c>
      <c r="C7660">
        <v>-71.858999999999995</v>
      </c>
      <c r="D7660" t="s">
        <v>13</v>
      </c>
      <c r="E7660" t="s">
        <v>479</v>
      </c>
      <c r="F7660">
        <f t="shared" si="238"/>
        <v>1922</v>
      </c>
      <c r="G7660">
        <f t="shared" si="239"/>
        <v>1</v>
      </c>
      <c r="H7660" t="str">
        <f>IF(ISNUMBER(FIND(",", E7660)), TRIM(MID(E7660, FIND(",", E7660) + 1, LEN(E7660))), E7660)</f>
        <v>Brazil</v>
      </c>
    </row>
    <row r="7661" spans="1:8" x14ac:dyDescent="0.25">
      <c r="A7661" s="2">
        <v>8045</v>
      </c>
      <c r="B7661">
        <v>23.22</v>
      </c>
      <c r="C7661">
        <v>-45.930999999999997</v>
      </c>
      <c r="D7661" t="s">
        <v>14</v>
      </c>
      <c r="E7661" t="s">
        <v>325</v>
      </c>
      <c r="F7661">
        <f t="shared" si="238"/>
        <v>1922</v>
      </c>
      <c r="G7661">
        <f t="shared" si="239"/>
        <v>1</v>
      </c>
      <c r="H7661" t="str">
        <f>IF(ISNUMBER(FIND(",", E7661)), TRIM(MID(E7661, FIND(",", E7661) + 1, LEN(E7661))), E7661)</f>
        <v>northern Mid-Atlantic Ridge</v>
      </c>
    </row>
    <row r="7662" spans="1:8" x14ac:dyDescent="0.25">
      <c r="A7662" s="2">
        <v>8042</v>
      </c>
      <c r="B7662">
        <v>-20.408000000000001</v>
      </c>
      <c r="C7662">
        <v>-76.388999999999996</v>
      </c>
      <c r="D7662" t="s">
        <v>16</v>
      </c>
      <c r="E7662" t="s">
        <v>711</v>
      </c>
      <c r="F7662">
        <f t="shared" si="238"/>
        <v>1922</v>
      </c>
      <c r="G7662">
        <f t="shared" si="239"/>
        <v>1</v>
      </c>
      <c r="H7662" t="str">
        <f>IF(ISNUMBER(FIND(",", E7662)), TRIM(MID(E7662, FIND(",", E7662) + 1, LEN(E7662))), E7662)</f>
        <v>Chile</v>
      </c>
    </row>
    <row r="7663" spans="1:8" x14ac:dyDescent="0.25">
      <c r="A7663" s="2">
        <v>8023</v>
      </c>
      <c r="B7663">
        <v>-4.0430000000000001</v>
      </c>
      <c r="C7663">
        <v>-71.222999999999999</v>
      </c>
      <c r="D7663" t="s">
        <v>13</v>
      </c>
      <c r="E7663" t="s">
        <v>557</v>
      </c>
      <c r="F7663">
        <f t="shared" si="238"/>
        <v>1921</v>
      </c>
      <c r="G7663">
        <f t="shared" si="239"/>
        <v>12</v>
      </c>
      <c r="H7663" t="str">
        <f>IF(ISNUMBER(FIND(",", E7663)), TRIM(MID(E7663, FIND(",", E7663) + 1, LEN(E7663))), E7663)</f>
        <v>Peru-Brazil border region</v>
      </c>
    </row>
    <row r="7664" spans="1:8" x14ac:dyDescent="0.25">
      <c r="A7664" s="2">
        <v>8013</v>
      </c>
      <c r="B7664">
        <v>36</v>
      </c>
      <c r="C7664">
        <v>140.19999999999999</v>
      </c>
      <c r="D7664" t="s">
        <v>18</v>
      </c>
      <c r="E7664" t="s">
        <v>227</v>
      </c>
      <c r="F7664">
        <f t="shared" si="238"/>
        <v>1921</v>
      </c>
      <c r="G7664">
        <f t="shared" si="239"/>
        <v>12</v>
      </c>
      <c r="H7664" t="str">
        <f>IF(ISNUMBER(FIND(",", E7664)), TRIM(MID(E7664, FIND(",", E7664) + 1, LEN(E7664))), E7664)</f>
        <v>Japan</v>
      </c>
    </row>
    <row r="7665" spans="1:8" x14ac:dyDescent="0.25">
      <c r="A7665" s="2">
        <v>7990</v>
      </c>
      <c r="B7665">
        <v>36.116</v>
      </c>
      <c r="C7665">
        <v>70.724000000000004</v>
      </c>
      <c r="D7665" t="s">
        <v>13</v>
      </c>
      <c r="E7665" t="s">
        <v>314</v>
      </c>
      <c r="F7665">
        <f t="shared" si="238"/>
        <v>1921</v>
      </c>
      <c r="G7665">
        <f t="shared" si="239"/>
        <v>11</v>
      </c>
      <c r="H7665" t="str">
        <f>IF(ISNUMBER(FIND(",", E7665)), TRIM(MID(E7665, FIND(",", E7665) + 1, LEN(E7665))), E7665)</f>
        <v>Afghanistan</v>
      </c>
    </row>
    <row r="7666" spans="1:8" x14ac:dyDescent="0.25">
      <c r="A7666" s="2">
        <v>7986</v>
      </c>
      <c r="B7666">
        <v>7.8970000000000002</v>
      </c>
      <c r="C7666">
        <v>127.25700000000001</v>
      </c>
      <c r="D7666" t="s">
        <v>16</v>
      </c>
      <c r="E7666" t="s">
        <v>213</v>
      </c>
      <c r="F7666">
        <f t="shared" si="238"/>
        <v>1921</v>
      </c>
      <c r="G7666">
        <f t="shared" si="239"/>
        <v>11</v>
      </c>
      <c r="H7666" t="str">
        <f>IF(ISNUMBER(FIND(",", E7666)), TRIM(MID(E7666, FIND(",", E7666) + 1, LEN(E7666))), E7666)</f>
        <v>Philippine Islands region</v>
      </c>
    </row>
    <row r="7667" spans="1:8" x14ac:dyDescent="0.25">
      <c r="A7667" s="2">
        <v>7964</v>
      </c>
      <c r="B7667">
        <v>-20.059999999999999</v>
      </c>
      <c r="C7667">
        <v>-68.956000000000003</v>
      </c>
      <c r="D7667" t="s">
        <v>13</v>
      </c>
      <c r="E7667" t="s">
        <v>237</v>
      </c>
      <c r="F7667">
        <f t="shared" si="238"/>
        <v>1921</v>
      </c>
      <c r="G7667">
        <f t="shared" si="239"/>
        <v>10</v>
      </c>
      <c r="H7667" t="str">
        <f>IF(ISNUMBER(FIND(",", E7667)), TRIM(MID(E7667, FIND(",", E7667) + 1, LEN(E7667))), E7667)</f>
        <v>Chile</v>
      </c>
    </row>
    <row r="7668" spans="1:8" x14ac:dyDescent="0.25">
      <c r="A7668" s="2">
        <v>7959</v>
      </c>
      <c r="B7668">
        <v>-12.694000000000001</v>
      </c>
      <c r="C7668">
        <v>167.03</v>
      </c>
      <c r="D7668" t="s">
        <v>14</v>
      </c>
      <c r="E7668" t="s">
        <v>211</v>
      </c>
      <c r="F7668">
        <f t="shared" si="238"/>
        <v>1921</v>
      </c>
      <c r="G7668">
        <f t="shared" si="239"/>
        <v>10</v>
      </c>
      <c r="H7668" t="str">
        <f>IF(ISNUMBER(FIND(",", E7668)), TRIM(MID(E7668, FIND(",", E7668) + 1, LEN(E7668))), E7668)</f>
        <v>Santa Cruz Islands</v>
      </c>
    </row>
    <row r="7669" spans="1:8" x14ac:dyDescent="0.25">
      <c r="A7669" s="2">
        <v>7956</v>
      </c>
      <c r="B7669">
        <v>45.3</v>
      </c>
      <c r="C7669">
        <v>148.6</v>
      </c>
      <c r="D7669" t="s">
        <v>18</v>
      </c>
      <c r="E7669" t="s">
        <v>191</v>
      </c>
      <c r="F7669">
        <f t="shared" si="238"/>
        <v>1921</v>
      </c>
      <c r="G7669">
        <f t="shared" si="239"/>
        <v>10</v>
      </c>
      <c r="H7669" t="str">
        <f>IF(ISNUMBER(FIND(",", E7669)), TRIM(MID(E7669, FIND(",", E7669) + 1, LEN(E7669))), E7669)</f>
        <v>Kuril Islands</v>
      </c>
    </row>
    <row r="7670" spans="1:8" x14ac:dyDescent="0.25">
      <c r="A7670" s="2">
        <v>7941</v>
      </c>
      <c r="B7670">
        <v>40.5</v>
      </c>
      <c r="C7670">
        <v>139</v>
      </c>
      <c r="D7670" t="s">
        <v>18</v>
      </c>
      <c r="E7670" t="s">
        <v>298</v>
      </c>
      <c r="F7670">
        <f t="shared" si="238"/>
        <v>1921</v>
      </c>
      <c r="G7670">
        <f t="shared" si="239"/>
        <v>9</v>
      </c>
      <c r="H7670" t="str">
        <f>IF(ISNUMBER(FIND(",", E7670)), TRIM(MID(E7670, FIND(",", E7670) + 1, LEN(E7670))), E7670)</f>
        <v>Japan</v>
      </c>
    </row>
    <row r="7671" spans="1:8" x14ac:dyDescent="0.25">
      <c r="A7671" s="2">
        <v>7927</v>
      </c>
      <c r="B7671">
        <v>-56.259</v>
      </c>
      <c r="C7671">
        <v>-28.622</v>
      </c>
      <c r="D7671" t="s">
        <v>14</v>
      </c>
      <c r="E7671" t="s">
        <v>260</v>
      </c>
      <c r="F7671">
        <f t="shared" si="238"/>
        <v>1921</v>
      </c>
      <c r="G7671">
        <f t="shared" si="239"/>
        <v>9</v>
      </c>
      <c r="H7671" t="str">
        <f>IF(ISNUMBER(FIND(",", E7671)), TRIM(MID(E7671, FIND(",", E7671) + 1, LEN(E7671))), E7671)</f>
        <v>South Sandwich Islands region</v>
      </c>
    </row>
    <row r="7672" spans="1:8" x14ac:dyDescent="0.25">
      <c r="A7672" s="2">
        <v>7925</v>
      </c>
      <c r="B7672">
        <v>-13.095000000000001</v>
      </c>
      <c r="C7672">
        <v>110.17700000000001</v>
      </c>
      <c r="D7672" t="s">
        <v>16</v>
      </c>
      <c r="E7672" t="s">
        <v>625</v>
      </c>
      <c r="F7672">
        <f t="shared" si="238"/>
        <v>1921</v>
      </c>
      <c r="G7672">
        <f t="shared" si="239"/>
        <v>9</v>
      </c>
      <c r="H7672" t="str">
        <f>IF(ISNUMBER(FIND(",", E7672)), TRIM(MID(E7672, FIND(",", E7672) + 1, LEN(E7672))), E7672)</f>
        <v>northwest of Australia</v>
      </c>
    </row>
    <row r="7673" spans="1:8" x14ac:dyDescent="0.25">
      <c r="A7673" s="2">
        <v>7856</v>
      </c>
      <c r="B7673">
        <v>28.885000000000002</v>
      </c>
      <c r="C7673">
        <v>129.91499999999999</v>
      </c>
      <c r="D7673" t="s">
        <v>13</v>
      </c>
      <c r="E7673" t="s">
        <v>340</v>
      </c>
      <c r="F7673">
        <f t="shared" si="238"/>
        <v>1921</v>
      </c>
      <c r="G7673">
        <f t="shared" si="239"/>
        <v>7</v>
      </c>
      <c r="H7673" t="str">
        <f>IF(ISNUMBER(FIND(",", E7673)), TRIM(MID(E7673, FIND(",", E7673) + 1, LEN(E7673))), E7673)</f>
        <v>Japan</v>
      </c>
    </row>
    <row r="7674" spans="1:8" x14ac:dyDescent="0.25">
      <c r="A7674" s="2">
        <v>7850</v>
      </c>
      <c r="B7674">
        <v>-39.420999999999999</v>
      </c>
      <c r="C7674">
        <v>177.351</v>
      </c>
      <c r="D7674" t="s">
        <v>17</v>
      </c>
      <c r="E7674" t="s">
        <v>410</v>
      </c>
      <c r="F7674">
        <f t="shared" si="238"/>
        <v>1921</v>
      </c>
      <c r="G7674">
        <f t="shared" si="239"/>
        <v>6</v>
      </c>
      <c r="H7674" t="str">
        <f>IF(ISNUMBER(FIND(",", E7674)), TRIM(MID(E7674, FIND(",", E7674) + 1, LEN(E7674))), E7674)</f>
        <v>off the east coast of the North Island of New Zealand</v>
      </c>
    </row>
    <row r="7675" spans="1:8" x14ac:dyDescent="0.25">
      <c r="A7675" s="2">
        <v>7811</v>
      </c>
      <c r="B7675">
        <v>35.619999999999997</v>
      </c>
      <c r="C7675">
        <v>70.760000000000005</v>
      </c>
      <c r="D7675" t="s">
        <v>17</v>
      </c>
      <c r="E7675" t="s">
        <v>314</v>
      </c>
      <c r="F7675">
        <f t="shared" si="238"/>
        <v>1921</v>
      </c>
      <c r="G7675">
        <f t="shared" si="239"/>
        <v>5</v>
      </c>
      <c r="H7675" t="str">
        <f>IF(ISNUMBER(FIND(",", E7675)), TRIM(MID(E7675, FIND(",", E7675) + 1, LEN(E7675))), E7675)</f>
        <v>Afghanistan</v>
      </c>
    </row>
    <row r="7676" spans="1:8" x14ac:dyDescent="0.25">
      <c r="A7676" s="2">
        <v>7763</v>
      </c>
      <c r="B7676">
        <v>23</v>
      </c>
      <c r="C7676">
        <v>123</v>
      </c>
      <c r="D7676" t="s">
        <v>18</v>
      </c>
      <c r="E7676" t="s">
        <v>363</v>
      </c>
      <c r="F7676">
        <f t="shared" si="238"/>
        <v>1921</v>
      </c>
      <c r="G7676">
        <f t="shared" si="239"/>
        <v>4</v>
      </c>
      <c r="H7676" t="str">
        <f>IF(ISNUMBER(FIND(",", E7676)), TRIM(MID(E7676, FIND(",", E7676) + 1, LEN(E7676))), E7676)</f>
        <v>Taiwan region</v>
      </c>
    </row>
    <row r="7677" spans="1:8" x14ac:dyDescent="0.25">
      <c r="A7677" s="2">
        <v>7762</v>
      </c>
      <c r="B7677">
        <v>1.665</v>
      </c>
      <c r="C7677">
        <v>98.66</v>
      </c>
      <c r="D7677" t="s">
        <v>17</v>
      </c>
      <c r="E7677" t="s">
        <v>226</v>
      </c>
      <c r="F7677">
        <f t="shared" si="238"/>
        <v>1921</v>
      </c>
      <c r="G7677">
        <f t="shared" si="239"/>
        <v>4</v>
      </c>
      <c r="H7677" t="str">
        <f>IF(ISNUMBER(FIND(",", E7677)), TRIM(MID(E7677, FIND(",", E7677) + 1, LEN(E7677))), E7677)</f>
        <v>Indonesia</v>
      </c>
    </row>
    <row r="7678" spans="1:8" x14ac:dyDescent="0.25">
      <c r="A7678" s="2">
        <v>7760</v>
      </c>
      <c r="B7678">
        <v>-7.1180000000000003</v>
      </c>
      <c r="C7678">
        <v>127.71</v>
      </c>
      <c r="D7678" t="s">
        <v>17</v>
      </c>
      <c r="E7678" t="s">
        <v>49</v>
      </c>
      <c r="F7678">
        <f t="shared" si="238"/>
        <v>1921</v>
      </c>
      <c r="G7678">
        <f t="shared" si="239"/>
        <v>3</v>
      </c>
      <c r="H7678" t="str">
        <f>IF(ISNUMBER(FIND(",", E7678)), TRIM(MID(E7678, FIND(",", E7678) + 1, LEN(E7678))), E7678)</f>
        <v>Indonesia</v>
      </c>
    </row>
    <row r="7679" spans="1:8" x14ac:dyDescent="0.25">
      <c r="A7679" s="2">
        <v>7758</v>
      </c>
      <c r="B7679">
        <v>13.356</v>
      </c>
      <c r="C7679">
        <v>-87.361000000000004</v>
      </c>
      <c r="D7679" t="s">
        <v>16</v>
      </c>
      <c r="E7679" t="s">
        <v>737</v>
      </c>
      <c r="F7679">
        <f t="shared" si="238"/>
        <v>1921</v>
      </c>
      <c r="G7679">
        <f t="shared" si="239"/>
        <v>3</v>
      </c>
      <c r="H7679" t="str">
        <f>IF(ISNUMBER(FIND(",", E7679)), TRIM(MID(E7679, FIND(",", E7679) + 1, LEN(E7679))), E7679)</f>
        <v>Honduras</v>
      </c>
    </row>
    <row r="7680" spans="1:8" x14ac:dyDescent="0.25">
      <c r="A7680" s="2">
        <v>7733</v>
      </c>
      <c r="B7680">
        <v>37.700000000000003</v>
      </c>
      <c r="C7680">
        <v>141.5</v>
      </c>
      <c r="D7680" t="s">
        <v>18</v>
      </c>
      <c r="E7680" t="s">
        <v>227</v>
      </c>
      <c r="F7680">
        <f t="shared" si="238"/>
        <v>1921</v>
      </c>
      <c r="G7680">
        <f t="shared" si="239"/>
        <v>3</v>
      </c>
      <c r="H7680" t="str">
        <f>IF(ISNUMBER(FIND(",", E7680)), TRIM(MID(E7680, FIND(",", E7680) + 1, LEN(E7680))), E7680)</f>
        <v>Japan</v>
      </c>
    </row>
    <row r="7681" spans="1:8" x14ac:dyDescent="0.25">
      <c r="A7681" s="2">
        <v>7729</v>
      </c>
      <c r="B7681">
        <v>-18.646999999999998</v>
      </c>
      <c r="C7681">
        <v>-173.185</v>
      </c>
      <c r="D7681" t="s">
        <v>16</v>
      </c>
      <c r="E7681" t="s">
        <v>239</v>
      </c>
      <c r="F7681">
        <f t="shared" si="238"/>
        <v>1921</v>
      </c>
      <c r="G7681">
        <f t="shared" si="239"/>
        <v>2</v>
      </c>
      <c r="H7681" t="str">
        <f>IF(ISNUMBER(FIND(",", E7681)), TRIM(MID(E7681, FIND(",", E7681) + 1, LEN(E7681))), E7681)</f>
        <v>Tonga</v>
      </c>
    </row>
    <row r="7682" spans="1:8" x14ac:dyDescent="0.25">
      <c r="A7682" s="2">
        <v>7721</v>
      </c>
      <c r="B7682">
        <v>-2.0470000000000002</v>
      </c>
      <c r="C7682">
        <v>139.624</v>
      </c>
      <c r="D7682" t="s">
        <v>17</v>
      </c>
      <c r="E7682" t="s">
        <v>241</v>
      </c>
      <c r="F7682">
        <f t="shared" ref="F7682:F7745" si="240">YEAR(A7682)</f>
        <v>1921</v>
      </c>
      <c r="G7682">
        <f t="shared" si="239"/>
        <v>2</v>
      </c>
      <c r="H7682" t="str">
        <f>IF(ISNUMBER(FIND(",", E7682)), TRIM(MID(E7682, FIND(",", E7682) + 1, LEN(E7682))), E7682)</f>
        <v>Indonesia</v>
      </c>
    </row>
    <row r="7683" spans="1:8" x14ac:dyDescent="0.25">
      <c r="A7683" s="2">
        <v>7706</v>
      </c>
      <c r="B7683">
        <v>15.411</v>
      </c>
      <c r="C7683">
        <v>-90.78</v>
      </c>
      <c r="D7683" t="s">
        <v>13</v>
      </c>
      <c r="E7683" t="s">
        <v>371</v>
      </c>
      <c r="F7683">
        <f t="shared" si="240"/>
        <v>1921</v>
      </c>
      <c r="G7683">
        <f t="shared" ref="G7683:G7746" si="241">MONTH(A7683)</f>
        <v>2</v>
      </c>
      <c r="H7683" t="str">
        <f>IF(ISNUMBER(FIND(",", E7683)), TRIM(MID(E7683, FIND(",", E7683) + 1, LEN(E7683))), E7683)</f>
        <v>Guatemala</v>
      </c>
    </row>
    <row r="7684" spans="1:8" x14ac:dyDescent="0.25">
      <c r="A7684" s="2">
        <v>7673</v>
      </c>
      <c r="B7684">
        <v>44.5</v>
      </c>
      <c r="C7684">
        <v>149.5</v>
      </c>
      <c r="D7684" t="s">
        <v>18</v>
      </c>
      <c r="E7684" t="s">
        <v>191</v>
      </c>
      <c r="F7684">
        <f t="shared" si="240"/>
        <v>1921</v>
      </c>
      <c r="G7684">
        <f t="shared" si="241"/>
        <v>1</v>
      </c>
      <c r="H7684" t="str">
        <f>IF(ISNUMBER(FIND(",", E7684)), TRIM(MID(E7684, FIND(",", E7684) + 1, LEN(E7684))), E7684)</f>
        <v>Kuril Islands</v>
      </c>
    </row>
    <row r="7685" spans="1:8" x14ac:dyDescent="0.25">
      <c r="A7685" s="2">
        <v>7659</v>
      </c>
      <c r="B7685">
        <v>37.299999999999997</v>
      </c>
      <c r="C7685">
        <v>141</v>
      </c>
      <c r="D7685" t="s">
        <v>18</v>
      </c>
      <c r="E7685" t="s">
        <v>227</v>
      </c>
      <c r="F7685">
        <f t="shared" si="240"/>
        <v>1920</v>
      </c>
      <c r="G7685">
        <f t="shared" si="241"/>
        <v>12</v>
      </c>
      <c r="H7685" t="str">
        <f>IF(ISNUMBER(FIND(",", E7685)), TRIM(MID(E7685, FIND(",", E7685) + 1, LEN(E7685))), E7685)</f>
        <v>Japan</v>
      </c>
    </row>
    <row r="7686" spans="1:8" x14ac:dyDescent="0.25">
      <c r="A7686" s="2">
        <v>7656</v>
      </c>
      <c r="B7686">
        <v>36.600999999999999</v>
      </c>
      <c r="C7686">
        <v>105.31699999999999</v>
      </c>
      <c r="D7686" t="s">
        <v>16</v>
      </c>
      <c r="E7686" t="s">
        <v>738</v>
      </c>
      <c r="F7686">
        <f t="shared" si="240"/>
        <v>1920</v>
      </c>
      <c r="G7686">
        <f t="shared" si="241"/>
        <v>12</v>
      </c>
      <c r="H7686" t="str">
        <f>IF(ISNUMBER(FIND(",", E7686)), TRIM(MID(E7686, FIND(",", E7686) + 1, LEN(E7686))), E7686)</f>
        <v>China</v>
      </c>
    </row>
    <row r="7687" spans="1:8" x14ac:dyDescent="0.25">
      <c r="A7687" s="2">
        <v>7650</v>
      </c>
      <c r="B7687">
        <v>-39.456000000000003</v>
      </c>
      <c r="C7687">
        <v>-74.988</v>
      </c>
      <c r="D7687" t="s">
        <v>16</v>
      </c>
      <c r="E7687" t="s">
        <v>508</v>
      </c>
      <c r="F7687">
        <f t="shared" si="240"/>
        <v>1920</v>
      </c>
      <c r="G7687">
        <f t="shared" si="241"/>
        <v>12</v>
      </c>
      <c r="H7687" t="str">
        <f>IF(ISNUMBER(FIND(",", E7687)), TRIM(MID(E7687, FIND(",", E7687) + 1, LEN(E7687))), E7687)</f>
        <v>Chile</v>
      </c>
    </row>
    <row r="7688" spans="1:8" x14ac:dyDescent="0.25">
      <c r="A7688" s="2">
        <v>7597</v>
      </c>
      <c r="B7688">
        <v>45.548000000000002</v>
      </c>
      <c r="C7688">
        <v>149.40100000000001</v>
      </c>
      <c r="D7688" t="s">
        <v>14</v>
      </c>
      <c r="E7688" t="s">
        <v>191</v>
      </c>
      <c r="F7688">
        <f t="shared" si="240"/>
        <v>1920</v>
      </c>
      <c r="G7688">
        <f t="shared" si="241"/>
        <v>10</v>
      </c>
      <c r="H7688" t="str">
        <f>IF(ISNUMBER(FIND(",", E7688)), TRIM(MID(E7688, FIND(",", E7688) + 1, LEN(E7688))), E7688)</f>
        <v>Kuril Islands</v>
      </c>
    </row>
    <row r="7689" spans="1:8" x14ac:dyDescent="0.25">
      <c r="A7689" s="2">
        <v>7569</v>
      </c>
      <c r="B7689">
        <v>-19.919</v>
      </c>
      <c r="C7689">
        <v>168.53</v>
      </c>
      <c r="D7689" t="s">
        <v>16</v>
      </c>
      <c r="E7689" t="s">
        <v>181</v>
      </c>
      <c r="F7689">
        <f t="shared" si="240"/>
        <v>1920</v>
      </c>
      <c r="G7689">
        <f t="shared" si="241"/>
        <v>9</v>
      </c>
      <c r="H7689" t="str">
        <f>IF(ISNUMBER(FIND(",", E7689)), TRIM(MID(E7689, FIND(",", E7689) + 1, LEN(E7689))), E7689)</f>
        <v>Vanuatu</v>
      </c>
    </row>
    <row r="7690" spans="1:8" x14ac:dyDescent="0.25">
      <c r="A7690" s="2">
        <v>7565</v>
      </c>
      <c r="B7690">
        <v>41.6</v>
      </c>
      <c r="C7690">
        <v>142.1</v>
      </c>
      <c r="D7690" t="s">
        <v>18</v>
      </c>
      <c r="E7690" t="s">
        <v>265</v>
      </c>
      <c r="F7690">
        <f t="shared" si="240"/>
        <v>1920</v>
      </c>
      <c r="G7690">
        <f t="shared" si="241"/>
        <v>9</v>
      </c>
      <c r="H7690" t="str">
        <f>IF(ISNUMBER(FIND(",", E7690)), TRIM(MID(E7690, FIND(",", E7690) + 1, LEN(E7690))), E7690)</f>
        <v>Japan region</v>
      </c>
    </row>
    <row r="7691" spans="1:8" x14ac:dyDescent="0.25">
      <c r="A7691" s="2">
        <v>7533</v>
      </c>
      <c r="B7691">
        <v>-11.887</v>
      </c>
      <c r="C7691">
        <v>165.8</v>
      </c>
      <c r="D7691" t="s">
        <v>17</v>
      </c>
      <c r="E7691" t="s">
        <v>211</v>
      </c>
      <c r="F7691">
        <f t="shared" si="240"/>
        <v>1920</v>
      </c>
      <c r="G7691">
        <f t="shared" si="241"/>
        <v>8</v>
      </c>
      <c r="H7691" t="str">
        <f>IF(ISNUMBER(FIND(",", E7691)), TRIM(MID(E7691, FIND(",", E7691) + 1, LEN(E7691))), E7691)</f>
        <v>Santa Cruz Islands</v>
      </c>
    </row>
    <row r="7692" spans="1:8" x14ac:dyDescent="0.25">
      <c r="A7692" s="2">
        <v>7521</v>
      </c>
      <c r="B7692">
        <v>-27.308</v>
      </c>
      <c r="C7692">
        <v>-68.266999999999996</v>
      </c>
      <c r="D7692" t="s">
        <v>17</v>
      </c>
      <c r="E7692" t="s">
        <v>466</v>
      </c>
      <c r="F7692">
        <f t="shared" si="240"/>
        <v>1920</v>
      </c>
      <c r="G7692">
        <f t="shared" si="241"/>
        <v>8</v>
      </c>
      <c r="H7692" t="str">
        <f>IF(ISNUMBER(FIND(",", E7692)), TRIM(MID(E7692, FIND(",", E7692) + 1, LEN(E7692))), E7692)</f>
        <v>Argentina</v>
      </c>
    </row>
    <row r="7693" spans="1:8" x14ac:dyDescent="0.25">
      <c r="A7693" s="2">
        <v>7521</v>
      </c>
      <c r="B7693">
        <v>5.8810000000000002</v>
      </c>
      <c r="C7693">
        <v>127.691</v>
      </c>
      <c r="D7693" t="s">
        <v>17</v>
      </c>
      <c r="E7693" t="s">
        <v>213</v>
      </c>
      <c r="F7693">
        <f t="shared" si="240"/>
        <v>1920</v>
      </c>
      <c r="G7693">
        <f t="shared" si="241"/>
        <v>8</v>
      </c>
      <c r="H7693" t="str">
        <f>IF(ISNUMBER(FIND(",", E7693)), TRIM(MID(E7693, FIND(",", E7693) + 1, LEN(E7693))), E7693)</f>
        <v>Philippine Islands region</v>
      </c>
    </row>
    <row r="7694" spans="1:8" x14ac:dyDescent="0.25">
      <c r="A7694" s="2">
        <v>7462</v>
      </c>
      <c r="B7694">
        <v>23.812999999999999</v>
      </c>
      <c r="C7694">
        <v>122.08</v>
      </c>
      <c r="D7694" t="s">
        <v>16</v>
      </c>
      <c r="E7694" t="s">
        <v>363</v>
      </c>
      <c r="F7694">
        <f t="shared" si="240"/>
        <v>1920</v>
      </c>
      <c r="G7694">
        <f t="shared" si="241"/>
        <v>6</v>
      </c>
      <c r="H7694" t="str">
        <f>IF(ISNUMBER(FIND(",", E7694)), TRIM(MID(E7694, FIND(",", E7694) + 1, LEN(E7694))), E7694)</f>
        <v>Taiwan region</v>
      </c>
    </row>
    <row r="7695" spans="1:8" x14ac:dyDescent="0.25">
      <c r="A7695" s="2">
        <v>7446</v>
      </c>
      <c r="B7695">
        <v>-12.339</v>
      </c>
      <c r="C7695">
        <v>166.52699999999999</v>
      </c>
      <c r="D7695" t="s">
        <v>17</v>
      </c>
      <c r="E7695" t="s">
        <v>211</v>
      </c>
      <c r="F7695">
        <f t="shared" si="240"/>
        <v>1920</v>
      </c>
      <c r="G7695">
        <f t="shared" si="241"/>
        <v>5</v>
      </c>
      <c r="H7695" t="str">
        <f>IF(ISNUMBER(FIND(",", E7695)), TRIM(MID(E7695, FIND(",", E7695) + 1, LEN(E7695))), E7695)</f>
        <v>Santa Cruz Islands</v>
      </c>
    </row>
    <row r="7696" spans="1:8" x14ac:dyDescent="0.25">
      <c r="A7696" s="2">
        <v>7438</v>
      </c>
      <c r="B7696">
        <v>34.83</v>
      </c>
      <c r="C7696">
        <v>139.476</v>
      </c>
      <c r="D7696" t="s">
        <v>17</v>
      </c>
      <c r="E7696" t="s">
        <v>360</v>
      </c>
      <c r="F7696">
        <f t="shared" si="240"/>
        <v>1920</v>
      </c>
      <c r="G7696">
        <f t="shared" si="241"/>
        <v>5</v>
      </c>
      <c r="H7696" t="str">
        <f>IF(ISNUMBER(FIND(",", E7696)), TRIM(MID(E7696, FIND(",", E7696) + 1, LEN(E7696))), E7696)</f>
        <v>Japan</v>
      </c>
    </row>
    <row r="7697" spans="1:8" x14ac:dyDescent="0.25">
      <c r="A7697" s="2">
        <v>7432</v>
      </c>
      <c r="B7697">
        <v>43</v>
      </c>
      <c r="C7697">
        <v>131.5</v>
      </c>
      <c r="D7697" t="s">
        <v>18</v>
      </c>
      <c r="E7697" t="s">
        <v>520</v>
      </c>
      <c r="F7697">
        <f t="shared" si="240"/>
        <v>1920</v>
      </c>
      <c r="G7697">
        <f t="shared" si="241"/>
        <v>5</v>
      </c>
      <c r="H7697" t="str">
        <f>IF(ISNUMBER(FIND(",", E7697)), TRIM(MID(E7697, FIND(",", E7697) + 1, LEN(E7697))), E7697)</f>
        <v>eastern Russia-northeastern China border region</v>
      </c>
    </row>
    <row r="7698" spans="1:8" x14ac:dyDescent="0.25">
      <c r="A7698" s="2">
        <v>7415</v>
      </c>
      <c r="B7698">
        <v>17.242000000000001</v>
      </c>
      <c r="C7698">
        <v>-97.19</v>
      </c>
      <c r="D7698" t="s">
        <v>17</v>
      </c>
      <c r="E7698" t="s">
        <v>251</v>
      </c>
      <c r="F7698">
        <f t="shared" si="240"/>
        <v>1920</v>
      </c>
      <c r="G7698">
        <f t="shared" si="241"/>
        <v>4</v>
      </c>
      <c r="H7698" t="str">
        <f>IF(ISNUMBER(FIND(",", E7698)), TRIM(MID(E7698, FIND(",", E7698) + 1, LEN(E7698))), E7698)</f>
        <v>Mexico</v>
      </c>
    </row>
    <row r="7699" spans="1:8" x14ac:dyDescent="0.25">
      <c r="A7699" s="2">
        <v>7407</v>
      </c>
      <c r="B7699">
        <v>47.5</v>
      </c>
      <c r="C7699">
        <v>153</v>
      </c>
      <c r="D7699" t="s">
        <v>18</v>
      </c>
      <c r="E7699" t="s">
        <v>191</v>
      </c>
      <c r="F7699">
        <f t="shared" si="240"/>
        <v>1920</v>
      </c>
      <c r="G7699">
        <f t="shared" si="241"/>
        <v>4</v>
      </c>
      <c r="H7699" t="str">
        <f>IF(ISNUMBER(FIND(",", E7699)), TRIM(MID(E7699, FIND(",", E7699) + 1, LEN(E7699))), E7699)</f>
        <v>Kuril Islands</v>
      </c>
    </row>
    <row r="7700" spans="1:8" x14ac:dyDescent="0.25">
      <c r="A7700" s="2">
        <v>7385</v>
      </c>
      <c r="B7700">
        <v>-35.697000000000003</v>
      </c>
      <c r="C7700">
        <v>-110.833</v>
      </c>
      <c r="D7700" t="s">
        <v>14</v>
      </c>
      <c r="E7700" t="s">
        <v>268</v>
      </c>
      <c r="F7700">
        <f t="shared" si="240"/>
        <v>1920</v>
      </c>
      <c r="G7700">
        <f t="shared" si="241"/>
        <v>3</v>
      </c>
      <c r="H7700" t="str">
        <f>IF(ISNUMBER(FIND(",", E7700)), TRIM(MID(E7700, FIND(",", E7700) + 1, LEN(E7700))), E7700)</f>
        <v>southern East Pacific Rise</v>
      </c>
    </row>
    <row r="7701" spans="1:8" x14ac:dyDescent="0.25">
      <c r="A7701" s="2">
        <v>7358</v>
      </c>
      <c r="B7701">
        <v>47.25</v>
      </c>
      <c r="C7701">
        <v>146.238</v>
      </c>
      <c r="D7701" t="s">
        <v>13</v>
      </c>
      <c r="E7701" t="s">
        <v>485</v>
      </c>
      <c r="F7701">
        <f t="shared" si="240"/>
        <v>1920</v>
      </c>
      <c r="G7701">
        <f t="shared" si="241"/>
        <v>2</v>
      </c>
      <c r="H7701" t="str">
        <f>IF(ISNUMBER(FIND(",", E7701)), TRIM(MID(E7701, FIND(",", E7701) + 1, LEN(E7701))), E7701)</f>
        <v>northwest of the Kuril Islands</v>
      </c>
    </row>
    <row r="7702" spans="1:8" x14ac:dyDescent="0.25">
      <c r="A7702" s="2">
        <v>7343</v>
      </c>
      <c r="B7702">
        <v>40.6</v>
      </c>
      <c r="C7702">
        <v>143</v>
      </c>
      <c r="D7702" t="s">
        <v>18</v>
      </c>
      <c r="E7702" t="s">
        <v>189</v>
      </c>
      <c r="F7702">
        <f t="shared" si="240"/>
        <v>1920</v>
      </c>
      <c r="G7702">
        <f t="shared" si="241"/>
        <v>2</v>
      </c>
      <c r="H7702" t="str">
        <f>IF(ISNUMBER(FIND(",", E7702)), TRIM(MID(E7702, FIND(",", E7702) + 1, LEN(E7702))), E7702)</f>
        <v>Japan</v>
      </c>
    </row>
    <row r="7703" spans="1:8" x14ac:dyDescent="0.25">
      <c r="A7703" s="2">
        <v>7338</v>
      </c>
      <c r="B7703">
        <v>-6.4740000000000002</v>
      </c>
      <c r="C7703">
        <v>151.685</v>
      </c>
      <c r="D7703" t="s">
        <v>16</v>
      </c>
      <c r="E7703" t="s">
        <v>190</v>
      </c>
      <c r="F7703">
        <f t="shared" si="240"/>
        <v>1920</v>
      </c>
      <c r="G7703">
        <f t="shared" si="241"/>
        <v>2</v>
      </c>
      <c r="H7703" t="str">
        <f>IF(ISNUMBER(FIND(",", E7703)), TRIM(MID(E7703, FIND(",", E7703) + 1, LEN(E7703))), E7703)</f>
        <v>Papua New Guinea</v>
      </c>
    </row>
    <row r="7704" spans="1:8" x14ac:dyDescent="0.25">
      <c r="A7704" s="2">
        <v>7294</v>
      </c>
      <c r="B7704">
        <v>23.536000000000001</v>
      </c>
      <c r="C7704">
        <v>121.212</v>
      </c>
      <c r="D7704" t="s">
        <v>14</v>
      </c>
      <c r="E7704" t="s">
        <v>336</v>
      </c>
      <c r="F7704">
        <f t="shared" si="240"/>
        <v>1919</v>
      </c>
      <c r="G7704">
        <f t="shared" si="241"/>
        <v>12</v>
      </c>
      <c r="H7704" t="str">
        <f>IF(ISNUMBER(FIND(",", E7704)), TRIM(MID(E7704, FIND(",", E7704) + 1, LEN(E7704))), E7704)</f>
        <v>Taiwan</v>
      </c>
    </row>
    <row r="7705" spans="1:8" x14ac:dyDescent="0.25">
      <c r="A7705" s="2">
        <v>7294</v>
      </c>
      <c r="B7705">
        <v>22.5</v>
      </c>
      <c r="C7705">
        <v>122.5</v>
      </c>
      <c r="D7705" t="s">
        <v>18</v>
      </c>
      <c r="E7705" t="s">
        <v>363</v>
      </c>
      <c r="F7705">
        <f t="shared" si="240"/>
        <v>1919</v>
      </c>
      <c r="G7705">
        <f t="shared" si="241"/>
        <v>12</v>
      </c>
      <c r="H7705" t="str">
        <f>IF(ISNUMBER(FIND(",", E7705)), TRIM(MID(E7705, FIND(",", E7705) + 1, LEN(E7705))), E7705)</f>
        <v>Taiwan region</v>
      </c>
    </row>
    <row r="7706" spans="1:8" x14ac:dyDescent="0.25">
      <c r="A7706" s="2">
        <v>7264</v>
      </c>
      <c r="B7706">
        <v>-12.675000000000001</v>
      </c>
      <c r="C7706">
        <v>166.434</v>
      </c>
      <c r="D7706" t="s">
        <v>13</v>
      </c>
      <c r="E7706" t="s">
        <v>211</v>
      </c>
      <c r="F7706">
        <f t="shared" si="240"/>
        <v>1919</v>
      </c>
      <c r="G7706">
        <f t="shared" si="241"/>
        <v>11</v>
      </c>
      <c r="H7706" t="str">
        <f>IF(ISNUMBER(FIND(",", E7706)), TRIM(MID(E7706, FIND(",", E7706) + 1, LEN(E7706))), E7706)</f>
        <v>Santa Cruz Islands</v>
      </c>
    </row>
    <row r="7707" spans="1:8" x14ac:dyDescent="0.25">
      <c r="A7707" s="2">
        <v>7183</v>
      </c>
      <c r="B7707">
        <v>-15.88</v>
      </c>
      <c r="C7707">
        <v>167.33699999999999</v>
      </c>
      <c r="D7707" t="s">
        <v>13</v>
      </c>
      <c r="E7707" t="s">
        <v>181</v>
      </c>
      <c r="F7707">
        <f t="shared" si="240"/>
        <v>1919</v>
      </c>
      <c r="G7707">
        <f t="shared" si="241"/>
        <v>8</v>
      </c>
      <c r="H7707" t="str">
        <f>IF(ISNUMBER(FIND(",", E7707)), TRIM(MID(E7707, FIND(",", E7707) + 1, LEN(E7707))), E7707)</f>
        <v>Vanuatu</v>
      </c>
    </row>
    <row r="7708" spans="1:8" x14ac:dyDescent="0.25">
      <c r="A7708" s="2">
        <v>7181</v>
      </c>
      <c r="B7708">
        <v>-2.6819999999999999</v>
      </c>
      <c r="C7708">
        <v>127.49299999999999</v>
      </c>
      <c r="D7708" t="s">
        <v>14</v>
      </c>
      <c r="E7708" t="s">
        <v>279</v>
      </c>
      <c r="F7708">
        <f t="shared" si="240"/>
        <v>1919</v>
      </c>
      <c r="G7708">
        <f t="shared" si="241"/>
        <v>8</v>
      </c>
      <c r="H7708" t="str">
        <f>IF(ISNUMBER(FIND(",", E7708)), TRIM(MID(E7708, FIND(",", E7708) + 1, LEN(E7708))), E7708)</f>
        <v>Indonesia</v>
      </c>
    </row>
    <row r="7709" spans="1:8" x14ac:dyDescent="0.25">
      <c r="A7709" s="2">
        <v>7170</v>
      </c>
      <c r="B7709">
        <v>-19.762</v>
      </c>
      <c r="C7709">
        <v>-178.108</v>
      </c>
      <c r="D7709" t="s">
        <v>13</v>
      </c>
      <c r="E7709" t="s">
        <v>53</v>
      </c>
      <c r="F7709">
        <f t="shared" si="240"/>
        <v>1919</v>
      </c>
      <c r="G7709">
        <f t="shared" si="241"/>
        <v>8</v>
      </c>
      <c r="H7709" t="str">
        <f>IF(ISNUMBER(FIND(",", E7709)), TRIM(MID(E7709, FIND(",", E7709) + 1, LEN(E7709))), E7709)</f>
        <v>Fiji region</v>
      </c>
    </row>
    <row r="7710" spans="1:8" x14ac:dyDescent="0.25">
      <c r="A7710" s="2">
        <v>7155</v>
      </c>
      <c r="B7710">
        <v>36</v>
      </c>
      <c r="C7710">
        <v>142.5</v>
      </c>
      <c r="D7710" t="s">
        <v>18</v>
      </c>
      <c r="E7710" t="s">
        <v>189</v>
      </c>
      <c r="F7710">
        <f t="shared" si="240"/>
        <v>1919</v>
      </c>
      <c r="G7710">
        <f t="shared" si="241"/>
        <v>8</v>
      </c>
      <c r="H7710" t="str">
        <f>IF(ISNUMBER(FIND(",", E7710)), TRIM(MID(E7710, FIND(",", E7710) + 1, LEN(E7710))), E7710)</f>
        <v>Japan</v>
      </c>
    </row>
    <row r="7711" spans="1:8" x14ac:dyDescent="0.25">
      <c r="A7711" s="2">
        <v>7129</v>
      </c>
      <c r="B7711">
        <v>-9.8339999999999996</v>
      </c>
      <c r="C7711">
        <v>37.343000000000004</v>
      </c>
      <c r="D7711" t="s">
        <v>17</v>
      </c>
      <c r="E7711" t="s">
        <v>678</v>
      </c>
      <c r="F7711">
        <f t="shared" si="240"/>
        <v>1919</v>
      </c>
      <c r="G7711">
        <f t="shared" si="241"/>
        <v>7</v>
      </c>
      <c r="H7711" t="str">
        <f>IF(ISNUMBER(FIND(",", E7711)), TRIM(MID(E7711, FIND(",", E7711) + 1, LEN(E7711))), E7711)</f>
        <v>Tanzania</v>
      </c>
    </row>
    <row r="7712" spans="1:8" x14ac:dyDescent="0.25">
      <c r="A7712" s="2">
        <v>7120</v>
      </c>
      <c r="B7712">
        <v>11.935</v>
      </c>
      <c r="C7712">
        <v>-88.289000000000001</v>
      </c>
      <c r="D7712" t="s">
        <v>17</v>
      </c>
      <c r="E7712" t="s">
        <v>617</v>
      </c>
      <c r="F7712">
        <f t="shared" si="240"/>
        <v>1919</v>
      </c>
      <c r="G7712">
        <f t="shared" si="241"/>
        <v>6</v>
      </c>
      <c r="H7712" t="str">
        <f>IF(ISNUMBER(FIND(",", E7712)), TRIM(MID(E7712, FIND(",", E7712) + 1, LEN(E7712))), E7712)</f>
        <v>off the coast of Central America</v>
      </c>
    </row>
    <row r="7713" spans="1:8" x14ac:dyDescent="0.25">
      <c r="A7713" s="2">
        <v>7092</v>
      </c>
      <c r="B7713">
        <v>27.074000000000002</v>
      </c>
      <c r="C7713">
        <v>123.315</v>
      </c>
      <c r="D7713" t="s">
        <v>13</v>
      </c>
      <c r="E7713" t="s">
        <v>269</v>
      </c>
      <c r="F7713">
        <f t="shared" si="240"/>
        <v>1919</v>
      </c>
      <c r="G7713">
        <f t="shared" si="241"/>
        <v>6</v>
      </c>
      <c r="H7713" t="str">
        <f>IF(ISNUMBER(FIND(",", E7713)), TRIM(MID(E7713, FIND(",", E7713) + 1, LEN(E7713))), E7713)</f>
        <v>northeast of Taiwan</v>
      </c>
    </row>
    <row r="7714" spans="1:8" x14ac:dyDescent="0.25">
      <c r="A7714" s="2">
        <v>7066</v>
      </c>
      <c r="B7714">
        <v>-5.4770000000000003</v>
      </c>
      <c r="C7714">
        <v>152.62899999999999</v>
      </c>
      <c r="D7714" t="s">
        <v>13</v>
      </c>
      <c r="E7714" t="s">
        <v>190</v>
      </c>
      <c r="F7714">
        <f t="shared" si="240"/>
        <v>1919</v>
      </c>
      <c r="G7714">
        <f t="shared" si="241"/>
        <v>5</v>
      </c>
      <c r="H7714" t="str">
        <f>IF(ISNUMBER(FIND(",", E7714)), TRIM(MID(E7714, FIND(",", E7714) + 1, LEN(E7714))), E7714)</f>
        <v>Papua New Guinea</v>
      </c>
    </row>
    <row r="7715" spans="1:8" x14ac:dyDescent="0.25">
      <c r="A7715" s="2">
        <v>7063</v>
      </c>
      <c r="B7715">
        <v>41.006999999999998</v>
      </c>
      <c r="C7715">
        <v>145.233</v>
      </c>
      <c r="D7715" t="s">
        <v>16</v>
      </c>
      <c r="E7715" t="s">
        <v>265</v>
      </c>
      <c r="F7715">
        <f t="shared" si="240"/>
        <v>1919</v>
      </c>
      <c r="G7715">
        <f t="shared" si="241"/>
        <v>5</v>
      </c>
      <c r="H7715" t="str">
        <f>IF(ISNUMBER(FIND(",", E7715)), TRIM(MID(E7715, FIND(",", E7715) + 1, LEN(E7715))), E7715)</f>
        <v>Japan region</v>
      </c>
    </row>
    <row r="7716" spans="1:8" x14ac:dyDescent="0.25">
      <c r="A7716" s="2">
        <v>7060</v>
      </c>
      <c r="B7716">
        <v>-18.420000000000002</v>
      </c>
      <c r="C7716">
        <v>-173.43</v>
      </c>
      <c r="D7716" t="s">
        <v>16</v>
      </c>
      <c r="E7716" t="s">
        <v>239</v>
      </c>
      <c r="F7716">
        <f t="shared" si="240"/>
        <v>1919</v>
      </c>
      <c r="G7716">
        <f t="shared" si="241"/>
        <v>4</v>
      </c>
      <c r="H7716" t="str">
        <f>IF(ISNUMBER(FIND(",", E7716)), TRIM(MID(E7716, FIND(",", E7716) + 1, LEN(E7716))), E7716)</f>
        <v>Tonga</v>
      </c>
    </row>
    <row r="7717" spans="1:8" x14ac:dyDescent="0.25">
      <c r="A7717" s="2">
        <v>7047</v>
      </c>
      <c r="B7717">
        <v>14.039</v>
      </c>
      <c r="C7717">
        <v>-92.287999999999997</v>
      </c>
      <c r="D7717" t="s">
        <v>14</v>
      </c>
      <c r="E7717" t="s">
        <v>196</v>
      </c>
      <c r="F7717">
        <f t="shared" si="240"/>
        <v>1919</v>
      </c>
      <c r="G7717">
        <f t="shared" si="241"/>
        <v>4</v>
      </c>
      <c r="H7717" t="str">
        <f>IF(ISNUMBER(FIND(",", E7717)), TRIM(MID(E7717, FIND(",", E7717) + 1, LEN(E7717))), E7717)</f>
        <v>offshore Guatemala</v>
      </c>
    </row>
    <row r="7718" spans="1:8" x14ac:dyDescent="0.25">
      <c r="A7718" s="2">
        <v>7047</v>
      </c>
      <c r="B7718">
        <v>-30.923999999999999</v>
      </c>
      <c r="C7718">
        <v>-177.72499999999999</v>
      </c>
      <c r="D7718" t="s">
        <v>14</v>
      </c>
      <c r="E7718" t="s">
        <v>288</v>
      </c>
      <c r="F7718">
        <f t="shared" si="240"/>
        <v>1919</v>
      </c>
      <c r="G7718">
        <f t="shared" si="241"/>
        <v>4</v>
      </c>
      <c r="H7718" t="str">
        <f>IF(ISNUMBER(FIND(",", E7718)), TRIM(MID(E7718, FIND(",", E7718) + 1, LEN(E7718))), E7718)</f>
        <v>New Zealand</v>
      </c>
    </row>
    <row r="7719" spans="1:8" x14ac:dyDescent="0.25">
      <c r="A7719" s="2">
        <v>7001</v>
      </c>
      <c r="B7719">
        <v>-42.283999999999999</v>
      </c>
      <c r="C7719">
        <v>-76.451999999999998</v>
      </c>
      <c r="D7719" t="s">
        <v>16</v>
      </c>
      <c r="E7719" t="s">
        <v>508</v>
      </c>
      <c r="F7719">
        <f t="shared" si="240"/>
        <v>1919</v>
      </c>
      <c r="G7719">
        <f t="shared" si="241"/>
        <v>3</v>
      </c>
      <c r="H7719" t="str">
        <f>IF(ISNUMBER(FIND(",", E7719)), TRIM(MID(E7719, FIND(",", E7719) + 1, LEN(E7719))), E7719)</f>
        <v>Chile</v>
      </c>
    </row>
    <row r="7720" spans="1:8" x14ac:dyDescent="0.25">
      <c r="A7720" s="2">
        <v>7001</v>
      </c>
      <c r="B7720">
        <v>-41.401000000000003</v>
      </c>
      <c r="C7720">
        <v>-72.221999999999994</v>
      </c>
      <c r="D7720" t="s">
        <v>16</v>
      </c>
      <c r="E7720" t="s">
        <v>718</v>
      </c>
      <c r="F7720">
        <f t="shared" si="240"/>
        <v>1919</v>
      </c>
      <c r="G7720">
        <f t="shared" si="241"/>
        <v>3</v>
      </c>
      <c r="H7720" t="str">
        <f>IF(ISNUMBER(FIND(",", E7720)), TRIM(MID(E7720, FIND(",", E7720) + 1, LEN(E7720))), E7720)</f>
        <v>Chile</v>
      </c>
    </row>
    <row r="7721" spans="1:8" x14ac:dyDescent="0.25">
      <c r="A7721" s="2">
        <v>6941</v>
      </c>
      <c r="B7721">
        <v>-19.971</v>
      </c>
      <c r="C7721">
        <v>-177.91399999999999</v>
      </c>
      <c r="D7721" t="s">
        <v>13</v>
      </c>
      <c r="E7721" t="s">
        <v>53</v>
      </c>
      <c r="F7721">
        <f t="shared" si="240"/>
        <v>1919</v>
      </c>
      <c r="G7721">
        <f t="shared" si="241"/>
        <v>1</v>
      </c>
      <c r="H7721" t="str">
        <f>IF(ISNUMBER(FIND(",", E7721)), TRIM(MID(E7721, FIND(",", E7721) + 1, LEN(E7721))), E7721)</f>
        <v>Fiji region</v>
      </c>
    </row>
    <row r="7722" spans="1:8" x14ac:dyDescent="0.25">
      <c r="A7722" s="2">
        <v>6941</v>
      </c>
      <c r="B7722">
        <v>7.1840000000000002</v>
      </c>
      <c r="C7722">
        <v>126.937</v>
      </c>
      <c r="D7722" t="s">
        <v>16</v>
      </c>
      <c r="E7722" t="s">
        <v>200</v>
      </c>
      <c r="F7722">
        <f t="shared" si="240"/>
        <v>1919</v>
      </c>
      <c r="G7722">
        <f t="shared" si="241"/>
        <v>1</v>
      </c>
      <c r="H7722" t="str">
        <f>IF(ISNUMBER(FIND(",", E7722)), TRIM(MID(E7722, FIND(",", E7722) + 1, LEN(E7722))), E7722)</f>
        <v>Philippines</v>
      </c>
    </row>
    <row r="7723" spans="1:8" x14ac:dyDescent="0.25">
      <c r="A7723" s="2">
        <v>6934</v>
      </c>
      <c r="B7723">
        <v>-7.0730000000000004</v>
      </c>
      <c r="C7723">
        <v>152.65199999999999</v>
      </c>
      <c r="D7723" t="s">
        <v>17</v>
      </c>
      <c r="E7723" t="s">
        <v>190</v>
      </c>
      <c r="F7723">
        <f t="shared" si="240"/>
        <v>1918</v>
      </c>
      <c r="G7723">
        <f t="shared" si="241"/>
        <v>12</v>
      </c>
      <c r="H7723" t="str">
        <f>IF(ISNUMBER(FIND(",", E7723)), TRIM(MID(E7723, FIND(",", E7723) + 1, LEN(E7723))), E7723)</f>
        <v>Papua New Guinea</v>
      </c>
    </row>
    <row r="7724" spans="1:8" x14ac:dyDescent="0.25">
      <c r="A7724" s="2">
        <v>6915</v>
      </c>
      <c r="B7724">
        <v>50.661999999999999</v>
      </c>
      <c r="C7724">
        <v>-122.964</v>
      </c>
      <c r="D7724" t="s">
        <v>14</v>
      </c>
      <c r="E7724" t="s">
        <v>739</v>
      </c>
      <c r="F7724">
        <f t="shared" si="240"/>
        <v>1918</v>
      </c>
      <c r="G7724">
        <f t="shared" si="241"/>
        <v>12</v>
      </c>
      <c r="H7724" t="str">
        <f>IF(ISNUMBER(FIND(",", E7724)), TRIM(MID(E7724, FIND(",", E7724) + 1, LEN(E7724))), E7724)</f>
        <v>Canada</v>
      </c>
    </row>
    <row r="7725" spans="1:8" x14ac:dyDescent="0.25">
      <c r="A7725" s="2">
        <v>6913</v>
      </c>
      <c r="B7725">
        <v>-27.274999999999999</v>
      </c>
      <c r="C7725">
        <v>-73.463999999999999</v>
      </c>
      <c r="D7725" t="s">
        <v>16</v>
      </c>
      <c r="E7725" t="s">
        <v>677</v>
      </c>
      <c r="F7725">
        <f t="shared" si="240"/>
        <v>1918</v>
      </c>
      <c r="G7725">
        <f t="shared" si="241"/>
        <v>12</v>
      </c>
      <c r="H7725" t="str">
        <f>IF(ISNUMBER(FIND(",", E7725)), TRIM(MID(E7725, FIND(",", E7725) + 1, LEN(E7725))), E7725)</f>
        <v>Chile</v>
      </c>
    </row>
    <row r="7726" spans="1:8" x14ac:dyDescent="0.25">
      <c r="A7726" s="2">
        <v>6902</v>
      </c>
      <c r="B7726">
        <v>-8.2829999999999995</v>
      </c>
      <c r="C7726">
        <v>126.56699999999999</v>
      </c>
      <c r="D7726" t="s">
        <v>13</v>
      </c>
      <c r="E7726" t="s">
        <v>553</v>
      </c>
      <c r="F7726">
        <f t="shared" si="240"/>
        <v>1918</v>
      </c>
      <c r="G7726">
        <f t="shared" si="241"/>
        <v>11</v>
      </c>
      <c r="H7726" t="str">
        <f>IF(ISNUMBER(FIND(",", E7726)), TRIM(MID(E7726, FIND(",", E7726) + 1, LEN(E7726))), E7726)</f>
        <v>East Timor region</v>
      </c>
    </row>
    <row r="7727" spans="1:8" x14ac:dyDescent="0.25">
      <c r="A7727" s="2">
        <v>6897</v>
      </c>
      <c r="B7727">
        <v>-7.1680000000000001</v>
      </c>
      <c r="C7727">
        <v>129.21</v>
      </c>
      <c r="D7727" t="s">
        <v>13</v>
      </c>
      <c r="E7727" t="s">
        <v>615</v>
      </c>
      <c r="F7727">
        <f t="shared" si="240"/>
        <v>1918</v>
      </c>
      <c r="G7727">
        <f t="shared" si="241"/>
        <v>11</v>
      </c>
      <c r="H7727" t="str">
        <f>IF(ISNUMBER(FIND(",", E7727)), TRIM(MID(E7727, FIND(",", E7727) + 1, LEN(E7727))), E7727)</f>
        <v>Indonesia</v>
      </c>
    </row>
    <row r="7728" spans="1:8" x14ac:dyDescent="0.25">
      <c r="A7728" s="2">
        <v>6890</v>
      </c>
      <c r="B7728">
        <v>36.5</v>
      </c>
      <c r="C7728">
        <v>137.9</v>
      </c>
      <c r="D7728" t="s">
        <v>18</v>
      </c>
      <c r="E7728" t="s">
        <v>293</v>
      </c>
      <c r="F7728">
        <f t="shared" si="240"/>
        <v>1918</v>
      </c>
      <c r="G7728">
        <f t="shared" si="241"/>
        <v>11</v>
      </c>
      <c r="H7728" t="str">
        <f>IF(ISNUMBER(FIND(",", E7728)), TRIM(MID(E7728, FIND(",", E7728) + 1, LEN(E7728))), E7728)</f>
        <v>Japan</v>
      </c>
    </row>
    <row r="7729" spans="1:8" x14ac:dyDescent="0.25">
      <c r="A7729" s="2">
        <v>6887</v>
      </c>
      <c r="B7729">
        <v>43.816000000000003</v>
      </c>
      <c r="C7729">
        <v>152.77500000000001</v>
      </c>
      <c r="D7729" t="s">
        <v>13</v>
      </c>
      <c r="E7729" t="s">
        <v>317</v>
      </c>
      <c r="F7729">
        <f t="shared" si="240"/>
        <v>1918</v>
      </c>
      <c r="G7729">
        <f t="shared" si="241"/>
        <v>11</v>
      </c>
      <c r="H7729" t="str">
        <f>IF(ISNUMBER(FIND(",", E7729)), TRIM(MID(E7729, FIND(",", E7729) + 1, LEN(E7729))), E7729)</f>
        <v>east of the Kuril Islands</v>
      </c>
    </row>
    <row r="7730" spans="1:8" x14ac:dyDescent="0.25">
      <c r="A7730" s="2">
        <v>6882</v>
      </c>
      <c r="B7730">
        <v>-49.884999999999998</v>
      </c>
      <c r="C7730">
        <v>163.001</v>
      </c>
      <c r="D7730" t="s">
        <v>17</v>
      </c>
      <c r="E7730" t="s">
        <v>404</v>
      </c>
      <c r="F7730">
        <f t="shared" si="240"/>
        <v>1918</v>
      </c>
      <c r="G7730">
        <f t="shared" si="241"/>
        <v>11</v>
      </c>
      <c r="H7730" t="str">
        <f>IF(ISNUMBER(FIND(",", E7730)), TRIM(MID(E7730, FIND(",", E7730) + 1, LEN(E7730))), E7730)</f>
        <v>New Zealand region</v>
      </c>
    </row>
    <row r="7731" spans="1:8" x14ac:dyDescent="0.25">
      <c r="A7731" s="2">
        <v>6875</v>
      </c>
      <c r="B7731">
        <v>-1.121</v>
      </c>
      <c r="C7731">
        <v>150.27799999999999</v>
      </c>
      <c r="D7731" t="s">
        <v>16</v>
      </c>
      <c r="E7731" t="s">
        <v>183</v>
      </c>
      <c r="F7731">
        <f t="shared" si="240"/>
        <v>1918</v>
      </c>
      <c r="G7731">
        <f t="shared" si="241"/>
        <v>10</v>
      </c>
      <c r="H7731" t="str">
        <f>IF(ISNUMBER(FIND(",", E7731)), TRIM(MID(E7731, FIND(",", E7731) + 1, LEN(E7731))), E7731)</f>
        <v>Papua New Guinea</v>
      </c>
    </row>
    <row r="7732" spans="1:8" x14ac:dyDescent="0.25">
      <c r="A7732" s="2">
        <v>6862</v>
      </c>
      <c r="B7732">
        <v>-20.902000000000001</v>
      </c>
      <c r="C7732">
        <v>-173.29599999999999</v>
      </c>
      <c r="D7732" t="s">
        <v>13</v>
      </c>
      <c r="E7732" t="s">
        <v>239</v>
      </c>
      <c r="F7732">
        <f t="shared" si="240"/>
        <v>1918</v>
      </c>
      <c r="G7732">
        <f t="shared" si="241"/>
        <v>10</v>
      </c>
      <c r="H7732" t="str">
        <f>IF(ISNUMBER(FIND(",", E7732)), TRIM(MID(E7732, FIND(",", E7732) + 1, LEN(E7732))), E7732)</f>
        <v>Tonga</v>
      </c>
    </row>
    <row r="7733" spans="1:8" x14ac:dyDescent="0.25">
      <c r="A7733" s="2">
        <v>6859</v>
      </c>
      <c r="B7733">
        <v>18.472999999999999</v>
      </c>
      <c r="C7733">
        <v>-67.631</v>
      </c>
      <c r="D7733" t="s">
        <v>16</v>
      </c>
      <c r="E7733" t="s">
        <v>740</v>
      </c>
      <c r="F7733">
        <f t="shared" si="240"/>
        <v>1918</v>
      </c>
      <c r="G7733">
        <f t="shared" si="241"/>
        <v>10</v>
      </c>
      <c r="H7733" t="str">
        <f>IF(ISNUMBER(FIND(",", E7733)), TRIM(MID(E7733, FIND(",", E7733) + 1, LEN(E7733))), E7733)</f>
        <v>Puerto Rico</v>
      </c>
    </row>
    <row r="7734" spans="1:8" x14ac:dyDescent="0.25">
      <c r="A7734" s="2">
        <v>6848</v>
      </c>
      <c r="B7734">
        <v>-23.363</v>
      </c>
      <c r="C7734">
        <v>171.46899999999999</v>
      </c>
      <c r="D7734" t="s">
        <v>17</v>
      </c>
      <c r="E7734" t="s">
        <v>254</v>
      </c>
      <c r="F7734">
        <f t="shared" si="240"/>
        <v>1918</v>
      </c>
      <c r="G7734">
        <f t="shared" si="241"/>
        <v>9</v>
      </c>
      <c r="H7734" t="str">
        <f>IF(ISNUMBER(FIND(",", E7734)), TRIM(MID(E7734, FIND(",", E7734) + 1, LEN(E7734))), E7734)</f>
        <v>southeast of the Loyalty Islands</v>
      </c>
    </row>
    <row r="7735" spans="1:8" x14ac:dyDescent="0.25">
      <c r="A7735" s="2">
        <v>6840</v>
      </c>
      <c r="B7735">
        <v>45</v>
      </c>
      <c r="C7735">
        <v>150</v>
      </c>
      <c r="D7735" t="s">
        <v>18</v>
      </c>
      <c r="E7735" t="s">
        <v>191</v>
      </c>
      <c r="F7735">
        <f t="shared" si="240"/>
        <v>1918</v>
      </c>
      <c r="G7735">
        <f t="shared" si="241"/>
        <v>9</v>
      </c>
      <c r="H7735" t="str">
        <f>IF(ISNUMBER(FIND(",", E7735)), TRIM(MID(E7735, FIND(",", E7735) + 1, LEN(E7735))), E7735)</f>
        <v>Kuril Islands</v>
      </c>
    </row>
    <row r="7736" spans="1:8" x14ac:dyDescent="0.25">
      <c r="A7736" s="2">
        <v>6840</v>
      </c>
      <c r="B7736">
        <v>-1.6339999999999999</v>
      </c>
      <c r="C7736">
        <v>98.378</v>
      </c>
      <c r="D7736" t="s">
        <v>17</v>
      </c>
      <c r="E7736" t="s">
        <v>209</v>
      </c>
      <c r="F7736">
        <f t="shared" si="240"/>
        <v>1918</v>
      </c>
      <c r="G7736">
        <f t="shared" si="241"/>
        <v>9</v>
      </c>
      <c r="H7736" t="str">
        <f>IF(ISNUMBER(FIND(",", E7736)), TRIM(MID(E7736, FIND(",", E7736) + 1, LEN(E7736))), E7736)</f>
        <v>Indonesia</v>
      </c>
    </row>
    <row r="7737" spans="1:8" x14ac:dyDescent="0.25">
      <c r="A7737" s="2">
        <v>6825</v>
      </c>
      <c r="B7737">
        <v>46.811999999999998</v>
      </c>
      <c r="C7737">
        <v>150.25299999999999</v>
      </c>
      <c r="D7737" t="s">
        <v>13</v>
      </c>
      <c r="E7737" t="s">
        <v>191</v>
      </c>
      <c r="F7737">
        <f t="shared" si="240"/>
        <v>1918</v>
      </c>
      <c r="G7737">
        <f t="shared" si="241"/>
        <v>9</v>
      </c>
      <c r="H7737" t="str">
        <f>IF(ISNUMBER(FIND(",", E7737)), TRIM(MID(E7737, FIND(",", E7737) + 1, LEN(E7737))), E7737)</f>
        <v>Kuril Islands</v>
      </c>
    </row>
    <row r="7738" spans="1:8" x14ac:dyDescent="0.25">
      <c r="A7738" s="2">
        <v>6802</v>
      </c>
      <c r="B7738">
        <v>5.2320000000000002</v>
      </c>
      <c r="C7738">
        <v>125.886</v>
      </c>
      <c r="D7738" t="s">
        <v>14</v>
      </c>
      <c r="E7738" t="s">
        <v>200</v>
      </c>
      <c r="F7738">
        <f t="shared" si="240"/>
        <v>1918</v>
      </c>
      <c r="G7738">
        <f t="shared" si="241"/>
        <v>8</v>
      </c>
      <c r="H7738" t="str">
        <f>IF(ISNUMBER(FIND(",", E7738)), TRIM(MID(E7738, FIND(",", E7738) + 1, LEN(E7738))), E7738)</f>
        <v>Philippines</v>
      </c>
    </row>
    <row r="7739" spans="1:8" x14ac:dyDescent="0.25">
      <c r="A7739" s="2">
        <v>6802</v>
      </c>
      <c r="B7739">
        <v>5.6529999999999996</v>
      </c>
      <c r="C7739">
        <v>123.563</v>
      </c>
      <c r="D7739" t="s">
        <v>16</v>
      </c>
      <c r="E7739" t="s">
        <v>203</v>
      </c>
      <c r="F7739">
        <f t="shared" si="240"/>
        <v>1918</v>
      </c>
      <c r="G7739">
        <f t="shared" si="241"/>
        <v>8</v>
      </c>
      <c r="H7739" t="str">
        <f>IF(ISNUMBER(FIND(",", E7739)), TRIM(MID(E7739, FIND(",", E7739) + 1, LEN(E7739))), E7739)</f>
        <v>Celebes Sea</v>
      </c>
    </row>
    <row r="7740" spans="1:8" x14ac:dyDescent="0.25">
      <c r="A7740" s="2">
        <v>6781</v>
      </c>
      <c r="B7740">
        <v>36.200000000000003</v>
      </c>
      <c r="C7740">
        <v>142.30000000000001</v>
      </c>
      <c r="D7740" t="s">
        <v>18</v>
      </c>
      <c r="E7740" t="s">
        <v>189</v>
      </c>
      <c r="F7740">
        <f t="shared" si="240"/>
        <v>1918</v>
      </c>
      <c r="G7740">
        <f t="shared" si="241"/>
        <v>7</v>
      </c>
      <c r="H7740" t="str">
        <f>IF(ISNUMBER(FIND(",", E7740)), TRIM(MID(E7740, FIND(",", E7740) + 1, LEN(E7740))), E7740)</f>
        <v>Japan</v>
      </c>
    </row>
    <row r="7741" spans="1:8" x14ac:dyDescent="0.25">
      <c r="A7741" s="2">
        <v>6764</v>
      </c>
      <c r="B7741">
        <v>24.809000000000001</v>
      </c>
      <c r="C7741">
        <v>90.724999999999994</v>
      </c>
      <c r="D7741" t="s">
        <v>16</v>
      </c>
      <c r="E7741" t="s">
        <v>736</v>
      </c>
      <c r="F7741">
        <f t="shared" si="240"/>
        <v>1918</v>
      </c>
      <c r="G7741">
        <f t="shared" si="241"/>
        <v>7</v>
      </c>
      <c r="H7741" t="str">
        <f>IF(ISNUMBER(FIND(",", E7741)), TRIM(MID(E7741, FIND(",", E7741) + 1, LEN(E7741))), E7741)</f>
        <v>Bangladesh</v>
      </c>
    </row>
    <row r="7742" spans="1:8" x14ac:dyDescent="0.25">
      <c r="A7742" s="2">
        <v>6759</v>
      </c>
      <c r="B7742">
        <v>-3.4710000000000001</v>
      </c>
      <c r="C7742">
        <v>143.21700000000001</v>
      </c>
      <c r="D7742" t="s">
        <v>16</v>
      </c>
      <c r="E7742" t="s">
        <v>216</v>
      </c>
      <c r="F7742">
        <f t="shared" si="240"/>
        <v>1918</v>
      </c>
      <c r="G7742">
        <f t="shared" si="241"/>
        <v>7</v>
      </c>
      <c r="H7742" t="str">
        <f>IF(ISNUMBER(FIND(",", E7742)), TRIM(MID(E7742, FIND(",", E7742) + 1, LEN(E7742))), E7742)</f>
        <v>Papua New Guinea</v>
      </c>
    </row>
    <row r="7743" spans="1:8" x14ac:dyDescent="0.25">
      <c r="A7743" s="2">
        <v>6720</v>
      </c>
      <c r="B7743">
        <v>-31.108000000000001</v>
      </c>
      <c r="C7743">
        <v>-92.108999999999995</v>
      </c>
      <c r="D7743" t="s">
        <v>14</v>
      </c>
      <c r="E7743" t="s">
        <v>741</v>
      </c>
      <c r="F7743">
        <f t="shared" si="240"/>
        <v>1918</v>
      </c>
      <c r="G7743">
        <f t="shared" si="241"/>
        <v>5</v>
      </c>
      <c r="H7743" t="str">
        <f>IF(ISNUMBER(FIND(",", E7743)), TRIM(MID(E7743, FIND(",", E7743) + 1, LEN(E7743))), E7743)</f>
        <v>southeast central Pacific Ocean</v>
      </c>
    </row>
    <row r="7744" spans="1:8" x14ac:dyDescent="0.25">
      <c r="A7744" s="2">
        <v>6718</v>
      </c>
      <c r="B7744">
        <v>27.753</v>
      </c>
      <c r="C7744">
        <v>-110.93300000000001</v>
      </c>
      <c r="D7744" t="s">
        <v>17</v>
      </c>
      <c r="E7744" t="s">
        <v>362</v>
      </c>
      <c r="F7744">
        <f t="shared" si="240"/>
        <v>1918</v>
      </c>
      <c r="G7744">
        <f t="shared" si="241"/>
        <v>5</v>
      </c>
      <c r="H7744" t="str">
        <f>IF(ISNUMBER(FIND(",", E7744)), TRIM(MID(E7744, FIND(",", E7744) + 1, LEN(E7744))), E7744)</f>
        <v>Mexico</v>
      </c>
    </row>
    <row r="7745" spans="1:8" x14ac:dyDescent="0.25">
      <c r="A7745" s="2">
        <v>6717</v>
      </c>
      <c r="B7745">
        <v>-17.47</v>
      </c>
      <c r="C7745">
        <v>-176.48599999999999</v>
      </c>
      <c r="D7745" t="s">
        <v>13</v>
      </c>
      <c r="E7745" t="s">
        <v>53</v>
      </c>
      <c r="F7745">
        <f t="shared" si="240"/>
        <v>1918</v>
      </c>
      <c r="G7745">
        <f t="shared" si="241"/>
        <v>5</v>
      </c>
      <c r="H7745" t="str">
        <f>IF(ISNUMBER(FIND(",", E7745)), TRIM(MID(E7745, FIND(",", E7745) + 1, LEN(E7745))), E7745)</f>
        <v>Fiji region</v>
      </c>
    </row>
    <row r="7746" spans="1:8" x14ac:dyDescent="0.25">
      <c r="A7746" s="2">
        <v>6715</v>
      </c>
      <c r="B7746">
        <v>-2.3410000000000002</v>
      </c>
      <c r="C7746">
        <v>152.97300000000001</v>
      </c>
      <c r="D7746" t="s">
        <v>17</v>
      </c>
      <c r="E7746" t="s">
        <v>183</v>
      </c>
      <c r="F7746">
        <f t="shared" ref="F7746:F7809" si="242">YEAR(A7746)</f>
        <v>1918</v>
      </c>
      <c r="G7746">
        <f t="shared" si="241"/>
        <v>5</v>
      </c>
      <c r="H7746" t="str">
        <f>IF(ISNUMBER(FIND(",", E7746)), TRIM(MID(E7746, FIND(",", E7746) + 1, LEN(E7746))), E7746)</f>
        <v>Papua New Guinea</v>
      </c>
    </row>
    <row r="7747" spans="1:8" x14ac:dyDescent="0.25">
      <c r="A7747" s="2">
        <v>6715</v>
      </c>
      <c r="B7747">
        <v>-28.899000000000001</v>
      </c>
      <c r="C7747">
        <v>-71.893000000000001</v>
      </c>
      <c r="D7747" t="s">
        <v>13</v>
      </c>
      <c r="E7747" t="s">
        <v>439</v>
      </c>
      <c r="F7747">
        <f t="shared" si="242"/>
        <v>1918</v>
      </c>
      <c r="G7747">
        <f t="shared" ref="G7747:G7810" si="243">MONTH(A7747)</f>
        <v>5</v>
      </c>
      <c r="H7747" t="str">
        <f>IF(ISNUMBER(FIND(",", E7747)), TRIM(MID(E7747, FIND(",", E7747) + 1, LEN(E7747))), E7747)</f>
        <v>Chile</v>
      </c>
    </row>
    <row r="7748" spans="1:8" x14ac:dyDescent="0.25">
      <c r="A7748" s="2">
        <v>6715</v>
      </c>
      <c r="B7748">
        <v>7.3410000000000002</v>
      </c>
      <c r="C7748">
        <v>-34.802</v>
      </c>
      <c r="D7748" t="s">
        <v>16</v>
      </c>
      <c r="E7748" t="s">
        <v>291</v>
      </c>
      <c r="F7748">
        <f t="shared" si="242"/>
        <v>1918</v>
      </c>
      <c r="G7748">
        <f t="shared" si="243"/>
        <v>5</v>
      </c>
      <c r="H7748" t="str">
        <f>IF(ISNUMBER(FIND(",", E7748)), TRIM(MID(E7748, FIND(",", E7748) + 1, LEN(E7748))), E7748)</f>
        <v>central Mid-Atlantic Ridge</v>
      </c>
    </row>
    <row r="7749" spans="1:8" x14ac:dyDescent="0.25">
      <c r="A7749" s="2">
        <v>6686</v>
      </c>
      <c r="B7749">
        <v>33.811999999999998</v>
      </c>
      <c r="C7749">
        <v>-117.44</v>
      </c>
      <c r="D7749" t="s">
        <v>17</v>
      </c>
      <c r="E7749" t="s">
        <v>561</v>
      </c>
      <c r="F7749">
        <f t="shared" si="242"/>
        <v>1918</v>
      </c>
      <c r="G7749">
        <f t="shared" si="243"/>
        <v>4</v>
      </c>
      <c r="H7749" t="str">
        <f>IF(ISNUMBER(FIND(",", E7749)), TRIM(MID(E7749, FIND(",", E7749) + 1, LEN(E7749))), E7749)</f>
        <v>California</v>
      </c>
    </row>
    <row r="7750" spans="1:8" x14ac:dyDescent="0.25">
      <c r="A7750" s="2">
        <v>6675</v>
      </c>
      <c r="B7750">
        <v>43.475999999999999</v>
      </c>
      <c r="C7750">
        <v>130.91900000000001</v>
      </c>
      <c r="D7750" t="s">
        <v>13</v>
      </c>
      <c r="E7750" t="s">
        <v>491</v>
      </c>
      <c r="F7750">
        <f t="shared" si="242"/>
        <v>1918</v>
      </c>
      <c r="G7750">
        <f t="shared" si="243"/>
        <v>4</v>
      </c>
      <c r="H7750" t="str">
        <f>IF(ISNUMBER(FIND(",", E7750)), TRIM(MID(E7750, FIND(",", E7750) + 1, LEN(E7750))), E7750)</f>
        <v>China</v>
      </c>
    </row>
    <row r="7751" spans="1:8" x14ac:dyDescent="0.25">
      <c r="A7751" s="2">
        <v>6619</v>
      </c>
      <c r="B7751">
        <v>23.54</v>
      </c>
      <c r="C7751">
        <v>117.24299999999999</v>
      </c>
      <c r="D7751" t="s">
        <v>16</v>
      </c>
      <c r="E7751" t="s">
        <v>742</v>
      </c>
      <c r="F7751">
        <f t="shared" si="242"/>
        <v>1918</v>
      </c>
      <c r="G7751">
        <f t="shared" si="243"/>
        <v>2</v>
      </c>
      <c r="H7751" t="str">
        <f>IF(ISNUMBER(FIND(",", E7751)), TRIM(MID(E7751, FIND(",", E7751) + 1, LEN(E7751))), E7751)</f>
        <v>China</v>
      </c>
    </row>
    <row r="7752" spans="1:8" x14ac:dyDescent="0.25">
      <c r="A7752" s="2">
        <v>6613</v>
      </c>
      <c r="B7752">
        <v>6.7779999999999996</v>
      </c>
      <c r="C7752">
        <v>126.688</v>
      </c>
      <c r="D7752" t="s">
        <v>13</v>
      </c>
      <c r="E7752" t="s">
        <v>200</v>
      </c>
      <c r="F7752">
        <f t="shared" si="242"/>
        <v>1918</v>
      </c>
      <c r="G7752">
        <f t="shared" si="243"/>
        <v>2</v>
      </c>
      <c r="H7752" t="str">
        <f>IF(ISNUMBER(FIND(",", E7752)), TRIM(MID(E7752, FIND(",", E7752) + 1, LEN(E7752))), E7752)</f>
        <v>Philippines</v>
      </c>
    </row>
    <row r="7753" spans="1:8" x14ac:dyDescent="0.25">
      <c r="A7753" s="2">
        <v>6605</v>
      </c>
      <c r="B7753">
        <v>45.447000000000003</v>
      </c>
      <c r="C7753">
        <v>136.74100000000001</v>
      </c>
      <c r="D7753" t="s">
        <v>13</v>
      </c>
      <c r="E7753" t="s">
        <v>344</v>
      </c>
      <c r="F7753">
        <f t="shared" si="242"/>
        <v>1918</v>
      </c>
      <c r="G7753">
        <f t="shared" si="243"/>
        <v>1</v>
      </c>
      <c r="H7753" t="str">
        <f>IF(ISNUMBER(FIND(",", E7753)), TRIM(MID(E7753, FIND(",", E7753) + 1, LEN(E7753))), E7753)</f>
        <v>Russia</v>
      </c>
    </row>
    <row r="7754" spans="1:8" x14ac:dyDescent="0.25">
      <c r="A7754" s="2">
        <v>6573</v>
      </c>
      <c r="B7754">
        <v>15</v>
      </c>
      <c r="C7754">
        <v>-97</v>
      </c>
      <c r="D7754" t="s">
        <v>17</v>
      </c>
      <c r="E7754" t="s">
        <v>535</v>
      </c>
      <c r="F7754">
        <f t="shared" si="242"/>
        <v>1917</v>
      </c>
      <c r="G7754">
        <f t="shared" si="243"/>
        <v>12</v>
      </c>
      <c r="H7754" t="str">
        <f>IF(ISNUMBER(FIND(",", E7754)), TRIM(MID(E7754, FIND(",", E7754) + 1, LEN(E7754))), E7754)</f>
        <v>Mexico</v>
      </c>
    </row>
    <row r="7755" spans="1:8" x14ac:dyDescent="0.25">
      <c r="A7755" s="2">
        <v>6530</v>
      </c>
      <c r="B7755">
        <v>-29</v>
      </c>
      <c r="C7755">
        <v>-177.5</v>
      </c>
      <c r="D7755" t="s">
        <v>16</v>
      </c>
      <c r="E7755" t="s">
        <v>240</v>
      </c>
      <c r="F7755">
        <f t="shared" si="242"/>
        <v>1917</v>
      </c>
      <c r="G7755">
        <f t="shared" si="243"/>
        <v>11</v>
      </c>
      <c r="H7755" t="str">
        <f>IF(ISNUMBER(FIND(",", E7755)), TRIM(MID(E7755, FIND(",", E7755) + 1, LEN(E7755))), E7755)</f>
        <v>Kermadec Islands region</v>
      </c>
    </row>
    <row r="7756" spans="1:8" x14ac:dyDescent="0.25">
      <c r="A7756" s="2">
        <v>6518</v>
      </c>
      <c r="B7756">
        <v>4.8</v>
      </c>
      <c r="C7756">
        <v>96.8</v>
      </c>
      <c r="D7756" t="s">
        <v>14</v>
      </c>
      <c r="E7756" t="s">
        <v>226</v>
      </c>
      <c r="F7756">
        <f t="shared" si="242"/>
        <v>1917</v>
      </c>
      <c r="G7756">
        <f t="shared" si="243"/>
        <v>11</v>
      </c>
      <c r="H7756" t="str">
        <f>IF(ISNUMBER(FIND(",", E7756)), TRIM(MID(E7756, FIND(",", E7756) + 1, LEN(E7756))), E7756)</f>
        <v>Indonesia</v>
      </c>
    </row>
    <row r="7757" spans="1:8" x14ac:dyDescent="0.25">
      <c r="A7757" s="2">
        <v>6453</v>
      </c>
      <c r="B7757">
        <v>4</v>
      </c>
      <c r="C7757">
        <v>-74</v>
      </c>
      <c r="D7757" t="s">
        <v>14</v>
      </c>
      <c r="E7757" t="s">
        <v>206</v>
      </c>
      <c r="F7757">
        <f t="shared" si="242"/>
        <v>1917</v>
      </c>
      <c r="G7757">
        <f t="shared" si="243"/>
        <v>8</v>
      </c>
      <c r="H7757" t="str">
        <f>IF(ISNUMBER(FIND(",", E7757)), TRIM(MID(E7757, FIND(",", E7757) + 1, LEN(E7757))), E7757)</f>
        <v>Colombia</v>
      </c>
    </row>
    <row r="7758" spans="1:8" x14ac:dyDescent="0.25">
      <c r="A7758" s="2">
        <v>6452</v>
      </c>
      <c r="B7758">
        <v>-7.5</v>
      </c>
      <c r="C7758">
        <v>128</v>
      </c>
      <c r="D7758" t="s">
        <v>13</v>
      </c>
      <c r="E7758" t="s">
        <v>49</v>
      </c>
      <c r="F7758">
        <f t="shared" si="242"/>
        <v>1917</v>
      </c>
      <c r="G7758">
        <f t="shared" si="243"/>
        <v>8</v>
      </c>
      <c r="H7758" t="str">
        <f>IF(ISNUMBER(FIND(",", E7758)), TRIM(MID(E7758, FIND(",", E7758) + 1, LEN(E7758))), E7758)</f>
        <v>Indonesia</v>
      </c>
    </row>
    <row r="7759" spans="1:8" x14ac:dyDescent="0.25">
      <c r="A7759" s="2">
        <v>6422</v>
      </c>
      <c r="B7759">
        <v>42</v>
      </c>
      <c r="C7759">
        <v>131</v>
      </c>
      <c r="D7759" t="s">
        <v>13</v>
      </c>
      <c r="E7759" t="s">
        <v>420</v>
      </c>
      <c r="F7759">
        <f t="shared" si="242"/>
        <v>1917</v>
      </c>
      <c r="G7759">
        <f t="shared" si="243"/>
        <v>7</v>
      </c>
      <c r="H7759" t="str">
        <f>IF(ISNUMBER(FIND(",", E7759)), TRIM(MID(E7759, FIND(",", E7759) + 1, LEN(E7759))), E7759)</f>
        <v>Sea of Japan</v>
      </c>
    </row>
    <row r="7760" spans="1:8" x14ac:dyDescent="0.25">
      <c r="A7760" s="2">
        <v>6421</v>
      </c>
      <c r="B7760">
        <v>29</v>
      </c>
      <c r="C7760">
        <v>104</v>
      </c>
      <c r="D7760" t="s">
        <v>16</v>
      </c>
      <c r="E7760" t="s">
        <v>402</v>
      </c>
      <c r="F7760">
        <f t="shared" si="242"/>
        <v>1917</v>
      </c>
      <c r="G7760">
        <f t="shared" si="243"/>
        <v>7</v>
      </c>
      <c r="H7760" t="str">
        <f>IF(ISNUMBER(FIND(",", E7760)), TRIM(MID(E7760, FIND(",", E7760) + 1, LEN(E7760))), E7760)</f>
        <v>China</v>
      </c>
    </row>
    <row r="7761" spans="1:8" x14ac:dyDescent="0.25">
      <c r="A7761" s="2">
        <v>6420</v>
      </c>
      <c r="B7761">
        <v>-3.5</v>
      </c>
      <c r="C7761">
        <v>141</v>
      </c>
      <c r="D7761" t="s">
        <v>16</v>
      </c>
      <c r="E7761" t="s">
        <v>253</v>
      </c>
      <c r="F7761">
        <f t="shared" si="242"/>
        <v>1917</v>
      </c>
      <c r="G7761">
        <f t="shared" si="243"/>
        <v>7</v>
      </c>
      <c r="H7761" t="str">
        <f>IF(ISNUMBER(FIND(",", E7761)), TRIM(MID(E7761, FIND(",", E7761) + 1, LEN(E7761))), E7761)</f>
        <v>Papua New Guinea</v>
      </c>
    </row>
    <row r="7762" spans="1:8" x14ac:dyDescent="0.25">
      <c r="A7762" s="2">
        <v>6420</v>
      </c>
      <c r="B7762">
        <v>41</v>
      </c>
      <c r="C7762">
        <v>144</v>
      </c>
      <c r="D7762" t="s">
        <v>14</v>
      </c>
      <c r="E7762" t="s">
        <v>189</v>
      </c>
      <c r="F7762">
        <f t="shared" si="242"/>
        <v>1917</v>
      </c>
      <c r="G7762">
        <f t="shared" si="243"/>
        <v>7</v>
      </c>
      <c r="H7762" t="str">
        <f>IF(ISNUMBER(FIND(",", E7762)), TRIM(MID(E7762, FIND(",", E7762) + 1, LEN(E7762))), E7762)</f>
        <v>Japan</v>
      </c>
    </row>
    <row r="7763" spans="1:8" x14ac:dyDescent="0.25">
      <c r="A7763" s="2">
        <v>6418</v>
      </c>
      <c r="B7763">
        <v>-31</v>
      </c>
      <c r="C7763">
        <v>-70</v>
      </c>
      <c r="D7763" t="s">
        <v>14</v>
      </c>
      <c r="E7763" t="s">
        <v>339</v>
      </c>
      <c r="F7763">
        <f t="shared" si="242"/>
        <v>1917</v>
      </c>
      <c r="G7763">
        <f t="shared" si="243"/>
        <v>7</v>
      </c>
      <c r="H7763" t="str">
        <f>IF(ISNUMBER(FIND(",", E7763)), TRIM(MID(E7763, FIND(",", E7763) + 1, LEN(E7763))), E7763)</f>
        <v>Argentina</v>
      </c>
    </row>
    <row r="7764" spans="1:8" x14ac:dyDescent="0.25">
      <c r="A7764" s="2">
        <v>6418</v>
      </c>
      <c r="B7764">
        <v>19</v>
      </c>
      <c r="C7764">
        <v>-67.5</v>
      </c>
      <c r="D7764" t="s">
        <v>14</v>
      </c>
      <c r="E7764" t="s">
        <v>708</v>
      </c>
      <c r="F7764">
        <f t="shared" si="242"/>
        <v>1917</v>
      </c>
      <c r="G7764">
        <f t="shared" si="243"/>
        <v>7</v>
      </c>
      <c r="H7764" t="str">
        <f>IF(ISNUMBER(FIND(",", E7764)), TRIM(MID(E7764, FIND(",", E7764) + 1, LEN(E7764))), E7764)</f>
        <v>Puerto Rico region</v>
      </c>
    </row>
    <row r="7765" spans="1:8" x14ac:dyDescent="0.25">
      <c r="A7765" s="2">
        <v>6395</v>
      </c>
      <c r="B7765">
        <v>25</v>
      </c>
      <c r="C7765">
        <v>123</v>
      </c>
      <c r="D7765" t="s">
        <v>17</v>
      </c>
      <c r="E7765" t="s">
        <v>363</v>
      </c>
      <c r="F7765">
        <f t="shared" si="242"/>
        <v>1917</v>
      </c>
      <c r="G7765">
        <f t="shared" si="243"/>
        <v>7</v>
      </c>
      <c r="H7765" t="str">
        <f>IF(ISNUMBER(FIND(",", E7765)), TRIM(MID(E7765, FIND(",", E7765) + 1, LEN(E7765))), E7765)</f>
        <v>Taiwan region</v>
      </c>
    </row>
    <row r="7766" spans="1:8" x14ac:dyDescent="0.25">
      <c r="A7766" s="2">
        <v>6395</v>
      </c>
      <c r="B7766">
        <v>25</v>
      </c>
      <c r="C7766">
        <v>123</v>
      </c>
      <c r="D7766" t="s">
        <v>16</v>
      </c>
      <c r="E7766" t="s">
        <v>363</v>
      </c>
      <c r="F7766">
        <f t="shared" si="242"/>
        <v>1917</v>
      </c>
      <c r="G7766">
        <f t="shared" si="243"/>
        <v>7</v>
      </c>
      <c r="H7766" t="str">
        <f>IF(ISNUMBER(FIND(",", E7766)), TRIM(MID(E7766, FIND(",", E7766) + 1, LEN(E7766))), E7766)</f>
        <v>Taiwan region</v>
      </c>
    </row>
    <row r="7767" spans="1:8" x14ac:dyDescent="0.25">
      <c r="A7767" s="2">
        <v>6387</v>
      </c>
      <c r="B7767">
        <v>-14.37</v>
      </c>
      <c r="C7767">
        <v>-173.35</v>
      </c>
      <c r="D7767" t="s">
        <v>16</v>
      </c>
      <c r="E7767" t="s">
        <v>352</v>
      </c>
      <c r="F7767">
        <f t="shared" si="242"/>
        <v>1917</v>
      </c>
      <c r="G7767">
        <f t="shared" si="243"/>
        <v>6</v>
      </c>
      <c r="H7767" t="str">
        <f>IF(ISNUMBER(FIND(",", E7767)), TRIM(MID(E7767, FIND(",", E7767) + 1, LEN(E7767))), E7767)</f>
        <v>Samoa Islands region</v>
      </c>
    </row>
    <row r="7768" spans="1:8" x14ac:dyDescent="0.25">
      <c r="A7768" s="2">
        <v>6385</v>
      </c>
      <c r="B7768">
        <v>-21</v>
      </c>
      <c r="C7768">
        <v>-174</v>
      </c>
      <c r="D7768" t="s">
        <v>14</v>
      </c>
      <c r="E7768" t="s">
        <v>239</v>
      </c>
      <c r="F7768">
        <f t="shared" si="242"/>
        <v>1917</v>
      </c>
      <c r="G7768">
        <f t="shared" si="243"/>
        <v>6</v>
      </c>
      <c r="H7768" t="str">
        <f>IF(ISNUMBER(FIND(",", E7768)), TRIM(MID(E7768, FIND(",", E7768) + 1, LEN(E7768))), E7768)</f>
        <v>Tonga</v>
      </c>
    </row>
    <row r="7769" spans="1:8" x14ac:dyDescent="0.25">
      <c r="A7769" s="2">
        <v>6361</v>
      </c>
      <c r="B7769">
        <v>54.5</v>
      </c>
      <c r="C7769">
        <v>-160</v>
      </c>
      <c r="D7769" t="s">
        <v>16</v>
      </c>
      <c r="E7769" t="s">
        <v>493</v>
      </c>
      <c r="F7769">
        <f t="shared" si="242"/>
        <v>1917</v>
      </c>
      <c r="G7769">
        <f t="shared" si="243"/>
        <v>5</v>
      </c>
      <c r="H7769" t="str">
        <f>IF(ISNUMBER(FIND(",", E7769)), TRIM(MID(E7769, FIND(",", E7769) + 1, LEN(E7769))), E7769)</f>
        <v>south of Alaska</v>
      </c>
    </row>
    <row r="7770" spans="1:8" x14ac:dyDescent="0.25">
      <c r="A7770" s="2">
        <v>6331</v>
      </c>
      <c r="B7770">
        <v>-29</v>
      </c>
      <c r="C7770">
        <v>-177</v>
      </c>
      <c r="D7770" t="s">
        <v>16</v>
      </c>
      <c r="E7770" t="s">
        <v>240</v>
      </c>
      <c r="F7770">
        <f t="shared" si="242"/>
        <v>1917</v>
      </c>
      <c r="G7770">
        <f t="shared" si="243"/>
        <v>5</v>
      </c>
      <c r="H7770" t="str">
        <f>IF(ISNUMBER(FIND(",", E7770)), TRIM(MID(E7770, FIND(",", E7770) + 1, LEN(E7770))), E7770)</f>
        <v>Kermadec Islands region</v>
      </c>
    </row>
    <row r="7771" spans="1:8" x14ac:dyDescent="0.25">
      <c r="A7771" s="2">
        <v>6321</v>
      </c>
      <c r="B7771">
        <v>37</v>
      </c>
      <c r="C7771">
        <v>70.5</v>
      </c>
      <c r="D7771" t="s">
        <v>13</v>
      </c>
      <c r="E7771" t="s">
        <v>314</v>
      </c>
      <c r="F7771">
        <f t="shared" si="242"/>
        <v>1917</v>
      </c>
      <c r="G7771">
        <f t="shared" si="243"/>
        <v>4</v>
      </c>
      <c r="H7771" t="str">
        <f>IF(ISNUMBER(FIND(",", E7771)), TRIM(MID(E7771, FIND(",", E7771) + 1, LEN(E7771))), E7771)</f>
        <v>Afghanistan</v>
      </c>
    </row>
    <row r="7772" spans="1:8" x14ac:dyDescent="0.25">
      <c r="A7772" s="2">
        <v>6284</v>
      </c>
      <c r="B7772">
        <v>39.700000000000003</v>
      </c>
      <c r="C7772">
        <v>144.1</v>
      </c>
      <c r="D7772" t="s">
        <v>17</v>
      </c>
      <c r="E7772" t="s">
        <v>189</v>
      </c>
      <c r="F7772">
        <f t="shared" si="242"/>
        <v>1917</v>
      </c>
      <c r="G7772">
        <f t="shared" si="243"/>
        <v>3</v>
      </c>
      <c r="H7772" t="str">
        <f>IF(ISNUMBER(FIND(",", E7772)), TRIM(MID(E7772, FIND(",", E7772) + 1, LEN(E7772))), E7772)</f>
        <v>Japan</v>
      </c>
    </row>
    <row r="7773" spans="1:8" x14ac:dyDescent="0.25">
      <c r="A7773" s="2">
        <v>6261</v>
      </c>
      <c r="B7773">
        <v>19.5</v>
      </c>
      <c r="C7773">
        <v>-78.5</v>
      </c>
      <c r="D7773" t="s">
        <v>16</v>
      </c>
      <c r="E7773" t="s">
        <v>431</v>
      </c>
      <c r="F7773">
        <f t="shared" si="242"/>
        <v>1917</v>
      </c>
      <c r="G7773">
        <f t="shared" si="243"/>
        <v>2</v>
      </c>
      <c r="H7773" t="str">
        <f>IF(ISNUMBER(FIND(",", E7773)), TRIM(MID(E7773, FIND(",", E7773) + 1, LEN(E7773))), E7773)</f>
        <v>Cuba region</v>
      </c>
    </row>
    <row r="7774" spans="1:8" x14ac:dyDescent="0.25">
      <c r="A7774" s="2">
        <v>6256</v>
      </c>
      <c r="B7774">
        <v>-30</v>
      </c>
      <c r="C7774">
        <v>-73</v>
      </c>
      <c r="D7774" t="s">
        <v>14</v>
      </c>
      <c r="E7774" t="s">
        <v>743</v>
      </c>
      <c r="F7774">
        <f t="shared" si="242"/>
        <v>1917</v>
      </c>
      <c r="G7774">
        <f t="shared" si="243"/>
        <v>2</v>
      </c>
      <c r="H7774" t="str">
        <f>IF(ISNUMBER(FIND(",", E7774)), TRIM(MID(E7774, FIND(",", E7774) + 1, LEN(E7774))), E7774)</f>
        <v>Chile</v>
      </c>
    </row>
    <row r="7775" spans="1:8" x14ac:dyDescent="0.25">
      <c r="A7775" s="2">
        <v>6240</v>
      </c>
      <c r="B7775">
        <v>56.5</v>
      </c>
      <c r="C7775">
        <v>163</v>
      </c>
      <c r="D7775" t="s">
        <v>16</v>
      </c>
      <c r="E7775" t="s">
        <v>225</v>
      </c>
      <c r="F7775">
        <f t="shared" si="242"/>
        <v>1917</v>
      </c>
      <c r="G7775">
        <f t="shared" si="243"/>
        <v>1</v>
      </c>
      <c r="H7775" t="str">
        <f>IF(ISNUMBER(FIND(",", E7775)), TRIM(MID(E7775, FIND(",", E7775) + 1, LEN(E7775))), E7775)</f>
        <v>Russia</v>
      </c>
    </row>
    <row r="7776" spans="1:8" x14ac:dyDescent="0.25">
      <c r="A7776" s="2">
        <v>6234</v>
      </c>
      <c r="B7776">
        <v>31</v>
      </c>
      <c r="C7776">
        <v>114</v>
      </c>
      <c r="D7776" t="s">
        <v>14</v>
      </c>
      <c r="E7776" t="s">
        <v>744</v>
      </c>
      <c r="F7776">
        <f t="shared" si="242"/>
        <v>1917</v>
      </c>
      <c r="G7776">
        <f t="shared" si="243"/>
        <v>1</v>
      </c>
      <c r="H7776" t="str">
        <f>IF(ISNUMBER(FIND(",", E7776)), TRIM(MID(E7776, FIND(",", E7776) + 1, LEN(E7776))), E7776)</f>
        <v>China</v>
      </c>
    </row>
    <row r="7777" spans="1:8" x14ac:dyDescent="0.25">
      <c r="A7777" s="2">
        <v>6216</v>
      </c>
      <c r="B7777">
        <v>22</v>
      </c>
      <c r="C7777">
        <v>121</v>
      </c>
      <c r="D7777" t="s">
        <v>14</v>
      </c>
      <c r="E7777" t="s">
        <v>336</v>
      </c>
      <c r="F7777">
        <f t="shared" si="242"/>
        <v>1917</v>
      </c>
      <c r="G7777">
        <f t="shared" si="243"/>
        <v>1</v>
      </c>
      <c r="H7777" t="str">
        <f>IF(ISNUMBER(FIND(",", E7777)), TRIM(MID(E7777, FIND(",", E7777) + 1, LEN(E7777))), E7777)</f>
        <v>Taiwan</v>
      </c>
    </row>
    <row r="7778" spans="1:8" x14ac:dyDescent="0.25">
      <c r="A7778" s="2">
        <v>6214</v>
      </c>
      <c r="B7778">
        <v>21.9</v>
      </c>
      <c r="C7778">
        <v>120.9</v>
      </c>
      <c r="D7778" t="s">
        <v>14</v>
      </c>
      <c r="E7778" t="s">
        <v>363</v>
      </c>
      <c r="F7778">
        <f t="shared" si="242"/>
        <v>1917</v>
      </c>
      <c r="G7778">
        <f t="shared" si="243"/>
        <v>1</v>
      </c>
      <c r="H7778" t="str">
        <f>IF(ISNUMBER(FIND(",", E7778)), TRIM(MID(E7778, FIND(",", E7778) + 1, LEN(E7778))), E7778)</f>
        <v>Taiwan region</v>
      </c>
    </row>
    <row r="7779" spans="1:8" x14ac:dyDescent="0.25">
      <c r="A7779" s="2">
        <v>6179</v>
      </c>
      <c r="B7779">
        <v>19</v>
      </c>
      <c r="C7779">
        <v>-70</v>
      </c>
      <c r="D7779" t="s">
        <v>17</v>
      </c>
      <c r="E7779" t="s">
        <v>477</v>
      </c>
      <c r="F7779">
        <f t="shared" si="242"/>
        <v>1916</v>
      </c>
      <c r="G7779">
        <f t="shared" si="243"/>
        <v>11</v>
      </c>
      <c r="H7779" t="str">
        <f>IF(ISNUMBER(FIND(",", E7779)), TRIM(MID(E7779, FIND(",", E7779) + 1, LEN(E7779))), E7779)</f>
        <v>Dominican Republic</v>
      </c>
    </row>
    <row r="7780" spans="1:8" x14ac:dyDescent="0.25">
      <c r="A7780" s="2">
        <v>6173</v>
      </c>
      <c r="B7780">
        <v>39.200000000000003</v>
      </c>
      <c r="C7780">
        <v>142.69999999999999</v>
      </c>
      <c r="D7780" t="s">
        <v>18</v>
      </c>
      <c r="E7780" t="s">
        <v>227</v>
      </c>
      <c r="F7780">
        <f t="shared" si="242"/>
        <v>1916</v>
      </c>
      <c r="G7780">
        <f t="shared" si="243"/>
        <v>11</v>
      </c>
      <c r="H7780" t="str">
        <f>IF(ISNUMBER(FIND(",", E7780)), TRIM(MID(E7780, FIND(",", E7780) + 1, LEN(E7780))), E7780)</f>
        <v>Japan</v>
      </c>
    </row>
    <row r="7781" spans="1:8" x14ac:dyDescent="0.25">
      <c r="A7781" s="2">
        <v>6149</v>
      </c>
      <c r="B7781">
        <v>45.4</v>
      </c>
      <c r="C7781">
        <v>154</v>
      </c>
      <c r="D7781" t="s">
        <v>16</v>
      </c>
      <c r="E7781" t="s">
        <v>317</v>
      </c>
      <c r="F7781">
        <f t="shared" si="242"/>
        <v>1916</v>
      </c>
      <c r="G7781">
        <f t="shared" si="243"/>
        <v>10</v>
      </c>
      <c r="H7781" t="str">
        <f>IF(ISNUMBER(FIND(",", E7781)), TRIM(MID(E7781, FIND(",", E7781) + 1, LEN(E7781))), E7781)</f>
        <v>east of the Kuril Islands</v>
      </c>
    </row>
    <row r="7782" spans="1:8" x14ac:dyDescent="0.25">
      <c r="A7782" s="2">
        <v>6146</v>
      </c>
      <c r="B7782">
        <v>46</v>
      </c>
      <c r="C7782">
        <v>146</v>
      </c>
      <c r="D7782" t="s">
        <v>18</v>
      </c>
      <c r="E7782" t="s">
        <v>485</v>
      </c>
      <c r="F7782">
        <f t="shared" si="242"/>
        <v>1916</v>
      </c>
      <c r="G7782">
        <f t="shared" si="243"/>
        <v>10</v>
      </c>
      <c r="H7782" t="str">
        <f>IF(ISNUMBER(FIND(",", E7782)), TRIM(MID(E7782, FIND(",", E7782) + 1, LEN(E7782))), E7782)</f>
        <v>northwest of the Kuril Islands</v>
      </c>
    </row>
    <row r="7783" spans="1:8" x14ac:dyDescent="0.25">
      <c r="A7783" s="2">
        <v>6121</v>
      </c>
      <c r="B7783">
        <v>-14</v>
      </c>
      <c r="C7783">
        <v>-74.5</v>
      </c>
      <c r="D7783" t="s">
        <v>14</v>
      </c>
      <c r="E7783" t="s">
        <v>198</v>
      </c>
      <c r="F7783">
        <f t="shared" si="242"/>
        <v>1916</v>
      </c>
      <c r="G7783">
        <f t="shared" si="243"/>
        <v>10</v>
      </c>
      <c r="H7783" t="str">
        <f>IF(ISNUMBER(FIND(",", E7783)), TRIM(MID(E7783, FIND(",", E7783) + 1, LEN(E7783))), E7783)</f>
        <v>central Peru</v>
      </c>
    </row>
    <row r="7784" spans="1:8" x14ac:dyDescent="0.25">
      <c r="A7784" s="2">
        <v>6103</v>
      </c>
      <c r="B7784">
        <v>34.4</v>
      </c>
      <c r="C7784">
        <v>141.19999999999999</v>
      </c>
      <c r="D7784" t="s">
        <v>13</v>
      </c>
      <c r="E7784" t="s">
        <v>189</v>
      </c>
      <c r="F7784">
        <f t="shared" si="242"/>
        <v>1916</v>
      </c>
      <c r="G7784">
        <f t="shared" si="243"/>
        <v>9</v>
      </c>
      <c r="H7784" t="str">
        <f>IF(ISNUMBER(FIND(",", E7784)), TRIM(MID(E7784, FIND(",", E7784) + 1, LEN(E7784))), E7784)</f>
        <v>Japan</v>
      </c>
    </row>
    <row r="7785" spans="1:8" x14ac:dyDescent="0.25">
      <c r="A7785" s="2">
        <v>6099</v>
      </c>
      <c r="B7785">
        <v>-9</v>
      </c>
      <c r="C7785">
        <v>113</v>
      </c>
      <c r="D7785" t="s">
        <v>13</v>
      </c>
      <c r="E7785" t="s">
        <v>212</v>
      </c>
      <c r="F7785">
        <f t="shared" si="242"/>
        <v>1916</v>
      </c>
      <c r="G7785">
        <f t="shared" si="243"/>
        <v>9</v>
      </c>
      <c r="H7785" t="str">
        <f>IF(ISNUMBER(FIND(",", E7785)), TRIM(MID(E7785, FIND(",", E7785) + 1, LEN(E7785))), E7785)</f>
        <v>Indonesia</v>
      </c>
    </row>
    <row r="7786" spans="1:8" x14ac:dyDescent="0.25">
      <c r="A7786" s="2">
        <v>6085</v>
      </c>
      <c r="B7786">
        <v>23.9</v>
      </c>
      <c r="C7786">
        <v>120.5</v>
      </c>
      <c r="D7786" t="s">
        <v>18</v>
      </c>
      <c r="E7786" t="s">
        <v>336</v>
      </c>
      <c r="F7786">
        <f t="shared" si="242"/>
        <v>1916</v>
      </c>
      <c r="G7786">
        <f t="shared" si="243"/>
        <v>8</v>
      </c>
      <c r="H7786" t="str">
        <f>IF(ISNUMBER(FIND(",", E7786)), TRIM(MID(E7786, FIND(",", E7786) + 1, LEN(E7786))), E7786)</f>
        <v>Taiwan</v>
      </c>
    </row>
    <row r="7787" spans="1:8" x14ac:dyDescent="0.25">
      <c r="A7787" s="2">
        <v>6085</v>
      </c>
      <c r="B7787">
        <v>30</v>
      </c>
      <c r="C7787">
        <v>81</v>
      </c>
      <c r="D7787" t="s">
        <v>16</v>
      </c>
      <c r="E7787" t="s">
        <v>388</v>
      </c>
      <c r="F7787">
        <f t="shared" si="242"/>
        <v>1916</v>
      </c>
      <c r="G7787">
        <f t="shared" si="243"/>
        <v>8</v>
      </c>
      <c r="H7787" t="str">
        <f>IF(ISNUMBER(FIND(",", E7787)), TRIM(MID(E7787, FIND(",", E7787) + 1, LEN(E7787))), E7787)</f>
        <v>western Xizang</v>
      </c>
    </row>
    <row r="7788" spans="1:8" x14ac:dyDescent="0.25">
      <c r="A7788" s="2">
        <v>6084</v>
      </c>
      <c r="B7788">
        <v>37.200000000000003</v>
      </c>
      <c r="C7788">
        <v>141.1</v>
      </c>
      <c r="D7788" t="s">
        <v>18</v>
      </c>
      <c r="E7788" t="s">
        <v>227</v>
      </c>
      <c r="F7788">
        <f t="shared" si="242"/>
        <v>1916</v>
      </c>
      <c r="G7788">
        <f t="shared" si="243"/>
        <v>8</v>
      </c>
      <c r="H7788" t="str">
        <f>IF(ISNUMBER(FIND(",", E7788)), TRIM(MID(E7788, FIND(",", E7788) + 1, LEN(E7788))), E7788)</f>
        <v>Japan</v>
      </c>
    </row>
    <row r="7789" spans="1:8" x14ac:dyDescent="0.25">
      <c r="A7789" s="2">
        <v>6082</v>
      </c>
      <c r="B7789">
        <v>-21</v>
      </c>
      <c r="C7789">
        <v>-68</v>
      </c>
      <c r="D7789" t="s">
        <v>13</v>
      </c>
      <c r="E7789" t="s">
        <v>472</v>
      </c>
      <c r="F7789">
        <f t="shared" si="242"/>
        <v>1916</v>
      </c>
      <c r="G7789">
        <f t="shared" si="243"/>
        <v>8</v>
      </c>
      <c r="H7789" t="str">
        <f>IF(ISNUMBER(FIND(",", E7789)), TRIM(MID(E7789, FIND(",", E7789) + 1, LEN(E7789))), E7789)</f>
        <v>Bolivia</v>
      </c>
    </row>
    <row r="7790" spans="1:8" x14ac:dyDescent="0.25">
      <c r="A7790" s="2">
        <v>6060</v>
      </c>
      <c r="B7790">
        <v>-4</v>
      </c>
      <c r="C7790">
        <v>144.5</v>
      </c>
      <c r="D7790" t="s">
        <v>16</v>
      </c>
      <c r="E7790" t="s">
        <v>216</v>
      </c>
      <c r="F7790">
        <f t="shared" si="242"/>
        <v>1916</v>
      </c>
      <c r="G7790">
        <f t="shared" si="243"/>
        <v>8</v>
      </c>
      <c r="H7790" t="str">
        <f>IF(ISNUMBER(FIND(",", E7790)), TRIM(MID(E7790, FIND(",", E7790) + 1, LEN(E7790))), E7790)</f>
        <v>Papua New Guinea</v>
      </c>
    </row>
    <row r="7791" spans="1:8" x14ac:dyDescent="0.25">
      <c r="A7791" s="2">
        <v>6053</v>
      </c>
      <c r="B7791">
        <v>4</v>
      </c>
      <c r="C7791">
        <v>96.5</v>
      </c>
      <c r="D7791" t="s">
        <v>13</v>
      </c>
      <c r="E7791" t="s">
        <v>226</v>
      </c>
      <c r="F7791">
        <f t="shared" si="242"/>
        <v>1916</v>
      </c>
      <c r="G7791">
        <f t="shared" si="243"/>
        <v>7</v>
      </c>
      <c r="H7791" t="str">
        <f>IF(ISNUMBER(FIND(",", E7791)), TRIM(MID(E7791, FIND(",", E7791) + 1, LEN(E7791))), E7791)</f>
        <v>Indonesia</v>
      </c>
    </row>
    <row r="7792" spans="1:8" x14ac:dyDescent="0.25">
      <c r="A7792" s="2">
        <v>6042</v>
      </c>
      <c r="B7792">
        <v>39.5</v>
      </c>
      <c r="C7792">
        <v>144</v>
      </c>
      <c r="D7792" t="s">
        <v>18</v>
      </c>
      <c r="E7792" t="s">
        <v>189</v>
      </c>
      <c r="F7792">
        <f t="shared" si="242"/>
        <v>1916</v>
      </c>
      <c r="G7792">
        <f t="shared" si="243"/>
        <v>7</v>
      </c>
      <c r="H7792" t="str">
        <f>IF(ISNUMBER(FIND(",", E7792)), TRIM(MID(E7792, FIND(",", E7792) + 1, LEN(E7792))), E7792)</f>
        <v>Japan</v>
      </c>
    </row>
    <row r="7793" spans="1:8" x14ac:dyDescent="0.25">
      <c r="A7793" s="2">
        <v>6034</v>
      </c>
      <c r="B7793">
        <v>-18</v>
      </c>
      <c r="C7793">
        <v>180</v>
      </c>
      <c r="D7793" t="s">
        <v>13</v>
      </c>
      <c r="F7793">
        <f t="shared" si="242"/>
        <v>1916</v>
      </c>
      <c r="G7793">
        <f t="shared" si="243"/>
        <v>7</v>
      </c>
      <c r="H7793">
        <f>IF(ISNUMBER(FIND(",", E7793)), TRIM(MID(E7793, FIND(",", E7793) + 1, LEN(E7793))), E7793)</f>
        <v>0</v>
      </c>
    </row>
    <row r="7794" spans="1:8" x14ac:dyDescent="0.25">
      <c r="A7794" s="2">
        <v>6017</v>
      </c>
      <c r="B7794">
        <v>-28.5</v>
      </c>
      <c r="C7794">
        <v>-63</v>
      </c>
      <c r="D7794" t="s">
        <v>13</v>
      </c>
      <c r="E7794" t="s">
        <v>232</v>
      </c>
      <c r="F7794">
        <f t="shared" si="242"/>
        <v>1916</v>
      </c>
      <c r="G7794">
        <f t="shared" si="243"/>
        <v>6</v>
      </c>
      <c r="H7794" t="str">
        <f>IF(ISNUMBER(FIND(",", E7794)), TRIM(MID(E7794, FIND(",", E7794) + 1, LEN(E7794))), E7794)</f>
        <v>Argentina</v>
      </c>
    </row>
    <row r="7795" spans="1:8" x14ac:dyDescent="0.25">
      <c r="A7795" s="2">
        <v>5998</v>
      </c>
      <c r="B7795">
        <v>17.5</v>
      </c>
      <c r="C7795">
        <v>-95</v>
      </c>
      <c r="D7795" t="s">
        <v>13</v>
      </c>
      <c r="E7795" t="s">
        <v>294</v>
      </c>
      <c r="F7795">
        <f t="shared" si="242"/>
        <v>1916</v>
      </c>
      <c r="G7795">
        <f t="shared" si="243"/>
        <v>6</v>
      </c>
      <c r="H7795" t="str">
        <f>IF(ISNUMBER(FIND(",", E7795)), TRIM(MID(E7795, FIND(",", E7795) + 1, LEN(E7795))), E7795)</f>
        <v>Mexico</v>
      </c>
    </row>
    <row r="7796" spans="1:8" x14ac:dyDescent="0.25">
      <c r="A7796" s="2">
        <v>5961</v>
      </c>
      <c r="B7796">
        <v>10</v>
      </c>
      <c r="C7796">
        <v>-85</v>
      </c>
      <c r="D7796" t="s">
        <v>14</v>
      </c>
      <c r="E7796" t="s">
        <v>202</v>
      </c>
      <c r="F7796">
        <f t="shared" si="242"/>
        <v>1916</v>
      </c>
      <c r="G7796">
        <f t="shared" si="243"/>
        <v>4</v>
      </c>
      <c r="H7796" t="str">
        <f>IF(ISNUMBER(FIND(",", E7796)), TRIM(MID(E7796, FIND(",", E7796) + 1, LEN(E7796))), E7796)</f>
        <v>Costa Rica</v>
      </c>
    </row>
    <row r="7797" spans="1:8" x14ac:dyDescent="0.25">
      <c r="A7797" s="2">
        <v>5959</v>
      </c>
      <c r="B7797">
        <v>11</v>
      </c>
      <c r="C7797">
        <v>-85</v>
      </c>
      <c r="D7797" t="s">
        <v>16</v>
      </c>
      <c r="E7797" t="s">
        <v>270</v>
      </c>
      <c r="F7797">
        <f t="shared" si="242"/>
        <v>1916</v>
      </c>
      <c r="G7797">
        <f t="shared" si="243"/>
        <v>4</v>
      </c>
      <c r="H7797" t="str">
        <f>IF(ISNUMBER(FIND(",", E7797)), TRIM(MID(E7797, FIND(",", E7797) + 1, LEN(E7797))), E7797)</f>
        <v>Nicaragua</v>
      </c>
    </row>
    <row r="7798" spans="1:8" x14ac:dyDescent="0.25">
      <c r="A7798" s="2">
        <v>5959</v>
      </c>
      <c r="B7798">
        <v>18.5</v>
      </c>
      <c r="C7798">
        <v>-68</v>
      </c>
      <c r="D7798" t="s">
        <v>13</v>
      </c>
      <c r="E7798" t="s">
        <v>745</v>
      </c>
      <c r="F7798">
        <f t="shared" si="242"/>
        <v>1916</v>
      </c>
      <c r="G7798">
        <f t="shared" si="243"/>
        <v>4</v>
      </c>
      <c r="H7798" t="str">
        <f>IF(ISNUMBER(FIND(",", E7798)), TRIM(MID(E7798, FIND(",", E7798) + 1, LEN(E7798))), E7798)</f>
        <v>Dominican Republic</v>
      </c>
    </row>
    <row r="7799" spans="1:8" x14ac:dyDescent="0.25">
      <c r="A7799" s="2">
        <v>5956</v>
      </c>
      <c r="B7799">
        <v>32.5</v>
      </c>
      <c r="C7799">
        <v>141.80000000000001</v>
      </c>
      <c r="D7799" t="s">
        <v>14</v>
      </c>
      <c r="E7799" t="s">
        <v>88</v>
      </c>
      <c r="F7799">
        <f t="shared" si="242"/>
        <v>1916</v>
      </c>
      <c r="G7799">
        <f t="shared" si="243"/>
        <v>4</v>
      </c>
      <c r="H7799" t="str">
        <f>IF(ISNUMBER(FIND(",", E7799)), TRIM(MID(E7799, FIND(",", E7799) + 1, LEN(E7799))), E7799)</f>
        <v>Japan region</v>
      </c>
    </row>
    <row r="7800" spans="1:8" x14ac:dyDescent="0.25">
      <c r="A7800" s="2">
        <v>5953</v>
      </c>
      <c r="B7800">
        <v>53.25</v>
      </c>
      <c r="C7800">
        <v>-170</v>
      </c>
      <c r="D7800" t="s">
        <v>13</v>
      </c>
      <c r="E7800" t="s">
        <v>219</v>
      </c>
      <c r="F7800">
        <f t="shared" si="242"/>
        <v>1916</v>
      </c>
      <c r="G7800">
        <f t="shared" si="243"/>
        <v>4</v>
      </c>
      <c r="H7800" t="str">
        <f>IF(ISNUMBER(FIND(",", E7800)), TRIM(MID(E7800, FIND(",", E7800) + 1, LEN(E7800))), E7800)</f>
        <v>Aleutian Islands, Alaska</v>
      </c>
    </row>
    <row r="7801" spans="1:8" x14ac:dyDescent="0.25">
      <c r="A7801" s="2">
        <v>5949</v>
      </c>
      <c r="B7801">
        <v>32.5</v>
      </c>
      <c r="C7801">
        <v>142</v>
      </c>
      <c r="D7801" t="s">
        <v>18</v>
      </c>
      <c r="E7801" t="s">
        <v>88</v>
      </c>
      <c r="F7801">
        <f t="shared" si="242"/>
        <v>1916</v>
      </c>
      <c r="G7801">
        <f t="shared" si="243"/>
        <v>4</v>
      </c>
      <c r="H7801" t="str">
        <f>IF(ISNUMBER(FIND(",", E7801)), TRIM(MID(E7801, FIND(",", E7801) + 1, LEN(E7801))), E7801)</f>
        <v>Japan region</v>
      </c>
    </row>
    <row r="7802" spans="1:8" x14ac:dyDescent="0.25">
      <c r="A7802" s="2">
        <v>5942</v>
      </c>
      <c r="B7802">
        <v>-30</v>
      </c>
      <c r="C7802">
        <v>55</v>
      </c>
      <c r="D7802" t="s">
        <v>16</v>
      </c>
      <c r="E7802" t="s">
        <v>473</v>
      </c>
      <c r="F7802">
        <f t="shared" si="242"/>
        <v>1916</v>
      </c>
      <c r="G7802">
        <f t="shared" si="243"/>
        <v>4</v>
      </c>
      <c r="H7802" t="str">
        <f>IF(ISNUMBER(FIND(",", E7802)), TRIM(MID(E7802, FIND(",", E7802) + 1, LEN(E7802))), E7802)</f>
        <v>South Indian Ocean</v>
      </c>
    </row>
    <row r="7803" spans="1:8" x14ac:dyDescent="0.25">
      <c r="A7803" s="2">
        <v>5929</v>
      </c>
      <c r="B7803">
        <v>24</v>
      </c>
      <c r="C7803">
        <v>124</v>
      </c>
      <c r="D7803" t="s">
        <v>18</v>
      </c>
      <c r="E7803" t="s">
        <v>312</v>
      </c>
      <c r="F7803">
        <f t="shared" si="242"/>
        <v>1916</v>
      </c>
      <c r="G7803">
        <f t="shared" si="243"/>
        <v>3</v>
      </c>
      <c r="H7803" t="str">
        <f>IF(ISNUMBER(FIND(",", E7803)), TRIM(MID(E7803, FIND(",", E7803) + 1, LEN(E7803))), E7803)</f>
        <v>Japan</v>
      </c>
    </row>
    <row r="7804" spans="1:8" x14ac:dyDescent="0.25">
      <c r="A7804" s="2">
        <v>5922</v>
      </c>
      <c r="B7804">
        <v>41.5</v>
      </c>
      <c r="C7804">
        <v>144.5</v>
      </c>
      <c r="D7804" t="s">
        <v>18</v>
      </c>
      <c r="E7804" t="s">
        <v>265</v>
      </c>
      <c r="F7804">
        <f t="shared" si="242"/>
        <v>1916</v>
      </c>
      <c r="G7804">
        <f t="shared" si="243"/>
        <v>3</v>
      </c>
      <c r="H7804" t="str">
        <f>IF(ISNUMBER(FIND(",", E7804)), TRIM(MID(E7804, FIND(",", E7804) + 1, LEN(E7804))), E7804)</f>
        <v>Japan region</v>
      </c>
    </row>
    <row r="7805" spans="1:8" x14ac:dyDescent="0.25">
      <c r="A7805" s="2">
        <v>5902</v>
      </c>
      <c r="B7805">
        <v>12</v>
      </c>
      <c r="C7805">
        <v>-90</v>
      </c>
      <c r="D7805" t="s">
        <v>16</v>
      </c>
      <c r="E7805" t="s">
        <v>215</v>
      </c>
      <c r="F7805">
        <f t="shared" si="242"/>
        <v>1916</v>
      </c>
      <c r="G7805">
        <f t="shared" si="243"/>
        <v>2</v>
      </c>
      <c r="H7805" t="str">
        <f>IF(ISNUMBER(FIND(",", E7805)), TRIM(MID(E7805, FIND(",", E7805) + 1, LEN(E7805))), E7805)</f>
        <v>off the coast of El Salvador</v>
      </c>
    </row>
    <row r="7806" spans="1:8" x14ac:dyDescent="0.25">
      <c r="A7806" s="2">
        <v>5881</v>
      </c>
      <c r="B7806">
        <v>48.5</v>
      </c>
      <c r="C7806">
        <v>178.5</v>
      </c>
      <c r="D7806" t="s">
        <v>17</v>
      </c>
      <c r="E7806" t="s">
        <v>588</v>
      </c>
      <c r="F7806">
        <f t="shared" si="242"/>
        <v>1916</v>
      </c>
      <c r="G7806">
        <f t="shared" si="243"/>
        <v>2</v>
      </c>
      <c r="H7806" t="str">
        <f>IF(ISNUMBER(FIND(",", E7806)), TRIM(MID(E7806, FIND(",", E7806) + 1, LEN(E7806))), E7806)</f>
        <v>south of the Aleutian Islands</v>
      </c>
    </row>
    <row r="7807" spans="1:8" x14ac:dyDescent="0.25">
      <c r="A7807" s="2">
        <v>5881</v>
      </c>
      <c r="B7807">
        <v>45</v>
      </c>
      <c r="C7807">
        <v>151</v>
      </c>
      <c r="D7807" t="s">
        <v>18</v>
      </c>
      <c r="E7807" t="s">
        <v>191</v>
      </c>
      <c r="F7807">
        <f t="shared" si="242"/>
        <v>1916</v>
      </c>
      <c r="G7807">
        <f t="shared" si="243"/>
        <v>2</v>
      </c>
      <c r="H7807" t="str">
        <f>IF(ISNUMBER(FIND(",", E7807)), TRIM(MID(E7807, FIND(",", E7807) + 1, LEN(E7807))), E7807)</f>
        <v>Kuril Islands</v>
      </c>
    </row>
    <row r="7808" spans="1:8" x14ac:dyDescent="0.25">
      <c r="A7808" s="2">
        <v>5876</v>
      </c>
      <c r="B7808">
        <v>29.5</v>
      </c>
      <c r="C7808">
        <v>131.5</v>
      </c>
      <c r="D7808" t="s">
        <v>18</v>
      </c>
      <c r="E7808" t="s">
        <v>324</v>
      </c>
      <c r="F7808">
        <f t="shared" si="242"/>
        <v>1916</v>
      </c>
      <c r="G7808">
        <f t="shared" si="243"/>
        <v>2</v>
      </c>
      <c r="H7808" t="str">
        <f>IF(ISNUMBER(FIND(",", E7808)), TRIM(MID(E7808, FIND(",", E7808) + 1, LEN(E7808))), E7808)</f>
        <v>Japan</v>
      </c>
    </row>
    <row r="7809" spans="1:8" x14ac:dyDescent="0.25">
      <c r="A7809" s="2">
        <v>5869</v>
      </c>
      <c r="B7809">
        <v>45</v>
      </c>
      <c r="C7809">
        <v>144</v>
      </c>
      <c r="D7809" t="s">
        <v>18</v>
      </c>
      <c r="E7809" t="s">
        <v>265</v>
      </c>
      <c r="F7809">
        <f t="shared" si="242"/>
        <v>1916</v>
      </c>
      <c r="G7809">
        <f t="shared" si="243"/>
        <v>1</v>
      </c>
      <c r="H7809" t="str">
        <f>IF(ISNUMBER(FIND(",", E7809)), TRIM(MID(E7809, FIND(",", E7809) + 1, LEN(E7809))), E7809)</f>
        <v>Japan region</v>
      </c>
    </row>
    <row r="7810" spans="1:8" x14ac:dyDescent="0.25">
      <c r="A7810" s="2">
        <v>5868</v>
      </c>
      <c r="B7810">
        <v>41</v>
      </c>
      <c r="C7810">
        <v>37</v>
      </c>
      <c r="D7810" t="s">
        <v>16</v>
      </c>
      <c r="E7810" t="s">
        <v>517</v>
      </c>
      <c r="F7810">
        <f t="shared" ref="F7810:F7873" si="244">YEAR(A7810)</f>
        <v>1916</v>
      </c>
      <c r="G7810">
        <f t="shared" si="243"/>
        <v>1</v>
      </c>
      <c r="H7810" t="str">
        <f>IF(ISNUMBER(FIND(",", E7810)), TRIM(MID(E7810, FIND(",", E7810) + 1, LEN(E7810))), E7810)</f>
        <v>central Turkey</v>
      </c>
    </row>
    <row r="7811" spans="1:8" x14ac:dyDescent="0.25">
      <c r="A7811" s="2">
        <v>5857</v>
      </c>
      <c r="B7811">
        <v>-3</v>
      </c>
      <c r="C7811">
        <v>135.5</v>
      </c>
      <c r="D7811" t="s">
        <v>16</v>
      </c>
      <c r="E7811" t="s">
        <v>210</v>
      </c>
      <c r="F7811">
        <f t="shared" si="244"/>
        <v>1916</v>
      </c>
      <c r="G7811">
        <f t="shared" ref="G7811:G7874" si="245">MONTH(A7811)</f>
        <v>1</v>
      </c>
      <c r="H7811" t="str">
        <f>IF(ISNUMBER(FIND(",", E7811)), TRIM(MID(E7811, FIND(",", E7811) + 1, LEN(E7811))), E7811)</f>
        <v>Indonesia</v>
      </c>
    </row>
    <row r="7812" spans="1:8" x14ac:dyDescent="0.25">
      <c r="A7812" s="2">
        <v>5857</v>
      </c>
      <c r="B7812">
        <v>-3</v>
      </c>
      <c r="C7812">
        <v>136</v>
      </c>
      <c r="D7812" t="s">
        <v>16</v>
      </c>
      <c r="E7812" t="s">
        <v>210</v>
      </c>
      <c r="F7812">
        <f t="shared" si="244"/>
        <v>1916</v>
      </c>
      <c r="G7812">
        <f t="shared" si="245"/>
        <v>1</v>
      </c>
      <c r="H7812" t="str">
        <f>IF(ISNUMBER(FIND(",", E7812)), TRIM(MID(E7812, FIND(",", E7812) + 1, LEN(E7812))), E7812)</f>
        <v>Indonesia</v>
      </c>
    </row>
    <row r="7813" spans="1:8" x14ac:dyDescent="0.25">
      <c r="A7813" s="2">
        <v>5845</v>
      </c>
      <c r="B7813">
        <v>-4</v>
      </c>
      <c r="C7813">
        <v>154</v>
      </c>
      <c r="D7813" t="s">
        <v>16</v>
      </c>
      <c r="E7813" t="s">
        <v>183</v>
      </c>
      <c r="F7813">
        <f t="shared" si="244"/>
        <v>1916</v>
      </c>
      <c r="G7813">
        <f t="shared" si="245"/>
        <v>1</v>
      </c>
      <c r="H7813" t="str">
        <f>IF(ISNUMBER(FIND(",", E7813)), TRIM(MID(E7813, FIND(",", E7813) + 1, LEN(E7813))), E7813)</f>
        <v>Papua New Guinea</v>
      </c>
    </row>
    <row r="7814" spans="1:8" x14ac:dyDescent="0.25">
      <c r="A7814" s="2">
        <v>5830</v>
      </c>
      <c r="B7814">
        <v>42</v>
      </c>
      <c r="C7814">
        <v>79.5</v>
      </c>
      <c r="D7814" t="s">
        <v>14</v>
      </c>
      <c r="E7814" t="s">
        <v>284</v>
      </c>
      <c r="F7814">
        <f t="shared" si="244"/>
        <v>1915</v>
      </c>
      <c r="G7814">
        <f t="shared" si="245"/>
        <v>12</v>
      </c>
      <c r="H7814" t="str">
        <f>IF(ISNUMBER(FIND(",", E7814)), TRIM(MID(E7814, FIND(",", E7814) + 1, LEN(E7814))), E7814)</f>
        <v>Kyrgyzstan</v>
      </c>
    </row>
    <row r="7815" spans="1:8" x14ac:dyDescent="0.25">
      <c r="A7815" s="2">
        <v>5819</v>
      </c>
      <c r="B7815">
        <v>41</v>
      </c>
      <c r="C7815">
        <v>145</v>
      </c>
      <c r="D7815" t="s">
        <v>18</v>
      </c>
      <c r="E7815" t="s">
        <v>189</v>
      </c>
      <c r="F7815">
        <f t="shared" si="244"/>
        <v>1915</v>
      </c>
      <c r="G7815">
        <f t="shared" si="245"/>
        <v>12</v>
      </c>
      <c r="H7815" t="str">
        <f>IF(ISNUMBER(FIND(",", E7815)), TRIM(MID(E7815, FIND(",", E7815) + 1, LEN(E7815))), E7815)</f>
        <v>Japan</v>
      </c>
    </row>
    <row r="7816" spans="1:8" x14ac:dyDescent="0.25">
      <c r="A7816" s="2">
        <v>5816</v>
      </c>
      <c r="B7816">
        <v>29.5</v>
      </c>
      <c r="C7816">
        <v>91.5</v>
      </c>
      <c r="D7816" t="s">
        <v>14</v>
      </c>
      <c r="E7816" t="s">
        <v>386</v>
      </c>
      <c r="F7816">
        <f t="shared" si="244"/>
        <v>1915</v>
      </c>
      <c r="G7816">
        <f t="shared" si="245"/>
        <v>12</v>
      </c>
      <c r="H7816" t="str">
        <f>IF(ISNUMBER(FIND(",", E7816)), TRIM(MID(E7816, FIND(",", E7816) + 1, LEN(E7816))), E7816)</f>
        <v>eastern Xizang</v>
      </c>
    </row>
    <row r="7817" spans="1:8" x14ac:dyDescent="0.25">
      <c r="A7817" s="2">
        <v>5804</v>
      </c>
      <c r="B7817">
        <v>32</v>
      </c>
      <c r="C7817">
        <v>-115</v>
      </c>
      <c r="D7817" t="s">
        <v>14</v>
      </c>
      <c r="E7817" t="s">
        <v>362</v>
      </c>
      <c r="F7817">
        <f t="shared" si="244"/>
        <v>1915</v>
      </c>
      <c r="G7817">
        <f t="shared" si="245"/>
        <v>11</v>
      </c>
      <c r="H7817" t="str">
        <f>IF(ISNUMBER(FIND(",", E7817)), TRIM(MID(E7817, FIND(",", E7817) + 1, LEN(E7817))), E7817)</f>
        <v>Mexico</v>
      </c>
    </row>
    <row r="7818" spans="1:8" x14ac:dyDescent="0.25">
      <c r="A7818" s="2">
        <v>5801</v>
      </c>
      <c r="B7818">
        <v>37.700000000000003</v>
      </c>
      <c r="C7818">
        <v>143.1</v>
      </c>
      <c r="D7818" t="s">
        <v>18</v>
      </c>
      <c r="E7818" t="s">
        <v>189</v>
      </c>
      <c r="F7818">
        <f t="shared" si="244"/>
        <v>1915</v>
      </c>
      <c r="G7818">
        <f t="shared" si="245"/>
        <v>11</v>
      </c>
      <c r="H7818" t="str">
        <f>IF(ISNUMBER(FIND(",", E7818)), TRIM(MID(E7818, FIND(",", E7818) + 1, LEN(E7818))), E7818)</f>
        <v>Japan</v>
      </c>
    </row>
    <row r="7819" spans="1:8" x14ac:dyDescent="0.25">
      <c r="A7819" s="2">
        <v>5784</v>
      </c>
      <c r="B7819">
        <v>38</v>
      </c>
      <c r="C7819">
        <v>143</v>
      </c>
      <c r="D7819" t="s">
        <v>18</v>
      </c>
      <c r="E7819" t="s">
        <v>189</v>
      </c>
      <c r="F7819">
        <f t="shared" si="244"/>
        <v>1915</v>
      </c>
      <c r="G7819">
        <f t="shared" si="245"/>
        <v>11</v>
      </c>
      <c r="H7819" t="str">
        <f>IF(ISNUMBER(FIND(",", E7819)), TRIM(MID(E7819, FIND(",", E7819) + 1, LEN(E7819))), E7819)</f>
        <v>Japan</v>
      </c>
    </row>
    <row r="7820" spans="1:8" x14ac:dyDescent="0.25">
      <c r="A7820" s="2">
        <v>5784</v>
      </c>
      <c r="B7820">
        <v>38</v>
      </c>
      <c r="C7820">
        <v>143</v>
      </c>
      <c r="D7820" t="s">
        <v>18</v>
      </c>
      <c r="E7820" t="s">
        <v>189</v>
      </c>
      <c r="F7820">
        <f t="shared" si="244"/>
        <v>1915</v>
      </c>
      <c r="G7820">
        <f t="shared" si="245"/>
        <v>11</v>
      </c>
      <c r="H7820" t="str">
        <f>IF(ISNUMBER(FIND(",", E7820)), TRIM(MID(E7820, FIND(",", E7820) + 1, LEN(E7820))), E7820)</f>
        <v>Japan</v>
      </c>
    </row>
    <row r="7821" spans="1:8" x14ac:dyDescent="0.25">
      <c r="A7821" s="2">
        <v>5784</v>
      </c>
      <c r="B7821">
        <v>38.299999999999997</v>
      </c>
      <c r="C7821">
        <v>142.9</v>
      </c>
      <c r="D7821" t="s">
        <v>16</v>
      </c>
      <c r="E7821" t="s">
        <v>227</v>
      </c>
      <c r="F7821">
        <f t="shared" si="244"/>
        <v>1915</v>
      </c>
      <c r="G7821">
        <f t="shared" si="245"/>
        <v>11</v>
      </c>
      <c r="H7821" t="str">
        <f>IF(ISNUMBER(FIND(",", E7821)), TRIM(MID(E7821, FIND(",", E7821) + 1, LEN(E7821))), E7821)</f>
        <v>Japan</v>
      </c>
    </row>
    <row r="7822" spans="1:8" x14ac:dyDescent="0.25">
      <c r="A7822" s="2">
        <v>5764</v>
      </c>
      <c r="B7822">
        <v>39</v>
      </c>
      <c r="C7822">
        <v>144</v>
      </c>
      <c r="D7822" t="s">
        <v>18</v>
      </c>
      <c r="E7822" t="s">
        <v>189</v>
      </c>
      <c r="F7822">
        <f t="shared" si="244"/>
        <v>1915</v>
      </c>
      <c r="G7822">
        <f t="shared" si="245"/>
        <v>10</v>
      </c>
      <c r="H7822" t="str">
        <f>IF(ISNUMBER(FIND(",", E7822)), TRIM(MID(E7822, FIND(",", E7822) + 1, LEN(E7822))), E7822)</f>
        <v>Japan</v>
      </c>
    </row>
    <row r="7823" spans="1:8" x14ac:dyDescent="0.25">
      <c r="A7823" s="2">
        <v>5763</v>
      </c>
      <c r="B7823">
        <v>19</v>
      </c>
      <c r="C7823">
        <v>-67</v>
      </c>
      <c r="D7823" t="s">
        <v>17</v>
      </c>
      <c r="E7823" t="s">
        <v>708</v>
      </c>
      <c r="F7823">
        <f t="shared" si="244"/>
        <v>1915</v>
      </c>
      <c r="G7823">
        <f t="shared" si="245"/>
        <v>10</v>
      </c>
      <c r="H7823" t="str">
        <f>IF(ISNUMBER(FIND(",", E7823)), TRIM(MID(E7823, FIND(",", E7823) + 1, LEN(E7823))), E7823)</f>
        <v>Puerto Rico region</v>
      </c>
    </row>
    <row r="7824" spans="1:8" x14ac:dyDescent="0.25">
      <c r="A7824" s="2">
        <v>5760</v>
      </c>
      <c r="B7824">
        <v>32.799999999999997</v>
      </c>
      <c r="C7824">
        <v>139.1</v>
      </c>
      <c r="D7824" t="s">
        <v>13</v>
      </c>
      <c r="E7824" t="s">
        <v>88</v>
      </c>
      <c r="F7824">
        <f t="shared" si="244"/>
        <v>1915</v>
      </c>
      <c r="G7824">
        <f t="shared" si="245"/>
        <v>10</v>
      </c>
      <c r="H7824" t="str">
        <f>IF(ISNUMBER(FIND(",", E7824)), TRIM(MID(E7824, FIND(",", E7824) + 1, LEN(E7824))), E7824)</f>
        <v>Japan region</v>
      </c>
    </row>
    <row r="7825" spans="1:8" x14ac:dyDescent="0.25">
      <c r="A7825" s="2">
        <v>5755</v>
      </c>
      <c r="B7825">
        <v>40.5</v>
      </c>
      <c r="C7825">
        <v>-117.5</v>
      </c>
      <c r="D7825" t="s">
        <v>16</v>
      </c>
      <c r="E7825" t="s">
        <v>406</v>
      </c>
      <c r="F7825">
        <f t="shared" si="244"/>
        <v>1915</v>
      </c>
      <c r="G7825">
        <f t="shared" si="245"/>
        <v>10</v>
      </c>
      <c r="H7825" t="str">
        <f>IF(ISNUMBER(FIND(",", E7825)), TRIM(MID(E7825, FIND(",", E7825) + 1, LEN(E7825))), E7825)</f>
        <v>Nevada</v>
      </c>
    </row>
    <row r="7826" spans="1:8" x14ac:dyDescent="0.25">
      <c r="A7826" s="2">
        <v>5745</v>
      </c>
      <c r="B7826">
        <v>16</v>
      </c>
      <c r="C7826">
        <v>39</v>
      </c>
      <c r="D7826" t="s">
        <v>17</v>
      </c>
      <c r="E7826" t="s">
        <v>746</v>
      </c>
      <c r="F7826">
        <f t="shared" si="244"/>
        <v>1915</v>
      </c>
      <c r="G7826">
        <f t="shared" si="245"/>
        <v>9</v>
      </c>
      <c r="H7826" t="str">
        <f>IF(ISNUMBER(FIND(",", E7826)), TRIM(MID(E7826, FIND(",", E7826) + 1, LEN(E7826))), E7826)</f>
        <v>Eritrea</v>
      </c>
    </row>
    <row r="7827" spans="1:8" x14ac:dyDescent="0.25">
      <c r="A7827" s="2">
        <v>5733</v>
      </c>
      <c r="B7827">
        <v>5.5</v>
      </c>
      <c r="C7827">
        <v>123.5</v>
      </c>
      <c r="D7827" t="s">
        <v>17</v>
      </c>
      <c r="E7827" t="s">
        <v>203</v>
      </c>
      <c r="F7827">
        <f t="shared" si="244"/>
        <v>1915</v>
      </c>
      <c r="G7827">
        <f t="shared" si="245"/>
        <v>9</v>
      </c>
      <c r="H7827" t="str">
        <f>IF(ISNUMBER(FIND(",", E7827)), TRIM(MID(E7827, FIND(",", E7827) + 1, LEN(E7827))), E7827)</f>
        <v>Celebes Sea</v>
      </c>
    </row>
    <row r="7828" spans="1:8" x14ac:dyDescent="0.25">
      <c r="A7828" s="2">
        <v>5729</v>
      </c>
      <c r="B7828">
        <v>14</v>
      </c>
      <c r="C7828">
        <v>-89</v>
      </c>
      <c r="D7828" t="s">
        <v>13</v>
      </c>
      <c r="E7828" t="s">
        <v>504</v>
      </c>
      <c r="F7828">
        <f t="shared" si="244"/>
        <v>1915</v>
      </c>
      <c r="G7828">
        <f t="shared" si="245"/>
        <v>9</v>
      </c>
      <c r="H7828" t="str">
        <f>IF(ISNUMBER(FIND(",", E7828)), TRIM(MID(E7828, FIND(",", E7828) + 1, LEN(E7828))), E7828)</f>
        <v>El Salvador</v>
      </c>
    </row>
    <row r="7829" spans="1:8" x14ac:dyDescent="0.25">
      <c r="A7829" s="2">
        <v>5703</v>
      </c>
      <c r="B7829">
        <v>-2.5</v>
      </c>
      <c r="C7829">
        <v>119.5</v>
      </c>
      <c r="D7829" t="s">
        <v>17</v>
      </c>
      <c r="E7829" t="s">
        <v>182</v>
      </c>
      <c r="F7829">
        <f t="shared" si="244"/>
        <v>1915</v>
      </c>
      <c r="G7829">
        <f t="shared" si="245"/>
        <v>8</v>
      </c>
      <c r="H7829" t="str">
        <f>IF(ISNUMBER(FIND(",", E7829)), TRIM(MID(E7829, FIND(",", E7829) + 1, LEN(E7829))), E7829)</f>
        <v>Indonesia</v>
      </c>
    </row>
    <row r="7830" spans="1:8" x14ac:dyDescent="0.25">
      <c r="A7830" s="2">
        <v>5697</v>
      </c>
      <c r="B7830">
        <v>43</v>
      </c>
      <c r="C7830">
        <v>150.5</v>
      </c>
      <c r="D7830" t="s">
        <v>18</v>
      </c>
      <c r="E7830" t="s">
        <v>317</v>
      </c>
      <c r="F7830">
        <f t="shared" si="244"/>
        <v>1915</v>
      </c>
      <c r="G7830">
        <f t="shared" si="245"/>
        <v>8</v>
      </c>
      <c r="H7830" t="str">
        <f>IF(ISNUMBER(FIND(",", E7830)), TRIM(MID(E7830, FIND(",", E7830) + 1, LEN(E7830))), E7830)</f>
        <v>east of the Kuril Islands</v>
      </c>
    </row>
    <row r="7831" spans="1:8" x14ac:dyDescent="0.25">
      <c r="A7831" s="2">
        <v>5691</v>
      </c>
      <c r="B7831">
        <v>54</v>
      </c>
      <c r="C7831">
        <v>162</v>
      </c>
      <c r="D7831" t="s">
        <v>16</v>
      </c>
      <c r="E7831" t="s">
        <v>318</v>
      </c>
      <c r="F7831">
        <f t="shared" si="244"/>
        <v>1915</v>
      </c>
      <c r="G7831">
        <f t="shared" si="245"/>
        <v>7</v>
      </c>
      <c r="H7831" t="str">
        <f>IF(ISNUMBER(FIND(",", E7831)), TRIM(MID(E7831, FIND(",", E7831) + 1, LEN(E7831))), E7831)</f>
        <v>Russia</v>
      </c>
    </row>
    <row r="7832" spans="1:8" x14ac:dyDescent="0.25">
      <c r="A7832" s="2">
        <v>5657</v>
      </c>
      <c r="B7832">
        <v>44</v>
      </c>
      <c r="C7832">
        <v>148</v>
      </c>
      <c r="D7832" t="s">
        <v>18</v>
      </c>
      <c r="E7832" t="s">
        <v>191</v>
      </c>
      <c r="F7832">
        <f t="shared" si="244"/>
        <v>1915</v>
      </c>
      <c r="G7832">
        <f t="shared" si="245"/>
        <v>6</v>
      </c>
      <c r="H7832" t="str">
        <f>IF(ISNUMBER(FIND(",", E7832)), TRIM(MID(E7832, FIND(",", E7832) + 1, LEN(E7832))), E7832)</f>
        <v>Kuril Islands</v>
      </c>
    </row>
    <row r="7833" spans="1:8" x14ac:dyDescent="0.25">
      <c r="A7833" s="2">
        <v>5636</v>
      </c>
      <c r="B7833">
        <v>-18.5</v>
      </c>
      <c r="C7833">
        <v>-68.5</v>
      </c>
      <c r="D7833" t="s">
        <v>13</v>
      </c>
      <c r="E7833" t="s">
        <v>589</v>
      </c>
      <c r="F7833">
        <f t="shared" si="244"/>
        <v>1915</v>
      </c>
      <c r="G7833">
        <f t="shared" si="245"/>
        <v>6</v>
      </c>
      <c r="H7833" t="str">
        <f>IF(ISNUMBER(FIND(",", E7833)), TRIM(MID(E7833, FIND(",", E7833) + 1, LEN(E7833))), E7833)</f>
        <v>Bolivia</v>
      </c>
    </row>
    <row r="7834" spans="1:8" x14ac:dyDescent="0.25">
      <c r="A7834" s="2">
        <v>5634</v>
      </c>
      <c r="B7834">
        <v>40</v>
      </c>
      <c r="C7834">
        <v>143.5</v>
      </c>
      <c r="D7834" t="s">
        <v>18</v>
      </c>
      <c r="E7834" t="s">
        <v>189</v>
      </c>
      <c r="F7834">
        <f t="shared" si="244"/>
        <v>1915</v>
      </c>
      <c r="G7834">
        <f t="shared" si="245"/>
        <v>6</v>
      </c>
      <c r="H7834" t="str">
        <f>IF(ISNUMBER(FIND(",", E7834)), TRIM(MID(E7834, FIND(",", E7834) + 1, LEN(E7834))), E7834)</f>
        <v>Japan</v>
      </c>
    </row>
    <row r="7835" spans="1:8" x14ac:dyDescent="0.25">
      <c r="A7835" s="2">
        <v>5631</v>
      </c>
      <c r="B7835">
        <v>78.5</v>
      </c>
      <c r="C7835">
        <v>8</v>
      </c>
      <c r="D7835" t="s">
        <v>17</v>
      </c>
      <c r="E7835" t="s">
        <v>407</v>
      </c>
      <c r="F7835">
        <f t="shared" si="244"/>
        <v>1915</v>
      </c>
      <c r="G7835">
        <f t="shared" si="245"/>
        <v>6</v>
      </c>
      <c r="H7835" t="str">
        <f>IF(ISNUMBER(FIND(",", E7835)), TRIM(MID(E7835, FIND(",", E7835) + 1, LEN(E7835))), E7835)</f>
        <v>Svalbard region</v>
      </c>
    </row>
    <row r="7836" spans="1:8" x14ac:dyDescent="0.25">
      <c r="A7836" s="2">
        <v>5607</v>
      </c>
      <c r="B7836">
        <v>-23</v>
      </c>
      <c r="C7836">
        <v>39</v>
      </c>
      <c r="D7836" t="s">
        <v>17</v>
      </c>
      <c r="E7836" t="s">
        <v>747</v>
      </c>
      <c r="F7836">
        <f t="shared" si="244"/>
        <v>1915</v>
      </c>
      <c r="G7836">
        <f t="shared" si="245"/>
        <v>5</v>
      </c>
      <c r="H7836" t="str">
        <f>IF(ISNUMBER(FIND(",", E7836)), TRIM(MID(E7836, FIND(",", E7836) + 1, LEN(E7836))), E7836)</f>
        <v>Mozambique Channel</v>
      </c>
    </row>
    <row r="7837" spans="1:8" x14ac:dyDescent="0.25">
      <c r="A7837" s="2">
        <v>5605</v>
      </c>
      <c r="B7837">
        <v>39.5</v>
      </c>
      <c r="C7837">
        <v>-126.5</v>
      </c>
      <c r="D7837" t="s">
        <v>17</v>
      </c>
      <c r="E7837" t="s">
        <v>449</v>
      </c>
      <c r="F7837">
        <f t="shared" si="244"/>
        <v>1915</v>
      </c>
      <c r="G7837">
        <f t="shared" si="245"/>
        <v>5</v>
      </c>
      <c r="H7837" t="str">
        <f>IF(ISNUMBER(FIND(",", E7837)), TRIM(MID(E7837, FIND(",", E7837) + 1, LEN(E7837))), E7837)</f>
        <v>off the coast of Northern California</v>
      </c>
    </row>
    <row r="7838" spans="1:8" x14ac:dyDescent="0.25">
      <c r="A7838" s="2">
        <v>5600</v>
      </c>
      <c r="B7838">
        <v>47.5</v>
      </c>
      <c r="C7838">
        <v>154.5</v>
      </c>
      <c r="D7838" t="s">
        <v>16</v>
      </c>
      <c r="E7838" t="s">
        <v>191</v>
      </c>
      <c r="F7838">
        <f t="shared" si="244"/>
        <v>1915</v>
      </c>
      <c r="G7838">
        <f t="shared" si="245"/>
        <v>5</v>
      </c>
      <c r="H7838" t="str">
        <f>IF(ISNUMBER(FIND(",", E7838)), TRIM(MID(E7838, FIND(",", E7838) + 1, LEN(E7838))), E7838)</f>
        <v>Kuril Islands</v>
      </c>
    </row>
    <row r="7839" spans="1:8" x14ac:dyDescent="0.25">
      <c r="A7839" s="2">
        <v>5592</v>
      </c>
      <c r="B7839">
        <v>-8</v>
      </c>
      <c r="C7839">
        <v>-68</v>
      </c>
      <c r="D7839" t="s">
        <v>13</v>
      </c>
      <c r="E7839" t="s">
        <v>479</v>
      </c>
      <c r="F7839">
        <f t="shared" si="244"/>
        <v>1915</v>
      </c>
      <c r="G7839">
        <f t="shared" si="245"/>
        <v>4</v>
      </c>
      <c r="H7839" t="str">
        <f>IF(ISNUMBER(FIND(",", E7839)), TRIM(MID(E7839, FIND(",", E7839) + 1, LEN(E7839))), E7839)</f>
        <v>Brazil</v>
      </c>
    </row>
    <row r="7840" spans="1:8" x14ac:dyDescent="0.25">
      <c r="A7840" s="2">
        <v>5555</v>
      </c>
      <c r="B7840">
        <v>42.1</v>
      </c>
      <c r="C7840">
        <v>143.6</v>
      </c>
      <c r="D7840" t="s">
        <v>13</v>
      </c>
      <c r="E7840" t="s">
        <v>265</v>
      </c>
      <c r="F7840">
        <f t="shared" si="244"/>
        <v>1915</v>
      </c>
      <c r="G7840">
        <f t="shared" si="245"/>
        <v>3</v>
      </c>
      <c r="H7840" t="str">
        <f>IF(ISNUMBER(FIND(",", E7840)), TRIM(MID(E7840, FIND(",", E7840) + 1, LEN(E7840))), E7840)</f>
        <v>Japan region</v>
      </c>
    </row>
    <row r="7841" spans="1:8" x14ac:dyDescent="0.25">
      <c r="A7841" s="2">
        <v>5550</v>
      </c>
      <c r="B7841">
        <v>12</v>
      </c>
      <c r="C7841">
        <v>124</v>
      </c>
      <c r="D7841" t="s">
        <v>14</v>
      </c>
      <c r="E7841" t="s">
        <v>748</v>
      </c>
      <c r="F7841">
        <f t="shared" si="244"/>
        <v>1915</v>
      </c>
      <c r="G7841">
        <f t="shared" si="245"/>
        <v>3</v>
      </c>
      <c r="H7841" t="str">
        <f>IF(ISNUMBER(FIND(",", E7841)), TRIM(MID(E7841, FIND(",", E7841) + 1, LEN(E7841))), E7841)</f>
        <v>Philippines</v>
      </c>
    </row>
    <row r="7842" spans="1:8" x14ac:dyDescent="0.25">
      <c r="A7842" s="2">
        <v>5546</v>
      </c>
      <c r="B7842">
        <v>39</v>
      </c>
      <c r="C7842">
        <v>142</v>
      </c>
      <c r="D7842" t="s">
        <v>17</v>
      </c>
      <c r="E7842" t="s">
        <v>227</v>
      </c>
      <c r="F7842">
        <f t="shared" si="244"/>
        <v>1915</v>
      </c>
      <c r="G7842">
        <f t="shared" si="245"/>
        <v>3</v>
      </c>
      <c r="H7842" t="str">
        <f>IF(ISNUMBER(FIND(",", E7842)), TRIM(MID(E7842, FIND(",", E7842) + 1, LEN(E7842))), E7842)</f>
        <v>Japan</v>
      </c>
    </row>
    <row r="7843" spans="1:8" x14ac:dyDescent="0.25">
      <c r="A7843" s="2">
        <v>5538</v>
      </c>
      <c r="B7843">
        <v>23.6</v>
      </c>
      <c r="C7843">
        <v>123.5</v>
      </c>
      <c r="D7843" t="s">
        <v>17</v>
      </c>
      <c r="E7843" t="s">
        <v>312</v>
      </c>
      <c r="F7843">
        <f t="shared" si="244"/>
        <v>1915</v>
      </c>
      <c r="G7843">
        <f t="shared" si="245"/>
        <v>2</v>
      </c>
      <c r="H7843" t="str">
        <f>IF(ISNUMBER(FIND(",", E7843)), TRIM(MID(E7843, FIND(",", E7843) + 1, LEN(E7843))), E7843)</f>
        <v>Japan</v>
      </c>
    </row>
    <row r="7844" spans="1:8" x14ac:dyDescent="0.25">
      <c r="A7844" s="2">
        <v>5535</v>
      </c>
      <c r="B7844">
        <v>-20</v>
      </c>
      <c r="C7844">
        <v>180</v>
      </c>
      <c r="D7844" t="s">
        <v>13</v>
      </c>
      <c r="F7844">
        <f t="shared" si="244"/>
        <v>1915</v>
      </c>
      <c r="G7844">
        <f t="shared" si="245"/>
        <v>2</v>
      </c>
      <c r="H7844">
        <f>IF(ISNUMBER(FIND(",", E7844)), TRIM(MID(E7844, FIND(",", E7844) + 1, LEN(E7844))), E7844)</f>
        <v>0</v>
      </c>
    </row>
    <row r="7845" spans="1:8" x14ac:dyDescent="0.25">
      <c r="A7845" s="2">
        <v>5492</v>
      </c>
      <c r="B7845">
        <v>42</v>
      </c>
      <c r="C7845">
        <v>13.5</v>
      </c>
      <c r="D7845" t="s">
        <v>14</v>
      </c>
      <c r="E7845" t="s">
        <v>373</v>
      </c>
      <c r="F7845">
        <f t="shared" si="244"/>
        <v>1915</v>
      </c>
      <c r="G7845">
        <f t="shared" si="245"/>
        <v>1</v>
      </c>
      <c r="H7845" t="str">
        <f>IF(ISNUMBER(FIND(",", E7845)), TRIM(MID(E7845, FIND(",", E7845) + 1, LEN(E7845))), E7845)</f>
        <v>central Italy</v>
      </c>
    </row>
    <row r="7846" spans="1:8" x14ac:dyDescent="0.25">
      <c r="A7846" s="2">
        <v>5484</v>
      </c>
      <c r="B7846">
        <v>25.1</v>
      </c>
      <c r="C7846">
        <v>123.3</v>
      </c>
      <c r="D7846" t="s">
        <v>13</v>
      </c>
      <c r="E7846" t="s">
        <v>269</v>
      </c>
      <c r="F7846">
        <f t="shared" si="244"/>
        <v>1915</v>
      </c>
      <c r="G7846">
        <f t="shared" si="245"/>
        <v>1</v>
      </c>
      <c r="H7846" t="str">
        <f>IF(ISNUMBER(FIND(",", E7846)), TRIM(MID(E7846, FIND(",", E7846) + 1, LEN(E7846))), E7846)</f>
        <v>northeast of Taiwan</v>
      </c>
    </row>
    <row r="7847" spans="1:8" x14ac:dyDescent="0.25">
      <c r="A7847" s="2">
        <v>5484</v>
      </c>
      <c r="B7847">
        <v>-15</v>
      </c>
      <c r="C7847">
        <v>168</v>
      </c>
      <c r="D7847" t="s">
        <v>13</v>
      </c>
      <c r="E7847" t="s">
        <v>181</v>
      </c>
      <c r="F7847">
        <f t="shared" si="244"/>
        <v>1915</v>
      </c>
      <c r="G7847">
        <f t="shared" si="245"/>
        <v>1</v>
      </c>
      <c r="H7847" t="str">
        <f>IF(ISNUMBER(FIND(",", E7847)), TRIM(MID(E7847, FIND(",", E7847) + 1, LEN(E7847))), E7847)</f>
        <v>Vanuatu</v>
      </c>
    </row>
    <row r="7848" spans="1:8" x14ac:dyDescent="0.25">
      <c r="A7848" s="2">
        <v>5446</v>
      </c>
      <c r="B7848">
        <v>29</v>
      </c>
      <c r="C7848">
        <v>131</v>
      </c>
      <c r="D7848" t="s">
        <v>18</v>
      </c>
      <c r="E7848" t="s">
        <v>324</v>
      </c>
      <c r="F7848">
        <f t="shared" si="244"/>
        <v>1914</v>
      </c>
      <c r="G7848">
        <f t="shared" si="245"/>
        <v>11</v>
      </c>
      <c r="H7848" t="str">
        <f>IF(ISNUMBER(FIND(",", E7848)), TRIM(MID(E7848, FIND(",", E7848) + 1, LEN(E7848))), E7848)</f>
        <v>Japan</v>
      </c>
    </row>
    <row r="7849" spans="1:8" x14ac:dyDescent="0.25">
      <c r="A7849" s="2">
        <v>5442</v>
      </c>
      <c r="B7849">
        <v>22</v>
      </c>
      <c r="C7849">
        <v>143</v>
      </c>
      <c r="D7849" t="s">
        <v>13</v>
      </c>
      <c r="E7849" t="s">
        <v>519</v>
      </c>
      <c r="F7849">
        <f t="shared" si="244"/>
        <v>1914</v>
      </c>
      <c r="G7849">
        <f t="shared" si="245"/>
        <v>11</v>
      </c>
      <c r="H7849" t="str">
        <f>IF(ISNUMBER(FIND(",", E7849)), TRIM(MID(E7849, FIND(",", E7849) + 1, LEN(E7849))), E7849)</f>
        <v>Japan region</v>
      </c>
    </row>
    <row r="7850" spans="1:8" x14ac:dyDescent="0.25">
      <c r="A7850" s="2">
        <v>5440</v>
      </c>
      <c r="B7850">
        <v>-39</v>
      </c>
      <c r="C7850">
        <v>176</v>
      </c>
      <c r="D7850" t="s">
        <v>13</v>
      </c>
      <c r="E7850" t="s">
        <v>188</v>
      </c>
      <c r="F7850">
        <f t="shared" si="244"/>
        <v>1914</v>
      </c>
      <c r="G7850">
        <f t="shared" si="245"/>
        <v>11</v>
      </c>
      <c r="H7850" t="str">
        <f>IF(ISNUMBER(FIND(",", E7850)), TRIM(MID(E7850, FIND(",", E7850) + 1, LEN(E7850))), E7850)</f>
        <v>North Island of New Zealand</v>
      </c>
    </row>
    <row r="7851" spans="1:8" x14ac:dyDescent="0.25">
      <c r="A7851" s="2">
        <v>5410</v>
      </c>
      <c r="B7851">
        <v>6</v>
      </c>
      <c r="C7851">
        <v>132.5</v>
      </c>
      <c r="D7851" t="s">
        <v>16</v>
      </c>
      <c r="E7851" t="s">
        <v>490</v>
      </c>
      <c r="F7851">
        <f t="shared" si="244"/>
        <v>1914</v>
      </c>
      <c r="G7851">
        <f t="shared" si="245"/>
        <v>10</v>
      </c>
      <c r="H7851" t="str">
        <f>IF(ISNUMBER(FIND(",", E7851)), TRIM(MID(E7851, FIND(",", E7851) + 1, LEN(E7851))), E7851)</f>
        <v>Palau region</v>
      </c>
    </row>
    <row r="7852" spans="1:8" x14ac:dyDescent="0.25">
      <c r="A7852" s="2">
        <v>5398</v>
      </c>
      <c r="B7852">
        <v>12</v>
      </c>
      <c r="C7852">
        <v>94</v>
      </c>
      <c r="D7852" t="s">
        <v>13</v>
      </c>
      <c r="E7852" t="s">
        <v>323</v>
      </c>
      <c r="F7852">
        <f t="shared" si="244"/>
        <v>1914</v>
      </c>
      <c r="G7852">
        <f t="shared" si="245"/>
        <v>10</v>
      </c>
      <c r="H7852" t="str">
        <f>IF(ISNUMBER(FIND(",", E7852)), TRIM(MID(E7852, FIND(",", E7852) + 1, LEN(E7852))), E7852)</f>
        <v>India region</v>
      </c>
    </row>
    <row r="7853" spans="1:8" x14ac:dyDescent="0.25">
      <c r="A7853" s="2">
        <v>5396</v>
      </c>
      <c r="B7853">
        <v>35</v>
      </c>
      <c r="C7853">
        <v>78</v>
      </c>
      <c r="D7853" t="s">
        <v>14</v>
      </c>
      <c r="E7853" t="s">
        <v>541</v>
      </c>
      <c r="F7853">
        <f t="shared" si="244"/>
        <v>1914</v>
      </c>
      <c r="G7853">
        <f t="shared" si="245"/>
        <v>10</v>
      </c>
      <c r="H7853" t="str">
        <f>IF(ISNUMBER(FIND(",", E7853)), TRIM(MID(E7853, FIND(",", E7853) + 1, LEN(E7853))), E7853)</f>
        <v>Kashmir-Xinjiang border region</v>
      </c>
    </row>
    <row r="7854" spans="1:8" x14ac:dyDescent="0.25">
      <c r="A7854" s="2">
        <v>5390</v>
      </c>
      <c r="B7854">
        <v>37.5</v>
      </c>
      <c r="C7854">
        <v>32.5</v>
      </c>
      <c r="D7854" t="s">
        <v>16</v>
      </c>
      <c r="E7854" t="s">
        <v>517</v>
      </c>
      <c r="F7854">
        <f t="shared" si="244"/>
        <v>1914</v>
      </c>
      <c r="G7854">
        <f t="shared" si="245"/>
        <v>10</v>
      </c>
      <c r="H7854" t="str">
        <f>IF(ISNUMBER(FIND(",", E7854)), TRIM(MID(E7854, FIND(",", E7854) + 1, LEN(E7854))), E7854)</f>
        <v>central Turkey</v>
      </c>
    </row>
    <row r="7855" spans="1:8" x14ac:dyDescent="0.25">
      <c r="A7855" s="2">
        <v>5390</v>
      </c>
      <c r="B7855">
        <v>16</v>
      </c>
      <c r="C7855">
        <v>-61</v>
      </c>
      <c r="D7855" t="s">
        <v>13</v>
      </c>
      <c r="E7855" t="s">
        <v>749</v>
      </c>
      <c r="F7855">
        <f t="shared" si="244"/>
        <v>1914</v>
      </c>
      <c r="G7855">
        <f t="shared" si="245"/>
        <v>10</v>
      </c>
      <c r="H7855" t="str">
        <f>IF(ISNUMBER(FIND(",", E7855)), TRIM(MID(E7855, FIND(",", E7855) + 1, LEN(E7855))), E7855)</f>
        <v>Leeward Islands</v>
      </c>
    </row>
    <row r="7856" spans="1:8" x14ac:dyDescent="0.25">
      <c r="A7856" s="2">
        <v>5368</v>
      </c>
      <c r="B7856">
        <v>44</v>
      </c>
      <c r="C7856">
        <v>148</v>
      </c>
      <c r="D7856" t="s">
        <v>18</v>
      </c>
      <c r="E7856" t="s">
        <v>191</v>
      </c>
      <c r="F7856">
        <f t="shared" si="244"/>
        <v>1914</v>
      </c>
      <c r="G7856">
        <f t="shared" si="245"/>
        <v>9</v>
      </c>
      <c r="H7856" t="str">
        <f>IF(ISNUMBER(FIND(",", E7856)), TRIM(MID(E7856, FIND(",", E7856) + 1, LEN(E7856))), E7856)</f>
        <v>Kuril Islands</v>
      </c>
    </row>
    <row r="7857" spans="1:8" x14ac:dyDescent="0.25">
      <c r="A7857" s="2">
        <v>5348</v>
      </c>
      <c r="B7857">
        <v>44</v>
      </c>
      <c r="C7857">
        <v>-129</v>
      </c>
      <c r="D7857" t="s">
        <v>17</v>
      </c>
      <c r="E7857" t="s">
        <v>249</v>
      </c>
      <c r="F7857">
        <f t="shared" si="244"/>
        <v>1914</v>
      </c>
      <c r="G7857">
        <f t="shared" si="245"/>
        <v>8</v>
      </c>
      <c r="H7857" t="str">
        <f>IF(ISNUMBER(FIND(",", E7857)), TRIM(MID(E7857, FIND(",", E7857) + 1, LEN(E7857))), E7857)</f>
        <v>off the coast of Oregon</v>
      </c>
    </row>
    <row r="7858" spans="1:8" x14ac:dyDescent="0.25">
      <c r="A7858" s="2">
        <v>5332</v>
      </c>
      <c r="B7858">
        <v>-6</v>
      </c>
      <c r="C7858">
        <v>123</v>
      </c>
      <c r="D7858" t="s">
        <v>13</v>
      </c>
      <c r="E7858" t="s">
        <v>438</v>
      </c>
      <c r="F7858">
        <f t="shared" si="244"/>
        <v>1914</v>
      </c>
      <c r="G7858">
        <f t="shared" si="245"/>
        <v>8</v>
      </c>
      <c r="H7858" t="str">
        <f>IF(ISNUMBER(FIND(",", E7858)), TRIM(MID(E7858, FIND(",", E7858) + 1, LEN(E7858))), E7858)</f>
        <v>Flores Sea</v>
      </c>
    </row>
    <row r="7859" spans="1:8" x14ac:dyDescent="0.25">
      <c r="A7859" s="2">
        <v>5330</v>
      </c>
      <c r="B7859">
        <v>43.5</v>
      </c>
      <c r="C7859">
        <v>91.5</v>
      </c>
      <c r="D7859" t="s">
        <v>14</v>
      </c>
      <c r="E7859" t="s">
        <v>224</v>
      </c>
      <c r="F7859">
        <f t="shared" si="244"/>
        <v>1914</v>
      </c>
      <c r="G7859">
        <f t="shared" si="245"/>
        <v>8</v>
      </c>
      <c r="H7859" t="str">
        <f>IF(ISNUMBER(FIND(",", E7859)), TRIM(MID(E7859, FIND(",", E7859) + 1, LEN(E7859))), E7859)</f>
        <v>China</v>
      </c>
    </row>
    <row r="7860" spans="1:8" x14ac:dyDescent="0.25">
      <c r="A7860" s="2">
        <v>5301</v>
      </c>
      <c r="B7860">
        <v>24</v>
      </c>
      <c r="C7860">
        <v>122</v>
      </c>
      <c r="D7860" t="s">
        <v>17</v>
      </c>
      <c r="E7860" t="s">
        <v>363</v>
      </c>
      <c r="F7860">
        <f t="shared" si="244"/>
        <v>1914</v>
      </c>
      <c r="G7860">
        <f t="shared" si="245"/>
        <v>7</v>
      </c>
      <c r="H7860" t="str">
        <f>IF(ISNUMBER(FIND(",", E7860)), TRIM(MID(E7860, FIND(",", E7860) + 1, LEN(E7860))), E7860)</f>
        <v>Taiwan region</v>
      </c>
    </row>
    <row r="7861" spans="1:8" x14ac:dyDescent="0.25">
      <c r="A7861" s="2">
        <v>5299</v>
      </c>
      <c r="B7861">
        <v>-5.5</v>
      </c>
      <c r="C7861">
        <v>129</v>
      </c>
      <c r="D7861" t="s">
        <v>13</v>
      </c>
      <c r="E7861" t="s">
        <v>187</v>
      </c>
      <c r="F7861">
        <f t="shared" si="244"/>
        <v>1914</v>
      </c>
      <c r="G7861">
        <f t="shared" si="245"/>
        <v>7</v>
      </c>
      <c r="H7861" t="str">
        <f>IF(ISNUMBER(FIND(",", E7861)), TRIM(MID(E7861, FIND(",", E7861) + 1, LEN(E7861))), E7861)</f>
        <v>Banda Sea</v>
      </c>
    </row>
    <row r="7862" spans="1:8" x14ac:dyDescent="0.25">
      <c r="A7862" s="2">
        <v>5299</v>
      </c>
      <c r="B7862">
        <v>29</v>
      </c>
      <c r="C7862">
        <v>128</v>
      </c>
      <c r="D7862" t="s">
        <v>17</v>
      </c>
      <c r="E7862" t="s">
        <v>418</v>
      </c>
      <c r="F7862">
        <f t="shared" si="244"/>
        <v>1914</v>
      </c>
      <c r="G7862">
        <f t="shared" si="245"/>
        <v>7</v>
      </c>
      <c r="H7862" t="str">
        <f>IF(ISNUMBER(FIND(",", E7862)), TRIM(MID(E7862, FIND(",", E7862) + 1, LEN(E7862))), E7862)</f>
        <v>Japan</v>
      </c>
    </row>
    <row r="7863" spans="1:8" x14ac:dyDescent="0.25">
      <c r="A7863" s="2">
        <v>5290</v>
      </c>
      <c r="B7863">
        <v>-4.5</v>
      </c>
      <c r="C7863">
        <v>102.5</v>
      </c>
      <c r="D7863" t="s">
        <v>16</v>
      </c>
      <c r="E7863" t="s">
        <v>308</v>
      </c>
      <c r="F7863">
        <f t="shared" si="244"/>
        <v>1914</v>
      </c>
      <c r="G7863">
        <f t="shared" si="245"/>
        <v>6</v>
      </c>
      <c r="H7863" t="str">
        <f>IF(ISNUMBER(FIND(",", E7863)), TRIM(MID(E7863, FIND(",", E7863) + 1, LEN(E7863))), E7863)</f>
        <v>Indonesia</v>
      </c>
    </row>
    <row r="7864" spans="1:8" x14ac:dyDescent="0.25">
      <c r="A7864" s="2">
        <v>5285</v>
      </c>
      <c r="B7864">
        <v>-12</v>
      </c>
      <c r="C7864">
        <v>166</v>
      </c>
      <c r="D7864" t="s">
        <v>14</v>
      </c>
      <c r="E7864" t="s">
        <v>211</v>
      </c>
      <c r="F7864">
        <f t="shared" si="244"/>
        <v>1914</v>
      </c>
      <c r="G7864">
        <f t="shared" si="245"/>
        <v>6</v>
      </c>
      <c r="H7864" t="str">
        <f>IF(ISNUMBER(FIND(",", E7864)), TRIM(MID(E7864, FIND(",", E7864) + 1, LEN(E7864))), E7864)</f>
        <v>Santa Cruz Islands</v>
      </c>
    </row>
    <row r="7865" spans="1:8" x14ac:dyDescent="0.25">
      <c r="A7865" s="2">
        <v>5262</v>
      </c>
      <c r="B7865">
        <v>9</v>
      </c>
      <c r="C7865">
        <v>-78</v>
      </c>
      <c r="D7865" t="s">
        <v>13</v>
      </c>
      <c r="E7865" t="s">
        <v>367</v>
      </c>
      <c r="F7865">
        <f t="shared" si="244"/>
        <v>1914</v>
      </c>
      <c r="G7865">
        <f t="shared" si="245"/>
        <v>5</v>
      </c>
      <c r="H7865" t="str">
        <f>IF(ISNUMBER(FIND(",", E7865)), TRIM(MID(E7865, FIND(",", E7865) + 1, LEN(E7865))), E7865)</f>
        <v>Panama</v>
      </c>
    </row>
    <row r="7866" spans="1:8" x14ac:dyDescent="0.25">
      <c r="A7866" s="2">
        <v>5260</v>
      </c>
      <c r="B7866">
        <v>-2</v>
      </c>
      <c r="C7866">
        <v>137</v>
      </c>
      <c r="D7866" t="s">
        <v>16</v>
      </c>
      <c r="E7866" t="s">
        <v>241</v>
      </c>
      <c r="F7866">
        <f t="shared" si="244"/>
        <v>1914</v>
      </c>
      <c r="G7866">
        <f t="shared" si="245"/>
        <v>5</v>
      </c>
      <c r="H7866" t="str">
        <f>IF(ISNUMBER(FIND(",", E7866)), TRIM(MID(E7866, FIND(",", E7866) + 1, LEN(E7866))), E7866)</f>
        <v>Indonesia</v>
      </c>
    </row>
    <row r="7867" spans="1:8" x14ac:dyDescent="0.25">
      <c r="A7867" s="2">
        <v>5215</v>
      </c>
      <c r="B7867">
        <v>-12</v>
      </c>
      <c r="C7867">
        <v>163</v>
      </c>
      <c r="D7867" t="s">
        <v>16</v>
      </c>
      <c r="E7867" t="s">
        <v>221</v>
      </c>
      <c r="F7867">
        <f t="shared" si="244"/>
        <v>1914</v>
      </c>
      <c r="G7867">
        <f t="shared" si="245"/>
        <v>4</v>
      </c>
      <c r="H7867" t="str">
        <f>IF(ISNUMBER(FIND(",", E7867)), TRIM(MID(E7867, FIND(",", E7867) + 1, LEN(E7867))), E7867)</f>
        <v>Solomon Islands</v>
      </c>
    </row>
    <row r="7868" spans="1:8" x14ac:dyDescent="0.25">
      <c r="A7868" s="2">
        <v>5203</v>
      </c>
      <c r="B7868">
        <v>17</v>
      </c>
      <c r="C7868">
        <v>-92</v>
      </c>
      <c r="D7868" t="s">
        <v>13</v>
      </c>
      <c r="E7868" t="s">
        <v>421</v>
      </c>
      <c r="F7868">
        <f t="shared" si="244"/>
        <v>1914</v>
      </c>
      <c r="G7868">
        <f t="shared" si="245"/>
        <v>3</v>
      </c>
      <c r="H7868" t="str">
        <f>IF(ISNUMBER(FIND(",", E7868)), TRIM(MID(E7868, FIND(",", E7868) + 1, LEN(E7868))), E7868)</f>
        <v>Mexico</v>
      </c>
    </row>
    <row r="7869" spans="1:8" x14ac:dyDescent="0.25">
      <c r="A7869" s="2">
        <v>5201</v>
      </c>
      <c r="B7869">
        <v>25</v>
      </c>
      <c r="C7869">
        <v>99</v>
      </c>
      <c r="D7869" t="s">
        <v>17</v>
      </c>
      <c r="E7869" t="s">
        <v>393</v>
      </c>
      <c r="F7869">
        <f t="shared" si="244"/>
        <v>1914</v>
      </c>
      <c r="G7869">
        <f t="shared" si="245"/>
        <v>3</v>
      </c>
      <c r="H7869" t="str">
        <f>IF(ISNUMBER(FIND(",", E7869)), TRIM(MID(E7869, FIND(",", E7869) + 1, LEN(E7869))), E7869)</f>
        <v>Myanmar-China border region</v>
      </c>
    </row>
    <row r="7870" spans="1:8" x14ac:dyDescent="0.25">
      <c r="A7870" s="2">
        <v>5187</v>
      </c>
      <c r="B7870">
        <v>39.5</v>
      </c>
      <c r="C7870">
        <v>140.4</v>
      </c>
      <c r="D7870" t="s">
        <v>14</v>
      </c>
      <c r="E7870" t="s">
        <v>293</v>
      </c>
      <c r="F7870">
        <f t="shared" si="244"/>
        <v>1914</v>
      </c>
      <c r="G7870">
        <f t="shared" si="245"/>
        <v>3</v>
      </c>
      <c r="H7870" t="str">
        <f>IF(ISNUMBER(FIND(",", E7870)), TRIM(MID(E7870, FIND(",", E7870) + 1, LEN(E7870))), E7870)</f>
        <v>Japan</v>
      </c>
    </row>
    <row r="7871" spans="1:8" x14ac:dyDescent="0.25">
      <c r="A7871" s="2">
        <v>5171</v>
      </c>
      <c r="B7871">
        <v>-18</v>
      </c>
      <c r="C7871">
        <v>-67</v>
      </c>
      <c r="D7871" t="s">
        <v>13</v>
      </c>
      <c r="E7871" t="s">
        <v>589</v>
      </c>
      <c r="F7871">
        <f t="shared" si="244"/>
        <v>1914</v>
      </c>
      <c r="G7871">
        <f t="shared" si="245"/>
        <v>2</v>
      </c>
      <c r="H7871" t="str">
        <f>IF(ISNUMBER(FIND(",", E7871)), TRIM(MID(E7871, FIND(",", E7871) + 1, LEN(E7871))), E7871)</f>
        <v>Bolivia</v>
      </c>
    </row>
    <row r="7872" spans="1:8" x14ac:dyDescent="0.25">
      <c r="A7872" s="2">
        <v>5152</v>
      </c>
      <c r="B7872">
        <v>41</v>
      </c>
      <c r="C7872">
        <v>143</v>
      </c>
      <c r="D7872" t="s">
        <v>18</v>
      </c>
      <c r="E7872" t="s">
        <v>189</v>
      </c>
      <c r="F7872">
        <f t="shared" si="244"/>
        <v>1914</v>
      </c>
      <c r="G7872">
        <f t="shared" si="245"/>
        <v>2</v>
      </c>
      <c r="H7872" t="str">
        <f>IF(ISNUMBER(FIND(",", E7872)), TRIM(MID(E7872, FIND(",", E7872) + 1, LEN(E7872))), E7872)</f>
        <v>Japan</v>
      </c>
    </row>
    <row r="7873" spans="1:8" x14ac:dyDescent="0.25">
      <c r="A7873" s="2">
        <v>5151</v>
      </c>
      <c r="B7873">
        <v>29.5</v>
      </c>
      <c r="C7873">
        <v>65</v>
      </c>
      <c r="D7873" t="s">
        <v>13</v>
      </c>
      <c r="E7873" t="s">
        <v>643</v>
      </c>
      <c r="F7873">
        <f t="shared" si="244"/>
        <v>1914</v>
      </c>
      <c r="G7873">
        <f t="shared" si="245"/>
        <v>2</v>
      </c>
      <c r="H7873" t="str">
        <f>IF(ISNUMBER(FIND(",", E7873)), TRIM(MID(E7873, FIND(",", E7873) + 1, LEN(E7873))), E7873)</f>
        <v>Afghanistan-Pakistan border region</v>
      </c>
    </row>
    <row r="7874" spans="1:8" x14ac:dyDescent="0.25">
      <c r="A7874" s="2">
        <v>5144</v>
      </c>
      <c r="B7874">
        <v>-35</v>
      </c>
      <c r="C7874">
        <v>-73</v>
      </c>
      <c r="D7874" t="s">
        <v>16</v>
      </c>
      <c r="E7874" t="s">
        <v>301</v>
      </c>
      <c r="F7874">
        <f t="shared" ref="F7874:F7937" si="246">YEAR(A7874)</f>
        <v>1914</v>
      </c>
      <c r="G7874">
        <f t="shared" si="245"/>
        <v>1</v>
      </c>
      <c r="H7874" t="str">
        <f>IF(ISNUMBER(FIND(",", E7874)), TRIM(MID(E7874, FIND(",", E7874) + 1, LEN(E7874))), E7874)</f>
        <v>Chile</v>
      </c>
    </row>
    <row r="7875" spans="1:8" x14ac:dyDescent="0.25">
      <c r="A7875" s="2">
        <v>5134</v>
      </c>
      <c r="B7875">
        <v>52.9</v>
      </c>
      <c r="C7875">
        <v>159.6</v>
      </c>
      <c r="D7875" t="s">
        <v>17</v>
      </c>
      <c r="E7875" t="s">
        <v>318</v>
      </c>
      <c r="F7875">
        <f t="shared" si="246"/>
        <v>1914</v>
      </c>
      <c r="G7875">
        <f t="shared" ref="G7875:G7938" si="247">MONTH(A7875)</f>
        <v>1</v>
      </c>
      <c r="H7875" t="str">
        <f>IF(ISNUMBER(FIND(",", E7875)), TRIM(MID(E7875, FIND(",", E7875) + 1, LEN(E7875))), E7875)</f>
        <v>Russia</v>
      </c>
    </row>
    <row r="7876" spans="1:8" x14ac:dyDescent="0.25">
      <c r="A7876" s="2">
        <v>5126</v>
      </c>
      <c r="B7876">
        <v>31.6</v>
      </c>
      <c r="C7876">
        <v>130.6</v>
      </c>
      <c r="D7876" t="s">
        <v>14</v>
      </c>
      <c r="E7876" t="s">
        <v>357</v>
      </c>
      <c r="F7876">
        <f t="shared" si="246"/>
        <v>1914</v>
      </c>
      <c r="G7876">
        <f t="shared" si="247"/>
        <v>1</v>
      </c>
      <c r="H7876" t="str">
        <f>IF(ISNUMBER(FIND(",", E7876)), TRIM(MID(E7876, FIND(",", E7876) + 1, LEN(E7876))), E7876)</f>
        <v>Japan</v>
      </c>
    </row>
    <row r="7877" spans="1:8" x14ac:dyDescent="0.25">
      <c r="A7877" s="2">
        <v>5104</v>
      </c>
      <c r="B7877">
        <v>24.5</v>
      </c>
      <c r="C7877">
        <v>102</v>
      </c>
      <c r="D7877" t="s">
        <v>16</v>
      </c>
      <c r="E7877" t="s">
        <v>423</v>
      </c>
      <c r="F7877">
        <f t="shared" si="246"/>
        <v>1913</v>
      </c>
      <c r="G7877">
        <f t="shared" si="247"/>
        <v>12</v>
      </c>
      <c r="H7877" t="str">
        <f>IF(ISNUMBER(FIND(",", E7877)), TRIM(MID(E7877, FIND(",", E7877) + 1, LEN(E7877))), E7877)</f>
        <v>China</v>
      </c>
    </row>
    <row r="7878" spans="1:8" x14ac:dyDescent="0.25">
      <c r="A7878" s="2">
        <v>5068</v>
      </c>
      <c r="B7878">
        <v>-23</v>
      </c>
      <c r="C7878">
        <v>171</v>
      </c>
      <c r="D7878" t="s">
        <v>13</v>
      </c>
      <c r="E7878" t="s">
        <v>254</v>
      </c>
      <c r="F7878">
        <f t="shared" si="246"/>
        <v>1913</v>
      </c>
      <c r="G7878">
        <f t="shared" si="247"/>
        <v>11</v>
      </c>
      <c r="H7878" t="str">
        <f>IF(ISNUMBER(FIND(",", E7878)), TRIM(MID(E7878, FIND(",", E7878) + 1, LEN(E7878))), E7878)</f>
        <v>southeast of the Loyalty Islands</v>
      </c>
    </row>
    <row r="7879" spans="1:8" x14ac:dyDescent="0.25">
      <c r="A7879" s="2">
        <v>5063</v>
      </c>
      <c r="B7879">
        <v>-18</v>
      </c>
      <c r="C7879">
        <v>169</v>
      </c>
      <c r="D7879" t="s">
        <v>13</v>
      </c>
      <c r="E7879" t="s">
        <v>181</v>
      </c>
      <c r="F7879">
        <f t="shared" si="246"/>
        <v>1913</v>
      </c>
      <c r="G7879">
        <f t="shared" si="247"/>
        <v>11</v>
      </c>
      <c r="H7879" t="str">
        <f>IF(ISNUMBER(FIND(",", E7879)), TRIM(MID(E7879, FIND(",", E7879) + 1, LEN(E7879))), E7879)</f>
        <v>Vanuatu</v>
      </c>
    </row>
    <row r="7880" spans="1:8" x14ac:dyDescent="0.25">
      <c r="A7880" s="2">
        <v>5036</v>
      </c>
      <c r="B7880">
        <v>-19.5</v>
      </c>
      <c r="C7880">
        <v>169</v>
      </c>
      <c r="D7880" t="s">
        <v>13</v>
      </c>
      <c r="E7880" t="s">
        <v>181</v>
      </c>
      <c r="F7880">
        <f t="shared" si="246"/>
        <v>1913</v>
      </c>
      <c r="G7880">
        <f t="shared" si="247"/>
        <v>10</v>
      </c>
      <c r="H7880" t="str">
        <f>IF(ISNUMBER(FIND(",", E7880)), TRIM(MID(E7880, FIND(",", E7880) + 1, LEN(E7880))), E7880)</f>
        <v>Vanuatu</v>
      </c>
    </row>
    <row r="7881" spans="1:8" x14ac:dyDescent="0.25">
      <c r="A7881" s="2">
        <v>5034</v>
      </c>
      <c r="B7881">
        <v>40</v>
      </c>
      <c r="C7881">
        <v>144</v>
      </c>
      <c r="D7881" t="s">
        <v>18</v>
      </c>
      <c r="E7881" t="s">
        <v>189</v>
      </c>
      <c r="F7881">
        <f t="shared" si="246"/>
        <v>1913</v>
      </c>
      <c r="G7881">
        <f t="shared" si="247"/>
        <v>10</v>
      </c>
      <c r="H7881" t="str">
        <f>IF(ISNUMBER(FIND(",", E7881)), TRIM(MID(E7881, FIND(",", E7881) + 1, LEN(E7881))), E7881)</f>
        <v>Japan</v>
      </c>
    </row>
    <row r="7882" spans="1:8" x14ac:dyDescent="0.25">
      <c r="A7882" s="2">
        <v>5033</v>
      </c>
      <c r="B7882">
        <v>40</v>
      </c>
      <c r="C7882">
        <v>144</v>
      </c>
      <c r="D7882" t="s">
        <v>18</v>
      </c>
      <c r="E7882" t="s">
        <v>189</v>
      </c>
      <c r="F7882">
        <f t="shared" si="246"/>
        <v>1913</v>
      </c>
      <c r="G7882">
        <f t="shared" si="247"/>
        <v>10</v>
      </c>
      <c r="H7882" t="str">
        <f>IF(ISNUMBER(FIND(",", E7882)), TRIM(MID(E7882, FIND(",", E7882) + 1, LEN(E7882))), E7882)</f>
        <v>Japan</v>
      </c>
    </row>
    <row r="7883" spans="1:8" x14ac:dyDescent="0.25">
      <c r="A7883" s="2">
        <v>5033</v>
      </c>
      <c r="B7883">
        <v>-7</v>
      </c>
      <c r="C7883">
        <v>148</v>
      </c>
      <c r="D7883" t="s">
        <v>14</v>
      </c>
      <c r="E7883" t="s">
        <v>243</v>
      </c>
      <c r="F7883">
        <f t="shared" si="246"/>
        <v>1913</v>
      </c>
      <c r="G7883">
        <f t="shared" si="247"/>
        <v>10</v>
      </c>
      <c r="H7883" t="str">
        <f>IF(ISNUMBER(FIND(",", E7883)), TRIM(MID(E7883, FIND(",", E7883) + 1, LEN(E7883))), E7883)</f>
        <v>Papua New Guinea</v>
      </c>
    </row>
    <row r="7884" spans="1:8" x14ac:dyDescent="0.25">
      <c r="A7884" s="2">
        <v>4974</v>
      </c>
      <c r="B7884">
        <v>-5.5</v>
      </c>
      <c r="C7884">
        <v>105</v>
      </c>
      <c r="D7884" t="s">
        <v>13</v>
      </c>
      <c r="E7884" t="s">
        <v>278</v>
      </c>
      <c r="F7884">
        <f t="shared" si="246"/>
        <v>1913</v>
      </c>
      <c r="G7884">
        <f t="shared" si="247"/>
        <v>8</v>
      </c>
      <c r="H7884" t="str">
        <f>IF(ISNUMBER(FIND(",", E7884)), TRIM(MID(E7884, FIND(",", E7884) + 1, LEN(E7884))), E7884)</f>
        <v>Indonesia</v>
      </c>
    </row>
    <row r="7885" spans="1:8" x14ac:dyDescent="0.25">
      <c r="A7885" s="2">
        <v>4967</v>
      </c>
      <c r="B7885">
        <v>-17</v>
      </c>
      <c r="C7885">
        <v>-74</v>
      </c>
      <c r="D7885" t="s">
        <v>16</v>
      </c>
      <c r="E7885" t="s">
        <v>750</v>
      </c>
      <c r="F7885">
        <f t="shared" si="246"/>
        <v>1913</v>
      </c>
      <c r="G7885">
        <f t="shared" si="247"/>
        <v>8</v>
      </c>
      <c r="H7885" t="str">
        <f>IF(ISNUMBER(FIND(",", E7885)), TRIM(MID(E7885, FIND(",", E7885) + 1, LEN(E7885))), E7885)</f>
        <v>off the coast of southern Peru</v>
      </c>
    </row>
    <row r="7886" spans="1:8" x14ac:dyDescent="0.25">
      <c r="A7886" s="2">
        <v>4962</v>
      </c>
      <c r="B7886">
        <v>47.5</v>
      </c>
      <c r="C7886">
        <v>155.5</v>
      </c>
      <c r="D7886" t="s">
        <v>17</v>
      </c>
      <c r="E7886" t="s">
        <v>317</v>
      </c>
      <c r="F7886">
        <f t="shared" si="246"/>
        <v>1913</v>
      </c>
      <c r="G7886">
        <f t="shared" si="247"/>
        <v>8</v>
      </c>
      <c r="H7886" t="str">
        <f>IF(ISNUMBER(FIND(",", E7886)), TRIM(MID(E7886, FIND(",", E7886) + 1, LEN(E7886))), E7886)</f>
        <v>east of the Kuril Islands</v>
      </c>
    </row>
    <row r="7887" spans="1:8" x14ac:dyDescent="0.25">
      <c r="A7887" s="2">
        <v>4958</v>
      </c>
      <c r="B7887">
        <v>-17</v>
      </c>
      <c r="C7887">
        <v>-74</v>
      </c>
      <c r="D7887" t="s">
        <v>14</v>
      </c>
      <c r="E7887" t="s">
        <v>750</v>
      </c>
      <c r="F7887">
        <f t="shared" si="246"/>
        <v>1913</v>
      </c>
      <c r="G7887">
        <f t="shared" si="247"/>
        <v>7</v>
      </c>
      <c r="H7887" t="str">
        <f>IF(ISNUMBER(FIND(",", E7887)), TRIM(MID(E7887, FIND(",", E7887) + 1, LEN(E7887))), E7887)</f>
        <v>off the coast of southern Peru</v>
      </c>
    </row>
    <row r="7888" spans="1:8" x14ac:dyDescent="0.25">
      <c r="A7888" s="2">
        <v>4926</v>
      </c>
      <c r="B7888">
        <v>-20</v>
      </c>
      <c r="C7888">
        <v>-174</v>
      </c>
      <c r="D7888" t="s">
        <v>16</v>
      </c>
      <c r="E7888" t="s">
        <v>239</v>
      </c>
      <c r="F7888">
        <f t="shared" si="246"/>
        <v>1913</v>
      </c>
      <c r="G7888">
        <f t="shared" si="247"/>
        <v>6</v>
      </c>
      <c r="H7888" t="str">
        <f>IF(ISNUMBER(FIND(",", E7888)), TRIM(MID(E7888, FIND(",", E7888) + 1, LEN(E7888))), E7888)</f>
        <v>Tonga</v>
      </c>
    </row>
    <row r="7889" spans="1:8" x14ac:dyDescent="0.25">
      <c r="A7889" s="2">
        <v>4922</v>
      </c>
      <c r="B7889">
        <v>48</v>
      </c>
      <c r="C7889">
        <v>-178</v>
      </c>
      <c r="D7889" t="s">
        <v>17</v>
      </c>
      <c r="E7889" t="s">
        <v>588</v>
      </c>
      <c r="F7889">
        <f t="shared" si="246"/>
        <v>1913</v>
      </c>
      <c r="G7889">
        <f t="shared" si="247"/>
        <v>6</v>
      </c>
      <c r="H7889" t="str">
        <f>IF(ISNUMBER(FIND(",", E7889)), TRIM(MID(E7889, FIND(",", E7889) + 1, LEN(E7889))), E7889)</f>
        <v>south of the Aleutian Islands</v>
      </c>
    </row>
    <row r="7890" spans="1:8" x14ac:dyDescent="0.25">
      <c r="A7890" s="2">
        <v>4914</v>
      </c>
      <c r="B7890">
        <v>43.5</v>
      </c>
      <c r="C7890">
        <v>25.5</v>
      </c>
      <c r="D7890" t="s">
        <v>17</v>
      </c>
      <c r="E7890" t="s">
        <v>728</v>
      </c>
      <c r="F7890">
        <f t="shared" si="246"/>
        <v>1913</v>
      </c>
      <c r="G7890">
        <f t="shared" si="247"/>
        <v>6</v>
      </c>
      <c r="H7890" t="str">
        <f>IF(ISNUMBER(FIND(",", E7890)), TRIM(MID(E7890, FIND(",", E7890) + 1, LEN(E7890))), E7890)</f>
        <v>Bulgaria</v>
      </c>
    </row>
    <row r="7891" spans="1:8" x14ac:dyDescent="0.25">
      <c r="A7891" s="2">
        <v>4904</v>
      </c>
      <c r="B7891">
        <v>-1.5</v>
      </c>
      <c r="C7891">
        <v>150</v>
      </c>
      <c r="D7891" t="s">
        <v>14</v>
      </c>
      <c r="E7891" t="s">
        <v>183</v>
      </c>
      <c r="F7891">
        <f t="shared" si="246"/>
        <v>1913</v>
      </c>
      <c r="G7891">
        <f t="shared" si="247"/>
        <v>6</v>
      </c>
      <c r="H7891" t="str">
        <f>IF(ISNUMBER(FIND(",", E7891)), TRIM(MID(E7891, FIND(",", E7891) + 1, LEN(E7891))), E7891)</f>
        <v>Papua New Guinea</v>
      </c>
    </row>
    <row r="7892" spans="1:8" x14ac:dyDescent="0.25">
      <c r="A7892" s="2">
        <v>4899</v>
      </c>
      <c r="B7892">
        <v>-5</v>
      </c>
      <c r="C7892">
        <v>154</v>
      </c>
      <c r="D7892" t="s">
        <v>16</v>
      </c>
      <c r="E7892" t="s">
        <v>183</v>
      </c>
      <c r="F7892">
        <f t="shared" si="246"/>
        <v>1913</v>
      </c>
      <c r="G7892">
        <f t="shared" si="247"/>
        <v>5</v>
      </c>
      <c r="H7892" t="str">
        <f>IF(ISNUMBER(FIND(",", E7892)), TRIM(MID(E7892, FIND(",", E7892) + 1, LEN(E7892))), E7892)</f>
        <v>Papua New Guinea</v>
      </c>
    </row>
    <row r="7893" spans="1:8" x14ac:dyDescent="0.25">
      <c r="A7893" s="2">
        <v>4887</v>
      </c>
      <c r="B7893">
        <v>14.5</v>
      </c>
      <c r="C7893">
        <v>145.5</v>
      </c>
      <c r="D7893" t="s">
        <v>14</v>
      </c>
      <c r="E7893" t="s">
        <v>456</v>
      </c>
      <c r="F7893">
        <f t="shared" si="246"/>
        <v>1913</v>
      </c>
      <c r="G7893">
        <f t="shared" si="247"/>
        <v>5</v>
      </c>
      <c r="H7893" t="str">
        <f>IF(ISNUMBER(FIND(",", E7893)), TRIM(MID(E7893, FIND(",", E7893) + 1, LEN(E7893))), E7893)</f>
        <v>Northern Mariana Islands</v>
      </c>
    </row>
    <row r="7894" spans="1:8" x14ac:dyDescent="0.25">
      <c r="A7894" s="2">
        <v>4877</v>
      </c>
      <c r="B7894">
        <v>-17</v>
      </c>
      <c r="C7894">
        <v>-174.5</v>
      </c>
      <c r="D7894" t="s">
        <v>13</v>
      </c>
      <c r="E7894" t="s">
        <v>239</v>
      </c>
      <c r="F7894">
        <f t="shared" si="246"/>
        <v>1913</v>
      </c>
      <c r="G7894">
        <f t="shared" si="247"/>
        <v>5</v>
      </c>
      <c r="H7894" t="str">
        <f>IF(ISNUMBER(FIND(",", E7894)), TRIM(MID(E7894, FIND(",", E7894) + 1, LEN(E7894))), E7894)</f>
        <v>Tonga</v>
      </c>
    </row>
    <row r="7895" spans="1:8" x14ac:dyDescent="0.25">
      <c r="A7895" s="2">
        <v>4864</v>
      </c>
      <c r="B7895">
        <v>9.5</v>
      </c>
      <c r="C7895">
        <v>128.80000000000001</v>
      </c>
      <c r="D7895" t="s">
        <v>16</v>
      </c>
      <c r="E7895" t="s">
        <v>751</v>
      </c>
      <c r="F7895">
        <f t="shared" si="246"/>
        <v>1913</v>
      </c>
      <c r="G7895">
        <f t="shared" si="247"/>
        <v>4</v>
      </c>
      <c r="H7895" t="str">
        <f>IF(ISNUMBER(FIND(",", E7895)), TRIM(MID(E7895, FIND(",", E7895) + 1, LEN(E7895))), E7895)</f>
        <v>east of the Philippine Islands</v>
      </c>
    </row>
    <row r="7896" spans="1:8" x14ac:dyDescent="0.25">
      <c r="A7896" s="2">
        <v>4852</v>
      </c>
      <c r="B7896">
        <v>32</v>
      </c>
      <c r="C7896">
        <v>132</v>
      </c>
      <c r="D7896" t="s">
        <v>17</v>
      </c>
      <c r="E7896" t="s">
        <v>357</v>
      </c>
      <c r="F7896">
        <f t="shared" si="246"/>
        <v>1913</v>
      </c>
      <c r="G7896">
        <f t="shared" si="247"/>
        <v>4</v>
      </c>
      <c r="H7896" t="str">
        <f>IF(ISNUMBER(FIND(",", E7896)), TRIM(MID(E7896, FIND(",", E7896) + 1, LEN(E7896))), E7896)</f>
        <v>Japan</v>
      </c>
    </row>
    <row r="7897" spans="1:8" x14ac:dyDescent="0.25">
      <c r="A7897" s="2">
        <v>4841</v>
      </c>
      <c r="B7897">
        <v>32</v>
      </c>
      <c r="C7897">
        <v>132</v>
      </c>
      <c r="D7897" t="s">
        <v>18</v>
      </c>
      <c r="E7897" t="s">
        <v>357</v>
      </c>
      <c r="F7897">
        <f t="shared" si="246"/>
        <v>1913</v>
      </c>
      <c r="G7897">
        <f t="shared" si="247"/>
        <v>4</v>
      </c>
      <c r="H7897" t="str">
        <f>IF(ISNUMBER(FIND(",", E7897)), TRIM(MID(E7897, FIND(",", E7897) + 1, LEN(E7897))), E7897)</f>
        <v>Japan</v>
      </c>
    </row>
    <row r="7898" spans="1:8" x14ac:dyDescent="0.25">
      <c r="A7898" s="2">
        <v>4839</v>
      </c>
      <c r="B7898">
        <v>51</v>
      </c>
      <c r="C7898">
        <v>-179</v>
      </c>
      <c r="D7898" t="s">
        <v>17</v>
      </c>
      <c r="E7898" t="s">
        <v>207</v>
      </c>
      <c r="F7898">
        <f t="shared" si="246"/>
        <v>1913</v>
      </c>
      <c r="G7898">
        <f t="shared" si="247"/>
        <v>3</v>
      </c>
      <c r="H7898" t="str">
        <f>IF(ISNUMBER(FIND(",", E7898)), TRIM(MID(E7898, FIND(",", E7898) + 1, LEN(E7898))), E7898)</f>
        <v>Aleutian Islands, Alaska</v>
      </c>
    </row>
    <row r="7899" spans="1:8" x14ac:dyDescent="0.25">
      <c r="A7899" s="2">
        <v>4831</v>
      </c>
      <c r="B7899">
        <v>24</v>
      </c>
      <c r="C7899">
        <v>142</v>
      </c>
      <c r="D7899" t="s">
        <v>13</v>
      </c>
      <c r="E7899" t="s">
        <v>519</v>
      </c>
      <c r="F7899">
        <f t="shared" si="246"/>
        <v>1913</v>
      </c>
      <c r="G7899">
        <f t="shared" si="247"/>
        <v>3</v>
      </c>
      <c r="H7899" t="str">
        <f>IF(ISNUMBER(FIND(",", E7899)), TRIM(MID(E7899, FIND(",", E7899) + 1, LEN(E7899))), E7899)</f>
        <v>Japan region</v>
      </c>
    </row>
    <row r="7900" spans="1:8" x14ac:dyDescent="0.25">
      <c r="A7900" s="2">
        <v>4822</v>
      </c>
      <c r="B7900">
        <v>4.5</v>
      </c>
      <c r="C7900">
        <v>126.5</v>
      </c>
      <c r="D7900" t="s">
        <v>16</v>
      </c>
      <c r="E7900" t="s">
        <v>372</v>
      </c>
      <c r="F7900">
        <f t="shared" si="246"/>
        <v>1913</v>
      </c>
      <c r="G7900">
        <f t="shared" si="247"/>
        <v>3</v>
      </c>
      <c r="H7900" t="str">
        <f>IF(ISNUMBER(FIND(",", E7900)), TRIM(MID(E7900, FIND(",", E7900) + 1, LEN(E7900))), E7900)</f>
        <v>Indonesia</v>
      </c>
    </row>
    <row r="7901" spans="1:8" x14ac:dyDescent="0.25">
      <c r="A7901" s="2">
        <v>4811</v>
      </c>
      <c r="B7901">
        <v>28</v>
      </c>
      <c r="C7901">
        <v>129</v>
      </c>
      <c r="D7901" t="s">
        <v>17</v>
      </c>
      <c r="E7901" t="s">
        <v>340</v>
      </c>
      <c r="F7901">
        <f t="shared" si="246"/>
        <v>1913</v>
      </c>
      <c r="G7901">
        <f t="shared" si="247"/>
        <v>3</v>
      </c>
      <c r="H7901" t="str">
        <f>IF(ISNUMBER(FIND(",", E7901)), TRIM(MID(E7901, FIND(",", E7901) + 1, LEN(E7901))), E7901)</f>
        <v>Japan</v>
      </c>
    </row>
    <row r="7902" spans="1:8" x14ac:dyDescent="0.25">
      <c r="A7902" s="2">
        <v>4800</v>
      </c>
      <c r="B7902">
        <v>41</v>
      </c>
      <c r="C7902">
        <v>144</v>
      </c>
      <c r="D7902" t="s">
        <v>14</v>
      </c>
      <c r="E7902" t="s">
        <v>189</v>
      </c>
      <c r="F7902">
        <f t="shared" si="246"/>
        <v>1913</v>
      </c>
      <c r="G7902">
        <f t="shared" si="247"/>
        <v>2</v>
      </c>
      <c r="H7902" t="str">
        <f>IF(ISNUMBER(FIND(",", E7902)), TRIM(MID(E7902, FIND(",", E7902) + 1, LEN(E7902))), E7902)</f>
        <v>Japan</v>
      </c>
    </row>
    <row r="7903" spans="1:8" x14ac:dyDescent="0.25">
      <c r="A7903" s="2">
        <v>4794</v>
      </c>
      <c r="B7903">
        <v>-9</v>
      </c>
      <c r="C7903">
        <v>162</v>
      </c>
      <c r="D7903" t="s">
        <v>17</v>
      </c>
      <c r="E7903" t="s">
        <v>221</v>
      </c>
      <c r="F7903">
        <f t="shared" si="246"/>
        <v>1913</v>
      </c>
      <c r="G7903">
        <f t="shared" si="247"/>
        <v>2</v>
      </c>
      <c r="H7903" t="str">
        <f>IF(ISNUMBER(FIND(",", E7903)), TRIM(MID(E7903, FIND(",", E7903) + 1, LEN(E7903))), E7903)</f>
        <v>Solomon Islands</v>
      </c>
    </row>
    <row r="7904" spans="1:8" x14ac:dyDescent="0.25">
      <c r="A7904" s="2">
        <v>4768</v>
      </c>
      <c r="B7904">
        <v>46</v>
      </c>
      <c r="C7904">
        <v>151</v>
      </c>
      <c r="D7904" t="s">
        <v>13</v>
      </c>
      <c r="E7904" t="s">
        <v>191</v>
      </c>
      <c r="F7904">
        <f t="shared" si="246"/>
        <v>1913</v>
      </c>
      <c r="G7904">
        <f t="shared" si="247"/>
        <v>1</v>
      </c>
      <c r="H7904" t="str">
        <f>IF(ISNUMBER(FIND(",", E7904)), TRIM(MID(E7904, FIND(",", E7904) + 1, LEN(E7904))), E7904)</f>
        <v>Kuril Islands</v>
      </c>
    </row>
    <row r="7905" spans="1:8" x14ac:dyDescent="0.25">
      <c r="A7905" s="2">
        <v>4768</v>
      </c>
      <c r="B7905">
        <v>1</v>
      </c>
      <c r="C7905">
        <v>88</v>
      </c>
      <c r="D7905" t="s">
        <v>14</v>
      </c>
      <c r="E7905" t="s">
        <v>250</v>
      </c>
      <c r="F7905">
        <f t="shared" si="246"/>
        <v>1913</v>
      </c>
      <c r="G7905">
        <f t="shared" si="247"/>
        <v>1</v>
      </c>
      <c r="H7905" t="str">
        <f>IF(ISNUMBER(FIND(",", E7905)), TRIM(MID(E7905, FIND(",", E7905) + 1, LEN(E7905))), E7905)</f>
        <v>North Indian Ocean</v>
      </c>
    </row>
    <row r="7906" spans="1:8" x14ac:dyDescent="0.25">
      <c r="A7906" s="2">
        <v>4760</v>
      </c>
      <c r="B7906">
        <v>1.5</v>
      </c>
      <c r="C7906">
        <v>122</v>
      </c>
      <c r="D7906" t="s">
        <v>16</v>
      </c>
      <c r="E7906" t="s">
        <v>263</v>
      </c>
      <c r="F7906">
        <f t="shared" si="246"/>
        <v>1913</v>
      </c>
      <c r="G7906">
        <f t="shared" si="247"/>
        <v>1</v>
      </c>
      <c r="H7906" t="str">
        <f>IF(ISNUMBER(FIND(",", E7906)), TRIM(MID(E7906, FIND(",", E7906) + 1, LEN(E7906))), E7906)</f>
        <v>Sulawesi, Indonesia</v>
      </c>
    </row>
    <row r="7907" spans="1:8" x14ac:dyDescent="0.25">
      <c r="A7907" s="2">
        <v>4757</v>
      </c>
      <c r="B7907">
        <v>23.8</v>
      </c>
      <c r="C7907">
        <v>121.7</v>
      </c>
      <c r="D7907" t="s">
        <v>14</v>
      </c>
      <c r="E7907" t="s">
        <v>336</v>
      </c>
      <c r="F7907">
        <f t="shared" si="246"/>
        <v>1913</v>
      </c>
      <c r="G7907">
        <f t="shared" si="247"/>
        <v>1</v>
      </c>
      <c r="H7907" t="str">
        <f>IF(ISNUMBER(FIND(",", E7907)), TRIM(MID(E7907, FIND(",", E7907) + 1, LEN(E7907))), E7907)</f>
        <v>Taiwan</v>
      </c>
    </row>
    <row r="7908" spans="1:8" x14ac:dyDescent="0.25">
      <c r="A7908" s="2">
        <v>4756</v>
      </c>
      <c r="B7908">
        <v>23.8</v>
      </c>
      <c r="C7908">
        <v>121.7</v>
      </c>
      <c r="D7908" t="s">
        <v>14</v>
      </c>
      <c r="E7908" t="s">
        <v>336</v>
      </c>
      <c r="F7908">
        <f t="shared" si="246"/>
        <v>1913</v>
      </c>
      <c r="G7908">
        <f t="shared" si="247"/>
        <v>1</v>
      </c>
      <c r="H7908" t="str">
        <f>IF(ISNUMBER(FIND(",", E7908)), TRIM(MID(E7908, FIND(",", E7908) + 1, LEN(E7908))), E7908)</f>
        <v>Taiwan</v>
      </c>
    </row>
    <row r="7909" spans="1:8" x14ac:dyDescent="0.25">
      <c r="A7909" s="2">
        <v>4742</v>
      </c>
      <c r="B7909">
        <v>24</v>
      </c>
      <c r="C7909">
        <v>121.6</v>
      </c>
      <c r="D7909" t="s">
        <v>14</v>
      </c>
      <c r="E7909" t="s">
        <v>336</v>
      </c>
      <c r="F7909">
        <f t="shared" si="246"/>
        <v>1912</v>
      </c>
      <c r="G7909">
        <f t="shared" si="247"/>
        <v>12</v>
      </c>
      <c r="H7909" t="str">
        <f>IF(ISNUMBER(FIND(",", E7909)), TRIM(MID(E7909, FIND(",", E7909) + 1, LEN(E7909))), E7909)</f>
        <v>Taiwan</v>
      </c>
    </row>
    <row r="7910" spans="1:8" x14ac:dyDescent="0.25">
      <c r="A7910" s="2">
        <v>4741</v>
      </c>
      <c r="B7910">
        <v>0</v>
      </c>
      <c r="C7910">
        <v>123</v>
      </c>
      <c r="D7910" t="s">
        <v>14</v>
      </c>
      <c r="E7910" t="s">
        <v>182</v>
      </c>
      <c r="F7910">
        <f t="shared" si="246"/>
        <v>1912</v>
      </c>
      <c r="G7910">
        <f t="shared" si="247"/>
        <v>12</v>
      </c>
      <c r="H7910" t="str">
        <f>IF(ISNUMBER(FIND(",", E7910)), TRIM(MID(E7910, FIND(",", E7910) + 1, LEN(E7910))), E7910)</f>
        <v>Indonesia</v>
      </c>
    </row>
    <row r="7911" spans="1:8" x14ac:dyDescent="0.25">
      <c r="A7911" s="2">
        <v>4727</v>
      </c>
      <c r="B7911">
        <v>15.5</v>
      </c>
      <c r="C7911">
        <v>-93</v>
      </c>
      <c r="D7911" t="s">
        <v>16</v>
      </c>
      <c r="E7911" t="s">
        <v>421</v>
      </c>
      <c r="F7911">
        <f t="shared" si="246"/>
        <v>1912</v>
      </c>
      <c r="G7911">
        <f t="shared" si="247"/>
        <v>12</v>
      </c>
      <c r="H7911" t="str">
        <f>IF(ISNUMBER(FIND(",", E7911)), TRIM(MID(E7911, FIND(",", E7911) + 1, LEN(E7911))), E7911)</f>
        <v>Mexico</v>
      </c>
    </row>
    <row r="7912" spans="1:8" x14ac:dyDescent="0.25">
      <c r="A7912" s="2">
        <v>4726</v>
      </c>
      <c r="B7912">
        <v>39</v>
      </c>
      <c r="C7912">
        <v>143.5</v>
      </c>
      <c r="D7912" t="s">
        <v>18</v>
      </c>
      <c r="E7912" t="s">
        <v>189</v>
      </c>
      <c r="F7912">
        <f t="shared" si="246"/>
        <v>1912</v>
      </c>
      <c r="G7912">
        <f t="shared" si="247"/>
        <v>12</v>
      </c>
      <c r="H7912" t="str">
        <f>IF(ISNUMBER(FIND(",", E7912)), TRIM(MID(E7912, FIND(",", E7912) + 1, LEN(E7912))), E7912)</f>
        <v>Japan</v>
      </c>
    </row>
    <row r="7913" spans="1:8" x14ac:dyDescent="0.25">
      <c r="A7913" s="2">
        <v>4725</v>
      </c>
      <c r="B7913">
        <v>-29</v>
      </c>
      <c r="C7913">
        <v>-62.5</v>
      </c>
      <c r="D7913" t="s">
        <v>13</v>
      </c>
      <c r="E7913" t="s">
        <v>232</v>
      </c>
      <c r="F7913">
        <f t="shared" si="246"/>
        <v>1912</v>
      </c>
      <c r="G7913">
        <f t="shared" si="247"/>
        <v>12</v>
      </c>
      <c r="H7913" t="str">
        <f>IF(ISNUMBER(FIND(",", E7913)), TRIM(MID(E7913, FIND(",", E7913) + 1, LEN(E7913))), E7913)</f>
        <v>Argentina</v>
      </c>
    </row>
    <row r="7914" spans="1:8" x14ac:dyDescent="0.25">
      <c r="A7914" s="2">
        <v>4723</v>
      </c>
      <c r="B7914">
        <v>57.5</v>
      </c>
      <c r="C7914">
        <v>-154</v>
      </c>
      <c r="D7914" t="s">
        <v>13</v>
      </c>
      <c r="E7914" t="s">
        <v>374</v>
      </c>
      <c r="F7914">
        <f t="shared" si="246"/>
        <v>1912</v>
      </c>
      <c r="G7914">
        <f t="shared" si="247"/>
        <v>12</v>
      </c>
      <c r="H7914" t="str">
        <f>IF(ISNUMBER(FIND(",", E7914)), TRIM(MID(E7914, FIND(",", E7914) + 1, LEN(E7914))), E7914)</f>
        <v>Alaska</v>
      </c>
    </row>
    <row r="7915" spans="1:8" x14ac:dyDescent="0.25">
      <c r="A7915" s="2">
        <v>4707</v>
      </c>
      <c r="B7915">
        <v>19</v>
      </c>
      <c r="C7915">
        <v>-100</v>
      </c>
      <c r="D7915" t="s">
        <v>13</v>
      </c>
      <c r="E7915" t="s">
        <v>752</v>
      </c>
      <c r="F7915">
        <f t="shared" si="246"/>
        <v>1912</v>
      </c>
      <c r="G7915">
        <f t="shared" si="247"/>
        <v>11</v>
      </c>
      <c r="H7915" t="str">
        <f>IF(ISNUMBER(FIND(",", E7915)), TRIM(MID(E7915, FIND(",", E7915) + 1, LEN(E7915))), E7915)</f>
        <v>Mexico</v>
      </c>
    </row>
    <row r="7916" spans="1:8" x14ac:dyDescent="0.25">
      <c r="A7916" s="2">
        <v>4695</v>
      </c>
      <c r="B7916">
        <v>57.5</v>
      </c>
      <c r="C7916">
        <v>-155</v>
      </c>
      <c r="D7916" t="s">
        <v>13</v>
      </c>
      <c r="E7916" t="s">
        <v>374</v>
      </c>
      <c r="F7916">
        <f t="shared" si="246"/>
        <v>1912</v>
      </c>
      <c r="G7916">
        <f t="shared" si="247"/>
        <v>11</v>
      </c>
      <c r="H7916" t="str">
        <f>IF(ISNUMBER(FIND(",", E7916)), TRIM(MID(E7916, FIND(",", E7916) + 1, LEN(E7916))), E7916)</f>
        <v>Alaska</v>
      </c>
    </row>
    <row r="7917" spans="1:8" x14ac:dyDescent="0.25">
      <c r="A7917" s="2">
        <v>4688</v>
      </c>
      <c r="B7917">
        <v>7</v>
      </c>
      <c r="C7917">
        <v>138</v>
      </c>
      <c r="D7917" t="s">
        <v>14</v>
      </c>
      <c r="E7917" t="s">
        <v>458</v>
      </c>
      <c r="F7917">
        <f t="shared" si="246"/>
        <v>1912</v>
      </c>
      <c r="G7917">
        <f t="shared" si="247"/>
        <v>10</v>
      </c>
      <c r="H7917" t="str">
        <f>IF(ISNUMBER(FIND(",", E7917)), TRIM(MID(E7917, FIND(",", E7917) + 1, LEN(E7917))), E7917)</f>
        <v>Federated States of Micronesia</v>
      </c>
    </row>
    <row r="7918" spans="1:8" x14ac:dyDescent="0.25">
      <c r="A7918" s="2">
        <v>4683</v>
      </c>
      <c r="B7918">
        <v>14</v>
      </c>
      <c r="C7918">
        <v>146</v>
      </c>
      <c r="D7918" t="s">
        <v>13</v>
      </c>
      <c r="E7918" t="s">
        <v>456</v>
      </c>
      <c r="F7918">
        <f t="shared" si="246"/>
        <v>1912</v>
      </c>
      <c r="G7918">
        <f t="shared" si="247"/>
        <v>10</v>
      </c>
      <c r="H7918" t="str">
        <f>IF(ISNUMBER(FIND(",", E7918)), TRIM(MID(E7918, FIND(",", E7918) + 1, LEN(E7918))), E7918)</f>
        <v>Northern Mariana Islands</v>
      </c>
    </row>
    <row r="7919" spans="1:8" x14ac:dyDescent="0.25">
      <c r="A7919" s="2">
        <v>4675</v>
      </c>
      <c r="B7919">
        <v>54.6</v>
      </c>
      <c r="C7919">
        <v>179.2</v>
      </c>
      <c r="D7919" t="s">
        <v>17</v>
      </c>
      <c r="E7919" t="s">
        <v>328</v>
      </c>
      <c r="F7919">
        <f t="shared" si="246"/>
        <v>1912</v>
      </c>
      <c r="G7919">
        <f t="shared" si="247"/>
        <v>10</v>
      </c>
      <c r="H7919" t="str">
        <f>IF(ISNUMBER(FIND(",", E7919)), TRIM(MID(E7919, FIND(",", E7919) + 1, LEN(E7919))), E7919)</f>
        <v>Bering Sea</v>
      </c>
    </row>
    <row r="7920" spans="1:8" x14ac:dyDescent="0.25">
      <c r="A7920" s="2">
        <v>4656</v>
      </c>
      <c r="B7920">
        <v>7</v>
      </c>
      <c r="C7920">
        <v>138</v>
      </c>
      <c r="D7920" t="s">
        <v>16</v>
      </c>
      <c r="E7920" t="s">
        <v>458</v>
      </c>
      <c r="F7920">
        <f t="shared" si="246"/>
        <v>1912</v>
      </c>
      <c r="G7920">
        <f t="shared" si="247"/>
        <v>9</v>
      </c>
      <c r="H7920" t="str">
        <f>IF(ISNUMBER(FIND(",", E7920)), TRIM(MID(E7920, FIND(",", E7920) + 1, LEN(E7920))), E7920)</f>
        <v>Federated States of Micronesia</v>
      </c>
    </row>
    <row r="7921" spans="1:8" x14ac:dyDescent="0.25">
      <c r="A7921" s="2">
        <v>4628</v>
      </c>
      <c r="B7921">
        <v>-4.5</v>
      </c>
      <c r="C7921">
        <v>155</v>
      </c>
      <c r="D7921" t="s">
        <v>13</v>
      </c>
      <c r="E7921" t="s">
        <v>290</v>
      </c>
      <c r="F7921">
        <f t="shared" si="246"/>
        <v>1912</v>
      </c>
      <c r="G7921">
        <f t="shared" si="247"/>
        <v>9</v>
      </c>
      <c r="H7921" t="str">
        <f>IF(ISNUMBER(FIND(",", E7921)), TRIM(MID(E7921, FIND(",", E7921) + 1, LEN(E7921))), E7921)</f>
        <v>Papua New Guinea</v>
      </c>
    </row>
    <row r="7922" spans="1:8" x14ac:dyDescent="0.25">
      <c r="A7922" s="2">
        <v>4619</v>
      </c>
      <c r="B7922">
        <v>36.5</v>
      </c>
      <c r="C7922">
        <v>70.5</v>
      </c>
      <c r="D7922" t="s">
        <v>17</v>
      </c>
      <c r="E7922" t="s">
        <v>314</v>
      </c>
      <c r="F7922">
        <f t="shared" si="246"/>
        <v>1912</v>
      </c>
      <c r="G7922">
        <f t="shared" si="247"/>
        <v>8</v>
      </c>
      <c r="H7922" t="str">
        <f>IF(ISNUMBER(FIND(",", E7922)), TRIM(MID(E7922, FIND(",", E7922) + 1, LEN(E7922))), E7922)</f>
        <v>Afghanistan</v>
      </c>
    </row>
    <row r="7923" spans="1:8" x14ac:dyDescent="0.25">
      <c r="A7923" s="2">
        <v>4613</v>
      </c>
      <c r="B7923">
        <v>4</v>
      </c>
      <c r="C7923">
        <v>127</v>
      </c>
      <c r="D7923" t="s">
        <v>16</v>
      </c>
      <c r="E7923" t="s">
        <v>372</v>
      </c>
      <c r="F7923">
        <f t="shared" si="246"/>
        <v>1912</v>
      </c>
      <c r="G7923">
        <f t="shared" si="247"/>
        <v>8</v>
      </c>
      <c r="H7923" t="str">
        <f>IF(ISNUMBER(FIND(",", E7923)), TRIM(MID(E7923, FIND(",", E7923) + 1, LEN(E7923))), E7923)</f>
        <v>Indonesia</v>
      </c>
    </row>
    <row r="7924" spans="1:8" x14ac:dyDescent="0.25">
      <c r="A7924" s="2">
        <v>4605</v>
      </c>
      <c r="B7924">
        <v>40.5</v>
      </c>
      <c r="C7924">
        <v>27</v>
      </c>
      <c r="D7924" t="s">
        <v>16</v>
      </c>
      <c r="E7924" t="s">
        <v>494</v>
      </c>
      <c r="F7924">
        <f t="shared" si="246"/>
        <v>1912</v>
      </c>
      <c r="G7924">
        <f t="shared" si="247"/>
        <v>8</v>
      </c>
      <c r="H7924" t="str">
        <f>IF(ISNUMBER(FIND(",", E7924)), TRIM(MID(E7924, FIND(",", E7924) + 1, LEN(E7924))), E7924)</f>
        <v>western Turkey</v>
      </c>
    </row>
    <row r="7925" spans="1:8" x14ac:dyDescent="0.25">
      <c r="A7925" s="2">
        <v>4602</v>
      </c>
      <c r="B7925">
        <v>-14</v>
      </c>
      <c r="C7925">
        <v>167</v>
      </c>
      <c r="D7925" t="s">
        <v>13</v>
      </c>
      <c r="E7925" t="s">
        <v>181</v>
      </c>
      <c r="F7925">
        <f t="shared" si="246"/>
        <v>1912</v>
      </c>
      <c r="G7925">
        <f t="shared" si="247"/>
        <v>8</v>
      </c>
      <c r="H7925" t="str">
        <f>IF(ISNUMBER(FIND(",", E7925)), TRIM(MID(E7925, FIND(",", E7925) + 1, LEN(E7925))), E7925)</f>
        <v>Vanuatu</v>
      </c>
    </row>
    <row r="7926" spans="1:8" x14ac:dyDescent="0.25">
      <c r="A7926" s="2">
        <v>4589</v>
      </c>
      <c r="B7926">
        <v>31</v>
      </c>
      <c r="C7926">
        <v>137.5</v>
      </c>
      <c r="D7926" t="s">
        <v>18</v>
      </c>
      <c r="E7926" t="s">
        <v>88</v>
      </c>
      <c r="F7926">
        <f t="shared" si="246"/>
        <v>1912</v>
      </c>
      <c r="G7926">
        <f t="shared" si="247"/>
        <v>7</v>
      </c>
      <c r="H7926" t="str">
        <f>IF(ISNUMBER(FIND(",", E7926)), TRIM(MID(E7926, FIND(",", E7926) + 1, LEN(E7926))), E7926)</f>
        <v>Japan region</v>
      </c>
    </row>
    <row r="7927" spans="1:8" x14ac:dyDescent="0.25">
      <c r="A7927" s="2">
        <v>4589</v>
      </c>
      <c r="B7927">
        <v>-5</v>
      </c>
      <c r="C7927">
        <v>-80</v>
      </c>
      <c r="D7927" t="s">
        <v>14</v>
      </c>
      <c r="E7927" t="s">
        <v>376</v>
      </c>
      <c r="F7927">
        <f t="shared" si="246"/>
        <v>1912</v>
      </c>
      <c r="G7927">
        <f t="shared" si="247"/>
        <v>7</v>
      </c>
      <c r="H7927" t="str">
        <f>IF(ISNUMBER(FIND(",", E7927)), TRIM(MID(E7927, FIND(",", E7927) + 1, LEN(E7927))), E7927)</f>
        <v>near the coast of northern Peru</v>
      </c>
    </row>
    <row r="7928" spans="1:8" x14ac:dyDescent="0.25">
      <c r="A7928" s="2">
        <v>4574</v>
      </c>
      <c r="B7928">
        <v>3</v>
      </c>
      <c r="C7928">
        <v>33</v>
      </c>
      <c r="D7928" t="s">
        <v>17</v>
      </c>
      <c r="E7928" t="s">
        <v>753</v>
      </c>
      <c r="F7928">
        <f t="shared" si="246"/>
        <v>1912</v>
      </c>
      <c r="G7928">
        <f t="shared" si="247"/>
        <v>7</v>
      </c>
      <c r="H7928" t="str">
        <f>IF(ISNUMBER(FIND(",", E7928)), TRIM(MID(E7928, FIND(",", E7928) + 1, LEN(E7928))), E7928)</f>
        <v>Uganda</v>
      </c>
    </row>
    <row r="7929" spans="1:8" x14ac:dyDescent="0.25">
      <c r="A7929" s="2">
        <v>4572</v>
      </c>
      <c r="B7929">
        <v>64</v>
      </c>
      <c r="C7929">
        <v>-147</v>
      </c>
      <c r="D7929" t="s">
        <v>16</v>
      </c>
      <c r="E7929" t="s">
        <v>487</v>
      </c>
      <c r="F7929">
        <f t="shared" si="246"/>
        <v>1912</v>
      </c>
      <c r="G7929">
        <f t="shared" si="247"/>
        <v>7</v>
      </c>
      <c r="H7929" t="str">
        <f>IF(ISNUMBER(FIND(",", E7929)), TRIM(MID(E7929, FIND(",", E7929) + 1, LEN(E7929))), E7929)</f>
        <v>Central Alaska</v>
      </c>
    </row>
    <row r="7930" spans="1:8" x14ac:dyDescent="0.25">
      <c r="A7930" s="2">
        <v>4547</v>
      </c>
      <c r="B7930">
        <v>17</v>
      </c>
      <c r="C7930">
        <v>-89</v>
      </c>
      <c r="D7930" t="s">
        <v>17</v>
      </c>
      <c r="E7930" t="s">
        <v>754</v>
      </c>
      <c r="F7930">
        <f t="shared" si="246"/>
        <v>1912</v>
      </c>
      <c r="G7930">
        <f t="shared" si="247"/>
        <v>6</v>
      </c>
      <c r="H7930" t="str">
        <f>IF(ISNUMBER(FIND(",", E7930)), TRIM(MID(E7930, FIND(",", E7930) + 1, LEN(E7930))), E7930)</f>
        <v>Belize</v>
      </c>
    </row>
    <row r="7931" spans="1:8" x14ac:dyDescent="0.25">
      <c r="A7931" s="2">
        <v>4545</v>
      </c>
      <c r="B7931">
        <v>59</v>
      </c>
      <c r="C7931">
        <v>-153</v>
      </c>
      <c r="D7931" t="s">
        <v>14</v>
      </c>
      <c r="E7931" t="s">
        <v>497</v>
      </c>
      <c r="F7931">
        <f t="shared" si="246"/>
        <v>1912</v>
      </c>
      <c r="G7931">
        <f t="shared" si="247"/>
        <v>6</v>
      </c>
      <c r="H7931" t="str">
        <f>IF(ISNUMBER(FIND(",", E7931)), TRIM(MID(E7931, FIND(",", E7931) + 1, LEN(E7931))), E7931)</f>
        <v>Southern Alaska</v>
      </c>
    </row>
    <row r="7932" spans="1:8" x14ac:dyDescent="0.25">
      <c r="A7932" s="2">
        <v>4543</v>
      </c>
      <c r="B7932">
        <v>40.5</v>
      </c>
      <c r="C7932">
        <v>142</v>
      </c>
      <c r="D7932" t="s">
        <v>17</v>
      </c>
      <c r="E7932" t="s">
        <v>227</v>
      </c>
      <c r="F7932">
        <f t="shared" si="246"/>
        <v>1912</v>
      </c>
      <c r="G7932">
        <f t="shared" si="247"/>
        <v>6</v>
      </c>
      <c r="H7932" t="str">
        <f>IF(ISNUMBER(FIND(",", E7932)), TRIM(MID(E7932, FIND(",", E7932) + 1, LEN(E7932))), E7932)</f>
        <v>Japan</v>
      </c>
    </row>
    <row r="7933" spans="1:8" x14ac:dyDescent="0.25">
      <c r="A7933" s="2">
        <v>4527</v>
      </c>
      <c r="B7933">
        <v>21</v>
      </c>
      <c r="C7933">
        <v>97</v>
      </c>
      <c r="D7933" t="s">
        <v>16</v>
      </c>
      <c r="E7933" t="s">
        <v>197</v>
      </c>
      <c r="F7933">
        <f t="shared" si="246"/>
        <v>1912</v>
      </c>
      <c r="G7933">
        <f t="shared" si="247"/>
        <v>5</v>
      </c>
      <c r="H7933" t="str">
        <f>IF(ISNUMBER(FIND(",", E7933)), TRIM(MID(E7933, FIND(",", E7933) + 1, LEN(E7933))), E7933)</f>
        <v>Myanmar</v>
      </c>
    </row>
    <row r="7934" spans="1:8" x14ac:dyDescent="0.25">
      <c r="A7934" s="2">
        <v>4517</v>
      </c>
      <c r="B7934">
        <v>57</v>
      </c>
      <c r="C7934">
        <v>162</v>
      </c>
      <c r="D7934" t="s">
        <v>17</v>
      </c>
      <c r="E7934" t="s">
        <v>225</v>
      </c>
      <c r="F7934">
        <f t="shared" si="246"/>
        <v>1912</v>
      </c>
      <c r="G7934">
        <f t="shared" si="247"/>
        <v>5</v>
      </c>
      <c r="H7934" t="str">
        <f>IF(ISNUMBER(FIND(",", E7934)), TRIM(MID(E7934, FIND(",", E7934) + 1, LEN(E7934))), E7934)</f>
        <v>Russia</v>
      </c>
    </row>
    <row r="7935" spans="1:8" x14ac:dyDescent="0.25">
      <c r="A7935" s="2">
        <v>4515</v>
      </c>
      <c r="B7935">
        <v>-9</v>
      </c>
      <c r="C7935">
        <v>72</v>
      </c>
      <c r="D7935" t="s">
        <v>17</v>
      </c>
      <c r="E7935" t="s">
        <v>600</v>
      </c>
      <c r="F7935">
        <f t="shared" si="246"/>
        <v>1912</v>
      </c>
      <c r="G7935">
        <f t="shared" si="247"/>
        <v>5</v>
      </c>
      <c r="H7935" t="str">
        <f>IF(ISNUMBER(FIND(",", E7935)), TRIM(MID(E7935, FIND(",", E7935) + 1, LEN(E7935))), E7935)</f>
        <v>Chagos Archipelago region</v>
      </c>
    </row>
    <row r="7936" spans="1:8" x14ac:dyDescent="0.25">
      <c r="A7936" s="2">
        <v>4510</v>
      </c>
      <c r="B7936">
        <v>64</v>
      </c>
      <c r="C7936">
        <v>-20</v>
      </c>
      <c r="D7936" t="s">
        <v>14</v>
      </c>
      <c r="E7936" t="s">
        <v>401</v>
      </c>
      <c r="F7936">
        <f t="shared" si="246"/>
        <v>1912</v>
      </c>
      <c r="G7936">
        <f t="shared" si="247"/>
        <v>5</v>
      </c>
      <c r="H7936" t="str">
        <f>IF(ISNUMBER(FIND(",", E7936)), TRIM(MID(E7936, FIND(",", E7936) + 1, LEN(E7936))), E7936)</f>
        <v>Iceland</v>
      </c>
    </row>
    <row r="7937" spans="1:8" x14ac:dyDescent="0.25">
      <c r="A7937" s="2">
        <v>4499</v>
      </c>
      <c r="B7937">
        <v>36.5</v>
      </c>
      <c r="C7937">
        <v>70.5</v>
      </c>
      <c r="D7937" t="s">
        <v>17</v>
      </c>
      <c r="E7937" t="s">
        <v>314</v>
      </c>
      <c r="F7937">
        <f t="shared" si="246"/>
        <v>1912</v>
      </c>
      <c r="G7937">
        <f t="shared" si="247"/>
        <v>4</v>
      </c>
      <c r="H7937" t="str">
        <f>IF(ISNUMBER(FIND(",", E7937)), TRIM(MID(E7937, FIND(",", E7937) + 1, LEN(E7937))), E7937)</f>
        <v>Afghanistan</v>
      </c>
    </row>
    <row r="7938" spans="1:8" x14ac:dyDescent="0.25">
      <c r="A7938" s="2">
        <v>4468</v>
      </c>
      <c r="B7938">
        <v>-18</v>
      </c>
      <c r="C7938">
        <v>169</v>
      </c>
      <c r="D7938" t="s">
        <v>13</v>
      </c>
      <c r="E7938" t="s">
        <v>181</v>
      </c>
      <c r="F7938">
        <f t="shared" ref="F7938:F8001" si="248">YEAR(A7938)</f>
        <v>1912</v>
      </c>
      <c r="G7938">
        <f t="shared" si="247"/>
        <v>3</v>
      </c>
      <c r="H7938" t="str">
        <f>IF(ISNUMBER(FIND(",", E7938)), TRIM(MID(E7938, FIND(",", E7938) + 1, LEN(E7938))), E7938)</f>
        <v>Vanuatu</v>
      </c>
    </row>
    <row r="7939" spans="1:8" x14ac:dyDescent="0.25">
      <c r="A7939" s="2">
        <v>4414</v>
      </c>
      <c r="B7939">
        <v>61</v>
      </c>
      <c r="C7939">
        <v>-147.5</v>
      </c>
      <c r="D7939" t="s">
        <v>13</v>
      </c>
      <c r="E7939" t="s">
        <v>497</v>
      </c>
      <c r="F7939">
        <f t="shared" si="248"/>
        <v>1912</v>
      </c>
      <c r="G7939">
        <f t="shared" ref="G7939:G8002" si="249">MONTH(A7939)</f>
        <v>1</v>
      </c>
      <c r="H7939" t="str">
        <f>IF(ISNUMBER(FIND(",", E7939)), TRIM(MID(E7939, FIND(",", E7939) + 1, LEN(E7939))), E7939)</f>
        <v>Southern Alaska</v>
      </c>
    </row>
    <row r="7940" spans="1:8" x14ac:dyDescent="0.25">
      <c r="A7940" s="2">
        <v>4407</v>
      </c>
      <c r="B7940">
        <v>38</v>
      </c>
      <c r="C7940">
        <v>20.5</v>
      </c>
      <c r="D7940" t="s">
        <v>17</v>
      </c>
      <c r="E7940" t="s">
        <v>533</v>
      </c>
      <c r="F7940">
        <f t="shared" si="248"/>
        <v>1912</v>
      </c>
      <c r="G7940">
        <f t="shared" si="249"/>
        <v>1</v>
      </c>
      <c r="H7940" t="str">
        <f>IF(ISNUMBER(FIND(",", E7940)), TRIM(MID(E7940, FIND(",", E7940) + 1, LEN(E7940))), E7940)</f>
        <v>Ionian Sea</v>
      </c>
    </row>
    <row r="7941" spans="1:8" x14ac:dyDescent="0.25">
      <c r="A7941" s="2">
        <v>4387</v>
      </c>
      <c r="B7941">
        <v>52</v>
      </c>
      <c r="C7941">
        <v>-179</v>
      </c>
      <c r="D7941" t="s">
        <v>14</v>
      </c>
      <c r="E7941" t="s">
        <v>207</v>
      </c>
      <c r="F7941">
        <f t="shared" si="248"/>
        <v>1912</v>
      </c>
      <c r="G7941">
        <f t="shared" si="249"/>
        <v>1</v>
      </c>
      <c r="H7941" t="str">
        <f>IF(ISNUMBER(FIND(",", E7941)), TRIM(MID(E7941, FIND(",", E7941) + 1, LEN(E7941))), E7941)</f>
        <v>Aleutian Islands, Alaska</v>
      </c>
    </row>
    <row r="7942" spans="1:8" x14ac:dyDescent="0.25">
      <c r="A7942" s="2">
        <v>4383</v>
      </c>
      <c r="B7942">
        <v>-2</v>
      </c>
      <c r="C7942">
        <v>143.5</v>
      </c>
      <c r="D7942" t="s">
        <v>14</v>
      </c>
      <c r="E7942" t="s">
        <v>755</v>
      </c>
      <c r="F7942">
        <f t="shared" si="248"/>
        <v>1911</v>
      </c>
      <c r="G7942">
        <f t="shared" si="249"/>
        <v>12</v>
      </c>
      <c r="H7942" t="str">
        <f>IF(ISNUMBER(FIND(",", E7942)), TRIM(MID(E7942, FIND(",", E7942) + 1, LEN(E7942))), E7942)</f>
        <v>Papua New Guinea</v>
      </c>
    </row>
    <row r="7943" spans="1:8" x14ac:dyDescent="0.25">
      <c r="A7943" s="2">
        <v>4368</v>
      </c>
      <c r="B7943">
        <v>17</v>
      </c>
      <c r="C7943">
        <v>-100.5</v>
      </c>
      <c r="D7943" t="s">
        <v>16</v>
      </c>
      <c r="E7943" t="s">
        <v>474</v>
      </c>
      <c r="F7943">
        <f t="shared" si="248"/>
        <v>1911</v>
      </c>
      <c r="G7943">
        <f t="shared" si="249"/>
        <v>12</v>
      </c>
      <c r="H7943" t="str">
        <f>IF(ISNUMBER(FIND(",", E7943)), TRIM(MID(E7943, FIND(",", E7943) + 1, LEN(E7943))), E7943)</f>
        <v>Mexico</v>
      </c>
    </row>
    <row r="7944" spans="1:8" x14ac:dyDescent="0.25">
      <c r="A7944" s="2">
        <v>4344</v>
      </c>
      <c r="B7944">
        <v>-15</v>
      </c>
      <c r="C7944">
        <v>169</v>
      </c>
      <c r="D7944" t="s">
        <v>13</v>
      </c>
      <c r="E7944" t="s">
        <v>181</v>
      </c>
      <c r="F7944">
        <f t="shared" si="248"/>
        <v>1911</v>
      </c>
      <c r="G7944">
        <f t="shared" si="249"/>
        <v>11</v>
      </c>
      <c r="H7944" t="str">
        <f>IF(ISNUMBER(FIND(",", E7944)), TRIM(MID(E7944, FIND(",", E7944) + 1, LEN(E7944))), E7944)</f>
        <v>Vanuatu</v>
      </c>
    </row>
    <row r="7945" spans="1:8" x14ac:dyDescent="0.25">
      <c r="A7945" s="2">
        <v>4343</v>
      </c>
      <c r="B7945">
        <v>39</v>
      </c>
      <c r="C7945">
        <v>136</v>
      </c>
      <c r="D7945" t="s">
        <v>18</v>
      </c>
      <c r="E7945" t="s">
        <v>420</v>
      </c>
      <c r="F7945">
        <f t="shared" si="248"/>
        <v>1911</v>
      </c>
      <c r="G7945">
        <f t="shared" si="249"/>
        <v>11</v>
      </c>
      <c r="H7945" t="str">
        <f>IF(ISNUMBER(FIND(",", E7945)), TRIM(MID(E7945, FIND(",", E7945) + 1, LEN(E7945))), E7945)</f>
        <v>Sea of Japan</v>
      </c>
    </row>
    <row r="7946" spans="1:8" x14ac:dyDescent="0.25">
      <c r="A7946" s="2">
        <v>4335</v>
      </c>
      <c r="B7946">
        <v>52</v>
      </c>
      <c r="C7946">
        <v>173</v>
      </c>
      <c r="D7946" t="s">
        <v>14</v>
      </c>
      <c r="E7946" t="s">
        <v>184</v>
      </c>
      <c r="F7946">
        <f t="shared" si="248"/>
        <v>1911</v>
      </c>
      <c r="G7946">
        <f t="shared" si="249"/>
        <v>11</v>
      </c>
      <c r="H7946" t="str">
        <f>IF(ISNUMBER(FIND(",", E7946)), TRIM(MID(E7946, FIND(",", E7946) + 1, LEN(E7946))), E7946)</f>
        <v>Aleutian Islands, Alaska</v>
      </c>
    </row>
    <row r="7947" spans="1:8" x14ac:dyDescent="0.25">
      <c r="A7947" s="2">
        <v>4330</v>
      </c>
      <c r="B7947">
        <v>34.5</v>
      </c>
      <c r="C7947">
        <v>140.5</v>
      </c>
      <c r="D7947" t="s">
        <v>18</v>
      </c>
      <c r="E7947" t="s">
        <v>227</v>
      </c>
      <c r="F7947">
        <f t="shared" si="248"/>
        <v>1911</v>
      </c>
      <c r="G7947">
        <f t="shared" si="249"/>
        <v>11</v>
      </c>
      <c r="H7947" t="str">
        <f>IF(ISNUMBER(FIND(",", E7947)), TRIM(MID(E7947, FIND(",", E7947) + 1, LEN(E7947))), E7947)</f>
        <v>Japan</v>
      </c>
    </row>
    <row r="7948" spans="1:8" x14ac:dyDescent="0.25">
      <c r="A7948" s="2">
        <v>4320</v>
      </c>
      <c r="B7948">
        <v>11</v>
      </c>
      <c r="C7948">
        <v>-101</v>
      </c>
      <c r="D7948" t="s">
        <v>17</v>
      </c>
      <c r="E7948" t="s">
        <v>252</v>
      </c>
      <c r="F7948">
        <f t="shared" si="248"/>
        <v>1911</v>
      </c>
      <c r="G7948">
        <f t="shared" si="249"/>
        <v>10</v>
      </c>
      <c r="H7948" t="str">
        <f>IF(ISNUMBER(FIND(",", E7948)), TRIM(MID(E7948, FIND(",", E7948) + 1, LEN(E7948))), E7948)</f>
        <v>northern East Pacific Rise</v>
      </c>
    </row>
    <row r="7949" spans="1:8" x14ac:dyDescent="0.25">
      <c r="A7949" s="2">
        <v>4311</v>
      </c>
      <c r="B7949">
        <v>-12.5</v>
      </c>
      <c r="C7949">
        <v>166</v>
      </c>
      <c r="D7949" t="s">
        <v>13</v>
      </c>
      <c r="E7949" t="s">
        <v>211</v>
      </c>
      <c r="F7949">
        <f t="shared" si="248"/>
        <v>1911</v>
      </c>
      <c r="G7949">
        <f t="shared" si="249"/>
        <v>10</v>
      </c>
      <c r="H7949" t="str">
        <f>IF(ISNUMBER(FIND(",", E7949)), TRIM(MID(E7949, FIND(",", E7949) + 1, LEN(E7949))), E7949)</f>
        <v>Santa Cruz Islands</v>
      </c>
    </row>
    <row r="7950" spans="1:8" x14ac:dyDescent="0.25">
      <c r="A7950" s="2">
        <v>4305</v>
      </c>
      <c r="B7950">
        <v>31</v>
      </c>
      <c r="C7950">
        <v>80.5</v>
      </c>
      <c r="D7950" t="s">
        <v>17</v>
      </c>
      <c r="E7950" t="s">
        <v>756</v>
      </c>
      <c r="F7950">
        <f t="shared" si="248"/>
        <v>1911</v>
      </c>
      <c r="G7950">
        <f t="shared" si="249"/>
        <v>10</v>
      </c>
      <c r="H7950" t="str">
        <f>IF(ISNUMBER(FIND(",", E7950)), TRIM(MID(E7950, FIND(",", E7950) + 1, LEN(E7950))), E7950)</f>
        <v>western Xizang-India border region</v>
      </c>
    </row>
    <row r="7951" spans="1:8" x14ac:dyDescent="0.25">
      <c r="A7951" s="2">
        <v>4297</v>
      </c>
      <c r="B7951">
        <v>19</v>
      </c>
      <c r="C7951">
        <v>-70.5</v>
      </c>
      <c r="D7951" t="s">
        <v>14</v>
      </c>
      <c r="E7951" t="s">
        <v>477</v>
      </c>
      <c r="F7951">
        <f t="shared" si="248"/>
        <v>1911</v>
      </c>
      <c r="G7951">
        <f t="shared" si="249"/>
        <v>10</v>
      </c>
      <c r="H7951" t="str">
        <f>IF(ISNUMBER(FIND(",", E7951)), TRIM(MID(E7951, FIND(",", E7951) + 1, LEN(E7951))), E7951)</f>
        <v>Dominican Republic</v>
      </c>
    </row>
    <row r="7952" spans="1:8" x14ac:dyDescent="0.25">
      <c r="A7952" s="2">
        <v>4283</v>
      </c>
      <c r="B7952">
        <v>60.5</v>
      </c>
      <c r="C7952">
        <v>-149</v>
      </c>
      <c r="D7952" t="s">
        <v>17</v>
      </c>
      <c r="E7952" t="s">
        <v>679</v>
      </c>
      <c r="F7952">
        <f t="shared" si="248"/>
        <v>1911</v>
      </c>
      <c r="G7952">
        <f t="shared" si="249"/>
        <v>9</v>
      </c>
      <c r="H7952" t="str">
        <f>IF(ISNUMBER(FIND(",", E7952)), TRIM(MID(E7952, FIND(",", E7952) + 1, LEN(E7952))), E7952)</f>
        <v>Alaska</v>
      </c>
    </row>
    <row r="7953" spans="1:8" x14ac:dyDescent="0.25">
      <c r="A7953" s="2">
        <v>4278</v>
      </c>
      <c r="B7953">
        <v>51</v>
      </c>
      <c r="C7953">
        <v>180</v>
      </c>
      <c r="D7953" t="s">
        <v>16</v>
      </c>
      <c r="F7953">
        <f t="shared" si="248"/>
        <v>1911</v>
      </c>
      <c r="G7953">
        <f t="shared" si="249"/>
        <v>9</v>
      </c>
      <c r="H7953">
        <f>IF(ISNUMBER(FIND(",", E7953)), TRIM(MID(E7953, FIND(",", E7953) + 1, LEN(E7953))), E7953)</f>
        <v>0</v>
      </c>
    </row>
    <row r="7954" spans="1:8" x14ac:dyDescent="0.25">
      <c r="A7954" s="2">
        <v>4276</v>
      </c>
      <c r="B7954">
        <v>-20</v>
      </c>
      <c r="C7954">
        <v>-72</v>
      </c>
      <c r="D7954" t="s">
        <v>16</v>
      </c>
      <c r="E7954" t="s">
        <v>711</v>
      </c>
      <c r="F7954">
        <f t="shared" si="248"/>
        <v>1911</v>
      </c>
      <c r="G7954">
        <f t="shared" si="249"/>
        <v>9</v>
      </c>
      <c r="H7954" t="str">
        <f>IF(ISNUMBER(FIND(",", E7954)), TRIM(MID(E7954, FIND(",", E7954) + 1, LEN(E7954))), E7954)</f>
        <v>Chile</v>
      </c>
    </row>
    <row r="7955" spans="1:8" x14ac:dyDescent="0.25">
      <c r="A7955" s="2">
        <v>4273</v>
      </c>
      <c r="B7955">
        <v>-23</v>
      </c>
      <c r="C7955">
        <v>172.5</v>
      </c>
      <c r="D7955" t="s">
        <v>17</v>
      </c>
      <c r="E7955" t="s">
        <v>254</v>
      </c>
      <c r="F7955">
        <f t="shared" si="248"/>
        <v>1911</v>
      </c>
      <c r="G7955">
        <f t="shared" si="249"/>
        <v>9</v>
      </c>
      <c r="H7955" t="str">
        <f>IF(ISNUMBER(FIND(",", E7955)), TRIM(MID(E7955, FIND(",", E7955) + 1, LEN(E7955))), E7955)</f>
        <v>southeast of the Loyalty Islands</v>
      </c>
    </row>
    <row r="7956" spans="1:8" x14ac:dyDescent="0.25">
      <c r="A7956" s="2">
        <v>4267</v>
      </c>
      <c r="B7956">
        <v>46</v>
      </c>
      <c r="C7956">
        <v>143</v>
      </c>
      <c r="D7956" t="s">
        <v>13</v>
      </c>
      <c r="E7956" t="s">
        <v>514</v>
      </c>
      <c r="F7956">
        <f t="shared" si="248"/>
        <v>1911</v>
      </c>
      <c r="G7956">
        <f t="shared" si="249"/>
        <v>9</v>
      </c>
      <c r="H7956" t="str">
        <f>IF(ISNUMBER(FIND(",", E7956)), TRIM(MID(E7956, FIND(",", E7956) + 1, LEN(E7956))), E7956)</f>
        <v>Russia</v>
      </c>
    </row>
    <row r="7957" spans="1:8" x14ac:dyDescent="0.25">
      <c r="A7957" s="2">
        <v>4257</v>
      </c>
      <c r="B7957">
        <v>17</v>
      </c>
      <c r="C7957">
        <v>-96</v>
      </c>
      <c r="D7957" t="s">
        <v>17</v>
      </c>
      <c r="E7957" t="s">
        <v>251</v>
      </c>
      <c r="F7957">
        <f t="shared" si="248"/>
        <v>1911</v>
      </c>
      <c r="G7957">
        <f t="shared" si="249"/>
        <v>8</v>
      </c>
      <c r="H7957" t="str">
        <f>IF(ISNUMBER(FIND(",", E7957)), TRIM(MID(E7957, FIND(",", E7957) + 1, LEN(E7957))), E7957)</f>
        <v>Mexico</v>
      </c>
    </row>
    <row r="7958" spans="1:8" x14ac:dyDescent="0.25">
      <c r="A7958" s="2">
        <v>4251</v>
      </c>
      <c r="B7958">
        <v>-21</v>
      </c>
      <c r="C7958">
        <v>-176</v>
      </c>
      <c r="D7958" t="s">
        <v>13</v>
      </c>
      <c r="E7958" t="s">
        <v>239</v>
      </c>
      <c r="F7958">
        <f t="shared" si="248"/>
        <v>1911</v>
      </c>
      <c r="G7958">
        <f t="shared" si="249"/>
        <v>8</v>
      </c>
      <c r="H7958" t="str">
        <f>IF(ISNUMBER(FIND(",", E7958)), TRIM(MID(E7958, FIND(",", E7958) + 1, LEN(E7958))), E7958)</f>
        <v>Tonga</v>
      </c>
    </row>
    <row r="7959" spans="1:8" x14ac:dyDescent="0.25">
      <c r="A7959" s="2">
        <v>4246</v>
      </c>
      <c r="B7959">
        <v>7</v>
      </c>
      <c r="C7959">
        <v>137</v>
      </c>
      <c r="D7959" t="s">
        <v>16</v>
      </c>
      <c r="E7959" t="s">
        <v>458</v>
      </c>
      <c r="F7959">
        <f t="shared" si="248"/>
        <v>1911</v>
      </c>
      <c r="G7959">
        <f t="shared" si="249"/>
        <v>8</v>
      </c>
      <c r="H7959" t="str">
        <f>IF(ISNUMBER(FIND(",", E7959)), TRIM(MID(E7959, FIND(",", E7959) + 1, LEN(E7959))), E7959)</f>
        <v>Federated States of Micronesia</v>
      </c>
    </row>
    <row r="7960" spans="1:8" x14ac:dyDescent="0.25">
      <c r="A7960" s="2">
        <v>4218</v>
      </c>
      <c r="B7960">
        <v>-29</v>
      </c>
      <c r="C7960">
        <v>-179</v>
      </c>
      <c r="D7960" t="s">
        <v>17</v>
      </c>
      <c r="E7960" t="s">
        <v>240</v>
      </c>
      <c r="F7960">
        <f t="shared" si="248"/>
        <v>1911</v>
      </c>
      <c r="G7960">
        <f t="shared" si="249"/>
        <v>7</v>
      </c>
      <c r="H7960" t="str">
        <f>IF(ISNUMBER(FIND(",", E7960)), TRIM(MID(E7960, FIND(",", E7960) + 1, LEN(E7960))), E7960)</f>
        <v>Kermadec Islands region</v>
      </c>
    </row>
    <row r="7961" spans="1:8" x14ac:dyDescent="0.25">
      <c r="A7961" s="2">
        <v>4211</v>
      </c>
      <c r="B7961">
        <v>9</v>
      </c>
      <c r="C7961">
        <v>126</v>
      </c>
      <c r="D7961" t="s">
        <v>16</v>
      </c>
      <c r="E7961" t="s">
        <v>200</v>
      </c>
      <c r="F7961">
        <f t="shared" si="248"/>
        <v>1911</v>
      </c>
      <c r="G7961">
        <f t="shared" si="249"/>
        <v>7</v>
      </c>
      <c r="H7961" t="str">
        <f>IF(ISNUMBER(FIND(",", E7961)), TRIM(MID(E7961, FIND(",", E7961) + 1, LEN(E7961))), E7961)</f>
        <v>Philippines</v>
      </c>
    </row>
    <row r="7962" spans="1:8" x14ac:dyDescent="0.25">
      <c r="A7962" s="2">
        <v>4210</v>
      </c>
      <c r="B7962">
        <v>-14</v>
      </c>
      <c r="C7962">
        <v>167</v>
      </c>
      <c r="D7962" t="s">
        <v>17</v>
      </c>
      <c r="E7962" t="s">
        <v>181</v>
      </c>
      <c r="F7962">
        <f t="shared" si="248"/>
        <v>1911</v>
      </c>
      <c r="G7962">
        <f t="shared" si="249"/>
        <v>7</v>
      </c>
      <c r="H7962" t="str">
        <f>IF(ISNUMBER(FIND(",", E7962)), TRIM(MID(E7962, FIND(",", E7962) + 1, LEN(E7962))), E7962)</f>
        <v>Vanuatu</v>
      </c>
    </row>
    <row r="7963" spans="1:8" x14ac:dyDescent="0.25">
      <c r="A7963" s="2">
        <v>4204</v>
      </c>
      <c r="B7963">
        <v>-7.5</v>
      </c>
      <c r="C7963">
        <v>117.5</v>
      </c>
      <c r="D7963" t="s">
        <v>13</v>
      </c>
      <c r="E7963" t="s">
        <v>299</v>
      </c>
      <c r="F7963">
        <f t="shared" si="248"/>
        <v>1911</v>
      </c>
      <c r="G7963">
        <f t="shared" si="249"/>
        <v>7</v>
      </c>
      <c r="H7963" t="str">
        <f>IF(ISNUMBER(FIND(",", E7963)), TRIM(MID(E7963, FIND(",", E7963) + 1, LEN(E7963))), E7963)</f>
        <v>Bali Sea</v>
      </c>
    </row>
    <row r="7964" spans="1:8" x14ac:dyDescent="0.25">
      <c r="A7964" s="2">
        <v>4203</v>
      </c>
      <c r="B7964">
        <v>36</v>
      </c>
      <c r="C7964">
        <v>70.5</v>
      </c>
      <c r="D7964" t="s">
        <v>13</v>
      </c>
      <c r="E7964" t="s">
        <v>314</v>
      </c>
      <c r="F7964">
        <f t="shared" si="248"/>
        <v>1911</v>
      </c>
      <c r="G7964">
        <f t="shared" si="249"/>
        <v>7</v>
      </c>
      <c r="H7964" t="str">
        <f>IF(ISNUMBER(FIND(",", E7964)), TRIM(MID(E7964, FIND(",", E7964) + 1, LEN(E7964))), E7964)</f>
        <v>Afghanistan</v>
      </c>
    </row>
    <row r="7965" spans="1:8" x14ac:dyDescent="0.25">
      <c r="A7965" s="2">
        <v>4200</v>
      </c>
      <c r="B7965">
        <v>28.5</v>
      </c>
      <c r="C7965">
        <v>97.5</v>
      </c>
      <c r="D7965" t="s">
        <v>14</v>
      </c>
      <c r="E7965" t="s">
        <v>757</v>
      </c>
      <c r="F7965">
        <f t="shared" si="248"/>
        <v>1911</v>
      </c>
      <c r="G7965">
        <f t="shared" si="249"/>
        <v>7</v>
      </c>
      <c r="H7965" t="str">
        <f>IF(ISNUMBER(FIND(",", E7965)), TRIM(MID(E7965, FIND(",", E7965) + 1, LEN(E7965))), E7965)</f>
        <v>Xizang-India-Myanmar border region</v>
      </c>
    </row>
    <row r="7966" spans="1:8" x14ac:dyDescent="0.25">
      <c r="A7966" s="2">
        <v>4184</v>
      </c>
      <c r="B7966">
        <v>28</v>
      </c>
      <c r="C7966">
        <v>130</v>
      </c>
      <c r="D7966" t="s">
        <v>13</v>
      </c>
      <c r="E7966" t="s">
        <v>340</v>
      </c>
      <c r="F7966">
        <f t="shared" si="248"/>
        <v>1911</v>
      </c>
      <c r="G7966">
        <f t="shared" si="249"/>
        <v>6</v>
      </c>
      <c r="H7966" t="str">
        <f>IF(ISNUMBER(FIND(",", E7966)), TRIM(MID(E7966, FIND(",", E7966) + 1, LEN(E7966))), E7966)</f>
        <v>Japan</v>
      </c>
    </row>
    <row r="7967" spans="1:8" x14ac:dyDescent="0.25">
      <c r="A7967" s="2">
        <v>4176</v>
      </c>
      <c r="B7967">
        <v>17.5</v>
      </c>
      <c r="C7967">
        <v>-102.5</v>
      </c>
      <c r="D7967" t="s">
        <v>16</v>
      </c>
      <c r="E7967" t="s">
        <v>716</v>
      </c>
      <c r="F7967">
        <f t="shared" si="248"/>
        <v>1911</v>
      </c>
      <c r="G7967">
        <f t="shared" si="249"/>
        <v>6</v>
      </c>
      <c r="H7967" t="str">
        <f>IF(ISNUMBER(FIND(",", E7967)), TRIM(MID(E7967, FIND(",", E7967) + 1, LEN(E7967))), E7967)</f>
        <v>Mexico</v>
      </c>
    </row>
    <row r="7968" spans="1:8" x14ac:dyDescent="0.25">
      <c r="A7968" s="2">
        <v>4142</v>
      </c>
      <c r="B7968">
        <v>51</v>
      </c>
      <c r="C7968">
        <v>157</v>
      </c>
      <c r="D7968" t="s">
        <v>13</v>
      </c>
      <c r="E7968" t="s">
        <v>225</v>
      </c>
      <c r="F7968">
        <f t="shared" si="248"/>
        <v>1911</v>
      </c>
      <c r="G7968">
        <f t="shared" si="249"/>
        <v>5</v>
      </c>
      <c r="H7968" t="str">
        <f>IF(ISNUMBER(FIND(",", E7968)), TRIM(MID(E7968, FIND(",", E7968) + 1, LEN(E7968))), E7968)</f>
        <v>Russia</v>
      </c>
    </row>
    <row r="7969" spans="1:8" x14ac:dyDescent="0.25">
      <c r="A7969" s="2">
        <v>4136</v>
      </c>
      <c r="B7969">
        <v>0</v>
      </c>
      <c r="C7969">
        <v>-71</v>
      </c>
      <c r="D7969" t="s">
        <v>13</v>
      </c>
      <c r="E7969" t="s">
        <v>206</v>
      </c>
      <c r="F7969">
        <f t="shared" si="248"/>
        <v>1911</v>
      </c>
      <c r="G7969">
        <f t="shared" si="249"/>
        <v>4</v>
      </c>
      <c r="H7969" t="str">
        <f>IF(ISNUMBER(FIND(",", E7969)), TRIM(MID(E7969, FIND(",", E7969) + 1, LEN(E7969))), E7969)</f>
        <v>Colombia</v>
      </c>
    </row>
    <row r="7970" spans="1:8" x14ac:dyDescent="0.25">
      <c r="A7970" s="2">
        <v>4126</v>
      </c>
      <c r="B7970">
        <v>32</v>
      </c>
      <c r="C7970">
        <v>56</v>
      </c>
      <c r="D7970" t="s">
        <v>17</v>
      </c>
      <c r="E7970" t="s">
        <v>453</v>
      </c>
      <c r="F7970">
        <f t="shared" si="248"/>
        <v>1911</v>
      </c>
      <c r="G7970">
        <f t="shared" si="249"/>
        <v>4</v>
      </c>
      <c r="H7970" t="str">
        <f>IF(ISNUMBER(FIND(",", E7970)), TRIM(MID(E7970, FIND(",", E7970) + 1, LEN(E7970))), E7970)</f>
        <v>central Iran</v>
      </c>
    </row>
    <row r="7971" spans="1:8" x14ac:dyDescent="0.25">
      <c r="A7971" s="2">
        <v>4118</v>
      </c>
      <c r="B7971">
        <v>9</v>
      </c>
      <c r="C7971">
        <v>-74</v>
      </c>
      <c r="D7971" t="s">
        <v>13</v>
      </c>
      <c r="E7971" t="s">
        <v>565</v>
      </c>
      <c r="F7971">
        <f t="shared" si="248"/>
        <v>1911</v>
      </c>
      <c r="G7971">
        <f t="shared" si="249"/>
        <v>4</v>
      </c>
      <c r="H7971" t="str">
        <f>IF(ISNUMBER(FIND(",", E7971)), TRIM(MID(E7971, FIND(",", E7971) + 1, LEN(E7971))), E7971)</f>
        <v>northern Colombia</v>
      </c>
    </row>
    <row r="7972" spans="1:8" x14ac:dyDescent="0.25">
      <c r="A7972" s="2">
        <v>4112</v>
      </c>
      <c r="B7972">
        <v>36.5</v>
      </c>
      <c r="C7972">
        <v>25.5</v>
      </c>
      <c r="D7972" t="s">
        <v>13</v>
      </c>
      <c r="E7972" t="s">
        <v>228</v>
      </c>
      <c r="F7972">
        <f t="shared" si="248"/>
        <v>1911</v>
      </c>
      <c r="G7972">
        <f t="shared" si="249"/>
        <v>4</v>
      </c>
      <c r="H7972" t="str">
        <f>IF(ISNUMBER(FIND(",", E7972)), TRIM(MID(E7972, FIND(",", E7972) + 1, LEN(E7972))), E7972)</f>
        <v>Greece</v>
      </c>
    </row>
    <row r="7973" spans="1:8" x14ac:dyDescent="0.25">
      <c r="A7973" s="2">
        <v>4101</v>
      </c>
      <c r="B7973">
        <v>24</v>
      </c>
      <c r="C7973">
        <v>123</v>
      </c>
      <c r="D7973" t="s">
        <v>18</v>
      </c>
      <c r="E7973" t="s">
        <v>363</v>
      </c>
      <c r="F7973">
        <f t="shared" si="248"/>
        <v>1911</v>
      </c>
      <c r="G7973">
        <f t="shared" si="249"/>
        <v>3</v>
      </c>
      <c r="H7973" t="str">
        <f>IF(ISNUMBER(FIND(",", E7973)), TRIM(MID(E7973, FIND(",", E7973) + 1, LEN(E7973))), E7973)</f>
        <v>Taiwan region</v>
      </c>
    </row>
    <row r="7974" spans="1:8" x14ac:dyDescent="0.25">
      <c r="A7974" s="2">
        <v>4083</v>
      </c>
      <c r="B7974">
        <v>6</v>
      </c>
      <c r="C7974">
        <v>126</v>
      </c>
      <c r="D7974" t="s">
        <v>17</v>
      </c>
      <c r="E7974" t="s">
        <v>200</v>
      </c>
      <c r="F7974">
        <f t="shared" si="248"/>
        <v>1911</v>
      </c>
      <c r="G7974">
        <f t="shared" si="249"/>
        <v>3</v>
      </c>
      <c r="H7974" t="str">
        <f>IF(ISNUMBER(FIND(",", E7974)), TRIM(MID(E7974, FIND(",", E7974) + 1, LEN(E7974))), E7974)</f>
        <v>Philippines</v>
      </c>
    </row>
    <row r="7975" spans="1:8" x14ac:dyDescent="0.25">
      <c r="A7975" s="2">
        <v>4072</v>
      </c>
      <c r="B7975">
        <v>27</v>
      </c>
      <c r="C7975">
        <v>128</v>
      </c>
      <c r="D7975" t="s">
        <v>17</v>
      </c>
      <c r="E7975" t="s">
        <v>340</v>
      </c>
      <c r="F7975">
        <f t="shared" si="248"/>
        <v>1911</v>
      </c>
      <c r="G7975">
        <f t="shared" si="249"/>
        <v>2</v>
      </c>
      <c r="H7975" t="str">
        <f>IF(ISNUMBER(FIND(",", E7975)), TRIM(MID(E7975, FIND(",", E7975) + 1, LEN(E7975))), E7975)</f>
        <v>Japan</v>
      </c>
    </row>
    <row r="7976" spans="1:8" x14ac:dyDescent="0.25">
      <c r="A7976" s="2">
        <v>4067</v>
      </c>
      <c r="B7976">
        <v>40</v>
      </c>
      <c r="C7976">
        <v>73</v>
      </c>
      <c r="D7976" t="s">
        <v>16</v>
      </c>
      <c r="E7976" t="s">
        <v>284</v>
      </c>
      <c r="F7976">
        <f t="shared" si="248"/>
        <v>1911</v>
      </c>
      <c r="G7976">
        <f t="shared" si="249"/>
        <v>2</v>
      </c>
      <c r="H7976" t="str">
        <f>IF(ISNUMBER(FIND(",", E7976)), TRIM(MID(E7976, FIND(",", E7976) + 1, LEN(E7976))), E7976)</f>
        <v>Kyrgyzstan</v>
      </c>
    </row>
    <row r="7977" spans="1:8" x14ac:dyDescent="0.25">
      <c r="A7977" s="2">
        <v>4021</v>
      </c>
      <c r="B7977">
        <v>43.5</v>
      </c>
      <c r="C7977">
        <v>77.5</v>
      </c>
      <c r="D7977" t="s">
        <v>16</v>
      </c>
      <c r="E7977" t="s">
        <v>571</v>
      </c>
      <c r="F7977">
        <f t="shared" si="248"/>
        <v>1911</v>
      </c>
      <c r="G7977">
        <f t="shared" si="249"/>
        <v>1</v>
      </c>
      <c r="H7977" t="str">
        <f>IF(ISNUMBER(FIND(",", E7977)), TRIM(MID(E7977, FIND(",", E7977) + 1, LEN(E7977))), E7977)</f>
        <v>eastern Kazakhstan</v>
      </c>
    </row>
    <row r="7978" spans="1:8" x14ac:dyDescent="0.25">
      <c r="A7978" s="2">
        <v>4019</v>
      </c>
      <c r="B7978">
        <v>38</v>
      </c>
      <c r="C7978">
        <v>66</v>
      </c>
      <c r="D7978" t="s">
        <v>14</v>
      </c>
      <c r="E7978" t="s">
        <v>509</v>
      </c>
      <c r="F7978">
        <f t="shared" si="248"/>
        <v>1911</v>
      </c>
      <c r="G7978">
        <f t="shared" si="249"/>
        <v>1</v>
      </c>
      <c r="H7978" t="str">
        <f>IF(ISNUMBER(FIND(",", E7978)), TRIM(MID(E7978, FIND(",", E7978) + 1, LEN(E7978))), E7978)</f>
        <v>Turkmenistan</v>
      </c>
    </row>
    <row r="7979" spans="1:8" x14ac:dyDescent="0.25">
      <c r="A7979" s="2">
        <v>4003</v>
      </c>
      <c r="B7979">
        <v>4.5</v>
      </c>
      <c r="C7979">
        <v>126.5</v>
      </c>
      <c r="D7979" t="s">
        <v>16</v>
      </c>
      <c r="E7979" t="s">
        <v>372</v>
      </c>
      <c r="F7979">
        <f t="shared" si="248"/>
        <v>1910</v>
      </c>
      <c r="G7979">
        <f t="shared" si="249"/>
        <v>12</v>
      </c>
      <c r="H7979" t="str">
        <f>IF(ISNUMBER(FIND(",", E7979)), TRIM(MID(E7979, FIND(",", E7979) + 1, LEN(E7979))), E7979)</f>
        <v>Indonesia</v>
      </c>
    </row>
    <row r="7980" spans="1:8" x14ac:dyDescent="0.25">
      <c r="A7980" s="2">
        <v>4001</v>
      </c>
      <c r="B7980">
        <v>-21</v>
      </c>
      <c r="C7980">
        <v>-178</v>
      </c>
      <c r="D7980" t="s">
        <v>13</v>
      </c>
      <c r="E7980" t="s">
        <v>53</v>
      </c>
      <c r="F7980">
        <f t="shared" si="248"/>
        <v>1910</v>
      </c>
      <c r="G7980">
        <f t="shared" si="249"/>
        <v>12</v>
      </c>
      <c r="H7980" t="str">
        <f>IF(ISNUMBER(FIND(",", E7980)), TRIM(MID(E7980, FIND(",", E7980) + 1, LEN(E7980))), E7980)</f>
        <v>Fiji region</v>
      </c>
    </row>
    <row r="7981" spans="1:8" x14ac:dyDescent="0.25">
      <c r="A7981" s="2">
        <v>4000</v>
      </c>
      <c r="B7981">
        <v>-8</v>
      </c>
      <c r="C7981">
        <v>31</v>
      </c>
      <c r="D7981" t="s">
        <v>16</v>
      </c>
      <c r="E7981" t="s">
        <v>758</v>
      </c>
      <c r="F7981">
        <f t="shared" si="248"/>
        <v>1910</v>
      </c>
      <c r="G7981">
        <f t="shared" si="249"/>
        <v>12</v>
      </c>
      <c r="H7981" t="str">
        <f>IF(ISNUMBER(FIND(",", E7981)), TRIM(MID(E7981, FIND(",", E7981) + 1, LEN(E7981))), E7981)</f>
        <v>Tanzania</v>
      </c>
    </row>
    <row r="7982" spans="1:8" x14ac:dyDescent="0.25">
      <c r="A7982" s="2">
        <v>3997</v>
      </c>
      <c r="B7982">
        <v>-11</v>
      </c>
      <c r="C7982">
        <v>162.5</v>
      </c>
      <c r="D7982" t="s">
        <v>16</v>
      </c>
      <c r="E7982" t="s">
        <v>221</v>
      </c>
      <c r="F7982">
        <f t="shared" si="248"/>
        <v>1910</v>
      </c>
      <c r="G7982">
        <f t="shared" si="249"/>
        <v>12</v>
      </c>
      <c r="H7982" t="str">
        <f>IF(ISNUMBER(FIND(",", E7982)), TRIM(MID(E7982, FIND(",", E7982) + 1, LEN(E7982))), E7982)</f>
        <v>Solomon Islands</v>
      </c>
    </row>
    <row r="7983" spans="1:8" x14ac:dyDescent="0.25">
      <c r="A7983" s="2">
        <v>3991</v>
      </c>
      <c r="B7983">
        <v>-10</v>
      </c>
      <c r="C7983">
        <v>140</v>
      </c>
      <c r="D7983" t="s">
        <v>14</v>
      </c>
      <c r="E7983" t="s">
        <v>204</v>
      </c>
      <c r="F7983">
        <f t="shared" si="248"/>
        <v>1910</v>
      </c>
      <c r="G7983">
        <f t="shared" si="249"/>
        <v>12</v>
      </c>
      <c r="H7983" t="str">
        <f>IF(ISNUMBER(FIND(",", E7983)), TRIM(MID(E7983, FIND(",", E7983) + 1, LEN(E7983))), E7983)</f>
        <v>Indonesia</v>
      </c>
    </row>
    <row r="7984" spans="1:8" x14ac:dyDescent="0.25">
      <c r="A7984" s="2">
        <v>3986</v>
      </c>
      <c r="B7984">
        <v>25</v>
      </c>
      <c r="C7984">
        <v>125</v>
      </c>
      <c r="D7984" t="s">
        <v>14</v>
      </c>
      <c r="E7984" t="s">
        <v>312</v>
      </c>
      <c r="F7984">
        <f t="shared" si="248"/>
        <v>1910</v>
      </c>
      <c r="G7984">
        <f t="shared" si="249"/>
        <v>11</v>
      </c>
      <c r="H7984" t="str">
        <f>IF(ISNUMBER(FIND(",", E7984)), TRIM(MID(E7984, FIND(",", E7984) + 1, LEN(E7984))), E7984)</f>
        <v>Japan</v>
      </c>
    </row>
    <row r="7985" spans="1:8" x14ac:dyDescent="0.25">
      <c r="A7985" s="2">
        <v>3983</v>
      </c>
      <c r="B7985">
        <v>-14</v>
      </c>
      <c r="C7985">
        <v>167</v>
      </c>
      <c r="D7985" t="s">
        <v>16</v>
      </c>
      <c r="E7985" t="s">
        <v>181</v>
      </c>
      <c r="F7985">
        <f t="shared" si="248"/>
        <v>1910</v>
      </c>
      <c r="G7985">
        <f t="shared" si="249"/>
        <v>11</v>
      </c>
      <c r="H7985" t="str">
        <f>IF(ISNUMBER(FIND(",", E7985)), TRIM(MID(E7985, FIND(",", E7985) + 1, LEN(E7985))), E7985)</f>
        <v>Vanuatu</v>
      </c>
    </row>
    <row r="7986" spans="1:8" x14ac:dyDescent="0.25">
      <c r="A7986" s="2">
        <v>3972</v>
      </c>
      <c r="B7986">
        <v>-58</v>
      </c>
      <c r="C7986">
        <v>-22</v>
      </c>
      <c r="D7986" t="s">
        <v>16</v>
      </c>
      <c r="E7986" t="s">
        <v>242</v>
      </c>
      <c r="F7986">
        <f t="shared" si="248"/>
        <v>1910</v>
      </c>
      <c r="G7986">
        <f t="shared" si="249"/>
        <v>11</v>
      </c>
      <c r="H7986" t="str">
        <f>IF(ISNUMBER(FIND(",", E7986)), TRIM(MID(E7986, FIND(",", E7986) + 1, LEN(E7986))), E7986)</f>
        <v>east of the South Sandwich Islands</v>
      </c>
    </row>
    <row r="7987" spans="1:8" x14ac:dyDescent="0.25">
      <c r="A7987" s="2">
        <v>3971</v>
      </c>
      <c r="B7987">
        <v>24.5</v>
      </c>
      <c r="C7987">
        <v>122</v>
      </c>
      <c r="D7987" t="s">
        <v>17</v>
      </c>
      <c r="E7987" t="s">
        <v>363</v>
      </c>
      <c r="F7987">
        <f t="shared" si="248"/>
        <v>1910</v>
      </c>
      <c r="G7987">
        <f t="shared" si="249"/>
        <v>11</v>
      </c>
      <c r="H7987" t="str">
        <f>IF(ISNUMBER(FIND(",", E7987)), TRIM(MID(E7987, FIND(",", E7987) + 1, LEN(E7987))), E7987)</f>
        <v>Taiwan region</v>
      </c>
    </row>
    <row r="7988" spans="1:8" x14ac:dyDescent="0.25">
      <c r="A7988" s="2">
        <v>3967</v>
      </c>
      <c r="B7988">
        <v>-14</v>
      </c>
      <c r="C7988">
        <v>166.5</v>
      </c>
      <c r="D7988" t="s">
        <v>13</v>
      </c>
      <c r="E7988" t="s">
        <v>181</v>
      </c>
      <c r="F7988">
        <f t="shared" si="248"/>
        <v>1910</v>
      </c>
      <c r="G7988">
        <f t="shared" si="249"/>
        <v>11</v>
      </c>
      <c r="H7988" t="str">
        <f>IF(ISNUMBER(FIND(",", E7988)), TRIM(MID(E7988, FIND(",", E7988) + 1, LEN(E7988))), E7988)</f>
        <v>Vanuatu</v>
      </c>
    </row>
    <row r="7989" spans="1:8" x14ac:dyDescent="0.25">
      <c r="A7989" s="2">
        <v>3966</v>
      </c>
      <c r="B7989">
        <v>-16</v>
      </c>
      <c r="C7989">
        <v>166</v>
      </c>
      <c r="D7989" t="s">
        <v>13</v>
      </c>
      <c r="E7989" t="s">
        <v>181</v>
      </c>
      <c r="F7989">
        <f t="shared" si="248"/>
        <v>1910</v>
      </c>
      <c r="G7989">
        <f t="shared" si="249"/>
        <v>11</v>
      </c>
      <c r="H7989" t="str">
        <f>IF(ISNUMBER(FIND(",", E7989)), TRIM(MID(E7989, FIND(",", E7989) + 1, LEN(E7989))), E7989)</f>
        <v>Vanuatu</v>
      </c>
    </row>
    <row r="7990" spans="1:8" x14ac:dyDescent="0.25">
      <c r="A7990" s="2">
        <v>3963</v>
      </c>
      <c r="B7990">
        <v>53</v>
      </c>
      <c r="C7990">
        <v>-135</v>
      </c>
      <c r="D7990" t="s">
        <v>14</v>
      </c>
      <c r="E7990" t="s">
        <v>759</v>
      </c>
      <c r="F7990">
        <f t="shared" si="248"/>
        <v>1910</v>
      </c>
      <c r="G7990">
        <f t="shared" si="249"/>
        <v>11</v>
      </c>
      <c r="H7990" t="str">
        <f>IF(ISNUMBER(FIND(",", E7990)), TRIM(MID(E7990, FIND(",", E7990) + 1, LEN(E7990))), E7990)</f>
        <v>west of the Queen Charlotte Islands</v>
      </c>
    </row>
    <row r="7991" spans="1:8" x14ac:dyDescent="0.25">
      <c r="A7991" s="2">
        <v>3930</v>
      </c>
      <c r="B7991">
        <v>-22</v>
      </c>
      <c r="C7991">
        <v>-69</v>
      </c>
      <c r="D7991" t="s">
        <v>13</v>
      </c>
      <c r="E7991" t="s">
        <v>289</v>
      </c>
      <c r="F7991">
        <f t="shared" si="248"/>
        <v>1910</v>
      </c>
      <c r="G7991">
        <f t="shared" si="249"/>
        <v>10</v>
      </c>
      <c r="H7991" t="str">
        <f>IF(ISNUMBER(FIND(",", E7991)), TRIM(MID(E7991, FIND(",", E7991) + 1, LEN(E7991))), E7991)</f>
        <v>Chile</v>
      </c>
    </row>
    <row r="7992" spans="1:8" x14ac:dyDescent="0.25">
      <c r="A7992" s="2">
        <v>3920</v>
      </c>
      <c r="B7992">
        <v>17</v>
      </c>
      <c r="C7992">
        <v>-96</v>
      </c>
      <c r="D7992" t="s">
        <v>17</v>
      </c>
      <c r="E7992" t="s">
        <v>251</v>
      </c>
      <c r="F7992">
        <f t="shared" si="248"/>
        <v>1910</v>
      </c>
      <c r="G7992">
        <f t="shared" si="249"/>
        <v>9</v>
      </c>
      <c r="H7992" t="str">
        <f>IF(ISNUMBER(FIND(",", E7992)), TRIM(MID(E7992, FIND(",", E7992) + 1, LEN(E7992))), E7992)</f>
        <v>Mexico</v>
      </c>
    </row>
    <row r="7993" spans="1:8" x14ac:dyDescent="0.25">
      <c r="A7993" s="2">
        <v>3905</v>
      </c>
      <c r="B7993">
        <v>51.5</v>
      </c>
      <c r="C7993">
        <v>-176</v>
      </c>
      <c r="D7993" t="s">
        <v>14</v>
      </c>
      <c r="E7993" t="s">
        <v>207</v>
      </c>
      <c r="F7993">
        <f t="shared" si="248"/>
        <v>1910</v>
      </c>
      <c r="G7993">
        <f t="shared" si="249"/>
        <v>9</v>
      </c>
      <c r="H7993" t="str">
        <f>IF(ISNUMBER(FIND(",", E7993)), TRIM(MID(E7993, FIND(",", E7993) + 1, LEN(E7993))), E7993)</f>
        <v>Aleutian Islands, Alaska</v>
      </c>
    </row>
    <row r="7994" spans="1:8" x14ac:dyDescent="0.25">
      <c r="A7994" s="2">
        <v>3903</v>
      </c>
      <c r="B7994">
        <v>-6</v>
      </c>
      <c r="C7994">
        <v>151</v>
      </c>
      <c r="D7994" t="s">
        <v>13</v>
      </c>
      <c r="E7994" t="s">
        <v>190</v>
      </c>
      <c r="F7994">
        <f t="shared" si="248"/>
        <v>1910</v>
      </c>
      <c r="G7994">
        <f t="shared" si="249"/>
        <v>9</v>
      </c>
      <c r="H7994" t="str">
        <f>IF(ISNUMBER(FIND(",", E7994)), TRIM(MID(E7994, FIND(",", E7994) + 1, LEN(E7994))), E7994)</f>
        <v>Papua New Guinea</v>
      </c>
    </row>
    <row r="7995" spans="1:8" x14ac:dyDescent="0.25">
      <c r="A7995" s="2">
        <v>3902</v>
      </c>
      <c r="B7995">
        <v>-25</v>
      </c>
      <c r="C7995">
        <v>-70</v>
      </c>
      <c r="D7995" t="s">
        <v>16</v>
      </c>
      <c r="E7995" t="s">
        <v>289</v>
      </c>
      <c r="F7995">
        <f t="shared" si="248"/>
        <v>1910</v>
      </c>
      <c r="G7995">
        <f t="shared" si="249"/>
        <v>9</v>
      </c>
      <c r="H7995" t="str">
        <f>IF(ISNUMBER(FIND(",", E7995)), TRIM(MID(E7995, FIND(",", E7995) + 1, LEN(E7995))), E7995)</f>
        <v>Chile</v>
      </c>
    </row>
    <row r="7996" spans="1:8" x14ac:dyDescent="0.25">
      <c r="A7996" s="2">
        <v>3897</v>
      </c>
      <c r="B7996">
        <v>24</v>
      </c>
      <c r="C7996">
        <v>122</v>
      </c>
      <c r="D7996" t="s">
        <v>14</v>
      </c>
      <c r="E7996" t="s">
        <v>363</v>
      </c>
      <c r="F7996">
        <f t="shared" si="248"/>
        <v>1910</v>
      </c>
      <c r="G7996">
        <f t="shared" si="249"/>
        <v>9</v>
      </c>
      <c r="H7996" t="str">
        <f>IF(ISNUMBER(FIND(",", E7996)), TRIM(MID(E7996, FIND(",", E7996) + 1, LEN(E7996))), E7996)</f>
        <v>Taiwan region</v>
      </c>
    </row>
    <row r="7997" spans="1:8" x14ac:dyDescent="0.25">
      <c r="A7997" s="2">
        <v>3897</v>
      </c>
      <c r="B7997">
        <v>21</v>
      </c>
      <c r="C7997">
        <v>122</v>
      </c>
      <c r="D7997" t="s">
        <v>14</v>
      </c>
      <c r="E7997" t="s">
        <v>400</v>
      </c>
      <c r="F7997">
        <f t="shared" si="248"/>
        <v>1910</v>
      </c>
      <c r="G7997">
        <f t="shared" si="249"/>
        <v>9</v>
      </c>
      <c r="H7997" t="str">
        <f>IF(ISNUMBER(FIND(",", E7997)), TRIM(MID(E7997, FIND(",", E7997) + 1, LEN(E7997))), E7997)</f>
        <v>Philippines</v>
      </c>
    </row>
    <row r="7998" spans="1:8" x14ac:dyDescent="0.25">
      <c r="A7998" s="2">
        <v>3886</v>
      </c>
      <c r="B7998">
        <v>-17</v>
      </c>
      <c r="C7998">
        <v>-179</v>
      </c>
      <c r="D7998" t="s">
        <v>13</v>
      </c>
      <c r="E7998" t="s">
        <v>53</v>
      </c>
      <c r="F7998">
        <f t="shared" si="248"/>
        <v>1910</v>
      </c>
      <c r="G7998">
        <f t="shared" si="249"/>
        <v>8</v>
      </c>
      <c r="H7998" t="str">
        <f>IF(ISNUMBER(FIND(",", E7998)), TRIM(MID(E7998, FIND(",", E7998) + 1, LEN(E7998))), E7998)</f>
        <v>Fiji region</v>
      </c>
    </row>
    <row r="7999" spans="1:8" x14ac:dyDescent="0.25">
      <c r="A7999" s="2">
        <v>3870</v>
      </c>
      <c r="B7999">
        <v>42</v>
      </c>
      <c r="C7999">
        <v>-127</v>
      </c>
      <c r="D7999" t="s">
        <v>17</v>
      </c>
      <c r="E7999" t="s">
        <v>249</v>
      </c>
      <c r="F7999">
        <f t="shared" si="248"/>
        <v>1910</v>
      </c>
      <c r="G7999">
        <f t="shared" si="249"/>
        <v>8</v>
      </c>
      <c r="H7999" t="str">
        <f>IF(ISNUMBER(FIND(",", E7999)), TRIM(MID(E7999, FIND(",", E7999) + 1, LEN(E7999))), E7999)</f>
        <v>off the coast of Oregon</v>
      </c>
    </row>
    <row r="8000" spans="1:8" x14ac:dyDescent="0.25">
      <c r="A8000" s="2">
        <v>3863</v>
      </c>
      <c r="B8000">
        <v>-5</v>
      </c>
      <c r="C8000">
        <v>143</v>
      </c>
      <c r="D8000" t="s">
        <v>17</v>
      </c>
      <c r="E8000" t="s">
        <v>253</v>
      </c>
      <c r="F8000">
        <f t="shared" si="248"/>
        <v>1910</v>
      </c>
      <c r="G8000">
        <f t="shared" si="249"/>
        <v>7</v>
      </c>
      <c r="H8000" t="str">
        <f>IF(ISNUMBER(FIND(",", E8000)), TRIM(MID(E8000, FIND(",", E8000) + 1, LEN(E8000))), E8000)</f>
        <v>Papua New Guinea</v>
      </c>
    </row>
    <row r="8001" spans="1:8" x14ac:dyDescent="0.25">
      <c r="A8001" s="2">
        <v>3846</v>
      </c>
      <c r="B8001">
        <v>37</v>
      </c>
      <c r="C8001">
        <v>76</v>
      </c>
      <c r="D8001" t="s">
        <v>17</v>
      </c>
      <c r="E8001" t="s">
        <v>760</v>
      </c>
      <c r="F8001">
        <f t="shared" si="248"/>
        <v>1910</v>
      </c>
      <c r="G8001">
        <f t="shared" si="249"/>
        <v>7</v>
      </c>
      <c r="H8001" t="str">
        <f>IF(ISNUMBER(FIND(",", E8001)), TRIM(MID(E8001, FIND(",", E8001) + 1, LEN(E8001))), E8001)</f>
        <v>Tajikistan-Xinjiang border region</v>
      </c>
    </row>
    <row r="8002" spans="1:8" x14ac:dyDescent="0.25">
      <c r="A8002" s="2">
        <v>3841</v>
      </c>
      <c r="B8002">
        <v>-12</v>
      </c>
      <c r="C8002">
        <v>108</v>
      </c>
      <c r="D8002" t="s">
        <v>14</v>
      </c>
      <c r="E8002" t="s">
        <v>625</v>
      </c>
      <c r="F8002">
        <f t="shared" ref="F8002:F8065" si="250">YEAR(A8002)</f>
        <v>1910</v>
      </c>
      <c r="G8002">
        <f t="shared" si="249"/>
        <v>7</v>
      </c>
      <c r="H8002" t="str">
        <f>IF(ISNUMBER(FIND(",", E8002)), TRIM(MID(E8002, FIND(",", E8002) + 1, LEN(E8002))), E8002)</f>
        <v>northwest of Australia</v>
      </c>
    </row>
    <row r="8003" spans="1:8" x14ac:dyDescent="0.25">
      <c r="A8003" s="2">
        <v>3833</v>
      </c>
      <c r="B8003">
        <v>-28</v>
      </c>
      <c r="C8003">
        <v>-178</v>
      </c>
      <c r="D8003" t="s">
        <v>14</v>
      </c>
      <c r="E8003" t="s">
        <v>240</v>
      </c>
      <c r="F8003">
        <f t="shared" si="250"/>
        <v>1910</v>
      </c>
      <c r="G8003">
        <f t="shared" ref="G8003:G8066" si="251">MONTH(A8003)</f>
        <v>6</v>
      </c>
      <c r="H8003" t="str">
        <f>IF(ISNUMBER(FIND(",", E8003)), TRIM(MID(E8003, FIND(",", E8003) + 1, LEN(E8003))), E8003)</f>
        <v>Kermadec Islands region</v>
      </c>
    </row>
    <row r="8004" spans="1:8" x14ac:dyDescent="0.25">
      <c r="A8004" s="2">
        <v>3833</v>
      </c>
      <c r="B8004">
        <v>-32</v>
      </c>
      <c r="C8004">
        <v>-176</v>
      </c>
      <c r="D8004" t="s">
        <v>16</v>
      </c>
      <c r="E8004" t="s">
        <v>240</v>
      </c>
      <c r="F8004">
        <f t="shared" si="250"/>
        <v>1910</v>
      </c>
      <c r="G8004">
        <f t="shared" si="251"/>
        <v>6</v>
      </c>
      <c r="H8004" t="str">
        <f>IF(ISNUMBER(FIND(",", E8004)), TRIM(MID(E8004, FIND(",", E8004) + 1, LEN(E8004))), E8004)</f>
        <v>Kermadec Islands region</v>
      </c>
    </row>
    <row r="8005" spans="1:8" x14ac:dyDescent="0.25">
      <c r="A8005" s="2">
        <v>3821</v>
      </c>
      <c r="B8005">
        <v>21</v>
      </c>
      <c r="C8005">
        <v>121</v>
      </c>
      <c r="D8005" t="s">
        <v>14</v>
      </c>
      <c r="E8005" t="s">
        <v>363</v>
      </c>
      <c r="F8005">
        <f t="shared" si="250"/>
        <v>1910</v>
      </c>
      <c r="G8005">
        <f t="shared" si="251"/>
        <v>6</v>
      </c>
      <c r="H8005" t="str">
        <f>IF(ISNUMBER(FIND(",", E8005)), TRIM(MID(E8005, FIND(",", E8005) + 1, LEN(E8005))), E8005)</f>
        <v>Taiwan region</v>
      </c>
    </row>
    <row r="8006" spans="1:8" x14ac:dyDescent="0.25">
      <c r="A8006" s="2">
        <v>3820</v>
      </c>
      <c r="B8006">
        <v>-19</v>
      </c>
      <c r="C8006">
        <v>169.5</v>
      </c>
      <c r="D8006" t="s">
        <v>13</v>
      </c>
      <c r="E8006" t="s">
        <v>181</v>
      </c>
      <c r="F8006">
        <f t="shared" si="250"/>
        <v>1910</v>
      </c>
      <c r="G8006">
        <f t="shared" si="251"/>
        <v>6</v>
      </c>
      <c r="H8006" t="str">
        <f>IF(ISNUMBER(FIND(",", E8006)), TRIM(MID(E8006, FIND(",", E8006) + 1, LEN(E8006))), E8006)</f>
        <v>Vanuatu</v>
      </c>
    </row>
    <row r="8007" spans="1:8" x14ac:dyDescent="0.25">
      <c r="A8007" s="2">
        <v>3813</v>
      </c>
      <c r="B8007">
        <v>30</v>
      </c>
      <c r="C8007">
        <v>139</v>
      </c>
      <c r="D8007" t="s">
        <v>18</v>
      </c>
      <c r="E8007" t="s">
        <v>88</v>
      </c>
      <c r="F8007">
        <f t="shared" si="250"/>
        <v>1910</v>
      </c>
      <c r="G8007">
        <f t="shared" si="251"/>
        <v>6</v>
      </c>
      <c r="H8007" t="str">
        <f>IF(ISNUMBER(FIND(",", E8007)), TRIM(MID(E8007, FIND(",", E8007) + 1, LEN(E8007))), E8007)</f>
        <v>Japan region</v>
      </c>
    </row>
    <row r="8008" spans="1:8" x14ac:dyDescent="0.25">
      <c r="A8008" s="2">
        <v>3805</v>
      </c>
      <c r="B8008">
        <v>-20</v>
      </c>
      <c r="C8008">
        <v>169</v>
      </c>
      <c r="D8008" t="s">
        <v>13</v>
      </c>
      <c r="E8008" t="s">
        <v>181</v>
      </c>
      <c r="F8008">
        <f t="shared" si="250"/>
        <v>1910</v>
      </c>
      <c r="G8008">
        <f t="shared" si="251"/>
        <v>6</v>
      </c>
      <c r="H8008" t="str">
        <f>IF(ISNUMBER(FIND(",", E8008)), TRIM(MID(E8008, FIND(",", E8008) + 1, LEN(E8008))), E8008)</f>
        <v>Vanuatu</v>
      </c>
    </row>
    <row r="8009" spans="1:8" x14ac:dyDescent="0.25">
      <c r="A8009" s="2">
        <v>3805</v>
      </c>
      <c r="B8009">
        <v>-20</v>
      </c>
      <c r="C8009">
        <v>169</v>
      </c>
      <c r="D8009" t="s">
        <v>13</v>
      </c>
      <c r="E8009" t="s">
        <v>181</v>
      </c>
      <c r="F8009">
        <f t="shared" si="250"/>
        <v>1910</v>
      </c>
      <c r="G8009">
        <f t="shared" si="251"/>
        <v>6</v>
      </c>
      <c r="H8009" t="str">
        <f>IF(ISNUMBER(FIND(",", E8009)), TRIM(MID(E8009, FIND(",", E8009) + 1, LEN(E8009))), E8009)</f>
        <v>Vanuatu</v>
      </c>
    </row>
    <row r="8010" spans="1:8" x14ac:dyDescent="0.25">
      <c r="A8010" s="2">
        <v>3804</v>
      </c>
      <c r="B8010">
        <v>10</v>
      </c>
      <c r="C8010">
        <v>-105</v>
      </c>
      <c r="D8010" t="s">
        <v>14</v>
      </c>
      <c r="E8010" t="s">
        <v>252</v>
      </c>
      <c r="F8010">
        <f t="shared" si="250"/>
        <v>1910</v>
      </c>
      <c r="G8010">
        <f t="shared" si="251"/>
        <v>5</v>
      </c>
      <c r="H8010" t="str">
        <f>IF(ISNUMBER(FIND(",", E8010)), TRIM(MID(E8010, FIND(",", E8010) + 1, LEN(E8010))), E8010)</f>
        <v>northern East Pacific Rise</v>
      </c>
    </row>
    <row r="8011" spans="1:8" x14ac:dyDescent="0.25">
      <c r="A8011" s="2">
        <v>3795</v>
      </c>
      <c r="B8011">
        <v>44</v>
      </c>
      <c r="C8011">
        <v>148</v>
      </c>
      <c r="D8011" t="s">
        <v>14</v>
      </c>
      <c r="E8011" t="s">
        <v>191</v>
      </c>
      <c r="F8011">
        <f t="shared" si="250"/>
        <v>1910</v>
      </c>
      <c r="G8011">
        <f t="shared" si="251"/>
        <v>5</v>
      </c>
      <c r="H8011" t="str">
        <f>IF(ISNUMBER(FIND(",", E8011)), TRIM(MID(E8011, FIND(",", E8011) + 1, LEN(E8011))), E8011)</f>
        <v>Kuril Islands</v>
      </c>
    </row>
    <row r="8012" spans="1:8" x14ac:dyDescent="0.25">
      <c r="A8012" s="2">
        <v>3786</v>
      </c>
      <c r="B8012">
        <v>57</v>
      </c>
      <c r="C8012">
        <v>-160</v>
      </c>
      <c r="D8012" t="s">
        <v>17</v>
      </c>
      <c r="E8012" t="s">
        <v>761</v>
      </c>
      <c r="F8012">
        <f t="shared" si="250"/>
        <v>1910</v>
      </c>
      <c r="G8012">
        <f t="shared" si="251"/>
        <v>5</v>
      </c>
      <c r="H8012" t="str">
        <f>IF(ISNUMBER(FIND(",", E8012)), TRIM(MID(E8012, FIND(",", E8012) + 1, LEN(E8012))), E8012)</f>
        <v>Bristol Bay</v>
      </c>
    </row>
    <row r="8013" spans="1:8" x14ac:dyDescent="0.25">
      <c r="A8013" s="2">
        <v>3774</v>
      </c>
      <c r="B8013">
        <v>-20</v>
      </c>
      <c r="C8013">
        <v>169</v>
      </c>
      <c r="D8013" t="s">
        <v>13</v>
      </c>
      <c r="E8013" t="s">
        <v>181</v>
      </c>
      <c r="F8013">
        <f t="shared" si="250"/>
        <v>1910</v>
      </c>
      <c r="G8013">
        <f t="shared" si="251"/>
        <v>5</v>
      </c>
      <c r="H8013" t="str">
        <f>IF(ISNUMBER(FIND(",", E8013)), TRIM(MID(E8013, FIND(",", E8013) + 1, LEN(E8013))), E8013)</f>
        <v>Vanuatu</v>
      </c>
    </row>
    <row r="8014" spans="1:8" x14ac:dyDescent="0.25">
      <c r="A8014" s="2">
        <v>3763</v>
      </c>
      <c r="B8014">
        <v>-20</v>
      </c>
      <c r="C8014">
        <v>-177</v>
      </c>
      <c r="D8014" t="s">
        <v>13</v>
      </c>
      <c r="E8014" t="s">
        <v>53</v>
      </c>
      <c r="F8014">
        <f t="shared" si="250"/>
        <v>1910</v>
      </c>
      <c r="G8014">
        <f t="shared" si="251"/>
        <v>4</v>
      </c>
      <c r="H8014" t="str">
        <f>IF(ISNUMBER(FIND(",", E8014)), TRIM(MID(E8014, FIND(",", E8014) + 1, LEN(E8014))), E8014)</f>
        <v>Fiji region</v>
      </c>
    </row>
    <row r="8015" spans="1:8" x14ac:dyDescent="0.25">
      <c r="A8015" s="2">
        <v>3755</v>
      </c>
      <c r="B8015">
        <v>25</v>
      </c>
      <c r="C8015">
        <v>123</v>
      </c>
      <c r="D8015" t="s">
        <v>13</v>
      </c>
      <c r="E8015" t="s">
        <v>363</v>
      </c>
      <c r="F8015">
        <f t="shared" si="250"/>
        <v>1910</v>
      </c>
      <c r="G8015">
        <f t="shared" si="251"/>
        <v>4</v>
      </c>
      <c r="H8015" t="str">
        <f>IF(ISNUMBER(FIND(",", E8015)), TRIM(MID(E8015, FIND(",", E8015) + 1, LEN(E8015))), E8015)</f>
        <v>Taiwan region</v>
      </c>
    </row>
    <row r="8016" spans="1:8" x14ac:dyDescent="0.25">
      <c r="A8016" s="2">
        <v>3743</v>
      </c>
      <c r="B8016">
        <v>-71</v>
      </c>
      <c r="C8016">
        <v>-6</v>
      </c>
      <c r="D8016" t="s">
        <v>14</v>
      </c>
      <c r="E8016" t="s">
        <v>762</v>
      </c>
      <c r="F8016">
        <f t="shared" si="250"/>
        <v>1910</v>
      </c>
      <c r="G8016">
        <f t="shared" si="251"/>
        <v>3</v>
      </c>
      <c r="H8016" t="str">
        <f>IF(ISNUMBER(FIND(",", E8016)), TRIM(MID(E8016, FIND(",", E8016) + 1, LEN(E8016))), E8016)</f>
        <v>Antarctica</v>
      </c>
    </row>
    <row r="8017" spans="1:8" x14ac:dyDescent="0.25">
      <c r="A8017" s="2">
        <v>3742</v>
      </c>
      <c r="B8017">
        <v>-21</v>
      </c>
      <c r="C8017">
        <v>170</v>
      </c>
      <c r="D8017" t="s">
        <v>13</v>
      </c>
      <c r="E8017" t="s">
        <v>181</v>
      </c>
      <c r="F8017">
        <f t="shared" si="250"/>
        <v>1910</v>
      </c>
      <c r="G8017">
        <f t="shared" si="251"/>
        <v>3</v>
      </c>
      <c r="H8017" t="str">
        <f>IF(ISNUMBER(FIND(",", E8017)), TRIM(MID(E8017, FIND(",", E8017) + 1, LEN(E8017))), E8017)</f>
        <v>Vanuatu</v>
      </c>
    </row>
    <row r="8018" spans="1:8" x14ac:dyDescent="0.25">
      <c r="A8018" s="2">
        <v>3702</v>
      </c>
      <c r="B8018">
        <v>36</v>
      </c>
      <c r="C8018">
        <v>24.5</v>
      </c>
      <c r="D8018" t="s">
        <v>13</v>
      </c>
      <c r="E8018" t="s">
        <v>398</v>
      </c>
      <c r="F8018">
        <f t="shared" si="250"/>
        <v>1910</v>
      </c>
      <c r="G8018">
        <f t="shared" si="251"/>
        <v>2</v>
      </c>
      <c r="H8018" t="str">
        <f>IF(ISNUMBER(FIND(",", E8018)), TRIM(MID(E8018, FIND(",", E8018) + 1, LEN(E8018))), E8018)</f>
        <v>southern Greece</v>
      </c>
    </row>
    <row r="8019" spans="1:8" x14ac:dyDescent="0.25">
      <c r="A8019" s="2">
        <v>3696</v>
      </c>
      <c r="B8019">
        <v>33</v>
      </c>
      <c r="C8019">
        <v>138</v>
      </c>
      <c r="D8019" t="s">
        <v>13</v>
      </c>
      <c r="E8019" t="s">
        <v>360</v>
      </c>
      <c r="F8019">
        <f t="shared" si="250"/>
        <v>1910</v>
      </c>
      <c r="G8019">
        <f t="shared" si="251"/>
        <v>2</v>
      </c>
      <c r="H8019" t="str">
        <f>IF(ISNUMBER(FIND(",", E8019)), TRIM(MID(E8019, FIND(",", E8019) + 1, LEN(E8019))), E8019)</f>
        <v>Japan</v>
      </c>
    </row>
    <row r="8020" spans="1:8" x14ac:dyDescent="0.25">
      <c r="A8020" s="2">
        <v>3688</v>
      </c>
      <c r="B8020">
        <v>-17</v>
      </c>
      <c r="C8020">
        <v>168</v>
      </c>
      <c r="D8020" t="s">
        <v>14</v>
      </c>
      <c r="E8020" t="s">
        <v>181</v>
      </c>
      <c r="F8020">
        <f t="shared" si="250"/>
        <v>1910</v>
      </c>
      <c r="G8020">
        <f t="shared" si="251"/>
        <v>2</v>
      </c>
      <c r="H8020" t="str">
        <f>IF(ISNUMBER(FIND(",", E8020)), TRIM(MID(E8020, FIND(",", E8020) + 1, LEN(E8020))), E8020)</f>
        <v>Vanuatu</v>
      </c>
    </row>
    <row r="8021" spans="1:8" x14ac:dyDescent="0.25">
      <c r="A8021" s="2">
        <v>3687</v>
      </c>
      <c r="B8021">
        <v>-17</v>
      </c>
      <c r="C8021">
        <v>168</v>
      </c>
      <c r="D8021" t="s">
        <v>14</v>
      </c>
      <c r="E8021" t="s">
        <v>181</v>
      </c>
      <c r="F8021">
        <f t="shared" si="250"/>
        <v>1910</v>
      </c>
      <c r="G8021">
        <f t="shared" si="251"/>
        <v>2</v>
      </c>
      <c r="H8021" t="str">
        <f>IF(ISNUMBER(FIND(",", E8021)), TRIM(MID(E8021, FIND(",", E8021) + 1, LEN(E8021))), E8021)</f>
        <v>Vanuatu</v>
      </c>
    </row>
    <row r="8022" spans="1:8" x14ac:dyDescent="0.25">
      <c r="A8022" s="2">
        <v>3683</v>
      </c>
      <c r="B8022">
        <v>-22</v>
      </c>
      <c r="C8022">
        <v>170</v>
      </c>
      <c r="D8022" t="s">
        <v>14</v>
      </c>
      <c r="E8022" t="s">
        <v>254</v>
      </c>
      <c r="F8022">
        <f t="shared" si="250"/>
        <v>1910</v>
      </c>
      <c r="G8022">
        <f t="shared" si="251"/>
        <v>1</v>
      </c>
      <c r="H8022" t="str">
        <f>IF(ISNUMBER(FIND(",", E8022)), TRIM(MID(E8022, FIND(",", E8022) + 1, LEN(E8022))), E8022)</f>
        <v>southeast of the Loyalty Islands</v>
      </c>
    </row>
    <row r="8023" spans="1:8" x14ac:dyDescent="0.25">
      <c r="A8023" s="2">
        <v>3676</v>
      </c>
      <c r="B8023">
        <v>12</v>
      </c>
      <c r="C8023">
        <v>-60.5</v>
      </c>
      <c r="D8023" t="s">
        <v>13</v>
      </c>
      <c r="E8023" t="s">
        <v>537</v>
      </c>
      <c r="F8023">
        <f t="shared" si="250"/>
        <v>1910</v>
      </c>
      <c r="G8023">
        <f t="shared" si="251"/>
        <v>1</v>
      </c>
      <c r="H8023" t="str">
        <f>IF(ISNUMBER(FIND(",", E8023)), TRIM(MID(E8023, FIND(",", E8023) + 1, LEN(E8023))), E8023)</f>
        <v>Trinidad and Tobago</v>
      </c>
    </row>
    <row r="8024" spans="1:8" x14ac:dyDescent="0.25">
      <c r="A8024" s="2">
        <v>3675</v>
      </c>
      <c r="B8024">
        <v>67.5</v>
      </c>
      <c r="C8024">
        <v>-17</v>
      </c>
      <c r="D8024" t="s">
        <v>14</v>
      </c>
      <c r="E8024" t="s">
        <v>640</v>
      </c>
      <c r="F8024">
        <f t="shared" si="250"/>
        <v>1910</v>
      </c>
      <c r="G8024">
        <f t="shared" si="251"/>
        <v>1</v>
      </c>
      <c r="H8024" t="str">
        <f>IF(ISNUMBER(FIND(",", E8024)), TRIM(MID(E8024, FIND(",", E8024) + 1, LEN(E8024))), E8024)</f>
        <v>Iceland region</v>
      </c>
    </row>
    <row r="8025" spans="1:8" x14ac:dyDescent="0.25">
      <c r="A8025" s="2">
        <v>3661</v>
      </c>
      <c r="B8025">
        <v>35</v>
      </c>
      <c r="C8025">
        <v>122</v>
      </c>
      <c r="D8025" t="s">
        <v>17</v>
      </c>
      <c r="E8025" t="s">
        <v>763</v>
      </c>
      <c r="F8025">
        <f t="shared" si="250"/>
        <v>1910</v>
      </c>
      <c r="G8025">
        <f t="shared" si="251"/>
        <v>1</v>
      </c>
      <c r="H8025" t="str">
        <f>IF(ISNUMBER(FIND(",", E8025)), TRIM(MID(E8025, FIND(",", E8025) + 1, LEN(E8025))), E8025)</f>
        <v>Yellow Sea</v>
      </c>
    </row>
    <row r="8026" spans="1:8" x14ac:dyDescent="0.25">
      <c r="A8026" s="2">
        <v>3654</v>
      </c>
      <c r="B8026">
        <v>16.5</v>
      </c>
      <c r="C8026">
        <v>-84</v>
      </c>
      <c r="D8026" t="s">
        <v>16</v>
      </c>
      <c r="E8026" t="s">
        <v>370</v>
      </c>
      <c r="F8026">
        <f t="shared" si="250"/>
        <v>1910</v>
      </c>
      <c r="G8026">
        <f t="shared" si="251"/>
        <v>1</v>
      </c>
      <c r="H8026" t="str">
        <f>IF(ISNUMBER(FIND(",", E8026)), TRIM(MID(E8026, FIND(",", E8026) + 1, LEN(E8026))), E8026)</f>
        <v>offshore Honduras</v>
      </c>
    </row>
    <row r="8027" spans="1:8" x14ac:dyDescent="0.25">
      <c r="A8027" s="2">
        <v>3631</v>
      </c>
      <c r="B8027">
        <v>12</v>
      </c>
      <c r="C8027">
        <v>144.5</v>
      </c>
      <c r="D8027" t="s">
        <v>14</v>
      </c>
      <c r="E8027" t="s">
        <v>321</v>
      </c>
      <c r="F8027">
        <f t="shared" si="250"/>
        <v>1909</v>
      </c>
      <c r="G8027">
        <f t="shared" si="251"/>
        <v>12</v>
      </c>
      <c r="H8027" t="str">
        <f>IF(ISNUMBER(FIND(",", E8027)), TRIM(MID(E8027, FIND(",", E8027) + 1, LEN(E8027))), E8027)</f>
        <v>south of the Mariana Islands</v>
      </c>
    </row>
    <row r="8028" spans="1:8" x14ac:dyDescent="0.25">
      <c r="A8028" s="2">
        <v>3631</v>
      </c>
      <c r="B8028">
        <v>-8</v>
      </c>
      <c r="C8028">
        <v>161</v>
      </c>
      <c r="D8028" t="s">
        <v>14</v>
      </c>
      <c r="E8028" t="s">
        <v>221</v>
      </c>
      <c r="F8028">
        <f t="shared" si="250"/>
        <v>1909</v>
      </c>
      <c r="G8028">
        <f t="shared" si="251"/>
        <v>12</v>
      </c>
      <c r="H8028" t="str">
        <f>IF(ISNUMBER(FIND(",", E8028)), TRIM(MID(E8028, FIND(",", E8028) + 1, LEN(E8028))), E8028)</f>
        <v>Solomon Islands</v>
      </c>
    </row>
    <row r="8029" spans="1:8" x14ac:dyDescent="0.25">
      <c r="A8029" s="2">
        <v>3613</v>
      </c>
      <c r="B8029">
        <v>25.5</v>
      </c>
      <c r="C8029">
        <v>122</v>
      </c>
      <c r="D8029" t="s">
        <v>17</v>
      </c>
      <c r="E8029" t="s">
        <v>363</v>
      </c>
      <c r="F8029">
        <f t="shared" si="250"/>
        <v>1909</v>
      </c>
      <c r="G8029">
        <f t="shared" si="251"/>
        <v>11</v>
      </c>
      <c r="H8029" t="str">
        <f>IF(ISNUMBER(FIND(",", E8029)), TRIM(MID(E8029, FIND(",", E8029) + 1, LEN(E8029))), E8029)</f>
        <v>Taiwan region</v>
      </c>
    </row>
    <row r="8030" spans="1:8" x14ac:dyDescent="0.25">
      <c r="A8030" s="2">
        <v>3602</v>
      </c>
      <c r="B8030">
        <v>32.299999999999997</v>
      </c>
      <c r="C8030">
        <v>131.1</v>
      </c>
      <c r="D8030" t="s">
        <v>13</v>
      </c>
      <c r="E8030" t="s">
        <v>357</v>
      </c>
      <c r="F8030">
        <f t="shared" si="250"/>
        <v>1909</v>
      </c>
      <c r="G8030">
        <f t="shared" si="251"/>
        <v>11</v>
      </c>
      <c r="H8030" t="str">
        <f>IF(ISNUMBER(FIND(",", E8030)), TRIM(MID(E8030, FIND(",", E8030) + 1, LEN(E8030))), E8030)</f>
        <v>Japan</v>
      </c>
    </row>
    <row r="8031" spans="1:8" x14ac:dyDescent="0.25">
      <c r="A8031" s="2">
        <v>3592</v>
      </c>
      <c r="B8031">
        <v>8</v>
      </c>
      <c r="C8031">
        <v>-105</v>
      </c>
      <c r="D8031" t="s">
        <v>14</v>
      </c>
      <c r="E8031" t="s">
        <v>252</v>
      </c>
      <c r="F8031">
        <f t="shared" si="250"/>
        <v>1909</v>
      </c>
      <c r="G8031">
        <f t="shared" si="251"/>
        <v>10</v>
      </c>
      <c r="H8031" t="str">
        <f>IF(ISNUMBER(FIND(",", E8031)), TRIM(MID(E8031, FIND(",", E8031) + 1, LEN(E8031))), E8031)</f>
        <v>northern East Pacific Rise</v>
      </c>
    </row>
    <row r="8032" spans="1:8" x14ac:dyDescent="0.25">
      <c r="A8032" s="2">
        <v>3591</v>
      </c>
      <c r="B8032">
        <v>-6</v>
      </c>
      <c r="C8032">
        <v>131</v>
      </c>
      <c r="D8032" t="s">
        <v>17</v>
      </c>
      <c r="E8032" t="s">
        <v>411</v>
      </c>
      <c r="F8032">
        <f t="shared" si="250"/>
        <v>1909</v>
      </c>
      <c r="G8032">
        <f t="shared" si="251"/>
        <v>10</v>
      </c>
      <c r="H8032" t="str">
        <f>IF(ISNUMBER(FIND(",", E8032)), TRIM(MID(E8032, FIND(",", E8032) + 1, LEN(E8032))), E8032)</f>
        <v>Indonesia</v>
      </c>
    </row>
    <row r="8033" spans="1:8" x14ac:dyDescent="0.25">
      <c r="A8033" s="2">
        <v>3581</v>
      </c>
      <c r="B8033">
        <v>30</v>
      </c>
      <c r="C8033">
        <v>68</v>
      </c>
      <c r="D8033" t="s">
        <v>14</v>
      </c>
      <c r="E8033" t="s">
        <v>382</v>
      </c>
      <c r="F8033">
        <f t="shared" si="250"/>
        <v>1909</v>
      </c>
      <c r="G8033">
        <f t="shared" si="251"/>
        <v>10</v>
      </c>
      <c r="H8033" t="str">
        <f>IF(ISNUMBER(FIND(",", E8033)), TRIM(MID(E8033, FIND(",", E8033) + 1, LEN(E8033))), E8033)</f>
        <v>Pakistan</v>
      </c>
    </row>
    <row r="8034" spans="1:8" x14ac:dyDescent="0.25">
      <c r="A8034" s="2">
        <v>3547</v>
      </c>
      <c r="B8034">
        <v>42</v>
      </c>
      <c r="C8034">
        <v>142</v>
      </c>
      <c r="D8034" t="s">
        <v>18</v>
      </c>
      <c r="E8034" t="s">
        <v>265</v>
      </c>
      <c r="F8034">
        <f t="shared" si="250"/>
        <v>1909</v>
      </c>
      <c r="G8034">
        <f t="shared" si="251"/>
        <v>9</v>
      </c>
      <c r="H8034" t="str">
        <f>IF(ISNUMBER(FIND(",", E8034)), TRIM(MID(E8034, FIND(",", E8034) + 1, LEN(E8034))), E8034)</f>
        <v>Japan region</v>
      </c>
    </row>
    <row r="8035" spans="1:8" x14ac:dyDescent="0.25">
      <c r="A8035" s="2">
        <v>3541</v>
      </c>
      <c r="B8035">
        <v>28</v>
      </c>
      <c r="C8035">
        <v>129</v>
      </c>
      <c r="D8035" t="s">
        <v>17</v>
      </c>
      <c r="E8035" t="s">
        <v>340</v>
      </c>
      <c r="F8035">
        <f t="shared" si="250"/>
        <v>1909</v>
      </c>
      <c r="G8035">
        <f t="shared" si="251"/>
        <v>9</v>
      </c>
      <c r="H8035" t="str">
        <f>IF(ISNUMBER(FIND(",", E8035)), TRIM(MID(E8035, FIND(",", E8035) + 1, LEN(E8035))), E8035)</f>
        <v>Japan</v>
      </c>
    </row>
    <row r="8036" spans="1:8" x14ac:dyDescent="0.25">
      <c r="A8036" s="2">
        <v>3539</v>
      </c>
      <c r="B8036">
        <v>52.5</v>
      </c>
      <c r="C8036">
        <v>-169</v>
      </c>
      <c r="D8036" t="s">
        <v>13</v>
      </c>
      <c r="E8036" t="s">
        <v>219</v>
      </c>
      <c r="F8036">
        <f t="shared" si="250"/>
        <v>1909</v>
      </c>
      <c r="G8036">
        <f t="shared" si="251"/>
        <v>9</v>
      </c>
      <c r="H8036" t="str">
        <f>IF(ISNUMBER(FIND(",", E8036)), TRIM(MID(E8036, FIND(",", E8036) + 1, LEN(E8036))), E8036)</f>
        <v>Aleutian Islands, Alaska</v>
      </c>
    </row>
    <row r="8037" spans="1:8" x14ac:dyDescent="0.25">
      <c r="A8037" s="2">
        <v>3518</v>
      </c>
      <c r="B8037">
        <v>-22</v>
      </c>
      <c r="C8037">
        <v>172</v>
      </c>
      <c r="D8037" t="s">
        <v>13</v>
      </c>
      <c r="E8037" t="s">
        <v>254</v>
      </c>
      <c r="F8037">
        <f t="shared" si="250"/>
        <v>1909</v>
      </c>
      <c r="G8037">
        <f t="shared" si="251"/>
        <v>8</v>
      </c>
      <c r="H8037" t="str">
        <f>IF(ISNUMBER(FIND(",", E8037)), TRIM(MID(E8037, FIND(",", E8037) + 1, LEN(E8037))), E8037)</f>
        <v>southeast of the Loyalty Islands</v>
      </c>
    </row>
    <row r="8038" spans="1:8" x14ac:dyDescent="0.25">
      <c r="A8038" s="2">
        <v>3516</v>
      </c>
      <c r="B8038">
        <v>10</v>
      </c>
      <c r="C8038">
        <v>-84</v>
      </c>
      <c r="D8038" t="s">
        <v>14</v>
      </c>
      <c r="E8038" t="s">
        <v>202</v>
      </c>
      <c r="F8038">
        <f t="shared" si="250"/>
        <v>1909</v>
      </c>
      <c r="G8038">
        <f t="shared" si="251"/>
        <v>8</v>
      </c>
      <c r="H8038" t="str">
        <f>IF(ISNUMBER(FIND(",", E8038)), TRIM(MID(E8038, FIND(",", E8038) + 1, LEN(E8038))), E8038)</f>
        <v>Costa Rica</v>
      </c>
    </row>
    <row r="8039" spans="1:8" x14ac:dyDescent="0.25">
      <c r="A8039" s="2">
        <v>3514</v>
      </c>
      <c r="B8039">
        <v>35.4</v>
      </c>
      <c r="C8039">
        <v>136.30000000000001</v>
      </c>
      <c r="D8039" t="s">
        <v>14</v>
      </c>
      <c r="E8039" t="s">
        <v>502</v>
      </c>
      <c r="F8039">
        <f t="shared" si="250"/>
        <v>1909</v>
      </c>
      <c r="G8039">
        <f t="shared" si="251"/>
        <v>8</v>
      </c>
      <c r="H8039" t="str">
        <f>IF(ISNUMBER(FIND(",", E8039)), TRIM(MID(E8039, FIND(",", E8039) + 1, LEN(E8039))), E8039)</f>
        <v>Japan</v>
      </c>
    </row>
    <row r="8040" spans="1:8" x14ac:dyDescent="0.25">
      <c r="A8040" s="2">
        <v>3504</v>
      </c>
      <c r="B8040">
        <v>28.8</v>
      </c>
      <c r="C8040">
        <v>90.5</v>
      </c>
      <c r="D8040" t="s">
        <v>14</v>
      </c>
      <c r="E8040" t="s">
        <v>386</v>
      </c>
      <c r="F8040">
        <f t="shared" si="250"/>
        <v>1909</v>
      </c>
      <c r="G8040">
        <f t="shared" si="251"/>
        <v>8</v>
      </c>
      <c r="H8040" t="str">
        <f>IF(ISNUMBER(FIND(",", E8040)), TRIM(MID(E8040, FIND(",", E8040) + 1, LEN(E8040))), E8040)</f>
        <v>eastern Xizang</v>
      </c>
    </row>
    <row r="8041" spans="1:8" x14ac:dyDescent="0.25">
      <c r="A8041" s="2">
        <v>3500</v>
      </c>
      <c r="B8041">
        <v>17</v>
      </c>
      <c r="C8041">
        <v>-100.5</v>
      </c>
      <c r="D8041" t="s">
        <v>14</v>
      </c>
      <c r="E8041" t="s">
        <v>474</v>
      </c>
      <c r="F8041">
        <f t="shared" si="250"/>
        <v>1909</v>
      </c>
      <c r="G8041">
        <f t="shared" si="251"/>
        <v>7</v>
      </c>
      <c r="H8041" t="str">
        <f>IF(ISNUMBER(FIND(",", E8041)), TRIM(MID(E8041, FIND(",", E8041) + 1, LEN(E8041))), E8041)</f>
        <v>Mexico</v>
      </c>
    </row>
    <row r="8042" spans="1:8" x14ac:dyDescent="0.25">
      <c r="A8042" s="2">
        <v>3499</v>
      </c>
      <c r="B8042">
        <v>17</v>
      </c>
      <c r="C8042">
        <v>-100.5</v>
      </c>
      <c r="D8042" t="s">
        <v>16</v>
      </c>
      <c r="E8042" t="s">
        <v>474</v>
      </c>
      <c r="F8042">
        <f t="shared" si="250"/>
        <v>1909</v>
      </c>
      <c r="G8042">
        <f t="shared" si="251"/>
        <v>7</v>
      </c>
      <c r="H8042" t="str">
        <f>IF(ISNUMBER(FIND(",", E8042)), TRIM(MID(E8042, FIND(",", E8042) + 1, LEN(E8042))), E8042)</f>
        <v>Mexico</v>
      </c>
    </row>
    <row r="8043" spans="1:8" x14ac:dyDescent="0.25">
      <c r="A8043" s="2">
        <v>3476</v>
      </c>
      <c r="B8043">
        <v>36.5</v>
      </c>
      <c r="C8043">
        <v>70.5</v>
      </c>
      <c r="D8043" t="s">
        <v>13</v>
      </c>
      <c r="E8043" t="s">
        <v>314</v>
      </c>
      <c r="F8043">
        <f t="shared" si="250"/>
        <v>1909</v>
      </c>
      <c r="G8043">
        <f t="shared" si="251"/>
        <v>7</v>
      </c>
      <c r="H8043" t="str">
        <f>IF(ISNUMBER(FIND(",", E8043)), TRIM(MID(E8043, FIND(",", E8043) + 1, LEN(E8043))), E8043)</f>
        <v>Afghanistan</v>
      </c>
    </row>
    <row r="8044" spans="1:8" x14ac:dyDescent="0.25">
      <c r="A8044" s="2">
        <v>3466</v>
      </c>
      <c r="B8044">
        <v>-10</v>
      </c>
      <c r="C8044">
        <v>162</v>
      </c>
      <c r="D8044" t="s">
        <v>14</v>
      </c>
      <c r="E8044" t="s">
        <v>221</v>
      </c>
      <c r="F8044">
        <f t="shared" si="250"/>
        <v>1909</v>
      </c>
      <c r="G8044">
        <f t="shared" si="251"/>
        <v>6</v>
      </c>
      <c r="H8044" t="str">
        <f>IF(ISNUMBER(FIND(",", E8044)), TRIM(MID(E8044, FIND(",", E8044) + 1, LEN(E8044))), E8044)</f>
        <v>Solomon Islands</v>
      </c>
    </row>
    <row r="8045" spans="1:8" x14ac:dyDescent="0.25">
      <c r="A8045" s="2">
        <v>3451</v>
      </c>
      <c r="B8045">
        <v>-19</v>
      </c>
      <c r="C8045">
        <v>170</v>
      </c>
      <c r="D8045" t="s">
        <v>14</v>
      </c>
      <c r="E8045" t="s">
        <v>181</v>
      </c>
      <c r="F8045">
        <f t="shared" si="250"/>
        <v>1909</v>
      </c>
      <c r="G8045">
        <f t="shared" si="251"/>
        <v>6</v>
      </c>
      <c r="H8045" t="str">
        <f>IF(ISNUMBER(FIND(",", E8045)), TRIM(MID(E8045, FIND(",", E8045) + 1, LEN(E8045))), E8045)</f>
        <v>Vanuatu</v>
      </c>
    </row>
    <row r="8046" spans="1:8" x14ac:dyDescent="0.25">
      <c r="A8046" s="2">
        <v>3447</v>
      </c>
      <c r="B8046">
        <v>-26.5</v>
      </c>
      <c r="C8046">
        <v>-70.5</v>
      </c>
      <c r="D8046" t="s">
        <v>16</v>
      </c>
      <c r="E8046" t="s">
        <v>264</v>
      </c>
      <c r="F8046">
        <f t="shared" si="250"/>
        <v>1909</v>
      </c>
      <c r="G8046">
        <f t="shared" si="251"/>
        <v>6</v>
      </c>
      <c r="H8046" t="str">
        <f>IF(ISNUMBER(FIND(",", E8046)), TRIM(MID(E8046, FIND(",", E8046) + 1, LEN(E8046))), E8046)</f>
        <v>Chile</v>
      </c>
    </row>
    <row r="8047" spans="1:8" x14ac:dyDescent="0.25">
      <c r="A8047" s="2">
        <v>3442</v>
      </c>
      <c r="B8047">
        <v>-2</v>
      </c>
      <c r="C8047">
        <v>101</v>
      </c>
      <c r="D8047" t="s">
        <v>16</v>
      </c>
      <c r="E8047" t="s">
        <v>209</v>
      </c>
      <c r="F8047">
        <f t="shared" si="250"/>
        <v>1909</v>
      </c>
      <c r="G8047">
        <f t="shared" si="251"/>
        <v>6</v>
      </c>
      <c r="H8047" t="str">
        <f>IF(ISNUMBER(FIND(",", E8047)), TRIM(MID(E8047, FIND(",", E8047) + 1, LEN(E8047))), E8047)</f>
        <v>Indonesia</v>
      </c>
    </row>
    <row r="8048" spans="1:8" x14ac:dyDescent="0.25">
      <c r="A8048" s="2">
        <v>3438</v>
      </c>
      <c r="B8048">
        <v>-8</v>
      </c>
      <c r="C8048">
        <v>131</v>
      </c>
      <c r="D8048" t="s">
        <v>13</v>
      </c>
      <c r="E8048" t="s">
        <v>411</v>
      </c>
      <c r="F8048">
        <f t="shared" si="250"/>
        <v>1909</v>
      </c>
      <c r="G8048">
        <f t="shared" si="251"/>
        <v>5</v>
      </c>
      <c r="H8048" t="str">
        <f>IF(ISNUMBER(FIND(",", E8048)), TRIM(MID(E8048, FIND(",", E8048) + 1, LEN(E8048))), E8048)</f>
        <v>Indonesia</v>
      </c>
    </row>
    <row r="8049" spans="1:8" x14ac:dyDescent="0.25">
      <c r="A8049" s="2">
        <v>3425</v>
      </c>
      <c r="B8049">
        <v>-20</v>
      </c>
      <c r="C8049">
        <v>-64</v>
      </c>
      <c r="D8049" t="s">
        <v>13</v>
      </c>
      <c r="E8049" t="s">
        <v>384</v>
      </c>
      <c r="F8049">
        <f t="shared" si="250"/>
        <v>1909</v>
      </c>
      <c r="G8049">
        <f t="shared" si="251"/>
        <v>5</v>
      </c>
      <c r="H8049" t="str">
        <f>IF(ISNUMBER(FIND(",", E8049)), TRIM(MID(E8049, FIND(",", E8049) + 1, LEN(E8049))), E8049)</f>
        <v>Bolivia</v>
      </c>
    </row>
    <row r="8050" spans="1:8" x14ac:dyDescent="0.25">
      <c r="A8050" s="2">
        <v>3407</v>
      </c>
      <c r="B8050">
        <v>-35</v>
      </c>
      <c r="C8050">
        <v>53</v>
      </c>
      <c r="D8050" t="s">
        <v>17</v>
      </c>
      <c r="E8050" t="s">
        <v>94</v>
      </c>
      <c r="F8050">
        <f t="shared" si="250"/>
        <v>1909</v>
      </c>
      <c r="G8050">
        <f t="shared" si="251"/>
        <v>4</v>
      </c>
      <c r="H8050" t="str">
        <f>IF(ISNUMBER(FIND(",", E8050)), TRIM(MID(E8050, FIND(",", E8050) + 1, LEN(E8050))), E8050)</f>
        <v>Southwest Indian Ridge</v>
      </c>
    </row>
    <row r="8051" spans="1:8" x14ac:dyDescent="0.25">
      <c r="A8051" s="2">
        <v>3405</v>
      </c>
      <c r="B8051">
        <v>0</v>
      </c>
      <c r="C8051">
        <v>147</v>
      </c>
      <c r="D8051" t="s">
        <v>16</v>
      </c>
      <c r="E8051" t="s">
        <v>383</v>
      </c>
      <c r="F8051">
        <f t="shared" si="250"/>
        <v>1909</v>
      </c>
      <c r="G8051">
        <f t="shared" si="251"/>
        <v>4</v>
      </c>
      <c r="H8051" t="str">
        <f>IF(ISNUMBER(FIND(",", E8051)), TRIM(MID(E8051, FIND(",", E8051) + 1, LEN(E8051))), E8051)</f>
        <v>Papua New Guinea</v>
      </c>
    </row>
    <row r="8052" spans="1:8" x14ac:dyDescent="0.25">
      <c r="A8052" s="2">
        <v>3403</v>
      </c>
      <c r="B8052">
        <v>4</v>
      </c>
      <c r="C8052">
        <v>127</v>
      </c>
      <c r="D8052" t="s">
        <v>13</v>
      </c>
      <c r="E8052" t="s">
        <v>372</v>
      </c>
      <c r="F8052">
        <f t="shared" si="250"/>
        <v>1909</v>
      </c>
      <c r="G8052">
        <f t="shared" si="251"/>
        <v>4</v>
      </c>
      <c r="H8052" t="str">
        <f>IF(ISNUMBER(FIND(",", E8052)), TRIM(MID(E8052, FIND(",", E8052) + 1, LEN(E8052))), E8052)</f>
        <v>Indonesia</v>
      </c>
    </row>
    <row r="8053" spans="1:8" x14ac:dyDescent="0.25">
      <c r="A8053" s="2">
        <v>3392</v>
      </c>
      <c r="B8053">
        <v>25</v>
      </c>
      <c r="C8053">
        <v>122.5</v>
      </c>
      <c r="D8053" t="s">
        <v>13</v>
      </c>
      <c r="E8053" t="s">
        <v>363</v>
      </c>
      <c r="F8053">
        <f t="shared" si="250"/>
        <v>1909</v>
      </c>
      <c r="G8053">
        <f t="shared" si="251"/>
        <v>4</v>
      </c>
      <c r="H8053" t="str">
        <f>IF(ISNUMBER(FIND(",", E8053)), TRIM(MID(E8053, FIND(",", E8053) + 1, LEN(E8053))), E8053)</f>
        <v>Taiwan region</v>
      </c>
    </row>
    <row r="8054" spans="1:8" x14ac:dyDescent="0.25">
      <c r="A8054" s="2">
        <v>3388</v>
      </c>
      <c r="B8054">
        <v>52</v>
      </c>
      <c r="C8054">
        <v>175</v>
      </c>
      <c r="D8054" t="s">
        <v>14</v>
      </c>
      <c r="E8054" t="s">
        <v>366</v>
      </c>
      <c r="F8054">
        <f t="shared" si="250"/>
        <v>1909</v>
      </c>
      <c r="G8054">
        <f t="shared" si="251"/>
        <v>4</v>
      </c>
      <c r="H8054" t="str">
        <f>IF(ISNUMBER(FIND(",", E8054)), TRIM(MID(E8054, FIND(",", E8054) + 1, LEN(E8054))), E8054)</f>
        <v>Aleutian Islands, Alaska</v>
      </c>
    </row>
    <row r="8055" spans="1:8" x14ac:dyDescent="0.25">
      <c r="A8055" s="2">
        <v>3388</v>
      </c>
      <c r="B8055">
        <v>77.5</v>
      </c>
      <c r="C8055">
        <v>128</v>
      </c>
      <c r="D8055" t="s">
        <v>17</v>
      </c>
      <c r="E8055" t="s">
        <v>586</v>
      </c>
      <c r="F8055">
        <f t="shared" si="250"/>
        <v>1909</v>
      </c>
      <c r="G8055">
        <f t="shared" si="251"/>
        <v>4</v>
      </c>
      <c r="H8055" t="str">
        <f>IF(ISNUMBER(FIND(",", E8055)), TRIM(MID(E8055, FIND(",", E8055) + 1, LEN(E8055))), E8055)</f>
        <v>Laptev Sea</v>
      </c>
    </row>
    <row r="8056" spans="1:8" x14ac:dyDescent="0.25">
      <c r="A8056" s="2">
        <v>3388</v>
      </c>
      <c r="B8056">
        <v>-15</v>
      </c>
      <c r="C8056">
        <v>167</v>
      </c>
      <c r="D8056" t="s">
        <v>14</v>
      </c>
      <c r="E8056" t="s">
        <v>181</v>
      </c>
      <c r="F8056">
        <f t="shared" si="250"/>
        <v>1909</v>
      </c>
      <c r="G8056">
        <f t="shared" si="251"/>
        <v>4</v>
      </c>
      <c r="H8056" t="str">
        <f>IF(ISNUMBER(FIND(",", E8056)), TRIM(MID(E8056, FIND(",", E8056) + 1, LEN(E8056))), E8056)</f>
        <v>Vanuatu</v>
      </c>
    </row>
    <row r="8057" spans="1:8" x14ac:dyDescent="0.25">
      <c r="A8057" s="2">
        <v>3369</v>
      </c>
      <c r="B8057">
        <v>35</v>
      </c>
      <c r="C8057">
        <v>141.5</v>
      </c>
      <c r="D8057" t="s">
        <v>18</v>
      </c>
      <c r="E8057" t="s">
        <v>227</v>
      </c>
      <c r="F8057">
        <f t="shared" si="250"/>
        <v>1909</v>
      </c>
      <c r="G8057">
        <f t="shared" si="251"/>
        <v>3</v>
      </c>
      <c r="H8057" t="str">
        <f>IF(ISNUMBER(FIND(",", E8057)), TRIM(MID(E8057, FIND(",", E8057) + 1, LEN(E8057))), E8057)</f>
        <v>Japan</v>
      </c>
    </row>
    <row r="8058" spans="1:8" x14ac:dyDescent="0.25">
      <c r="A8058" s="2">
        <v>3364</v>
      </c>
      <c r="B8058">
        <v>-2</v>
      </c>
      <c r="C8058">
        <v>121</v>
      </c>
      <c r="D8058" t="s">
        <v>14</v>
      </c>
      <c r="E8058" t="s">
        <v>182</v>
      </c>
      <c r="F8058">
        <f t="shared" si="250"/>
        <v>1909</v>
      </c>
      <c r="G8058">
        <f t="shared" si="251"/>
        <v>3</v>
      </c>
      <c r="H8058" t="str">
        <f>IF(ISNUMBER(FIND(",", E8058)), TRIM(MID(E8058, FIND(",", E8058) + 1, LEN(E8058))), E8058)</f>
        <v>Indonesia</v>
      </c>
    </row>
    <row r="8059" spans="1:8" x14ac:dyDescent="0.25">
      <c r="A8059" s="2">
        <v>3364</v>
      </c>
      <c r="B8059">
        <v>30.5</v>
      </c>
      <c r="C8059">
        <v>137.5</v>
      </c>
      <c r="D8059" t="s">
        <v>18</v>
      </c>
      <c r="E8059" t="s">
        <v>88</v>
      </c>
      <c r="F8059">
        <f t="shared" si="250"/>
        <v>1909</v>
      </c>
      <c r="G8059">
        <f t="shared" si="251"/>
        <v>3</v>
      </c>
      <c r="H8059" t="str">
        <f>IF(ISNUMBER(FIND(",", E8059)), TRIM(MID(E8059, FIND(",", E8059) + 1, LEN(E8059))), E8059)</f>
        <v>Japan region</v>
      </c>
    </row>
    <row r="8060" spans="1:8" x14ac:dyDescent="0.25">
      <c r="A8060" s="2">
        <v>3360</v>
      </c>
      <c r="B8060">
        <v>34.5</v>
      </c>
      <c r="C8060">
        <v>141.5</v>
      </c>
      <c r="D8060" t="s">
        <v>13</v>
      </c>
      <c r="E8060" t="s">
        <v>189</v>
      </c>
      <c r="F8060">
        <f t="shared" si="250"/>
        <v>1909</v>
      </c>
      <c r="G8060">
        <f t="shared" si="251"/>
        <v>3</v>
      </c>
      <c r="H8060" t="str">
        <f>IF(ISNUMBER(FIND(",", E8060)), TRIM(MID(E8060, FIND(",", E8060) + 1, LEN(E8060))), E8060)</f>
        <v>Japan</v>
      </c>
    </row>
    <row r="8061" spans="1:8" x14ac:dyDescent="0.25">
      <c r="A8061" s="2">
        <v>3359</v>
      </c>
      <c r="B8061">
        <v>34.5</v>
      </c>
      <c r="C8061">
        <v>141.5</v>
      </c>
      <c r="D8061" t="s">
        <v>17</v>
      </c>
      <c r="E8061" t="s">
        <v>189</v>
      </c>
      <c r="F8061">
        <f t="shared" si="250"/>
        <v>1909</v>
      </c>
      <c r="G8061">
        <f t="shared" si="251"/>
        <v>3</v>
      </c>
      <c r="H8061" t="str">
        <f>IF(ISNUMBER(FIND(",", E8061)), TRIM(MID(E8061, FIND(",", E8061) + 1, LEN(E8061))), E8061)</f>
        <v>Japan</v>
      </c>
    </row>
    <row r="8062" spans="1:8" x14ac:dyDescent="0.25">
      <c r="A8062" s="2">
        <v>3357</v>
      </c>
      <c r="B8062">
        <v>30.5</v>
      </c>
      <c r="C8062">
        <v>130.5</v>
      </c>
      <c r="D8062" t="s">
        <v>18</v>
      </c>
      <c r="E8062" t="s">
        <v>357</v>
      </c>
      <c r="F8062">
        <f t="shared" si="250"/>
        <v>1909</v>
      </c>
      <c r="G8062">
        <f t="shared" si="251"/>
        <v>3</v>
      </c>
      <c r="H8062" t="str">
        <f>IF(ISNUMBER(FIND(",", E8062)), TRIM(MID(E8062, FIND(",", E8062) + 1, LEN(E8062))), E8062)</f>
        <v>Japan</v>
      </c>
    </row>
    <row r="8063" spans="1:8" x14ac:dyDescent="0.25">
      <c r="A8063" s="2">
        <v>3345</v>
      </c>
      <c r="B8063">
        <v>5</v>
      </c>
      <c r="C8063">
        <v>-95</v>
      </c>
      <c r="D8063" t="s">
        <v>17</v>
      </c>
      <c r="E8063" t="s">
        <v>599</v>
      </c>
      <c r="F8063">
        <f t="shared" si="250"/>
        <v>1909</v>
      </c>
      <c r="G8063">
        <f t="shared" si="251"/>
        <v>2</v>
      </c>
      <c r="H8063" t="str">
        <f>IF(ISNUMBER(FIND(",", E8063)), TRIM(MID(E8063, FIND(",", E8063) + 1, LEN(E8063))), E8063)</f>
        <v>east central Pacific Ocean</v>
      </c>
    </row>
    <row r="8064" spans="1:8" x14ac:dyDescent="0.25">
      <c r="A8064" s="2">
        <v>3341</v>
      </c>
      <c r="B8064">
        <v>-18</v>
      </c>
      <c r="C8064">
        <v>-179</v>
      </c>
      <c r="D8064" t="s">
        <v>13</v>
      </c>
      <c r="E8064" t="s">
        <v>53</v>
      </c>
      <c r="F8064">
        <f t="shared" si="250"/>
        <v>1909</v>
      </c>
      <c r="G8064">
        <f t="shared" si="251"/>
        <v>2</v>
      </c>
      <c r="H8064" t="str">
        <f>IF(ISNUMBER(FIND(",", E8064)), TRIM(MID(E8064, FIND(",", E8064) + 1, LEN(E8064))), E8064)</f>
        <v>Fiji region</v>
      </c>
    </row>
    <row r="8065" spans="1:8" x14ac:dyDescent="0.25">
      <c r="A8065" s="2">
        <v>3328</v>
      </c>
      <c r="B8065">
        <v>40</v>
      </c>
      <c r="C8065">
        <v>38</v>
      </c>
      <c r="D8065" t="s">
        <v>17</v>
      </c>
      <c r="E8065" t="s">
        <v>517</v>
      </c>
      <c r="F8065">
        <f t="shared" si="250"/>
        <v>1909</v>
      </c>
      <c r="G8065">
        <f t="shared" si="251"/>
        <v>2</v>
      </c>
      <c r="H8065" t="str">
        <f>IF(ISNUMBER(FIND(",", E8065)), TRIM(MID(E8065, FIND(",", E8065) + 1, LEN(E8065))), E8065)</f>
        <v>central Turkey</v>
      </c>
    </row>
    <row r="8066" spans="1:8" x14ac:dyDescent="0.25">
      <c r="A8066" s="2">
        <v>3311</v>
      </c>
      <c r="B8066">
        <v>33</v>
      </c>
      <c r="C8066">
        <v>53</v>
      </c>
      <c r="D8066" t="s">
        <v>14</v>
      </c>
      <c r="E8066" t="s">
        <v>453</v>
      </c>
      <c r="F8066">
        <f t="shared" ref="F8066:F8129" si="252">YEAR(A8066)</f>
        <v>1909</v>
      </c>
      <c r="G8066">
        <f t="shared" si="251"/>
        <v>1</v>
      </c>
      <c r="H8066" t="str">
        <f>IF(ISNUMBER(FIND(",", E8066)), TRIM(MID(E8066, FIND(",", E8066) + 1, LEN(E8066))), E8066)</f>
        <v>central Iran</v>
      </c>
    </row>
    <row r="8067" spans="1:8" x14ac:dyDescent="0.25">
      <c r="A8067" s="2">
        <v>3285</v>
      </c>
      <c r="B8067">
        <v>38</v>
      </c>
      <c r="C8067">
        <v>15.5</v>
      </c>
      <c r="D8067" t="s">
        <v>14</v>
      </c>
      <c r="E8067" t="s">
        <v>713</v>
      </c>
      <c r="F8067">
        <f t="shared" si="252"/>
        <v>1908</v>
      </c>
      <c r="G8067">
        <f t="shared" ref="G8067:G8130" si="253">MONTH(A8067)</f>
        <v>12</v>
      </c>
      <c r="H8067" t="str">
        <f>IF(ISNUMBER(FIND(",", E8067)), TRIM(MID(E8067, FIND(",", E8067) + 1, LEN(E8067))), E8067)</f>
        <v>Italy</v>
      </c>
    </row>
    <row r="8068" spans="1:8" x14ac:dyDescent="0.25">
      <c r="A8068" s="2">
        <v>3269</v>
      </c>
      <c r="B8068">
        <v>26.5</v>
      </c>
      <c r="C8068">
        <v>97</v>
      </c>
      <c r="D8068" t="s">
        <v>14</v>
      </c>
      <c r="E8068" t="s">
        <v>197</v>
      </c>
      <c r="F8068">
        <f t="shared" si="252"/>
        <v>1908</v>
      </c>
      <c r="G8068">
        <f t="shared" si="253"/>
        <v>12</v>
      </c>
      <c r="H8068" t="str">
        <f>IF(ISNUMBER(FIND(",", E8068)), TRIM(MID(E8068, FIND(",", E8068) + 1, LEN(E8068))), E8068)</f>
        <v>Myanmar</v>
      </c>
    </row>
    <row r="8069" spans="1:8" x14ac:dyDescent="0.25">
      <c r="A8069" s="2">
        <v>3269</v>
      </c>
      <c r="B8069">
        <v>-14</v>
      </c>
      <c r="C8069">
        <v>-78</v>
      </c>
      <c r="D8069" t="s">
        <v>17</v>
      </c>
      <c r="E8069" t="s">
        <v>671</v>
      </c>
      <c r="F8069">
        <f t="shared" si="252"/>
        <v>1908</v>
      </c>
      <c r="G8069">
        <f t="shared" si="253"/>
        <v>12</v>
      </c>
      <c r="H8069" t="str">
        <f>IF(ISNUMBER(FIND(",", E8069)), TRIM(MID(E8069, FIND(",", E8069) + 1, LEN(E8069))), E8069)</f>
        <v>off the coast of central Peru</v>
      </c>
    </row>
    <row r="8070" spans="1:8" x14ac:dyDescent="0.25">
      <c r="A8070" s="2">
        <v>3233</v>
      </c>
      <c r="B8070">
        <v>45</v>
      </c>
      <c r="C8070">
        <v>150</v>
      </c>
      <c r="D8070" t="s">
        <v>14</v>
      </c>
      <c r="E8070" t="s">
        <v>191</v>
      </c>
      <c r="F8070">
        <f t="shared" si="252"/>
        <v>1908</v>
      </c>
      <c r="G8070">
        <f t="shared" si="253"/>
        <v>11</v>
      </c>
      <c r="H8070" t="str">
        <f>IF(ISNUMBER(FIND(",", E8070)), TRIM(MID(E8070, FIND(",", E8070) + 1, LEN(E8070))), E8070)</f>
        <v>Kuril Islands</v>
      </c>
    </row>
    <row r="8071" spans="1:8" x14ac:dyDescent="0.25">
      <c r="A8071" s="2">
        <v>3229</v>
      </c>
      <c r="B8071">
        <v>-2</v>
      </c>
      <c r="C8071">
        <v>97</v>
      </c>
      <c r="D8071" t="s">
        <v>14</v>
      </c>
      <c r="E8071" t="s">
        <v>450</v>
      </c>
      <c r="F8071">
        <f t="shared" si="252"/>
        <v>1908</v>
      </c>
      <c r="G8071">
        <f t="shared" si="253"/>
        <v>11</v>
      </c>
      <c r="H8071" t="str">
        <f>IF(ISNUMBER(FIND(",", E8071)), TRIM(MID(E8071, FIND(",", E8071) + 1, LEN(E8071))), E8071)</f>
        <v>Indonesia</v>
      </c>
    </row>
    <row r="8072" spans="1:8" x14ac:dyDescent="0.25">
      <c r="A8072" s="2">
        <v>3220</v>
      </c>
      <c r="B8072">
        <v>36.5</v>
      </c>
      <c r="C8072">
        <v>70.5</v>
      </c>
      <c r="D8072" t="s">
        <v>13</v>
      </c>
      <c r="E8072" t="s">
        <v>314</v>
      </c>
      <c r="F8072">
        <f t="shared" si="252"/>
        <v>1908</v>
      </c>
      <c r="G8072">
        <f t="shared" si="253"/>
        <v>10</v>
      </c>
      <c r="H8072" t="str">
        <f>IF(ISNUMBER(FIND(",", E8072)), TRIM(MID(E8072, FIND(",", E8072) + 1, LEN(E8072))), E8072)</f>
        <v>Afghanistan</v>
      </c>
    </row>
    <row r="8073" spans="1:8" x14ac:dyDescent="0.25">
      <c r="A8073" s="2">
        <v>3219</v>
      </c>
      <c r="B8073">
        <v>36.5</v>
      </c>
      <c r="C8073">
        <v>70.5</v>
      </c>
      <c r="D8073" t="s">
        <v>13</v>
      </c>
      <c r="E8073" t="s">
        <v>314</v>
      </c>
      <c r="F8073">
        <f t="shared" si="252"/>
        <v>1908</v>
      </c>
      <c r="G8073">
        <f t="shared" si="253"/>
        <v>10</v>
      </c>
      <c r="H8073" t="str">
        <f>IF(ISNUMBER(FIND(",", E8073)), TRIM(MID(E8073, FIND(",", E8073) + 1, LEN(E8073))), E8073)</f>
        <v>Afghanistan</v>
      </c>
    </row>
    <row r="8074" spans="1:8" x14ac:dyDescent="0.25">
      <c r="A8074" s="2">
        <v>3209</v>
      </c>
      <c r="B8074">
        <v>18</v>
      </c>
      <c r="C8074">
        <v>-102</v>
      </c>
      <c r="D8074" t="s">
        <v>14</v>
      </c>
      <c r="E8074" t="s">
        <v>192</v>
      </c>
      <c r="F8074">
        <f t="shared" si="252"/>
        <v>1908</v>
      </c>
      <c r="G8074">
        <f t="shared" si="253"/>
        <v>10</v>
      </c>
      <c r="H8074" t="str">
        <f>IF(ISNUMBER(FIND(",", E8074)), TRIM(MID(E8074, FIND(",", E8074) + 1, LEN(E8074))), E8074)</f>
        <v>Mexico</v>
      </c>
    </row>
    <row r="8075" spans="1:8" x14ac:dyDescent="0.25">
      <c r="A8075" s="2">
        <v>3202</v>
      </c>
      <c r="B8075">
        <v>45.5</v>
      </c>
      <c r="C8075">
        <v>26.5</v>
      </c>
      <c r="D8075" t="s">
        <v>17</v>
      </c>
      <c r="E8075" t="s">
        <v>575</v>
      </c>
      <c r="F8075">
        <f t="shared" si="252"/>
        <v>1908</v>
      </c>
      <c r="G8075">
        <f t="shared" si="253"/>
        <v>10</v>
      </c>
      <c r="H8075" t="str">
        <f>IF(ISNUMBER(FIND(",", E8075)), TRIM(MID(E8075, FIND(",", E8075) + 1, LEN(E8075))), E8075)</f>
        <v>Romania</v>
      </c>
    </row>
    <row r="8076" spans="1:8" x14ac:dyDescent="0.25">
      <c r="A8076" s="2">
        <v>3187</v>
      </c>
      <c r="B8076">
        <v>19</v>
      </c>
      <c r="C8076">
        <v>-155</v>
      </c>
      <c r="D8076" t="s">
        <v>14</v>
      </c>
      <c r="E8076" t="s">
        <v>436</v>
      </c>
      <c r="F8076">
        <f t="shared" si="252"/>
        <v>1908</v>
      </c>
      <c r="G8076">
        <f t="shared" si="253"/>
        <v>9</v>
      </c>
      <c r="H8076" t="str">
        <f>IF(ISNUMBER(FIND(",", E8076)), TRIM(MID(E8076, FIND(",", E8076) + 1, LEN(E8076))), E8076)</f>
        <v>Hawaii</v>
      </c>
    </row>
    <row r="8077" spans="1:8" x14ac:dyDescent="0.25">
      <c r="A8077" s="2">
        <v>3155</v>
      </c>
      <c r="B8077">
        <v>32</v>
      </c>
      <c r="C8077">
        <v>89</v>
      </c>
      <c r="D8077" t="s">
        <v>17</v>
      </c>
      <c r="E8077" t="s">
        <v>388</v>
      </c>
      <c r="F8077">
        <f t="shared" si="252"/>
        <v>1908</v>
      </c>
      <c r="G8077">
        <f t="shared" si="253"/>
        <v>8</v>
      </c>
      <c r="H8077" t="str">
        <f>IF(ISNUMBER(FIND(",", E8077)), TRIM(MID(E8077, FIND(",", E8077) + 1, LEN(E8077))), E8077)</f>
        <v>western Xizang</v>
      </c>
    </row>
    <row r="8078" spans="1:8" x14ac:dyDescent="0.25">
      <c r="A8078" s="2">
        <v>3152</v>
      </c>
      <c r="B8078">
        <v>-60</v>
      </c>
      <c r="C8078">
        <v>-40</v>
      </c>
      <c r="D8078" t="s">
        <v>16</v>
      </c>
      <c r="E8078" t="s">
        <v>56</v>
      </c>
      <c r="F8078">
        <f t="shared" si="252"/>
        <v>1908</v>
      </c>
      <c r="G8078">
        <f t="shared" si="253"/>
        <v>8</v>
      </c>
      <c r="H8078" t="str">
        <f>IF(ISNUMBER(FIND(",", E8078)), TRIM(MID(E8078, FIND(",", E8078) + 1, LEN(E8078))), E8078)</f>
        <v>Scotia Sea</v>
      </c>
    </row>
    <row r="8079" spans="1:8" x14ac:dyDescent="0.25">
      <c r="A8079" s="2">
        <v>3060</v>
      </c>
      <c r="B8079">
        <v>35</v>
      </c>
      <c r="C8079">
        <v>24</v>
      </c>
      <c r="D8079" t="s">
        <v>17</v>
      </c>
      <c r="E8079" t="s">
        <v>296</v>
      </c>
      <c r="F8079">
        <f t="shared" si="252"/>
        <v>1908</v>
      </c>
      <c r="G8079">
        <f t="shared" si="253"/>
        <v>5</v>
      </c>
      <c r="H8079" t="str">
        <f>IF(ISNUMBER(FIND(",", E8079)), TRIM(MID(E8079, FIND(",", E8079) + 1, LEN(E8079))), E8079)</f>
        <v>Greece</v>
      </c>
    </row>
    <row r="8080" spans="1:8" x14ac:dyDescent="0.25">
      <c r="A8080" s="2">
        <v>3058</v>
      </c>
      <c r="B8080">
        <v>59</v>
      </c>
      <c r="C8080">
        <v>-141</v>
      </c>
      <c r="D8080" t="s">
        <v>14</v>
      </c>
      <c r="E8080" t="s">
        <v>180</v>
      </c>
      <c r="F8080">
        <f t="shared" si="252"/>
        <v>1908</v>
      </c>
      <c r="G8080">
        <f t="shared" si="253"/>
        <v>5</v>
      </c>
      <c r="H8080" t="str">
        <f>IF(ISNUMBER(FIND(",", E8080)), TRIM(MID(E8080, FIND(",", E8080) + 1, LEN(E8080))), E8080)</f>
        <v>Southeastern Alaska</v>
      </c>
    </row>
    <row r="8081" spans="1:8" x14ac:dyDescent="0.25">
      <c r="A8081" s="2">
        <v>3048</v>
      </c>
      <c r="B8081">
        <v>3</v>
      </c>
      <c r="C8081">
        <v>123</v>
      </c>
      <c r="D8081" t="s">
        <v>14</v>
      </c>
      <c r="E8081" t="s">
        <v>203</v>
      </c>
      <c r="F8081">
        <f t="shared" si="252"/>
        <v>1908</v>
      </c>
      <c r="G8081">
        <f t="shared" si="253"/>
        <v>5</v>
      </c>
      <c r="H8081" t="str">
        <f>IF(ISNUMBER(FIND(",", E8081)), TRIM(MID(E8081, FIND(",", E8081) + 1, LEN(E8081))), E8081)</f>
        <v>Celebes Sea</v>
      </c>
    </row>
    <row r="8082" spans="1:8" x14ac:dyDescent="0.25">
      <c r="A8082" s="2">
        <v>3046</v>
      </c>
      <c r="B8082">
        <v>43</v>
      </c>
      <c r="C8082">
        <v>146.5</v>
      </c>
      <c r="D8082" t="s">
        <v>18</v>
      </c>
      <c r="E8082" t="s">
        <v>191</v>
      </c>
      <c r="F8082">
        <f t="shared" si="252"/>
        <v>1908</v>
      </c>
      <c r="G8082">
        <f t="shared" si="253"/>
        <v>5</v>
      </c>
      <c r="H8082" t="str">
        <f>IF(ISNUMBER(FIND(",", E8082)), TRIM(MID(E8082, FIND(",", E8082) + 1, LEN(E8082))), E8082)</f>
        <v>Kuril Islands</v>
      </c>
    </row>
    <row r="8083" spans="1:8" x14ac:dyDescent="0.25">
      <c r="A8083" s="2">
        <v>3035</v>
      </c>
      <c r="B8083">
        <v>-38</v>
      </c>
      <c r="C8083">
        <v>48</v>
      </c>
      <c r="D8083" t="s">
        <v>14</v>
      </c>
      <c r="E8083" t="s">
        <v>94</v>
      </c>
      <c r="F8083">
        <f t="shared" si="252"/>
        <v>1908</v>
      </c>
      <c r="G8083">
        <f t="shared" si="253"/>
        <v>4</v>
      </c>
      <c r="H8083" t="str">
        <f>IF(ISNUMBER(FIND(",", E8083)), TRIM(MID(E8083, FIND(",", E8083) + 1, LEN(E8083))), E8083)</f>
        <v>Southwest Indian Ridge</v>
      </c>
    </row>
    <row r="8084" spans="1:8" x14ac:dyDescent="0.25">
      <c r="A8084" s="2">
        <v>3032</v>
      </c>
      <c r="B8084">
        <v>42</v>
      </c>
      <c r="C8084">
        <v>134</v>
      </c>
      <c r="D8084" t="s">
        <v>17</v>
      </c>
      <c r="E8084" t="s">
        <v>420</v>
      </c>
      <c r="F8084">
        <f t="shared" si="252"/>
        <v>1908</v>
      </c>
      <c r="G8084">
        <f t="shared" si="253"/>
        <v>4</v>
      </c>
      <c r="H8084" t="str">
        <f>IF(ISNUMBER(FIND(",", E8084)), TRIM(MID(E8084, FIND(",", E8084) + 1, LEN(E8084))), E8084)</f>
        <v>Sea of Japan</v>
      </c>
    </row>
    <row r="8085" spans="1:8" x14ac:dyDescent="0.25">
      <c r="A8085" s="2">
        <v>3029</v>
      </c>
      <c r="B8085">
        <v>36.5</v>
      </c>
      <c r="C8085">
        <v>70.5</v>
      </c>
      <c r="D8085" t="s">
        <v>17</v>
      </c>
      <c r="E8085" t="s">
        <v>314</v>
      </c>
      <c r="F8085">
        <f t="shared" si="252"/>
        <v>1908</v>
      </c>
      <c r="G8085">
        <f t="shared" si="253"/>
        <v>4</v>
      </c>
      <c r="H8085" t="str">
        <f>IF(ISNUMBER(FIND(",", E8085)), TRIM(MID(E8085, FIND(",", E8085) + 1, LEN(E8085))), E8085)</f>
        <v>Afghanistan</v>
      </c>
    </row>
    <row r="8086" spans="1:8" x14ac:dyDescent="0.25">
      <c r="A8086" s="2">
        <v>3009</v>
      </c>
      <c r="B8086">
        <v>17</v>
      </c>
      <c r="C8086">
        <v>-101</v>
      </c>
      <c r="D8086" t="s">
        <v>14</v>
      </c>
      <c r="E8086" t="s">
        <v>474</v>
      </c>
      <c r="F8086">
        <f t="shared" si="252"/>
        <v>1908</v>
      </c>
      <c r="G8086">
        <f t="shared" si="253"/>
        <v>3</v>
      </c>
      <c r="H8086" t="str">
        <f>IF(ISNUMBER(FIND(",", E8086)), TRIM(MID(E8086, FIND(",", E8086) + 1, LEN(E8086))), E8086)</f>
        <v>Mexico</v>
      </c>
    </row>
    <row r="8087" spans="1:8" x14ac:dyDescent="0.25">
      <c r="A8087" s="2">
        <v>3008</v>
      </c>
      <c r="B8087">
        <v>18</v>
      </c>
      <c r="C8087">
        <v>-99</v>
      </c>
      <c r="D8087" t="s">
        <v>13</v>
      </c>
      <c r="E8087" t="s">
        <v>192</v>
      </c>
      <c r="F8087">
        <f t="shared" si="252"/>
        <v>1908</v>
      </c>
      <c r="G8087">
        <f t="shared" si="253"/>
        <v>3</v>
      </c>
      <c r="H8087" t="str">
        <f>IF(ISNUMBER(FIND(",", E8087)), TRIM(MID(E8087, FIND(",", E8087) + 1, LEN(E8087))), E8087)</f>
        <v>Mexico</v>
      </c>
    </row>
    <row r="8088" spans="1:8" x14ac:dyDescent="0.25">
      <c r="A8088" s="2">
        <v>2987</v>
      </c>
      <c r="B8088">
        <v>9</v>
      </c>
      <c r="C8088">
        <v>126</v>
      </c>
      <c r="D8088" t="s">
        <v>14</v>
      </c>
      <c r="E8088" t="s">
        <v>200</v>
      </c>
      <c r="F8088">
        <f t="shared" si="252"/>
        <v>1908</v>
      </c>
      <c r="G8088">
        <f t="shared" si="253"/>
        <v>3</v>
      </c>
      <c r="H8088" t="str">
        <f>IF(ISNUMBER(FIND(",", E8088)), TRIM(MID(E8088, FIND(",", E8088) + 1, LEN(E8088))), E8088)</f>
        <v>Philippines</v>
      </c>
    </row>
    <row r="8089" spans="1:8" x14ac:dyDescent="0.25">
      <c r="A8089" s="2">
        <v>2962</v>
      </c>
      <c r="B8089">
        <v>26</v>
      </c>
      <c r="C8089">
        <v>100</v>
      </c>
      <c r="D8089" t="s">
        <v>17</v>
      </c>
      <c r="E8089" t="s">
        <v>423</v>
      </c>
      <c r="F8089">
        <f t="shared" si="252"/>
        <v>1908</v>
      </c>
      <c r="G8089">
        <f t="shared" si="253"/>
        <v>2</v>
      </c>
      <c r="H8089" t="str">
        <f>IF(ISNUMBER(FIND(",", E8089)), TRIM(MID(E8089, FIND(",", E8089) + 1, LEN(E8089))), E8089)</f>
        <v>China</v>
      </c>
    </row>
    <row r="8090" spans="1:8" x14ac:dyDescent="0.25">
      <c r="A8090" s="2">
        <v>2937</v>
      </c>
      <c r="B8090">
        <v>37.299999999999997</v>
      </c>
      <c r="C8090">
        <v>141.80000000000001</v>
      </c>
      <c r="D8090" t="s">
        <v>17</v>
      </c>
      <c r="E8090" t="s">
        <v>227</v>
      </c>
      <c r="F8090">
        <f t="shared" si="252"/>
        <v>1908</v>
      </c>
      <c r="G8090">
        <f t="shared" si="253"/>
        <v>1</v>
      </c>
      <c r="H8090" t="str">
        <f>IF(ISNUMBER(FIND(",", E8090)), TRIM(MID(E8090, FIND(",", E8090) + 1, LEN(E8090))), E8090)</f>
        <v>Japan</v>
      </c>
    </row>
    <row r="8091" spans="1:8" x14ac:dyDescent="0.25">
      <c r="A8091" s="2">
        <v>2933</v>
      </c>
      <c r="B8091">
        <v>23</v>
      </c>
      <c r="C8091">
        <v>121.1</v>
      </c>
      <c r="D8091" t="s">
        <v>14</v>
      </c>
      <c r="E8091" t="s">
        <v>336</v>
      </c>
      <c r="F8091">
        <f t="shared" si="252"/>
        <v>1908</v>
      </c>
      <c r="G8091">
        <f t="shared" si="253"/>
        <v>1</v>
      </c>
      <c r="H8091" t="str">
        <f>IF(ISNUMBER(FIND(",", E8091)), TRIM(MID(E8091, FIND(",", E8091) + 1, LEN(E8091))), E8091)</f>
        <v>Taiwan</v>
      </c>
    </row>
    <row r="8092" spans="1:8" x14ac:dyDescent="0.25">
      <c r="A8092" s="2">
        <v>2921</v>
      </c>
      <c r="B8092">
        <v>12.1</v>
      </c>
      <c r="C8092">
        <v>-86.3</v>
      </c>
      <c r="D8092" t="s">
        <v>16</v>
      </c>
      <c r="E8092" t="s">
        <v>270</v>
      </c>
      <c r="F8092">
        <f t="shared" si="252"/>
        <v>1907</v>
      </c>
      <c r="G8092">
        <f t="shared" si="253"/>
        <v>12</v>
      </c>
      <c r="H8092" t="str">
        <f>IF(ISNUMBER(FIND(",", E8092)), TRIM(MID(E8092, FIND(",", E8092) + 1, LEN(E8092))), E8092)</f>
        <v>Nicaragua</v>
      </c>
    </row>
    <row r="8093" spans="1:8" x14ac:dyDescent="0.25">
      <c r="A8093" s="2">
        <v>2916</v>
      </c>
      <c r="B8093">
        <v>36.5</v>
      </c>
      <c r="C8093">
        <v>70.5</v>
      </c>
      <c r="D8093" t="s">
        <v>17</v>
      </c>
      <c r="E8093" t="s">
        <v>314</v>
      </c>
      <c r="F8093">
        <f t="shared" si="252"/>
        <v>1907</v>
      </c>
      <c r="G8093">
        <f t="shared" si="253"/>
        <v>12</v>
      </c>
      <c r="H8093" t="str">
        <f>IF(ISNUMBER(FIND(",", E8093)), TRIM(MID(E8093, FIND(",", E8093) + 1, LEN(E8093))), E8093)</f>
        <v>Afghanistan</v>
      </c>
    </row>
    <row r="8094" spans="1:8" x14ac:dyDescent="0.25">
      <c r="A8094" s="2">
        <v>2914</v>
      </c>
      <c r="B8094">
        <v>43.8</v>
      </c>
      <c r="C8094">
        <v>145</v>
      </c>
      <c r="D8094" t="s">
        <v>17</v>
      </c>
      <c r="E8094" t="s">
        <v>265</v>
      </c>
      <c r="F8094">
        <f t="shared" si="252"/>
        <v>1907</v>
      </c>
      <c r="G8094">
        <f t="shared" si="253"/>
        <v>12</v>
      </c>
      <c r="H8094" t="str">
        <f>IF(ISNUMBER(FIND(",", E8094)), TRIM(MID(E8094, FIND(",", E8094) + 1, LEN(E8094))), E8094)</f>
        <v>Japan region</v>
      </c>
    </row>
    <row r="8095" spans="1:8" x14ac:dyDescent="0.25">
      <c r="A8095" s="2">
        <v>2906</v>
      </c>
      <c r="B8095">
        <v>-3.1</v>
      </c>
      <c r="C8095">
        <v>142.5</v>
      </c>
      <c r="D8095" t="s">
        <v>14</v>
      </c>
      <c r="E8095" t="s">
        <v>216</v>
      </c>
      <c r="F8095">
        <f t="shared" si="252"/>
        <v>1907</v>
      </c>
      <c r="G8095">
        <f t="shared" si="253"/>
        <v>12</v>
      </c>
      <c r="H8095" t="str">
        <f>IF(ISNUMBER(FIND(",", E8095)), TRIM(MID(E8095, FIND(",", E8095) + 1, LEN(E8095))), E8095)</f>
        <v>Papua New Guinea</v>
      </c>
    </row>
    <row r="8096" spans="1:8" x14ac:dyDescent="0.25">
      <c r="A8096" s="2">
        <v>2893</v>
      </c>
      <c r="B8096">
        <v>40.1</v>
      </c>
      <c r="C8096">
        <v>142.30000000000001</v>
      </c>
      <c r="D8096" t="s">
        <v>18</v>
      </c>
      <c r="E8096" t="s">
        <v>227</v>
      </c>
      <c r="F8096">
        <f t="shared" si="252"/>
        <v>1907</v>
      </c>
      <c r="G8096">
        <f t="shared" si="253"/>
        <v>12</v>
      </c>
      <c r="H8096" t="str">
        <f>IF(ISNUMBER(FIND(",", E8096)), TRIM(MID(E8096, FIND(",", E8096) + 1, LEN(E8096))), E8096)</f>
        <v>Japan</v>
      </c>
    </row>
    <row r="8097" spans="1:8" x14ac:dyDescent="0.25">
      <c r="A8097" s="2">
        <v>2882</v>
      </c>
      <c r="B8097">
        <v>5.9</v>
      </c>
      <c r="C8097">
        <v>95.3</v>
      </c>
      <c r="D8097" t="s">
        <v>14</v>
      </c>
      <c r="E8097" t="s">
        <v>226</v>
      </c>
      <c r="F8097">
        <f t="shared" si="252"/>
        <v>1907</v>
      </c>
      <c r="G8097">
        <f t="shared" si="253"/>
        <v>11</v>
      </c>
      <c r="H8097" t="str">
        <f>IF(ISNUMBER(FIND(",", E8097)), TRIM(MID(E8097, FIND(",", E8097) + 1, LEN(E8097))), E8097)</f>
        <v>Indonesia</v>
      </c>
    </row>
    <row r="8098" spans="1:8" x14ac:dyDescent="0.25">
      <c r="A8098" s="2">
        <v>2851</v>
      </c>
      <c r="B8098">
        <v>38</v>
      </c>
      <c r="C8098">
        <v>69</v>
      </c>
      <c r="D8098" t="s">
        <v>16</v>
      </c>
      <c r="E8098" t="s">
        <v>306</v>
      </c>
      <c r="F8098">
        <f t="shared" si="252"/>
        <v>1907</v>
      </c>
      <c r="G8098">
        <f t="shared" si="253"/>
        <v>10</v>
      </c>
      <c r="H8098" t="str">
        <f>IF(ISNUMBER(FIND(",", E8098)), TRIM(MID(E8098, FIND(",", E8098) + 1, LEN(E8098))), E8098)</f>
        <v>Tajikistan</v>
      </c>
    </row>
    <row r="8099" spans="1:8" x14ac:dyDescent="0.25">
      <c r="A8099" s="2">
        <v>2846</v>
      </c>
      <c r="B8099">
        <v>28</v>
      </c>
      <c r="C8099">
        <v>-112.5</v>
      </c>
      <c r="D8099" t="s">
        <v>16</v>
      </c>
      <c r="E8099" t="s">
        <v>208</v>
      </c>
      <c r="F8099">
        <f t="shared" si="252"/>
        <v>1907</v>
      </c>
      <c r="G8099">
        <f t="shared" si="253"/>
        <v>10</v>
      </c>
      <c r="H8099" t="str">
        <f>IF(ISNUMBER(FIND(",", E8099)), TRIM(MID(E8099, FIND(",", E8099) + 1, LEN(E8099))), E8099)</f>
        <v>Mexico</v>
      </c>
    </row>
    <row r="8100" spans="1:8" x14ac:dyDescent="0.25">
      <c r="A8100" s="2">
        <v>2841</v>
      </c>
      <c r="B8100">
        <v>-15</v>
      </c>
      <c r="C8100">
        <v>167</v>
      </c>
      <c r="D8100" t="s">
        <v>14</v>
      </c>
      <c r="E8100" t="s">
        <v>181</v>
      </c>
      <c r="F8100">
        <f t="shared" si="252"/>
        <v>1907</v>
      </c>
      <c r="G8100">
        <f t="shared" si="253"/>
        <v>10</v>
      </c>
      <c r="H8100" t="str">
        <f>IF(ISNUMBER(FIND(",", E8100)), TRIM(MID(E8100, FIND(",", E8100) + 1, LEN(E8100))), E8100)</f>
        <v>Vanuatu</v>
      </c>
    </row>
    <row r="8101" spans="1:8" x14ac:dyDescent="0.25">
      <c r="A8101" s="2">
        <v>2802</v>
      </c>
      <c r="B8101">
        <v>52</v>
      </c>
      <c r="C8101">
        <v>173</v>
      </c>
      <c r="D8101" t="s">
        <v>16</v>
      </c>
      <c r="E8101" t="s">
        <v>184</v>
      </c>
      <c r="F8101">
        <f t="shared" si="252"/>
        <v>1907</v>
      </c>
      <c r="G8101">
        <f t="shared" si="253"/>
        <v>9</v>
      </c>
      <c r="H8101" t="str">
        <f>IF(ISNUMBER(FIND(",", E8101)), TRIM(MID(E8101, FIND(",", E8101) + 1, LEN(E8101))), E8101)</f>
        <v>Aleutian Islands, Alaska</v>
      </c>
    </row>
    <row r="8102" spans="1:8" x14ac:dyDescent="0.25">
      <c r="A8102" s="2">
        <v>2786</v>
      </c>
      <c r="B8102">
        <v>52</v>
      </c>
      <c r="C8102">
        <v>157</v>
      </c>
      <c r="D8102" t="s">
        <v>13</v>
      </c>
      <c r="E8102" t="s">
        <v>225</v>
      </c>
      <c r="F8102">
        <f t="shared" si="252"/>
        <v>1907</v>
      </c>
      <c r="G8102">
        <f t="shared" si="253"/>
        <v>8</v>
      </c>
      <c r="H8102" t="str">
        <f>IF(ISNUMBER(FIND(",", E8102)), TRIM(MID(E8102, FIND(",", E8102) + 1, LEN(E8102))), E8102)</f>
        <v>Russia</v>
      </c>
    </row>
    <row r="8103" spans="1:8" x14ac:dyDescent="0.25">
      <c r="A8103" s="2">
        <v>2758</v>
      </c>
      <c r="B8103">
        <v>7.1</v>
      </c>
      <c r="C8103">
        <v>125.6</v>
      </c>
      <c r="D8103" t="s">
        <v>14</v>
      </c>
      <c r="E8103" t="s">
        <v>200</v>
      </c>
      <c r="F8103">
        <f t="shared" si="252"/>
        <v>1907</v>
      </c>
      <c r="G8103">
        <f t="shared" si="253"/>
        <v>7</v>
      </c>
      <c r="H8103" t="str">
        <f>IF(ISNUMBER(FIND(",", E8103)), TRIM(MID(E8103, FIND(",", E8103) + 1, LEN(E8103))), E8103)</f>
        <v>Philippines</v>
      </c>
    </row>
    <row r="8104" spans="1:8" x14ac:dyDescent="0.25">
      <c r="A8104" s="2">
        <v>2747</v>
      </c>
      <c r="B8104">
        <v>14</v>
      </c>
      <c r="C8104">
        <v>123</v>
      </c>
      <c r="D8104" t="s">
        <v>17</v>
      </c>
      <c r="E8104" t="s">
        <v>297</v>
      </c>
      <c r="F8104">
        <f t="shared" si="252"/>
        <v>1907</v>
      </c>
      <c r="G8104">
        <f t="shared" si="253"/>
        <v>7</v>
      </c>
      <c r="H8104" t="str">
        <f>IF(ISNUMBER(FIND(",", E8104)), TRIM(MID(E8104, FIND(",", E8104) + 1, LEN(E8104))), E8104)</f>
        <v>Philippines</v>
      </c>
    </row>
    <row r="8105" spans="1:8" x14ac:dyDescent="0.25">
      <c r="A8105" s="2">
        <v>2743</v>
      </c>
      <c r="B8105">
        <v>43.7</v>
      </c>
      <c r="C8105">
        <v>145.5</v>
      </c>
      <c r="D8105" t="s">
        <v>17</v>
      </c>
      <c r="E8105" t="s">
        <v>265</v>
      </c>
      <c r="F8105">
        <f t="shared" si="252"/>
        <v>1907</v>
      </c>
      <c r="G8105">
        <f t="shared" si="253"/>
        <v>7</v>
      </c>
      <c r="H8105" t="str">
        <f>IF(ISNUMBER(FIND(",", E8105)), TRIM(MID(E8105, FIND(",", E8105) + 1, LEN(E8105))), E8105)</f>
        <v>Japan region</v>
      </c>
    </row>
    <row r="8106" spans="1:8" x14ac:dyDescent="0.25">
      <c r="A8106" s="2">
        <v>2735</v>
      </c>
      <c r="B8106">
        <v>-3</v>
      </c>
      <c r="C8106">
        <v>170</v>
      </c>
      <c r="D8106" t="s">
        <v>14</v>
      </c>
      <c r="E8106" t="s">
        <v>764</v>
      </c>
      <c r="F8106">
        <f t="shared" si="252"/>
        <v>1907</v>
      </c>
      <c r="G8106">
        <f t="shared" si="253"/>
        <v>6</v>
      </c>
      <c r="H8106" t="str">
        <f>IF(ISNUMBER(FIND(",", E8106)), TRIM(MID(E8106, FIND(",", E8106) + 1, LEN(E8106))), E8106)</f>
        <v>Kiribati region</v>
      </c>
    </row>
    <row r="8107" spans="1:8" x14ac:dyDescent="0.25">
      <c r="A8107" s="2">
        <v>2733</v>
      </c>
      <c r="B8107">
        <v>1</v>
      </c>
      <c r="C8107">
        <v>127</v>
      </c>
      <c r="D8107" t="s">
        <v>13</v>
      </c>
      <c r="E8107" t="s">
        <v>186</v>
      </c>
      <c r="F8107">
        <f t="shared" si="252"/>
        <v>1907</v>
      </c>
      <c r="G8107">
        <f t="shared" si="253"/>
        <v>6</v>
      </c>
      <c r="H8107" t="str">
        <f>IF(ISNUMBER(FIND(",", E8107)), TRIM(MID(E8107, FIND(",", E8107) + 1, LEN(E8107))), E8107)</f>
        <v>Molucca Sea</v>
      </c>
    </row>
    <row r="8108" spans="1:8" x14ac:dyDescent="0.25">
      <c r="A8108" s="2">
        <v>2721</v>
      </c>
      <c r="B8108">
        <v>-39.5</v>
      </c>
      <c r="C8108">
        <v>-73</v>
      </c>
      <c r="D8108" t="s">
        <v>14</v>
      </c>
      <c r="E8108" t="s">
        <v>718</v>
      </c>
      <c r="F8108">
        <f t="shared" si="252"/>
        <v>1907</v>
      </c>
      <c r="G8108">
        <f t="shared" si="253"/>
        <v>6</v>
      </c>
      <c r="H8108" t="str">
        <f>IF(ISNUMBER(FIND(",", E8108)), TRIM(MID(E8108, FIND(",", E8108) + 1, LEN(E8108))), E8108)</f>
        <v>Chile</v>
      </c>
    </row>
    <row r="8109" spans="1:8" x14ac:dyDescent="0.25">
      <c r="A8109" s="2">
        <v>2713</v>
      </c>
      <c r="B8109">
        <v>0</v>
      </c>
      <c r="C8109">
        <v>-86</v>
      </c>
      <c r="D8109" t="s">
        <v>14</v>
      </c>
      <c r="E8109" t="s">
        <v>267</v>
      </c>
      <c r="F8109">
        <f t="shared" si="252"/>
        <v>1907</v>
      </c>
      <c r="G8109">
        <f t="shared" si="253"/>
        <v>6</v>
      </c>
      <c r="H8109" t="str">
        <f>IF(ISNUMBER(FIND(",", E8109)), TRIM(MID(E8109, FIND(",", E8109) + 1, LEN(E8109))), E8109)</f>
        <v>off the coast of Ecuador</v>
      </c>
    </row>
    <row r="8110" spans="1:8" x14ac:dyDescent="0.25">
      <c r="A8110" s="2">
        <v>2709</v>
      </c>
      <c r="B8110">
        <v>0</v>
      </c>
      <c r="C8110">
        <v>-82</v>
      </c>
      <c r="D8110" t="s">
        <v>14</v>
      </c>
      <c r="E8110" t="s">
        <v>267</v>
      </c>
      <c r="F8110">
        <f t="shared" si="252"/>
        <v>1907</v>
      </c>
      <c r="G8110">
        <f t="shared" si="253"/>
        <v>6</v>
      </c>
      <c r="H8110" t="str">
        <f>IF(ISNUMBER(FIND(",", E8110)), TRIM(MID(E8110, FIND(",", E8110) + 1, LEN(E8110))), E8110)</f>
        <v>off the coast of Ecuador</v>
      </c>
    </row>
    <row r="8111" spans="1:8" x14ac:dyDescent="0.25">
      <c r="A8111" s="2">
        <v>2702</v>
      </c>
      <c r="B8111">
        <v>50.5</v>
      </c>
      <c r="C8111">
        <v>148</v>
      </c>
      <c r="D8111" t="s">
        <v>13</v>
      </c>
      <c r="E8111" t="s">
        <v>74</v>
      </c>
      <c r="F8111">
        <f t="shared" si="252"/>
        <v>1907</v>
      </c>
      <c r="G8111">
        <f t="shared" si="253"/>
        <v>5</v>
      </c>
      <c r="H8111" t="str">
        <f>IF(ISNUMBER(FIND(",", E8111)), TRIM(MID(E8111, FIND(",", E8111) + 1, LEN(E8111))), E8111)</f>
        <v>Sea of Okhotsk</v>
      </c>
    </row>
    <row r="8112" spans="1:8" x14ac:dyDescent="0.25">
      <c r="A8112" s="2">
        <v>2684</v>
      </c>
      <c r="B8112">
        <v>-2.8</v>
      </c>
      <c r="C8112">
        <v>144.5</v>
      </c>
      <c r="D8112" t="s">
        <v>14</v>
      </c>
      <c r="E8112" t="s">
        <v>755</v>
      </c>
      <c r="F8112">
        <f t="shared" si="252"/>
        <v>1907</v>
      </c>
      <c r="G8112">
        <f t="shared" si="253"/>
        <v>5</v>
      </c>
      <c r="H8112" t="str">
        <f>IF(ISNUMBER(FIND(",", E8112)), TRIM(MID(E8112, FIND(",", E8112) + 1, LEN(E8112))), E8112)</f>
        <v>Papua New Guinea</v>
      </c>
    </row>
    <row r="8113" spans="1:8" x14ac:dyDescent="0.25">
      <c r="A8113" s="2">
        <v>2681</v>
      </c>
      <c r="B8113">
        <v>28</v>
      </c>
      <c r="C8113">
        <v>141</v>
      </c>
      <c r="D8113" t="s">
        <v>13</v>
      </c>
      <c r="E8113" t="s">
        <v>233</v>
      </c>
      <c r="F8113">
        <f t="shared" si="252"/>
        <v>1907</v>
      </c>
      <c r="G8113">
        <f t="shared" si="253"/>
        <v>5</v>
      </c>
      <c r="H8113" t="str">
        <f>IF(ISNUMBER(FIND(",", E8113)), TRIM(MID(E8113, FIND(",", E8113) + 1, LEN(E8113))), E8113)</f>
        <v>Japan region</v>
      </c>
    </row>
    <row r="8114" spans="1:8" x14ac:dyDescent="0.25">
      <c r="A8114" s="2">
        <v>2681</v>
      </c>
      <c r="B8114">
        <v>-7.5</v>
      </c>
      <c r="C8114">
        <v>153.69999999999999</v>
      </c>
      <c r="D8114" t="s">
        <v>17</v>
      </c>
      <c r="E8114" t="s">
        <v>190</v>
      </c>
      <c r="F8114">
        <f t="shared" si="252"/>
        <v>1907</v>
      </c>
      <c r="G8114">
        <f t="shared" si="253"/>
        <v>5</v>
      </c>
      <c r="H8114" t="str">
        <f>IF(ISNUMBER(FIND(",", E8114)), TRIM(MID(E8114, FIND(",", E8114) + 1, LEN(E8114))), E8114)</f>
        <v>Papua New Guinea</v>
      </c>
    </row>
    <row r="8115" spans="1:8" x14ac:dyDescent="0.25">
      <c r="A8115" s="2">
        <v>2665</v>
      </c>
      <c r="B8115">
        <v>13.5</v>
      </c>
      <c r="C8115">
        <v>123</v>
      </c>
      <c r="D8115" t="s">
        <v>14</v>
      </c>
      <c r="E8115" t="s">
        <v>297</v>
      </c>
      <c r="F8115">
        <f t="shared" si="252"/>
        <v>1907</v>
      </c>
      <c r="G8115">
        <f t="shared" si="253"/>
        <v>4</v>
      </c>
      <c r="H8115" t="str">
        <f>IF(ISNUMBER(FIND(",", E8115)), TRIM(MID(E8115, FIND(",", E8115) + 1, LEN(E8115))), E8115)</f>
        <v>Philippines</v>
      </c>
    </row>
    <row r="8116" spans="1:8" x14ac:dyDescent="0.25">
      <c r="A8116" s="2">
        <v>2665</v>
      </c>
      <c r="B8116">
        <v>14</v>
      </c>
      <c r="C8116">
        <v>123</v>
      </c>
      <c r="D8116" t="s">
        <v>16</v>
      </c>
      <c r="E8116" t="s">
        <v>297</v>
      </c>
      <c r="F8116">
        <f t="shared" si="252"/>
        <v>1907</v>
      </c>
      <c r="G8116">
        <f t="shared" si="253"/>
        <v>4</v>
      </c>
      <c r="H8116" t="str">
        <f>IF(ISNUMBER(FIND(",", E8116)), TRIM(MID(E8116, FIND(",", E8116) + 1, LEN(E8116))), E8116)</f>
        <v>Philippines</v>
      </c>
    </row>
    <row r="8117" spans="1:8" x14ac:dyDescent="0.25">
      <c r="A8117" s="2">
        <v>2662</v>
      </c>
      <c r="B8117">
        <v>17</v>
      </c>
      <c r="C8117">
        <v>-100</v>
      </c>
      <c r="D8117" t="s">
        <v>16</v>
      </c>
      <c r="E8117" t="s">
        <v>192</v>
      </c>
      <c r="F8117">
        <f t="shared" si="252"/>
        <v>1907</v>
      </c>
      <c r="G8117">
        <f t="shared" si="253"/>
        <v>4</v>
      </c>
      <c r="H8117" t="str">
        <f>IF(ISNUMBER(FIND(",", E8117)), TRIM(MID(E8117, FIND(",", E8117) + 1, LEN(E8117))), E8117)</f>
        <v>Mexico</v>
      </c>
    </row>
    <row r="8118" spans="1:8" x14ac:dyDescent="0.25">
      <c r="A8118" s="2">
        <v>2660</v>
      </c>
      <c r="B8118">
        <v>36.5</v>
      </c>
      <c r="C8118">
        <v>70.5</v>
      </c>
      <c r="D8118" t="s">
        <v>13</v>
      </c>
      <c r="E8118" t="s">
        <v>314</v>
      </c>
      <c r="F8118">
        <f t="shared" si="252"/>
        <v>1907</v>
      </c>
      <c r="G8118">
        <f t="shared" si="253"/>
        <v>4</v>
      </c>
      <c r="H8118" t="str">
        <f>IF(ISNUMBER(FIND(",", E8118)), TRIM(MID(E8118, FIND(",", E8118) + 1, LEN(E8118))), E8118)</f>
        <v>Afghanistan</v>
      </c>
    </row>
    <row r="8119" spans="1:8" x14ac:dyDescent="0.25">
      <c r="A8119" s="2">
        <v>2647</v>
      </c>
      <c r="B8119">
        <v>-18</v>
      </c>
      <c r="C8119">
        <v>-177</v>
      </c>
      <c r="D8119" t="s">
        <v>13</v>
      </c>
      <c r="E8119" t="s">
        <v>53</v>
      </c>
      <c r="F8119">
        <f t="shared" si="252"/>
        <v>1907</v>
      </c>
      <c r="G8119">
        <f t="shared" si="253"/>
        <v>3</v>
      </c>
      <c r="H8119" t="str">
        <f>IF(ISNUMBER(FIND(",", E8119)), TRIM(MID(E8119, FIND(",", E8119) + 1, LEN(E8119))), E8119)</f>
        <v>Fiji region</v>
      </c>
    </row>
    <row r="8120" spans="1:8" x14ac:dyDescent="0.25">
      <c r="A8120" s="2">
        <v>2645</v>
      </c>
      <c r="B8120">
        <v>3</v>
      </c>
      <c r="C8120">
        <v>122</v>
      </c>
      <c r="D8120" t="s">
        <v>13</v>
      </c>
      <c r="E8120" t="s">
        <v>203</v>
      </c>
      <c r="F8120">
        <f t="shared" si="252"/>
        <v>1907</v>
      </c>
      <c r="G8120">
        <f t="shared" si="253"/>
        <v>3</v>
      </c>
      <c r="H8120" t="str">
        <f>IF(ISNUMBER(FIND(",", E8120)), TRIM(MID(E8120, FIND(",", E8120) + 1, LEN(E8120))), E8120)</f>
        <v>Celebes Sea</v>
      </c>
    </row>
    <row r="8121" spans="1:8" x14ac:dyDescent="0.25">
      <c r="A8121" s="2">
        <v>2642</v>
      </c>
      <c r="B8121">
        <v>38</v>
      </c>
      <c r="C8121">
        <v>135</v>
      </c>
      <c r="D8121" t="s">
        <v>17</v>
      </c>
      <c r="E8121" t="s">
        <v>420</v>
      </c>
      <c r="F8121">
        <f t="shared" si="252"/>
        <v>1907</v>
      </c>
      <c r="G8121">
        <f t="shared" si="253"/>
        <v>3</v>
      </c>
      <c r="H8121" t="str">
        <f>IF(ISNUMBER(FIND(",", E8121)), TRIM(MID(E8121, FIND(",", E8121) + 1, LEN(E8121))), E8121)</f>
        <v>Sea of Japan</v>
      </c>
    </row>
    <row r="8122" spans="1:8" x14ac:dyDescent="0.25">
      <c r="A8122" s="2">
        <v>2594</v>
      </c>
      <c r="B8122">
        <v>29</v>
      </c>
      <c r="C8122">
        <v>139</v>
      </c>
      <c r="D8122" t="s">
        <v>18</v>
      </c>
      <c r="E8122" t="s">
        <v>233</v>
      </c>
      <c r="F8122">
        <f t="shared" si="252"/>
        <v>1907</v>
      </c>
      <c r="G8122">
        <f t="shared" si="253"/>
        <v>2</v>
      </c>
      <c r="H8122" t="str">
        <f>IF(ISNUMBER(FIND(",", E8122)), TRIM(MID(E8122, FIND(",", E8122) + 1, LEN(E8122))), E8122)</f>
        <v>Japan region</v>
      </c>
    </row>
    <row r="8123" spans="1:8" x14ac:dyDescent="0.25">
      <c r="A8123" s="2">
        <v>2591</v>
      </c>
      <c r="B8123">
        <v>-6</v>
      </c>
      <c r="C8123">
        <v>148</v>
      </c>
      <c r="D8123" t="s">
        <v>17</v>
      </c>
      <c r="E8123" t="s">
        <v>243</v>
      </c>
      <c r="F8123">
        <f t="shared" si="252"/>
        <v>1907</v>
      </c>
      <c r="G8123">
        <f t="shared" si="253"/>
        <v>2</v>
      </c>
      <c r="H8123" t="str">
        <f>IF(ISNUMBER(FIND(",", E8123)), TRIM(MID(E8123, FIND(",", E8123) + 1, LEN(E8123))), E8123)</f>
        <v>Papua New Guinea</v>
      </c>
    </row>
    <row r="8124" spans="1:8" x14ac:dyDescent="0.25">
      <c r="A8124" s="2">
        <v>2565</v>
      </c>
      <c r="B8124">
        <v>-65</v>
      </c>
      <c r="C8124">
        <v>-30</v>
      </c>
      <c r="D8124" t="s">
        <v>14</v>
      </c>
      <c r="E8124" t="s">
        <v>765</v>
      </c>
      <c r="F8124">
        <f t="shared" si="252"/>
        <v>1907</v>
      </c>
      <c r="G8124">
        <f t="shared" si="253"/>
        <v>1</v>
      </c>
      <c r="H8124" t="str">
        <f>IF(ISNUMBER(FIND(",", E8124)), TRIM(MID(E8124, FIND(",", E8124) + 1, LEN(E8124))), E8124)</f>
        <v>southwestern Atlantic Ocean</v>
      </c>
    </row>
    <row r="8125" spans="1:8" x14ac:dyDescent="0.25">
      <c r="A8125" s="2">
        <v>2561</v>
      </c>
      <c r="B8125">
        <v>2</v>
      </c>
      <c r="C8125">
        <v>94.5</v>
      </c>
      <c r="D8125" t="s">
        <v>16</v>
      </c>
      <c r="E8125" t="s">
        <v>245</v>
      </c>
      <c r="F8125">
        <f t="shared" si="252"/>
        <v>1907</v>
      </c>
      <c r="G8125">
        <f t="shared" si="253"/>
        <v>1</v>
      </c>
      <c r="H8125" t="str">
        <f>IF(ISNUMBER(FIND(",", E8125)), TRIM(MID(E8125, FIND(",", E8125) + 1, LEN(E8125))), E8125)</f>
        <v>off the west coast of northern Sumatra</v>
      </c>
    </row>
    <row r="8126" spans="1:8" x14ac:dyDescent="0.25">
      <c r="A8126" s="2">
        <v>2559</v>
      </c>
      <c r="B8126">
        <v>-21.1</v>
      </c>
      <c r="C8126">
        <v>-175.1</v>
      </c>
      <c r="D8126" t="s">
        <v>16</v>
      </c>
      <c r="E8126" t="s">
        <v>239</v>
      </c>
      <c r="F8126">
        <f t="shared" si="252"/>
        <v>1907</v>
      </c>
      <c r="G8126">
        <f t="shared" si="253"/>
        <v>1</v>
      </c>
      <c r="H8126" t="str">
        <f>IF(ISNUMBER(FIND(",", E8126)), TRIM(MID(E8126, FIND(",", E8126) + 1, LEN(E8126))), E8126)</f>
        <v>Tonga</v>
      </c>
    </row>
    <row r="8127" spans="1:8" x14ac:dyDescent="0.25">
      <c r="A8127" s="2">
        <v>2552</v>
      </c>
      <c r="B8127">
        <v>-20</v>
      </c>
      <c r="C8127">
        <v>-73</v>
      </c>
      <c r="D8127" t="s">
        <v>14</v>
      </c>
      <c r="E8127" t="s">
        <v>711</v>
      </c>
      <c r="F8127">
        <f t="shared" si="252"/>
        <v>1906</v>
      </c>
      <c r="G8127">
        <f t="shared" si="253"/>
        <v>12</v>
      </c>
      <c r="H8127" t="str">
        <f>IF(ISNUMBER(FIND(",", E8127)), TRIM(MID(E8127, FIND(",", E8127) + 1, LEN(E8127))), E8127)</f>
        <v>Chile</v>
      </c>
    </row>
    <row r="8128" spans="1:8" x14ac:dyDescent="0.25">
      <c r="A8128" s="2">
        <v>2549</v>
      </c>
      <c r="B8128">
        <v>56.85</v>
      </c>
      <c r="C8128">
        <v>-153.9</v>
      </c>
      <c r="D8128" t="s">
        <v>16</v>
      </c>
      <c r="E8128" t="s">
        <v>374</v>
      </c>
      <c r="F8128">
        <f t="shared" si="252"/>
        <v>1906</v>
      </c>
      <c r="G8128">
        <f t="shared" si="253"/>
        <v>12</v>
      </c>
      <c r="H8128" t="str">
        <f>IF(ISNUMBER(FIND(",", E8128)), TRIM(MID(E8128, FIND(",", E8128) + 1, LEN(E8128))), E8128)</f>
        <v>Alaska</v>
      </c>
    </row>
    <row r="8129" spans="1:8" x14ac:dyDescent="0.25">
      <c r="A8129" s="2">
        <v>2548</v>
      </c>
      <c r="B8129">
        <v>43.5</v>
      </c>
      <c r="C8129">
        <v>85</v>
      </c>
      <c r="D8129" t="s">
        <v>16</v>
      </c>
      <c r="E8129" t="s">
        <v>224</v>
      </c>
      <c r="F8129">
        <f t="shared" si="252"/>
        <v>1906</v>
      </c>
      <c r="G8129">
        <f t="shared" si="253"/>
        <v>12</v>
      </c>
      <c r="H8129" t="str">
        <f>IF(ISNUMBER(FIND(",", E8129)), TRIM(MID(E8129, FIND(",", E8129) + 1, LEN(E8129))), E8129)</f>
        <v>China</v>
      </c>
    </row>
    <row r="8130" spans="1:8" x14ac:dyDescent="0.25">
      <c r="A8130" s="2">
        <v>2545</v>
      </c>
      <c r="B8130">
        <v>-19</v>
      </c>
      <c r="C8130">
        <v>-172</v>
      </c>
      <c r="D8130" t="s">
        <v>16</v>
      </c>
      <c r="E8130" t="s">
        <v>304</v>
      </c>
      <c r="F8130">
        <f t="shared" ref="F8130:F8193" si="254">YEAR(A8130)</f>
        <v>1906</v>
      </c>
      <c r="G8130">
        <f t="shared" si="253"/>
        <v>12</v>
      </c>
      <c r="H8130" t="str">
        <f>IF(ISNUMBER(FIND(",", E8130)), TRIM(MID(E8130, FIND(",", E8130) + 1, LEN(E8130))), E8130)</f>
        <v>Tonga region</v>
      </c>
    </row>
    <row r="8131" spans="1:8" x14ac:dyDescent="0.25">
      <c r="A8131" s="2">
        <v>2544</v>
      </c>
      <c r="B8131">
        <v>-19</v>
      </c>
      <c r="C8131">
        <v>-172</v>
      </c>
      <c r="D8131" t="s">
        <v>14</v>
      </c>
      <c r="E8131" t="s">
        <v>304</v>
      </c>
      <c r="F8131">
        <f t="shared" si="254"/>
        <v>1906</v>
      </c>
      <c r="G8131">
        <f t="shared" ref="G8131:G8194" si="255">MONTH(A8131)</f>
        <v>12</v>
      </c>
      <c r="H8131" t="str">
        <f>IF(ISNUMBER(FIND(",", E8131)), TRIM(MID(E8131, FIND(",", E8131) + 1, LEN(E8131))), E8131)</f>
        <v>Tonga region</v>
      </c>
    </row>
    <row r="8132" spans="1:8" x14ac:dyDescent="0.25">
      <c r="A8132" s="2">
        <v>2529</v>
      </c>
      <c r="B8132">
        <v>15</v>
      </c>
      <c r="C8132">
        <v>-61</v>
      </c>
      <c r="D8132" t="s">
        <v>13</v>
      </c>
      <c r="E8132" t="s">
        <v>412</v>
      </c>
      <c r="F8132">
        <f t="shared" si="254"/>
        <v>1906</v>
      </c>
      <c r="G8132">
        <f t="shared" si="255"/>
        <v>12</v>
      </c>
      <c r="H8132" t="str">
        <f>IF(ISNUMBER(FIND(",", E8132)), TRIM(MID(E8132, FIND(",", E8132) + 1, LEN(E8132))), E8132)</f>
        <v>Windward Islands</v>
      </c>
    </row>
    <row r="8133" spans="1:8" x14ac:dyDescent="0.25">
      <c r="A8133" s="2">
        <v>2515</v>
      </c>
      <c r="B8133">
        <v>-22</v>
      </c>
      <c r="C8133">
        <v>109</v>
      </c>
      <c r="D8133" t="s">
        <v>16</v>
      </c>
      <c r="E8133" t="s">
        <v>625</v>
      </c>
      <c r="F8133">
        <f t="shared" si="254"/>
        <v>1906</v>
      </c>
      <c r="G8133">
        <f t="shared" si="255"/>
        <v>11</v>
      </c>
      <c r="H8133" t="str">
        <f>IF(ISNUMBER(FIND(",", E8133)), TRIM(MID(E8133, FIND(",", E8133) + 1, LEN(E8133))), E8133)</f>
        <v>northwest of Australia</v>
      </c>
    </row>
    <row r="8134" spans="1:8" x14ac:dyDescent="0.25">
      <c r="A8134" s="2">
        <v>2510</v>
      </c>
      <c r="B8134">
        <v>-25</v>
      </c>
      <c r="C8134">
        <v>172</v>
      </c>
      <c r="D8134" t="s">
        <v>14</v>
      </c>
      <c r="E8134" t="s">
        <v>254</v>
      </c>
      <c r="F8134">
        <f t="shared" si="254"/>
        <v>1906</v>
      </c>
      <c r="G8134">
        <f t="shared" si="255"/>
        <v>11</v>
      </c>
      <c r="H8134" t="str">
        <f>IF(ISNUMBER(FIND(",", E8134)), TRIM(MID(E8134, FIND(",", E8134) + 1, LEN(E8134))), E8134)</f>
        <v>southeast of the Loyalty Islands</v>
      </c>
    </row>
    <row r="8135" spans="1:8" x14ac:dyDescent="0.25">
      <c r="A8135" s="2">
        <v>2489</v>
      </c>
      <c r="B8135">
        <v>36.5</v>
      </c>
      <c r="C8135">
        <v>68</v>
      </c>
      <c r="D8135" t="s">
        <v>14</v>
      </c>
      <c r="E8135" t="s">
        <v>314</v>
      </c>
      <c r="F8135">
        <f t="shared" si="254"/>
        <v>1906</v>
      </c>
      <c r="G8135">
        <f t="shared" si="255"/>
        <v>10</v>
      </c>
      <c r="H8135" t="str">
        <f>IF(ISNUMBER(FIND(",", E8135)), TRIM(MID(E8135, FIND(",", E8135) + 1, LEN(E8135))), E8135)</f>
        <v>Afghanistan</v>
      </c>
    </row>
    <row r="8136" spans="1:8" x14ac:dyDescent="0.25">
      <c r="A8136" s="2">
        <v>2489</v>
      </c>
      <c r="B8136">
        <v>40</v>
      </c>
      <c r="C8136">
        <v>68</v>
      </c>
      <c r="D8136" t="s">
        <v>14</v>
      </c>
      <c r="E8136" t="s">
        <v>567</v>
      </c>
      <c r="F8136">
        <f t="shared" si="254"/>
        <v>1906</v>
      </c>
      <c r="G8136">
        <f t="shared" si="255"/>
        <v>10</v>
      </c>
      <c r="H8136" t="str">
        <f>IF(ISNUMBER(FIND(",", E8136)), TRIM(MID(E8136, FIND(",", E8136) + 1, LEN(E8136))), E8136)</f>
        <v>eastern Uzbekistan</v>
      </c>
    </row>
    <row r="8137" spans="1:8" x14ac:dyDescent="0.25">
      <c r="A8137" s="2">
        <v>2482</v>
      </c>
      <c r="B8137">
        <v>19</v>
      </c>
      <c r="C8137">
        <v>121</v>
      </c>
      <c r="D8137" t="s">
        <v>17</v>
      </c>
      <c r="E8137" t="s">
        <v>213</v>
      </c>
      <c r="F8137">
        <f t="shared" si="254"/>
        <v>1906</v>
      </c>
      <c r="G8137">
        <f t="shared" si="255"/>
        <v>10</v>
      </c>
      <c r="H8137" t="str">
        <f>IF(ISNUMBER(FIND(",", E8137)), TRIM(MID(E8137, FIND(",", E8137) + 1, LEN(E8137))), E8137)</f>
        <v>Philippine Islands region</v>
      </c>
    </row>
    <row r="8138" spans="1:8" x14ac:dyDescent="0.25">
      <c r="A8138" s="2">
        <v>2473</v>
      </c>
      <c r="B8138">
        <v>52.5</v>
      </c>
      <c r="C8138">
        <v>154.5</v>
      </c>
      <c r="D8138" t="s">
        <v>13</v>
      </c>
      <c r="E8138" t="s">
        <v>485</v>
      </c>
      <c r="F8138">
        <f t="shared" si="254"/>
        <v>1906</v>
      </c>
      <c r="G8138">
        <f t="shared" si="255"/>
        <v>10</v>
      </c>
      <c r="H8138" t="str">
        <f>IF(ISNUMBER(FIND(",", E8138)), TRIM(MID(E8138, FIND(",", E8138) + 1, LEN(E8138))), E8138)</f>
        <v>northwest of the Kuril Islands</v>
      </c>
    </row>
    <row r="8139" spans="1:8" x14ac:dyDescent="0.25">
      <c r="A8139" s="2">
        <v>2467</v>
      </c>
      <c r="B8139">
        <v>-4</v>
      </c>
      <c r="C8139">
        <v>149</v>
      </c>
      <c r="D8139" t="s">
        <v>16</v>
      </c>
      <c r="E8139" t="s">
        <v>380</v>
      </c>
      <c r="F8139">
        <f t="shared" si="254"/>
        <v>1906</v>
      </c>
      <c r="G8139">
        <f t="shared" si="255"/>
        <v>10</v>
      </c>
      <c r="H8139" t="str">
        <f>IF(ISNUMBER(FIND(",", E8139)), TRIM(MID(E8139, FIND(",", E8139) + 1, LEN(E8139))), E8139)</f>
        <v>Bismarck Sea</v>
      </c>
    </row>
    <row r="8140" spans="1:8" x14ac:dyDescent="0.25">
      <c r="A8140" s="2">
        <v>2463</v>
      </c>
      <c r="B8140">
        <v>-2</v>
      </c>
      <c r="C8140">
        <v>-79</v>
      </c>
      <c r="D8140" t="s">
        <v>13</v>
      </c>
      <c r="E8140" t="s">
        <v>316</v>
      </c>
      <c r="F8140">
        <f t="shared" si="254"/>
        <v>1906</v>
      </c>
      <c r="G8140">
        <f t="shared" si="255"/>
        <v>9</v>
      </c>
      <c r="H8140" t="str">
        <f>IF(ISNUMBER(FIND(",", E8140)), TRIM(MID(E8140, FIND(",", E8140) + 1, LEN(E8140))), E8140)</f>
        <v>Ecuador</v>
      </c>
    </row>
    <row r="8141" spans="1:8" x14ac:dyDescent="0.25">
      <c r="A8141" s="2">
        <v>2452</v>
      </c>
      <c r="B8141">
        <v>-4</v>
      </c>
      <c r="C8141">
        <v>149</v>
      </c>
      <c r="D8141" t="s">
        <v>14</v>
      </c>
      <c r="E8141" t="s">
        <v>380</v>
      </c>
      <c r="F8141">
        <f t="shared" si="254"/>
        <v>1906</v>
      </c>
      <c r="G8141">
        <f t="shared" si="255"/>
        <v>9</v>
      </c>
      <c r="H8141" t="str">
        <f>IF(ISNUMBER(FIND(",", E8141)), TRIM(MID(E8141, FIND(",", E8141) + 1, LEN(E8141))), E8141)</f>
        <v>Bismarck Sea</v>
      </c>
    </row>
    <row r="8142" spans="1:8" x14ac:dyDescent="0.25">
      <c r="A8142" s="2">
        <v>2449</v>
      </c>
      <c r="B8142">
        <v>-7</v>
      </c>
      <c r="C8142">
        <v>149</v>
      </c>
      <c r="D8142" t="s">
        <v>16</v>
      </c>
      <c r="E8142" t="s">
        <v>190</v>
      </c>
      <c r="F8142">
        <f t="shared" si="254"/>
        <v>1906</v>
      </c>
      <c r="G8142">
        <f t="shared" si="255"/>
        <v>9</v>
      </c>
      <c r="H8142" t="str">
        <f>IF(ISNUMBER(FIND(",", E8142)), TRIM(MID(E8142, FIND(",", E8142) + 1, LEN(E8142))), E8142)</f>
        <v>Papua New Guinea</v>
      </c>
    </row>
    <row r="8143" spans="1:8" x14ac:dyDescent="0.25">
      <c r="A8143" s="2">
        <v>2442</v>
      </c>
      <c r="B8143">
        <v>34</v>
      </c>
      <c r="C8143">
        <v>141</v>
      </c>
      <c r="D8143" t="s">
        <v>14</v>
      </c>
      <c r="E8143" t="s">
        <v>227</v>
      </c>
      <c r="F8143">
        <f t="shared" si="254"/>
        <v>1906</v>
      </c>
      <c r="G8143">
        <f t="shared" si="255"/>
        <v>9</v>
      </c>
      <c r="H8143" t="str">
        <f>IF(ISNUMBER(FIND(",", E8143)), TRIM(MID(E8143, FIND(",", E8143) + 1, LEN(E8143))), E8143)</f>
        <v>Japan</v>
      </c>
    </row>
    <row r="8144" spans="1:8" x14ac:dyDescent="0.25">
      <c r="A8144" s="2">
        <v>2435</v>
      </c>
      <c r="B8144">
        <v>27</v>
      </c>
      <c r="C8144">
        <v>97</v>
      </c>
      <c r="D8144" t="s">
        <v>13</v>
      </c>
      <c r="E8144" t="s">
        <v>303</v>
      </c>
      <c r="F8144">
        <f t="shared" si="254"/>
        <v>1906</v>
      </c>
      <c r="G8144">
        <f t="shared" si="255"/>
        <v>8</v>
      </c>
      <c r="H8144" t="str">
        <f>IF(ISNUMBER(FIND(",", E8144)), TRIM(MID(E8144, FIND(",", E8144) + 1, LEN(E8144))), E8144)</f>
        <v>Myanmar-India border region</v>
      </c>
    </row>
    <row r="8145" spans="1:8" x14ac:dyDescent="0.25">
      <c r="A8145" s="2">
        <v>2434</v>
      </c>
      <c r="B8145">
        <v>-21</v>
      </c>
      <c r="C8145">
        <v>-70</v>
      </c>
      <c r="D8145" t="s">
        <v>16</v>
      </c>
      <c r="E8145" t="s">
        <v>237</v>
      </c>
      <c r="F8145">
        <f t="shared" si="254"/>
        <v>1906</v>
      </c>
      <c r="G8145">
        <f t="shared" si="255"/>
        <v>8</v>
      </c>
      <c r="H8145" t="str">
        <f>IF(ISNUMBER(FIND(",", E8145)), TRIM(MID(E8145, FIND(",", E8145) + 1, LEN(E8145))), E8145)</f>
        <v>Chile</v>
      </c>
    </row>
    <row r="8146" spans="1:8" x14ac:dyDescent="0.25">
      <c r="A8146" s="2">
        <v>2430</v>
      </c>
      <c r="B8146">
        <v>-4</v>
      </c>
      <c r="C8146">
        <v>149</v>
      </c>
      <c r="D8146" t="s">
        <v>14</v>
      </c>
      <c r="E8146" t="s">
        <v>380</v>
      </c>
      <c r="F8146">
        <f t="shared" si="254"/>
        <v>1906</v>
      </c>
      <c r="G8146">
        <f t="shared" si="255"/>
        <v>8</v>
      </c>
      <c r="H8146" t="str">
        <f>IF(ISNUMBER(FIND(",", E8146)), TRIM(MID(E8146, FIND(",", E8146) + 1, LEN(E8146))), E8146)</f>
        <v>Bismarck Sea</v>
      </c>
    </row>
    <row r="8147" spans="1:8" x14ac:dyDescent="0.25">
      <c r="A8147" s="2">
        <v>2429</v>
      </c>
      <c r="B8147">
        <v>9</v>
      </c>
      <c r="C8147">
        <v>39</v>
      </c>
      <c r="D8147" t="s">
        <v>14</v>
      </c>
      <c r="E8147" t="s">
        <v>580</v>
      </c>
      <c r="F8147">
        <f t="shared" si="254"/>
        <v>1906</v>
      </c>
      <c r="G8147">
        <f t="shared" si="255"/>
        <v>8</v>
      </c>
      <c r="H8147" t="str">
        <f>IF(ISNUMBER(FIND(",", E8147)), TRIM(MID(E8147, FIND(",", E8147) + 1, LEN(E8147))), E8147)</f>
        <v>Ethiopia</v>
      </c>
    </row>
    <row r="8148" spans="1:8" x14ac:dyDescent="0.25">
      <c r="A8148" s="2">
        <v>2423</v>
      </c>
      <c r="B8148">
        <v>-33</v>
      </c>
      <c r="C8148">
        <v>-72</v>
      </c>
      <c r="D8148" t="s">
        <v>14</v>
      </c>
      <c r="E8148" t="s">
        <v>286</v>
      </c>
      <c r="F8148">
        <f t="shared" si="254"/>
        <v>1906</v>
      </c>
      <c r="G8148">
        <f t="shared" si="255"/>
        <v>8</v>
      </c>
      <c r="H8148" t="str">
        <f>IF(ISNUMBER(FIND(",", E8148)), TRIM(MID(E8148, FIND(",", E8148) + 1, LEN(E8148))), E8148)</f>
        <v>Chile</v>
      </c>
    </row>
    <row r="8149" spans="1:8" x14ac:dyDescent="0.25">
      <c r="A8149" s="2">
        <v>2421</v>
      </c>
      <c r="B8149">
        <v>-32.4</v>
      </c>
      <c r="C8149">
        <v>-71.400000000000006</v>
      </c>
      <c r="D8149" t="s">
        <v>16</v>
      </c>
      <c r="E8149" t="s">
        <v>244</v>
      </c>
      <c r="F8149">
        <f t="shared" si="254"/>
        <v>1906</v>
      </c>
      <c r="G8149">
        <f t="shared" si="255"/>
        <v>8</v>
      </c>
      <c r="H8149" t="str">
        <f>IF(ISNUMBER(FIND(",", E8149)), TRIM(MID(E8149, FIND(",", E8149) + 1, LEN(E8149))), E8149)</f>
        <v>Chile</v>
      </c>
    </row>
    <row r="8150" spans="1:8" x14ac:dyDescent="0.25">
      <c r="A8150" s="2">
        <v>2421</v>
      </c>
      <c r="B8150">
        <v>50.6</v>
      </c>
      <c r="C8150">
        <v>178.36</v>
      </c>
      <c r="D8150" t="s">
        <v>16</v>
      </c>
      <c r="E8150" t="s">
        <v>366</v>
      </c>
      <c r="F8150">
        <f t="shared" si="254"/>
        <v>1906</v>
      </c>
      <c r="G8150">
        <f t="shared" si="255"/>
        <v>8</v>
      </c>
      <c r="H8150" t="str">
        <f>IF(ISNUMBER(FIND(",", E8150)), TRIM(MID(E8150, FIND(",", E8150) + 1, LEN(E8150))), E8150)</f>
        <v>Aleutian Islands, Alaska</v>
      </c>
    </row>
    <row r="8151" spans="1:8" x14ac:dyDescent="0.25">
      <c r="A8151" s="2">
        <v>2367</v>
      </c>
      <c r="B8151">
        <v>15</v>
      </c>
      <c r="C8151">
        <v>92</v>
      </c>
      <c r="D8151" t="s">
        <v>17</v>
      </c>
      <c r="E8151" t="s">
        <v>766</v>
      </c>
      <c r="F8151">
        <f t="shared" si="254"/>
        <v>1906</v>
      </c>
      <c r="G8151">
        <f t="shared" si="255"/>
        <v>6</v>
      </c>
      <c r="H8151" t="str">
        <f>IF(ISNUMBER(FIND(",", E8151)), TRIM(MID(E8151, FIND(",", E8151) + 1, LEN(E8151))), E8151)</f>
        <v>Bay of Bengal</v>
      </c>
    </row>
    <row r="8152" spans="1:8" x14ac:dyDescent="0.25">
      <c r="A8152" s="2">
        <v>2362</v>
      </c>
      <c r="B8152">
        <v>20</v>
      </c>
      <c r="C8152">
        <v>122</v>
      </c>
      <c r="D8152" t="s">
        <v>17</v>
      </c>
      <c r="E8152" t="s">
        <v>400</v>
      </c>
      <c r="F8152">
        <f t="shared" si="254"/>
        <v>1906</v>
      </c>
      <c r="G8152">
        <f t="shared" si="255"/>
        <v>6</v>
      </c>
      <c r="H8152" t="str">
        <f>IF(ISNUMBER(FIND(",", E8152)), TRIM(MID(E8152, FIND(",", E8152) + 1, LEN(E8152))), E8152)</f>
        <v>Philippines</v>
      </c>
    </row>
    <row r="8153" spans="1:8" x14ac:dyDescent="0.25">
      <c r="A8153" s="2">
        <v>2344</v>
      </c>
      <c r="B8153">
        <v>0</v>
      </c>
      <c r="C8153">
        <v>145</v>
      </c>
      <c r="D8153" t="s">
        <v>16</v>
      </c>
      <c r="E8153" t="s">
        <v>755</v>
      </c>
      <c r="F8153">
        <f t="shared" si="254"/>
        <v>1906</v>
      </c>
      <c r="G8153">
        <f t="shared" si="255"/>
        <v>6</v>
      </c>
      <c r="H8153" t="str">
        <f>IF(ISNUMBER(FIND(",", E8153)), TRIM(MID(E8153, FIND(",", E8153) + 1, LEN(E8153))), E8153)</f>
        <v>Papua New Guinea</v>
      </c>
    </row>
    <row r="8154" spans="1:8" x14ac:dyDescent="0.25">
      <c r="A8154" s="2">
        <v>2300</v>
      </c>
      <c r="B8154">
        <v>37.75</v>
      </c>
      <c r="C8154">
        <v>-122.55</v>
      </c>
      <c r="D8154" t="s">
        <v>16</v>
      </c>
      <c r="E8154" t="s">
        <v>343</v>
      </c>
      <c r="F8154">
        <f t="shared" si="254"/>
        <v>1906</v>
      </c>
      <c r="G8154">
        <f t="shared" si="255"/>
        <v>4</v>
      </c>
      <c r="H8154" t="str">
        <f>IF(ISNUMBER(FIND(",", E8154)), TRIM(MID(E8154, FIND(",", E8154) + 1, LEN(E8154))), E8154)</f>
        <v>offshore Northern California</v>
      </c>
    </row>
    <row r="8155" spans="1:8" x14ac:dyDescent="0.25">
      <c r="A8155" s="2">
        <v>2295</v>
      </c>
      <c r="B8155">
        <v>23.6</v>
      </c>
      <c r="C8155">
        <v>120.4</v>
      </c>
      <c r="D8155" t="s">
        <v>18</v>
      </c>
      <c r="E8155" t="s">
        <v>336</v>
      </c>
      <c r="F8155">
        <f t="shared" si="254"/>
        <v>1906</v>
      </c>
      <c r="G8155">
        <f t="shared" si="255"/>
        <v>4</v>
      </c>
      <c r="H8155" t="str">
        <f>IF(ISNUMBER(FIND(",", E8155)), TRIM(MID(E8155, FIND(",", E8155) + 1, LEN(E8155))), E8155)</f>
        <v>Taiwan</v>
      </c>
    </row>
    <row r="8156" spans="1:8" x14ac:dyDescent="0.25">
      <c r="A8156" s="2">
        <v>2295</v>
      </c>
      <c r="B8156">
        <v>23.6</v>
      </c>
      <c r="C8156">
        <v>120.4</v>
      </c>
      <c r="D8156" t="s">
        <v>18</v>
      </c>
      <c r="E8156" t="s">
        <v>336</v>
      </c>
      <c r="F8156">
        <f t="shared" si="254"/>
        <v>1906</v>
      </c>
      <c r="G8156">
        <f t="shared" si="255"/>
        <v>4</v>
      </c>
      <c r="H8156" t="str">
        <f>IF(ISNUMBER(FIND(",", E8156)), TRIM(MID(E8156, FIND(",", E8156) + 1, LEN(E8156))), E8156)</f>
        <v>Taiwan</v>
      </c>
    </row>
    <row r="8157" spans="1:8" x14ac:dyDescent="0.25">
      <c r="A8157" s="2">
        <v>2292</v>
      </c>
      <c r="B8157">
        <v>20</v>
      </c>
      <c r="C8157">
        <v>-110</v>
      </c>
      <c r="D8157" t="s">
        <v>16</v>
      </c>
      <c r="E8157" t="s">
        <v>271</v>
      </c>
      <c r="F8157">
        <f t="shared" si="254"/>
        <v>1906</v>
      </c>
      <c r="G8157">
        <f t="shared" si="255"/>
        <v>4</v>
      </c>
      <c r="H8157" t="str">
        <f>IF(ISNUMBER(FIND(",", E8157)), TRIM(MID(E8157, FIND(",", E8157) + 1, LEN(E8157))), E8157)</f>
        <v>Revilla Gigedo Islands region</v>
      </c>
    </row>
    <row r="8158" spans="1:8" x14ac:dyDescent="0.25">
      <c r="A8158" s="2">
        <v>2267</v>
      </c>
      <c r="B8158">
        <v>23.6</v>
      </c>
      <c r="C8158">
        <v>120.4</v>
      </c>
      <c r="D8158" t="s">
        <v>14</v>
      </c>
      <c r="E8158" t="s">
        <v>336</v>
      </c>
      <c r="F8158">
        <f t="shared" si="254"/>
        <v>1906</v>
      </c>
      <c r="G8158">
        <f t="shared" si="255"/>
        <v>3</v>
      </c>
      <c r="H8158" t="str">
        <f>IF(ISNUMBER(FIND(",", E8158)), TRIM(MID(E8158, FIND(",", E8158) + 1, LEN(E8158))), E8158)</f>
        <v>Taiwan</v>
      </c>
    </row>
    <row r="8159" spans="1:8" x14ac:dyDescent="0.25">
      <c r="A8159" s="2">
        <v>2254</v>
      </c>
      <c r="B8159">
        <v>2</v>
      </c>
      <c r="C8159">
        <v>-90</v>
      </c>
      <c r="D8159" t="s">
        <v>14</v>
      </c>
      <c r="E8159" t="s">
        <v>767</v>
      </c>
      <c r="F8159">
        <f t="shared" si="254"/>
        <v>1906</v>
      </c>
      <c r="G8159">
        <f t="shared" si="255"/>
        <v>3</v>
      </c>
      <c r="H8159" t="str">
        <f>IF(ISNUMBER(FIND(",", E8159)), TRIM(MID(E8159, FIND(",", E8159) + 1, LEN(E8159))), E8159)</f>
        <v>Ecuador region</v>
      </c>
    </row>
    <row r="8160" spans="1:8" x14ac:dyDescent="0.25">
      <c r="A8160" s="2">
        <v>2253</v>
      </c>
      <c r="B8160">
        <v>43</v>
      </c>
      <c r="C8160">
        <v>80</v>
      </c>
      <c r="D8160" t="s">
        <v>17</v>
      </c>
      <c r="E8160" t="s">
        <v>284</v>
      </c>
      <c r="F8160">
        <f t="shared" si="254"/>
        <v>1906</v>
      </c>
      <c r="G8160">
        <f t="shared" si="255"/>
        <v>3</v>
      </c>
      <c r="H8160" t="str">
        <f>IF(ISNUMBER(FIND(",", E8160)), TRIM(MID(E8160, FIND(",", E8160) + 1, LEN(E8160))), E8160)</f>
        <v>Kyrgyzstan</v>
      </c>
    </row>
    <row r="8161" spans="1:8" x14ac:dyDescent="0.25">
      <c r="A8161" s="2">
        <v>2242</v>
      </c>
      <c r="B8161">
        <v>-10</v>
      </c>
      <c r="C8161">
        <v>160</v>
      </c>
      <c r="D8161" t="s">
        <v>16</v>
      </c>
      <c r="E8161" t="s">
        <v>221</v>
      </c>
      <c r="F8161">
        <f t="shared" si="254"/>
        <v>1906</v>
      </c>
      <c r="G8161">
        <f t="shared" si="255"/>
        <v>2</v>
      </c>
      <c r="H8161" t="str">
        <f>IF(ISNUMBER(FIND(",", E8161)), TRIM(MID(E8161, FIND(",", E8161) + 1, LEN(E8161))), E8161)</f>
        <v>Solomon Islands</v>
      </c>
    </row>
    <row r="8162" spans="1:8" x14ac:dyDescent="0.25">
      <c r="A8162" s="2">
        <v>2223</v>
      </c>
      <c r="B8162">
        <v>1</v>
      </c>
      <c r="C8162">
        <v>-80</v>
      </c>
      <c r="D8162" t="s">
        <v>16</v>
      </c>
      <c r="E8162" t="s">
        <v>457</v>
      </c>
      <c r="F8162">
        <f t="shared" si="254"/>
        <v>1906</v>
      </c>
      <c r="G8162">
        <f t="shared" si="255"/>
        <v>1</v>
      </c>
      <c r="H8162" t="str">
        <f>IF(ISNUMBER(FIND(",", E8162)), TRIM(MID(E8162, FIND(",", E8162) + 1, LEN(E8162))), E8162)</f>
        <v>near the coast of Ecuador</v>
      </c>
    </row>
    <row r="8163" spans="1:8" x14ac:dyDescent="0.25">
      <c r="A8163" s="2">
        <v>2213</v>
      </c>
      <c r="B8163">
        <v>34</v>
      </c>
      <c r="C8163">
        <v>137</v>
      </c>
      <c r="D8163" t="s">
        <v>13</v>
      </c>
      <c r="E8163" t="s">
        <v>360</v>
      </c>
      <c r="F8163">
        <f t="shared" si="254"/>
        <v>1906</v>
      </c>
      <c r="G8163">
        <f t="shared" si="255"/>
        <v>1</v>
      </c>
      <c r="H8163" t="str">
        <f>IF(ISNUMBER(FIND(",", E8163)), TRIM(MID(E8163, FIND(",", E8163) + 1, LEN(E8163))), E8163)</f>
        <v>Japan</v>
      </c>
    </row>
    <row r="8164" spans="1:8" x14ac:dyDescent="0.25">
      <c r="A8164" s="2">
        <v>2178</v>
      </c>
      <c r="B8164">
        <v>17</v>
      </c>
      <c r="C8164">
        <v>-113</v>
      </c>
      <c r="D8164" t="s">
        <v>16</v>
      </c>
      <c r="E8164" t="s">
        <v>271</v>
      </c>
      <c r="F8164">
        <f t="shared" si="254"/>
        <v>1905</v>
      </c>
      <c r="G8164">
        <f t="shared" si="255"/>
        <v>12</v>
      </c>
      <c r="H8164" t="str">
        <f>IF(ISNUMBER(FIND(",", E8164)), TRIM(MID(E8164, FIND(",", E8164) + 1, LEN(E8164))), E8164)</f>
        <v>Revilla Gigedo Islands region</v>
      </c>
    </row>
    <row r="8165" spans="1:8" x14ac:dyDescent="0.25">
      <c r="A8165" s="2">
        <v>2171</v>
      </c>
      <c r="B8165">
        <v>50</v>
      </c>
      <c r="C8165">
        <v>180</v>
      </c>
      <c r="D8165" t="s">
        <v>14</v>
      </c>
      <c r="F8165">
        <f t="shared" si="254"/>
        <v>1905</v>
      </c>
      <c r="G8165">
        <f t="shared" si="255"/>
        <v>12</v>
      </c>
      <c r="H8165">
        <f>IF(ISNUMBER(FIND(",", E8165)), TRIM(MID(E8165, FIND(",", E8165) + 1, LEN(E8165))), E8165)</f>
        <v>0</v>
      </c>
    </row>
    <row r="8166" spans="1:8" x14ac:dyDescent="0.25">
      <c r="A8166" s="2">
        <v>2165</v>
      </c>
      <c r="B8166">
        <v>38</v>
      </c>
      <c r="C8166">
        <v>37</v>
      </c>
      <c r="D8166" t="s">
        <v>17</v>
      </c>
      <c r="E8166" t="s">
        <v>517</v>
      </c>
      <c r="F8166">
        <f t="shared" si="254"/>
        <v>1905</v>
      </c>
      <c r="G8166">
        <f t="shared" si="255"/>
        <v>12</v>
      </c>
      <c r="H8166" t="str">
        <f>IF(ISNUMBER(FIND(",", E8166)), TRIM(MID(E8166, FIND(",", E8166) + 1, LEN(E8166))), E8166)</f>
        <v>central Turkey</v>
      </c>
    </row>
    <row r="8167" spans="1:8" x14ac:dyDescent="0.25">
      <c r="A8167" s="2">
        <v>2139</v>
      </c>
      <c r="B8167">
        <v>40</v>
      </c>
      <c r="C8167">
        <v>24</v>
      </c>
      <c r="D8167" t="s">
        <v>14</v>
      </c>
      <c r="E8167" t="s">
        <v>498</v>
      </c>
      <c r="F8167">
        <f t="shared" si="254"/>
        <v>1905</v>
      </c>
      <c r="G8167">
        <f t="shared" si="255"/>
        <v>11</v>
      </c>
      <c r="H8167" t="str">
        <f>IF(ISNUMBER(FIND(",", E8167)), TRIM(MID(E8167, FIND(",", E8167) + 1, LEN(E8167))), E8167)</f>
        <v>Aegean Sea</v>
      </c>
    </row>
    <row r="8168" spans="1:8" x14ac:dyDescent="0.25">
      <c r="A8168" s="2">
        <v>2121</v>
      </c>
      <c r="B8168">
        <v>42</v>
      </c>
      <c r="C8168">
        <v>42</v>
      </c>
      <c r="D8168" t="s">
        <v>17</v>
      </c>
      <c r="E8168" t="s">
        <v>356</v>
      </c>
      <c r="F8168">
        <f t="shared" si="254"/>
        <v>1905</v>
      </c>
      <c r="G8168">
        <f t="shared" si="255"/>
        <v>10</v>
      </c>
      <c r="H8168" t="str">
        <f>IF(ISNUMBER(FIND(",", E8168)), TRIM(MID(E8168, FIND(",", E8168) + 1, LEN(E8168))), E8168)</f>
        <v>Georgia (Sak'art'velo)</v>
      </c>
    </row>
    <row r="8169" spans="1:8" x14ac:dyDescent="0.25">
      <c r="A8169" s="2">
        <v>2096</v>
      </c>
      <c r="B8169">
        <v>29</v>
      </c>
      <c r="C8169">
        <v>74</v>
      </c>
      <c r="D8169" t="s">
        <v>17</v>
      </c>
      <c r="E8169" t="s">
        <v>768</v>
      </c>
      <c r="F8169">
        <f t="shared" si="254"/>
        <v>1905</v>
      </c>
      <c r="G8169">
        <f t="shared" si="255"/>
        <v>9</v>
      </c>
      <c r="H8169" t="str">
        <f>IF(ISNUMBER(FIND(",", E8169)), TRIM(MID(E8169, FIND(",", E8169) + 1, LEN(E8169))), E8169)</f>
        <v>India-Pakistan border region</v>
      </c>
    </row>
    <row r="8170" spans="1:8" x14ac:dyDescent="0.25">
      <c r="A8170" s="2">
        <v>2085</v>
      </c>
      <c r="B8170">
        <v>55</v>
      </c>
      <c r="C8170">
        <v>165</v>
      </c>
      <c r="D8170" t="s">
        <v>16</v>
      </c>
      <c r="E8170" t="s">
        <v>443</v>
      </c>
      <c r="F8170">
        <f t="shared" si="254"/>
        <v>1905</v>
      </c>
      <c r="G8170">
        <f t="shared" si="255"/>
        <v>9</v>
      </c>
      <c r="H8170" t="str">
        <f>IF(ISNUMBER(FIND(",", E8170)), TRIM(MID(E8170, FIND(",", E8170) + 1, LEN(E8170))), E8170)</f>
        <v>Russia region</v>
      </c>
    </row>
    <row r="8171" spans="1:8" x14ac:dyDescent="0.25">
      <c r="A8171" s="2">
        <v>2078</v>
      </c>
      <c r="B8171">
        <v>39</v>
      </c>
      <c r="C8171">
        <v>16</v>
      </c>
      <c r="D8171" t="s">
        <v>14</v>
      </c>
      <c r="E8171" t="s">
        <v>619</v>
      </c>
      <c r="F8171">
        <f t="shared" si="254"/>
        <v>1905</v>
      </c>
      <c r="G8171">
        <f t="shared" si="255"/>
        <v>9</v>
      </c>
      <c r="H8171" t="str">
        <f>IF(ISNUMBER(FIND(",", E8171)), TRIM(MID(E8171, FIND(",", E8171) + 1, LEN(E8171))), E8171)</f>
        <v>southern Italy</v>
      </c>
    </row>
    <row r="8172" spans="1:8" x14ac:dyDescent="0.25">
      <c r="A8172" s="2">
        <v>2071</v>
      </c>
      <c r="B8172">
        <v>45</v>
      </c>
      <c r="C8172">
        <v>143</v>
      </c>
      <c r="D8172" t="s">
        <v>13</v>
      </c>
      <c r="E8172" t="s">
        <v>265</v>
      </c>
      <c r="F8172">
        <f t="shared" si="254"/>
        <v>1905</v>
      </c>
      <c r="G8172">
        <f t="shared" si="255"/>
        <v>9</v>
      </c>
      <c r="H8172" t="str">
        <f>IF(ISNUMBER(FIND(",", E8172)), TRIM(MID(E8172, FIND(",", E8172) + 1, LEN(E8172))), E8172)</f>
        <v>Japan region</v>
      </c>
    </row>
    <row r="8173" spans="1:8" x14ac:dyDescent="0.25">
      <c r="A8173" s="2">
        <v>2064</v>
      </c>
      <c r="B8173">
        <v>43</v>
      </c>
      <c r="C8173">
        <v>131</v>
      </c>
      <c r="D8173" t="s">
        <v>17</v>
      </c>
      <c r="E8173" t="s">
        <v>520</v>
      </c>
      <c r="F8173">
        <f t="shared" si="254"/>
        <v>1905</v>
      </c>
      <c r="G8173">
        <f t="shared" si="255"/>
        <v>8</v>
      </c>
      <c r="H8173" t="str">
        <f>IF(ISNUMBER(FIND(",", E8173)), TRIM(MID(E8173, FIND(",", E8173) + 1, LEN(E8173))), E8173)</f>
        <v>eastern Russia-northeastern China border region</v>
      </c>
    </row>
    <row r="8174" spans="1:8" x14ac:dyDescent="0.25">
      <c r="A8174" s="2">
        <v>2031</v>
      </c>
      <c r="B8174">
        <v>49.3</v>
      </c>
      <c r="C8174">
        <v>94.9</v>
      </c>
      <c r="D8174" t="s">
        <v>16</v>
      </c>
      <c r="E8174" t="s">
        <v>654</v>
      </c>
      <c r="F8174">
        <f t="shared" si="254"/>
        <v>1905</v>
      </c>
      <c r="G8174">
        <f t="shared" si="255"/>
        <v>7</v>
      </c>
      <c r="H8174" t="str">
        <f>IF(ISNUMBER(FIND(",", E8174)), TRIM(MID(E8174, FIND(",", E8174) + 1, LEN(E8174))), E8174)</f>
        <v>western Mongolia</v>
      </c>
    </row>
    <row r="8175" spans="1:8" x14ac:dyDescent="0.25">
      <c r="A8175" s="2">
        <v>2022</v>
      </c>
      <c r="B8175">
        <v>49.5</v>
      </c>
      <c r="C8175">
        <v>97.3</v>
      </c>
      <c r="D8175" t="s">
        <v>14</v>
      </c>
      <c r="E8175" t="s">
        <v>570</v>
      </c>
      <c r="F8175">
        <f t="shared" si="254"/>
        <v>1905</v>
      </c>
      <c r="G8175">
        <f t="shared" si="255"/>
        <v>7</v>
      </c>
      <c r="H8175" t="str">
        <f>IF(ISNUMBER(FIND(",", E8175)), TRIM(MID(E8175, FIND(",", E8175) + 1, LEN(E8175))), E8175)</f>
        <v>Russia-Mongolia border region</v>
      </c>
    </row>
    <row r="8176" spans="1:8" x14ac:dyDescent="0.25">
      <c r="A8176" s="2">
        <v>2019</v>
      </c>
      <c r="B8176">
        <v>22</v>
      </c>
      <c r="C8176">
        <v>143</v>
      </c>
      <c r="D8176" t="s">
        <v>13</v>
      </c>
      <c r="E8176" t="s">
        <v>519</v>
      </c>
      <c r="F8176">
        <f t="shared" si="254"/>
        <v>1905</v>
      </c>
      <c r="G8176">
        <f t="shared" si="255"/>
        <v>7</v>
      </c>
      <c r="H8176" t="str">
        <f>IF(ISNUMBER(FIND(",", E8176)), TRIM(MID(E8176, FIND(",", E8176) + 1, LEN(E8176))), E8176)</f>
        <v>Japan region</v>
      </c>
    </row>
    <row r="8177" spans="1:8" x14ac:dyDescent="0.25">
      <c r="A8177" s="2">
        <v>2019</v>
      </c>
      <c r="B8177">
        <v>49.5</v>
      </c>
      <c r="C8177">
        <v>97.3</v>
      </c>
      <c r="D8177" t="s">
        <v>14</v>
      </c>
      <c r="E8177" t="s">
        <v>570</v>
      </c>
      <c r="F8177">
        <f t="shared" si="254"/>
        <v>1905</v>
      </c>
      <c r="G8177">
        <f t="shared" si="255"/>
        <v>7</v>
      </c>
      <c r="H8177" t="str">
        <f>IF(ISNUMBER(FIND(",", E8177)), TRIM(MID(E8177, FIND(",", E8177) + 1, LEN(E8177))), E8177)</f>
        <v>Russia-Mongolia border region</v>
      </c>
    </row>
    <row r="8178" spans="1:8" x14ac:dyDescent="0.25">
      <c r="A8178" s="2">
        <v>2017</v>
      </c>
      <c r="B8178">
        <v>49.4</v>
      </c>
      <c r="C8178">
        <v>97.3</v>
      </c>
      <c r="D8178" t="s">
        <v>16</v>
      </c>
      <c r="E8178" t="s">
        <v>570</v>
      </c>
      <c r="F8178">
        <f t="shared" si="254"/>
        <v>1905</v>
      </c>
      <c r="G8178">
        <f t="shared" si="255"/>
        <v>7</v>
      </c>
      <c r="H8178" t="str">
        <f>IF(ISNUMBER(FIND(",", E8178)), TRIM(MID(E8178, FIND(",", E8178) + 1, LEN(E8178))), E8178)</f>
        <v>Russia-Mongolia border region</v>
      </c>
    </row>
    <row r="8179" spans="1:8" x14ac:dyDescent="0.25">
      <c r="A8179" s="2">
        <v>2014</v>
      </c>
      <c r="B8179">
        <v>42</v>
      </c>
      <c r="C8179">
        <v>132</v>
      </c>
      <c r="D8179" t="s">
        <v>18</v>
      </c>
      <c r="E8179" t="s">
        <v>420</v>
      </c>
      <c r="F8179">
        <f t="shared" si="254"/>
        <v>1905</v>
      </c>
      <c r="G8179">
        <f t="shared" si="255"/>
        <v>7</v>
      </c>
      <c r="H8179" t="str">
        <f>IF(ISNUMBER(FIND(",", E8179)), TRIM(MID(E8179, FIND(",", E8179) + 1, LEN(E8179))), E8179)</f>
        <v>Sea of Japan</v>
      </c>
    </row>
    <row r="8180" spans="1:8" x14ac:dyDescent="0.25">
      <c r="A8180" s="2">
        <v>2014</v>
      </c>
      <c r="B8180">
        <v>37.4</v>
      </c>
      <c r="C8180">
        <v>141.80000000000001</v>
      </c>
      <c r="D8180" t="s">
        <v>16</v>
      </c>
      <c r="E8180" t="s">
        <v>227</v>
      </c>
      <c r="F8180">
        <f t="shared" si="254"/>
        <v>1905</v>
      </c>
      <c r="G8180">
        <f t="shared" si="255"/>
        <v>7</v>
      </c>
      <c r="H8180" t="str">
        <f>IF(ISNUMBER(FIND(",", E8180)), TRIM(MID(E8180, FIND(",", E8180) + 1, LEN(E8180))), E8180)</f>
        <v>Japan</v>
      </c>
    </row>
    <row r="8181" spans="1:8" x14ac:dyDescent="0.25">
      <c r="A8181" s="2">
        <v>2008</v>
      </c>
      <c r="B8181">
        <v>-20</v>
      </c>
      <c r="C8181">
        <v>-175</v>
      </c>
      <c r="D8181" t="s">
        <v>16</v>
      </c>
      <c r="E8181" t="s">
        <v>239</v>
      </c>
      <c r="F8181">
        <f t="shared" si="254"/>
        <v>1905</v>
      </c>
      <c r="G8181">
        <f t="shared" si="255"/>
        <v>6</v>
      </c>
      <c r="H8181" t="str">
        <f>IF(ISNUMBER(FIND(",", E8181)), TRIM(MID(E8181, FIND(",", E8181) + 1, LEN(E8181))), E8181)</f>
        <v>Tonga</v>
      </c>
    </row>
    <row r="8182" spans="1:8" x14ac:dyDescent="0.25">
      <c r="A8182" s="2">
        <v>1992</v>
      </c>
      <c r="B8182">
        <v>-20</v>
      </c>
      <c r="C8182">
        <v>-175</v>
      </c>
      <c r="D8182" t="s">
        <v>14</v>
      </c>
      <c r="E8182" t="s">
        <v>239</v>
      </c>
      <c r="F8182">
        <f t="shared" si="254"/>
        <v>1905</v>
      </c>
      <c r="G8182">
        <f t="shared" si="255"/>
        <v>6</v>
      </c>
      <c r="H8182" t="str">
        <f>IF(ISNUMBER(FIND(",", E8182)), TRIM(MID(E8182, FIND(",", E8182) + 1, LEN(E8182))), E8182)</f>
        <v>Tonga</v>
      </c>
    </row>
    <row r="8183" spans="1:8" x14ac:dyDescent="0.25">
      <c r="A8183" s="2">
        <v>1980</v>
      </c>
      <c r="B8183">
        <v>34.1</v>
      </c>
      <c r="C8183">
        <v>132.5</v>
      </c>
      <c r="D8183" t="s">
        <v>13</v>
      </c>
      <c r="E8183" t="s">
        <v>502</v>
      </c>
      <c r="F8183">
        <f t="shared" si="254"/>
        <v>1905</v>
      </c>
      <c r="G8183">
        <f t="shared" si="255"/>
        <v>6</v>
      </c>
      <c r="H8183" t="str">
        <f>IF(ISNUMBER(FIND(",", E8183)), TRIM(MID(E8183, FIND(",", E8183) + 1, LEN(E8183))), E8183)</f>
        <v>Japan</v>
      </c>
    </row>
    <row r="8184" spans="1:8" x14ac:dyDescent="0.25">
      <c r="A8184" s="2">
        <v>1965</v>
      </c>
      <c r="B8184">
        <v>-4</v>
      </c>
      <c r="C8184">
        <v>149</v>
      </c>
      <c r="D8184" t="s">
        <v>14</v>
      </c>
      <c r="E8184" t="s">
        <v>380</v>
      </c>
      <c r="F8184">
        <f t="shared" si="254"/>
        <v>1905</v>
      </c>
      <c r="G8184">
        <f t="shared" si="255"/>
        <v>5</v>
      </c>
      <c r="H8184" t="str">
        <f>IF(ISNUMBER(FIND(",", E8184)), TRIM(MID(E8184, FIND(",", E8184) + 1, LEN(E8184))), E8184)</f>
        <v>Bismarck Sea</v>
      </c>
    </row>
    <row r="8185" spans="1:8" x14ac:dyDescent="0.25">
      <c r="A8185" s="2">
        <v>1943</v>
      </c>
      <c r="B8185">
        <v>-21</v>
      </c>
      <c r="C8185">
        <v>-70</v>
      </c>
      <c r="D8185" t="s">
        <v>17</v>
      </c>
      <c r="E8185" t="s">
        <v>237</v>
      </c>
      <c r="F8185">
        <f t="shared" si="254"/>
        <v>1905</v>
      </c>
      <c r="G8185">
        <f t="shared" si="255"/>
        <v>4</v>
      </c>
      <c r="H8185" t="str">
        <f>IF(ISNUMBER(FIND(",", E8185)), TRIM(MID(E8185, FIND(",", E8185) + 1, LEN(E8185))), E8185)</f>
        <v>Chile</v>
      </c>
    </row>
    <row r="8186" spans="1:8" x14ac:dyDescent="0.25">
      <c r="A8186" s="2">
        <v>1936</v>
      </c>
      <c r="B8186">
        <v>-32</v>
      </c>
      <c r="C8186">
        <v>-171</v>
      </c>
      <c r="D8186" t="s">
        <v>14</v>
      </c>
      <c r="E8186" t="s">
        <v>240</v>
      </c>
      <c r="F8186">
        <f t="shared" si="254"/>
        <v>1905</v>
      </c>
      <c r="G8186">
        <f t="shared" si="255"/>
        <v>4</v>
      </c>
      <c r="H8186" t="str">
        <f>IF(ISNUMBER(FIND(",", E8186)), TRIM(MID(E8186, FIND(",", E8186) + 1, LEN(E8186))), E8186)</f>
        <v>Kermadec Islands region</v>
      </c>
    </row>
    <row r="8187" spans="1:8" x14ac:dyDescent="0.25">
      <c r="A8187" s="2">
        <v>1921</v>
      </c>
      <c r="B8187">
        <v>33</v>
      </c>
      <c r="C8187">
        <v>76</v>
      </c>
      <c r="D8187" t="s">
        <v>16</v>
      </c>
      <c r="E8187" t="s">
        <v>769</v>
      </c>
      <c r="F8187">
        <f t="shared" si="254"/>
        <v>1905</v>
      </c>
      <c r="G8187">
        <f t="shared" si="255"/>
        <v>4</v>
      </c>
      <c r="H8187" t="str">
        <f>IF(ISNUMBER(FIND(",", E8187)), TRIM(MID(E8187, FIND(",", E8187) + 1, LEN(E8187))), E8187)</f>
        <v>Kashmir-India border region</v>
      </c>
    </row>
    <row r="8188" spans="1:8" x14ac:dyDescent="0.25">
      <c r="A8188" s="2">
        <v>1908</v>
      </c>
      <c r="B8188">
        <v>50</v>
      </c>
      <c r="C8188">
        <v>180</v>
      </c>
      <c r="D8188" t="s">
        <v>14</v>
      </c>
      <c r="F8188">
        <f t="shared" si="254"/>
        <v>1905</v>
      </c>
      <c r="G8188">
        <f t="shared" si="255"/>
        <v>3</v>
      </c>
      <c r="H8188">
        <f>IF(ISNUMBER(FIND(",", E8188)), TRIM(MID(E8188, FIND(",", E8188) + 1, LEN(E8188))), E8188)</f>
        <v>0</v>
      </c>
    </row>
    <row r="8189" spans="1:8" x14ac:dyDescent="0.25">
      <c r="A8189" s="2">
        <v>1904</v>
      </c>
      <c r="B8189">
        <v>-10</v>
      </c>
      <c r="C8189">
        <v>168</v>
      </c>
      <c r="D8189" t="s">
        <v>16</v>
      </c>
      <c r="E8189" t="s">
        <v>396</v>
      </c>
      <c r="F8189">
        <f t="shared" si="254"/>
        <v>1905</v>
      </c>
      <c r="G8189">
        <f t="shared" si="255"/>
        <v>3</v>
      </c>
      <c r="H8189" t="str">
        <f>IF(ISNUMBER(FIND(",", E8189)), TRIM(MID(E8189, FIND(",", E8189) + 1, LEN(E8189))), E8189)</f>
        <v>Santa Cruz Islands region</v>
      </c>
    </row>
    <row r="8190" spans="1:8" x14ac:dyDescent="0.25">
      <c r="A8190" s="2">
        <v>1904</v>
      </c>
      <c r="B8190">
        <v>-27.5</v>
      </c>
      <c r="C8190">
        <v>-173</v>
      </c>
      <c r="D8190" t="s">
        <v>17</v>
      </c>
      <c r="E8190" t="s">
        <v>240</v>
      </c>
      <c r="F8190">
        <f t="shared" si="254"/>
        <v>1905</v>
      </c>
      <c r="G8190">
        <f t="shared" si="255"/>
        <v>3</v>
      </c>
      <c r="H8190" t="str">
        <f>IF(ISNUMBER(FIND(",", E8190)), TRIM(MID(E8190, FIND(",", E8190) + 1, LEN(E8190))), E8190)</f>
        <v>Kermadec Islands region</v>
      </c>
    </row>
    <row r="8191" spans="1:8" x14ac:dyDescent="0.25">
      <c r="A8191" s="2">
        <v>1890</v>
      </c>
      <c r="B8191">
        <v>-4</v>
      </c>
      <c r="C8191">
        <v>149</v>
      </c>
      <c r="D8191" t="s">
        <v>14</v>
      </c>
      <c r="E8191" t="s">
        <v>380</v>
      </c>
      <c r="F8191">
        <f t="shared" si="254"/>
        <v>1905</v>
      </c>
      <c r="G8191">
        <f t="shared" si="255"/>
        <v>3</v>
      </c>
      <c r="H8191" t="str">
        <f>IF(ISNUMBER(FIND(",", E8191)), TRIM(MID(E8191, FIND(",", E8191) + 1, LEN(E8191))), E8191)</f>
        <v>Bismarck Sea</v>
      </c>
    </row>
    <row r="8192" spans="1:8" x14ac:dyDescent="0.25">
      <c r="A8192" s="2">
        <v>1890</v>
      </c>
      <c r="B8192">
        <v>-4</v>
      </c>
      <c r="C8192">
        <v>149</v>
      </c>
      <c r="D8192" t="s">
        <v>17</v>
      </c>
      <c r="E8192" t="s">
        <v>380</v>
      </c>
      <c r="F8192">
        <f t="shared" si="254"/>
        <v>1905</v>
      </c>
      <c r="G8192">
        <f t="shared" si="255"/>
        <v>3</v>
      </c>
      <c r="H8192" t="str">
        <f>IF(ISNUMBER(FIND(",", E8192)), TRIM(MID(E8192, FIND(",", E8192) + 1, LEN(E8192))), E8192)</f>
        <v>Bismarck Sea</v>
      </c>
    </row>
    <row r="8193" spans="1:8" x14ac:dyDescent="0.25">
      <c r="A8193" s="2">
        <v>1885</v>
      </c>
      <c r="B8193">
        <v>-23</v>
      </c>
      <c r="C8193">
        <v>-176</v>
      </c>
      <c r="D8193" t="s">
        <v>14</v>
      </c>
      <c r="E8193" t="s">
        <v>304</v>
      </c>
      <c r="F8193">
        <f t="shared" si="254"/>
        <v>1905</v>
      </c>
      <c r="G8193">
        <f t="shared" si="255"/>
        <v>2</v>
      </c>
      <c r="H8193" t="str">
        <f>IF(ISNUMBER(FIND(",", E8193)), TRIM(MID(E8193, FIND(",", E8193) + 1, LEN(E8193))), E8193)</f>
        <v>Tonga region</v>
      </c>
    </row>
    <row r="8194" spans="1:8" x14ac:dyDescent="0.25">
      <c r="A8194" s="2">
        <v>1877</v>
      </c>
      <c r="B8194">
        <v>-10</v>
      </c>
      <c r="C8194">
        <v>168</v>
      </c>
      <c r="D8194" t="s">
        <v>14</v>
      </c>
      <c r="E8194" t="s">
        <v>396</v>
      </c>
      <c r="F8194">
        <f t="shared" ref="F8194:F8257" si="256">YEAR(A8194)</f>
        <v>1905</v>
      </c>
      <c r="G8194">
        <f t="shared" si="255"/>
        <v>2</v>
      </c>
      <c r="H8194" t="str">
        <f>IF(ISNUMBER(FIND(",", E8194)), TRIM(MID(E8194, FIND(",", E8194) + 1, LEN(E8194))), E8194)</f>
        <v>Santa Cruz Islands region</v>
      </c>
    </row>
    <row r="8195" spans="1:8" x14ac:dyDescent="0.25">
      <c r="A8195" s="2">
        <v>1875</v>
      </c>
      <c r="B8195">
        <v>26</v>
      </c>
      <c r="C8195">
        <v>96</v>
      </c>
      <c r="D8195" t="s">
        <v>14</v>
      </c>
      <c r="E8195" t="s">
        <v>303</v>
      </c>
      <c r="F8195">
        <f t="shared" si="256"/>
        <v>1905</v>
      </c>
      <c r="G8195">
        <f t="shared" ref="G8195:G8258" si="257">MONTH(A8195)</f>
        <v>2</v>
      </c>
      <c r="H8195" t="str">
        <f>IF(ISNUMBER(FIND(",", E8195)), TRIM(MID(E8195, FIND(",", E8195) + 1, LEN(E8195))), E8195)</f>
        <v>Myanmar-India border region</v>
      </c>
    </row>
    <row r="8196" spans="1:8" x14ac:dyDescent="0.25">
      <c r="A8196" s="2">
        <v>1872</v>
      </c>
      <c r="B8196">
        <v>53</v>
      </c>
      <c r="C8196">
        <v>-178</v>
      </c>
      <c r="D8196" t="s">
        <v>16</v>
      </c>
      <c r="E8196" t="s">
        <v>207</v>
      </c>
      <c r="F8196">
        <f t="shared" si="256"/>
        <v>1905</v>
      </c>
      <c r="G8196">
        <f t="shared" si="257"/>
        <v>2</v>
      </c>
      <c r="H8196" t="str">
        <f>IF(ISNUMBER(FIND(",", E8196)), TRIM(MID(E8196, FIND(",", E8196) + 1, LEN(E8196))), E8196)</f>
        <v>Aleutian Islands, Alaska</v>
      </c>
    </row>
    <row r="8197" spans="1:8" x14ac:dyDescent="0.25">
      <c r="A8197" s="2">
        <v>1849</v>
      </c>
      <c r="B8197">
        <v>1</v>
      </c>
      <c r="C8197">
        <v>123</v>
      </c>
      <c r="D8197" t="s">
        <v>13</v>
      </c>
      <c r="E8197" t="s">
        <v>263</v>
      </c>
      <c r="F8197">
        <f t="shared" si="256"/>
        <v>1905</v>
      </c>
      <c r="G8197">
        <f t="shared" si="257"/>
        <v>1</v>
      </c>
      <c r="H8197" t="str">
        <f>IF(ISNUMBER(FIND(",", E8197)), TRIM(MID(E8197, FIND(",", E8197) + 1, LEN(E8197))), E8197)</f>
        <v>Sulawesi, Indonesia</v>
      </c>
    </row>
    <row r="8198" spans="1:8" x14ac:dyDescent="0.25">
      <c r="A8198" s="2">
        <v>1840</v>
      </c>
      <c r="B8198">
        <v>0</v>
      </c>
      <c r="C8198">
        <v>143</v>
      </c>
      <c r="D8198" t="s">
        <v>14</v>
      </c>
      <c r="E8198" t="s">
        <v>755</v>
      </c>
      <c r="F8198">
        <f t="shared" si="256"/>
        <v>1905</v>
      </c>
      <c r="G8198">
        <f t="shared" si="257"/>
        <v>1</v>
      </c>
      <c r="H8198" t="str">
        <f>IF(ISNUMBER(FIND(",", E8198)), TRIM(MID(E8198, FIND(",", E8198) + 1, LEN(E8198))), E8198)</f>
        <v>Papua New Guinea</v>
      </c>
    </row>
    <row r="8199" spans="1:8" x14ac:dyDescent="0.25">
      <c r="A8199" s="2">
        <v>1823</v>
      </c>
      <c r="B8199">
        <v>31</v>
      </c>
      <c r="C8199">
        <v>138</v>
      </c>
      <c r="D8199" t="s">
        <v>18</v>
      </c>
      <c r="E8199" t="s">
        <v>88</v>
      </c>
      <c r="F8199">
        <f t="shared" si="256"/>
        <v>1904</v>
      </c>
      <c r="G8199">
        <f t="shared" si="257"/>
        <v>12</v>
      </c>
      <c r="H8199" t="str">
        <f>IF(ISNUMBER(FIND(",", E8199)), TRIM(MID(E8199, FIND(",", E8199) + 1, LEN(E8199))), E8199)</f>
        <v>Japan region</v>
      </c>
    </row>
    <row r="8200" spans="1:8" x14ac:dyDescent="0.25">
      <c r="A8200" s="2">
        <v>1816</v>
      </c>
      <c r="B8200">
        <v>8.5</v>
      </c>
      <c r="C8200">
        <v>-83</v>
      </c>
      <c r="D8200" t="s">
        <v>16</v>
      </c>
      <c r="E8200" t="s">
        <v>379</v>
      </c>
      <c r="F8200">
        <f t="shared" si="256"/>
        <v>1904</v>
      </c>
      <c r="G8200">
        <f t="shared" si="257"/>
        <v>12</v>
      </c>
      <c r="H8200" t="str">
        <f>IF(ISNUMBER(FIND(",", E8200)), TRIM(MID(E8200, FIND(",", E8200) + 1, LEN(E8200))), E8200)</f>
        <v>Panama-Costa Rica border region</v>
      </c>
    </row>
    <row r="8201" spans="1:8" x14ac:dyDescent="0.25">
      <c r="A8201" s="2">
        <v>1763</v>
      </c>
      <c r="B8201">
        <v>8</v>
      </c>
      <c r="C8201">
        <v>113</v>
      </c>
      <c r="D8201" t="s">
        <v>14</v>
      </c>
      <c r="E8201" t="s">
        <v>722</v>
      </c>
      <c r="F8201">
        <f t="shared" si="256"/>
        <v>1904</v>
      </c>
      <c r="G8201">
        <f t="shared" si="257"/>
        <v>10</v>
      </c>
      <c r="H8201" t="str">
        <f>IF(ISNUMBER(FIND(",", E8201)), TRIM(MID(E8201, FIND(",", E8201) + 1, LEN(E8201))), E8201)</f>
        <v>South China Sea</v>
      </c>
    </row>
    <row r="8202" spans="1:8" x14ac:dyDescent="0.25">
      <c r="A8202" s="2">
        <v>1738</v>
      </c>
      <c r="B8202">
        <v>12</v>
      </c>
      <c r="C8202">
        <v>58</v>
      </c>
      <c r="D8202" t="s">
        <v>14</v>
      </c>
      <c r="E8202" t="s">
        <v>544</v>
      </c>
      <c r="F8202">
        <f t="shared" si="256"/>
        <v>1904</v>
      </c>
      <c r="G8202">
        <f t="shared" si="257"/>
        <v>10</v>
      </c>
      <c r="H8202" t="str">
        <f>IF(ISNUMBER(FIND(",", E8202)), TRIM(MID(E8202, FIND(",", E8202) + 1, LEN(E8202))), E8202)</f>
        <v>Owen Fracture Zone region</v>
      </c>
    </row>
    <row r="8203" spans="1:8" x14ac:dyDescent="0.25">
      <c r="A8203" s="2">
        <v>1704</v>
      </c>
      <c r="B8203">
        <v>30</v>
      </c>
      <c r="C8203">
        <v>101</v>
      </c>
      <c r="D8203" t="s">
        <v>14</v>
      </c>
      <c r="E8203" t="s">
        <v>578</v>
      </c>
      <c r="F8203">
        <f t="shared" si="256"/>
        <v>1904</v>
      </c>
      <c r="G8203">
        <f t="shared" si="257"/>
        <v>8</v>
      </c>
      <c r="H8203" t="str">
        <f>IF(ISNUMBER(FIND(",", E8203)), TRIM(MID(E8203, FIND(",", E8203) + 1, LEN(E8203))), E8203)</f>
        <v>China</v>
      </c>
    </row>
    <row r="8204" spans="1:8" x14ac:dyDescent="0.25">
      <c r="A8204" s="2">
        <v>1701</v>
      </c>
      <c r="B8204">
        <v>64</v>
      </c>
      <c r="C8204">
        <v>-151</v>
      </c>
      <c r="D8204" t="s">
        <v>16</v>
      </c>
      <c r="E8204" t="s">
        <v>487</v>
      </c>
      <c r="F8204">
        <f t="shared" si="256"/>
        <v>1904</v>
      </c>
      <c r="G8204">
        <f t="shared" si="257"/>
        <v>8</v>
      </c>
      <c r="H8204" t="str">
        <f>IF(ISNUMBER(FIND(",", E8204)), TRIM(MID(E8204, FIND(",", E8204) + 1, LEN(E8204))), E8204)</f>
        <v>Central Alaska</v>
      </c>
    </row>
    <row r="8205" spans="1:8" x14ac:dyDescent="0.25">
      <c r="A8205" s="2">
        <v>1698</v>
      </c>
      <c r="B8205">
        <v>30</v>
      </c>
      <c r="C8205">
        <v>131</v>
      </c>
      <c r="D8205" t="s">
        <v>16</v>
      </c>
      <c r="E8205" t="s">
        <v>357</v>
      </c>
      <c r="F8205">
        <f t="shared" si="256"/>
        <v>1904</v>
      </c>
      <c r="G8205">
        <f t="shared" si="257"/>
        <v>8</v>
      </c>
      <c r="H8205" t="str">
        <f>IF(ISNUMBER(FIND(",", E8205)), TRIM(MID(E8205, FIND(",", E8205) + 1, LEN(E8205))), E8205)</f>
        <v>Japan</v>
      </c>
    </row>
    <row r="8206" spans="1:8" x14ac:dyDescent="0.25">
      <c r="A8206" s="2">
        <v>1682</v>
      </c>
      <c r="B8206">
        <v>-42</v>
      </c>
      <c r="C8206">
        <v>179</v>
      </c>
      <c r="D8206" t="s">
        <v>14</v>
      </c>
      <c r="E8206" t="s">
        <v>410</v>
      </c>
      <c r="F8206">
        <f t="shared" si="256"/>
        <v>1904</v>
      </c>
      <c r="G8206">
        <f t="shared" si="257"/>
        <v>8</v>
      </c>
      <c r="H8206" t="str">
        <f>IF(ISNUMBER(FIND(",", E8206)), TRIM(MID(E8206, FIND(",", E8206) + 1, LEN(E8206))), E8206)</f>
        <v>off the east coast of the North Island of New Zealand</v>
      </c>
    </row>
    <row r="8207" spans="1:8" x14ac:dyDescent="0.25">
      <c r="A8207" s="2">
        <v>1667</v>
      </c>
      <c r="B8207">
        <v>52</v>
      </c>
      <c r="C8207">
        <v>159</v>
      </c>
      <c r="D8207" t="s">
        <v>14</v>
      </c>
      <c r="E8207" t="s">
        <v>318</v>
      </c>
      <c r="F8207">
        <f t="shared" si="256"/>
        <v>1904</v>
      </c>
      <c r="G8207">
        <f t="shared" si="257"/>
        <v>7</v>
      </c>
      <c r="H8207" t="str">
        <f>IF(ISNUMBER(FIND(",", E8207)), TRIM(MID(E8207, FIND(",", E8207) + 1, LEN(E8207))), E8207)</f>
        <v>Russia</v>
      </c>
    </row>
    <row r="8208" spans="1:8" x14ac:dyDescent="0.25">
      <c r="A8208" s="2">
        <v>1640</v>
      </c>
      <c r="B8208">
        <v>52</v>
      </c>
      <c r="C8208">
        <v>159</v>
      </c>
      <c r="D8208" t="s">
        <v>16</v>
      </c>
      <c r="E8208" t="s">
        <v>318</v>
      </c>
      <c r="F8208">
        <f t="shared" si="256"/>
        <v>1904</v>
      </c>
      <c r="G8208">
        <f t="shared" si="257"/>
        <v>6</v>
      </c>
      <c r="H8208" t="str">
        <f>IF(ISNUMBER(FIND(",", E8208)), TRIM(MID(E8208, FIND(",", E8208) + 1, LEN(E8208))), E8208)</f>
        <v>Russia</v>
      </c>
    </row>
    <row r="8209" spans="1:8" x14ac:dyDescent="0.25">
      <c r="A8209" s="2">
        <v>1638</v>
      </c>
      <c r="B8209">
        <v>52</v>
      </c>
      <c r="C8209">
        <v>159</v>
      </c>
      <c r="D8209" t="s">
        <v>16</v>
      </c>
      <c r="E8209" t="s">
        <v>318</v>
      </c>
      <c r="F8209">
        <f t="shared" si="256"/>
        <v>1904</v>
      </c>
      <c r="G8209">
        <f t="shared" si="257"/>
        <v>6</v>
      </c>
      <c r="H8209" t="str">
        <f>IF(ISNUMBER(FIND(",", E8209)), TRIM(MID(E8209, FIND(",", E8209) + 1, LEN(E8209))), E8209)</f>
        <v>Russia</v>
      </c>
    </row>
    <row r="8210" spans="1:8" x14ac:dyDescent="0.25">
      <c r="A8210" s="2">
        <v>1638</v>
      </c>
      <c r="B8210">
        <v>52</v>
      </c>
      <c r="C8210">
        <v>159</v>
      </c>
      <c r="D8210" t="s">
        <v>16</v>
      </c>
      <c r="E8210" t="s">
        <v>318</v>
      </c>
      <c r="F8210">
        <f t="shared" si="256"/>
        <v>1904</v>
      </c>
      <c r="G8210">
        <f t="shared" si="257"/>
        <v>6</v>
      </c>
      <c r="H8210" t="str">
        <f>IF(ISNUMBER(FIND(",", E8210)), TRIM(MID(E8210, FIND(",", E8210) + 1, LEN(E8210))), E8210)</f>
        <v>Russia</v>
      </c>
    </row>
    <row r="8211" spans="1:8" x14ac:dyDescent="0.25">
      <c r="A8211" s="2">
        <v>1620</v>
      </c>
      <c r="B8211">
        <v>39</v>
      </c>
      <c r="C8211">
        <v>135</v>
      </c>
      <c r="D8211" t="s">
        <v>13</v>
      </c>
      <c r="E8211" t="s">
        <v>420</v>
      </c>
      <c r="F8211">
        <f t="shared" si="256"/>
        <v>1904</v>
      </c>
      <c r="G8211">
        <f t="shared" si="257"/>
        <v>6</v>
      </c>
      <c r="H8211" t="str">
        <f>IF(ISNUMBER(FIND(",", E8211)), TRIM(MID(E8211, FIND(",", E8211) + 1, LEN(E8211))), E8211)</f>
        <v>Sea of Japan</v>
      </c>
    </row>
    <row r="8212" spans="1:8" x14ac:dyDescent="0.25">
      <c r="A8212" s="2">
        <v>1583</v>
      </c>
      <c r="B8212">
        <v>2</v>
      </c>
      <c r="C8212">
        <v>130</v>
      </c>
      <c r="D8212" t="s">
        <v>14</v>
      </c>
      <c r="E8212" t="s">
        <v>311</v>
      </c>
      <c r="F8212">
        <f t="shared" si="256"/>
        <v>1904</v>
      </c>
      <c r="G8212">
        <f t="shared" si="257"/>
        <v>5</v>
      </c>
      <c r="H8212" t="str">
        <f>IF(ISNUMBER(FIND(",", E8212)), TRIM(MID(E8212, FIND(",", E8212) + 1, LEN(E8212))), E8212)</f>
        <v>Indonesia</v>
      </c>
    </row>
    <row r="8213" spans="1:8" x14ac:dyDescent="0.25">
      <c r="A8213" s="2">
        <v>1583</v>
      </c>
      <c r="B8213">
        <v>-33</v>
      </c>
      <c r="C8213">
        <v>-178</v>
      </c>
      <c r="D8213" t="s">
        <v>14</v>
      </c>
      <c r="E8213" t="s">
        <v>262</v>
      </c>
      <c r="F8213">
        <f t="shared" si="256"/>
        <v>1904</v>
      </c>
      <c r="G8213">
        <f t="shared" si="257"/>
        <v>5</v>
      </c>
      <c r="H8213" t="str">
        <f>IF(ISNUMBER(FIND(",", E8213)), TRIM(MID(E8213, FIND(",", E8213) + 1, LEN(E8213))), E8213)</f>
        <v>south of the Kermadec Islands</v>
      </c>
    </row>
    <row r="8214" spans="1:8" x14ac:dyDescent="0.25">
      <c r="A8214" s="2">
        <v>1556</v>
      </c>
      <c r="B8214">
        <v>41.75</v>
      </c>
      <c r="C8214">
        <v>23.25</v>
      </c>
      <c r="D8214" t="s">
        <v>16</v>
      </c>
      <c r="E8214" t="s">
        <v>728</v>
      </c>
      <c r="F8214">
        <f t="shared" si="256"/>
        <v>1904</v>
      </c>
      <c r="G8214">
        <f t="shared" si="257"/>
        <v>4</v>
      </c>
      <c r="H8214" t="str">
        <f>IF(ISNUMBER(FIND(",", E8214)), TRIM(MID(E8214, FIND(",", E8214) + 1, LEN(E8214))), E8214)</f>
        <v>Bulgaria</v>
      </c>
    </row>
    <row r="8215" spans="1:8" x14ac:dyDescent="0.25">
      <c r="A8215" s="2">
        <v>1540</v>
      </c>
      <c r="B8215">
        <v>-29</v>
      </c>
      <c r="C8215">
        <v>-71</v>
      </c>
      <c r="D8215" t="s">
        <v>14</v>
      </c>
      <c r="E8215" t="s">
        <v>264</v>
      </c>
      <c r="F8215">
        <f t="shared" si="256"/>
        <v>1904</v>
      </c>
      <c r="G8215">
        <f t="shared" si="257"/>
        <v>3</v>
      </c>
      <c r="H8215" t="str">
        <f>IF(ISNUMBER(FIND(",", E8215)), TRIM(MID(E8215, FIND(",", E8215) + 1, LEN(E8215))), E8215)</f>
        <v>Chile</v>
      </c>
    </row>
    <row r="8216" spans="1:8" x14ac:dyDescent="0.25">
      <c r="A8216" s="2">
        <v>1539</v>
      </c>
      <c r="B8216">
        <v>42.7</v>
      </c>
      <c r="C8216">
        <v>146.1</v>
      </c>
      <c r="D8216" t="s">
        <v>18</v>
      </c>
      <c r="E8216" t="s">
        <v>770</v>
      </c>
      <c r="F8216">
        <f t="shared" si="256"/>
        <v>1904</v>
      </c>
      <c r="G8216">
        <f t="shared" si="257"/>
        <v>3</v>
      </c>
      <c r="H8216" t="str">
        <f>IF(ISNUMBER(FIND(",", E8216)), TRIM(MID(E8216, FIND(",", E8216) + 1, LEN(E8216))), E8216)</f>
        <v>Japan</v>
      </c>
    </row>
    <row r="8217" spans="1:8" x14ac:dyDescent="0.25">
      <c r="A8217" s="2">
        <v>1481</v>
      </c>
      <c r="B8217">
        <v>7</v>
      </c>
      <c r="C8217">
        <v>-79</v>
      </c>
      <c r="D8217" t="s">
        <v>16</v>
      </c>
      <c r="E8217" t="s">
        <v>367</v>
      </c>
      <c r="F8217">
        <f t="shared" si="256"/>
        <v>1904</v>
      </c>
      <c r="G8217">
        <f t="shared" si="257"/>
        <v>1</v>
      </c>
      <c r="H8217" t="str">
        <f>IF(ISNUMBER(FIND(",", E8217)), TRIM(MID(E8217, FIND(",", E8217) + 1, LEN(E8217))), E8217)</f>
        <v>Panama</v>
      </c>
    </row>
    <row r="8218" spans="1:8" x14ac:dyDescent="0.25">
      <c r="A8218" s="2">
        <v>1468</v>
      </c>
      <c r="B8218">
        <v>-50</v>
      </c>
      <c r="C8218">
        <v>165</v>
      </c>
      <c r="D8218" t="s">
        <v>14</v>
      </c>
      <c r="E8218" t="s">
        <v>404</v>
      </c>
      <c r="F8218">
        <f t="shared" si="256"/>
        <v>1904</v>
      </c>
      <c r="G8218">
        <f t="shared" si="257"/>
        <v>1</v>
      </c>
      <c r="H8218" t="str">
        <f>IF(ISNUMBER(FIND(",", E8218)), TRIM(MID(E8218, FIND(",", E8218) + 1, LEN(E8218))), E8218)</f>
        <v>New Zealand region</v>
      </c>
    </row>
    <row r="8219" spans="1:8" x14ac:dyDescent="0.25">
      <c r="A8219" s="2">
        <v>1458</v>
      </c>
      <c r="B8219">
        <v>7</v>
      </c>
      <c r="C8219">
        <v>127</v>
      </c>
      <c r="D8219" t="s">
        <v>16</v>
      </c>
      <c r="E8219" t="s">
        <v>200</v>
      </c>
      <c r="F8219">
        <f t="shared" si="256"/>
        <v>1903</v>
      </c>
      <c r="G8219">
        <f t="shared" si="257"/>
        <v>12</v>
      </c>
      <c r="H8219" t="str">
        <f>IF(ISNUMBER(FIND(",", E8219)), TRIM(MID(E8219, FIND(",", E8219) + 1, LEN(E8219))), E8219)</f>
        <v>Philippines</v>
      </c>
    </row>
    <row r="8220" spans="1:8" x14ac:dyDescent="0.25">
      <c r="A8220" s="2">
        <v>1453</v>
      </c>
      <c r="B8220">
        <v>-10</v>
      </c>
      <c r="C8220">
        <v>165</v>
      </c>
      <c r="D8220" t="s">
        <v>14</v>
      </c>
      <c r="E8220" t="s">
        <v>211</v>
      </c>
      <c r="F8220">
        <f t="shared" si="256"/>
        <v>1903</v>
      </c>
      <c r="G8220">
        <f t="shared" si="257"/>
        <v>12</v>
      </c>
      <c r="H8220" t="str">
        <f>IF(ISNUMBER(FIND(",", E8220)), TRIM(MID(E8220, FIND(",", E8220) + 1, LEN(E8220))), E8220)</f>
        <v>Santa Cruz Islands</v>
      </c>
    </row>
    <row r="8221" spans="1:8" x14ac:dyDescent="0.25">
      <c r="A8221" s="2">
        <v>1437</v>
      </c>
      <c r="B8221">
        <v>-27</v>
      </c>
      <c r="C8221">
        <v>-70</v>
      </c>
      <c r="D8221" t="s">
        <v>14</v>
      </c>
      <c r="E8221" t="s">
        <v>264</v>
      </c>
      <c r="F8221">
        <f t="shared" si="256"/>
        <v>1903</v>
      </c>
      <c r="G8221">
        <f t="shared" si="257"/>
        <v>12</v>
      </c>
      <c r="H8221" t="str">
        <f>IF(ISNUMBER(FIND(",", E8221)), TRIM(MID(E8221, FIND(",", E8221) + 1, LEN(E8221))), E8221)</f>
        <v>Chile</v>
      </c>
    </row>
    <row r="8222" spans="1:8" x14ac:dyDescent="0.25">
      <c r="A8222" s="2">
        <v>1426</v>
      </c>
      <c r="B8222">
        <v>52.7</v>
      </c>
      <c r="C8222">
        <v>107.6</v>
      </c>
      <c r="D8222" t="s">
        <v>14</v>
      </c>
      <c r="E8222" t="s">
        <v>392</v>
      </c>
      <c r="F8222">
        <f t="shared" si="256"/>
        <v>1903</v>
      </c>
      <c r="G8222">
        <f t="shared" si="257"/>
        <v>11</v>
      </c>
      <c r="H8222" t="str">
        <f>IF(ISNUMBER(FIND(",", E8222)), TRIM(MID(E8222, FIND(",", E8222) + 1, LEN(E8222))), E8222)</f>
        <v>Russia</v>
      </c>
    </row>
    <row r="8223" spans="1:8" x14ac:dyDescent="0.25">
      <c r="A8223" s="2">
        <v>1399</v>
      </c>
      <c r="B8223">
        <v>-20</v>
      </c>
      <c r="C8223">
        <v>175</v>
      </c>
      <c r="D8223" t="s">
        <v>14</v>
      </c>
      <c r="E8223" t="s">
        <v>256</v>
      </c>
      <c r="F8223">
        <f t="shared" si="256"/>
        <v>1903</v>
      </c>
      <c r="G8223">
        <f t="shared" si="257"/>
        <v>10</v>
      </c>
      <c r="H8223" t="str">
        <f>IF(ISNUMBER(FIND(",", E8223)), TRIM(MID(E8223, FIND(",", E8223) + 1, LEN(E8223))), E8223)</f>
        <v>south of the Fiji Islands</v>
      </c>
    </row>
    <row r="8224" spans="1:8" x14ac:dyDescent="0.25">
      <c r="A8224" s="2">
        <v>1398</v>
      </c>
      <c r="B8224">
        <v>-20</v>
      </c>
      <c r="C8224">
        <v>167</v>
      </c>
      <c r="D8224" t="s">
        <v>14</v>
      </c>
      <c r="E8224" t="s">
        <v>281</v>
      </c>
      <c r="F8224">
        <f t="shared" si="256"/>
        <v>1903</v>
      </c>
      <c r="G8224">
        <f t="shared" si="257"/>
        <v>10</v>
      </c>
      <c r="H8224" t="str">
        <f>IF(ISNUMBER(FIND(",", E8224)), TRIM(MID(E8224, FIND(",", E8224) + 1, LEN(E8224))), E8224)</f>
        <v>Vanuatu region</v>
      </c>
    </row>
    <row r="8225" spans="1:8" x14ac:dyDescent="0.25">
      <c r="A8225" s="2">
        <v>1319</v>
      </c>
      <c r="B8225">
        <v>36.36</v>
      </c>
      <c r="C8225">
        <v>22.97</v>
      </c>
      <c r="D8225" t="s">
        <v>17</v>
      </c>
      <c r="E8225" t="s">
        <v>398</v>
      </c>
      <c r="F8225">
        <f t="shared" si="256"/>
        <v>1903</v>
      </c>
      <c r="G8225">
        <f t="shared" si="257"/>
        <v>8</v>
      </c>
      <c r="H8225" t="str">
        <f>IF(ISNUMBER(FIND(",", E8225)), TRIM(MID(E8225, FIND(",", E8225) + 1, LEN(E8225))), E8225)</f>
        <v>southern Greece</v>
      </c>
    </row>
    <row r="8226" spans="1:8" x14ac:dyDescent="0.25">
      <c r="A8226" s="2">
        <v>1249</v>
      </c>
      <c r="B8226">
        <v>57</v>
      </c>
      <c r="C8226">
        <v>-156</v>
      </c>
      <c r="D8226" t="s">
        <v>14</v>
      </c>
      <c r="E8226" t="s">
        <v>285</v>
      </c>
      <c r="F8226">
        <f t="shared" si="256"/>
        <v>1903</v>
      </c>
      <c r="G8226">
        <f t="shared" si="257"/>
        <v>6</v>
      </c>
      <c r="H8226" t="str">
        <f>IF(ISNUMBER(FIND(",", E8226)), TRIM(MID(E8226, FIND(",", E8226) + 1, LEN(E8226))), E8226)</f>
        <v>Alaska Peninsula</v>
      </c>
    </row>
    <row r="8227" spans="1:8" x14ac:dyDescent="0.25">
      <c r="A8227" s="2">
        <v>1229</v>
      </c>
      <c r="B8227">
        <v>-17</v>
      </c>
      <c r="C8227">
        <v>168</v>
      </c>
      <c r="D8227" t="s">
        <v>14</v>
      </c>
      <c r="E8227" t="s">
        <v>181</v>
      </c>
      <c r="F8227">
        <f t="shared" si="256"/>
        <v>1903</v>
      </c>
      <c r="G8227">
        <f t="shared" si="257"/>
        <v>5</v>
      </c>
      <c r="H8227" t="str">
        <f>IF(ISNUMBER(FIND(",", E8227)), TRIM(MID(E8227, FIND(",", E8227) + 1, LEN(E8227))), E8227)</f>
        <v>Vanuatu</v>
      </c>
    </row>
    <row r="8228" spans="1:8" x14ac:dyDescent="0.25">
      <c r="A8228" s="2">
        <v>1215</v>
      </c>
      <c r="B8228">
        <v>-20</v>
      </c>
      <c r="C8228">
        <v>-175</v>
      </c>
      <c r="D8228" t="s">
        <v>16</v>
      </c>
      <c r="E8228" t="s">
        <v>239</v>
      </c>
      <c r="F8228">
        <f t="shared" si="256"/>
        <v>1903</v>
      </c>
      <c r="G8228">
        <f t="shared" si="257"/>
        <v>4</v>
      </c>
      <c r="H8228" t="str">
        <f>IF(ISNUMBER(FIND(",", E8228)), TRIM(MID(E8228, FIND(",", E8228) + 1, LEN(E8228))), E8228)</f>
        <v>Tonga</v>
      </c>
    </row>
    <row r="8229" spans="1:8" x14ac:dyDescent="0.25">
      <c r="A8229" s="2">
        <v>1205</v>
      </c>
      <c r="B8229">
        <v>37</v>
      </c>
      <c r="C8229">
        <v>71</v>
      </c>
      <c r="D8229" t="s">
        <v>14</v>
      </c>
      <c r="E8229" t="s">
        <v>314</v>
      </c>
      <c r="F8229">
        <f t="shared" si="256"/>
        <v>1903</v>
      </c>
      <c r="G8229">
        <f t="shared" si="257"/>
        <v>4</v>
      </c>
      <c r="H8229" t="str">
        <f>IF(ISNUMBER(FIND(",", E8229)), TRIM(MID(E8229, FIND(",", E8229) + 1, LEN(E8229))), E8229)</f>
        <v>Afghanistan</v>
      </c>
    </row>
    <row r="8230" spans="1:8" x14ac:dyDescent="0.25">
      <c r="A8230" s="2">
        <v>1154</v>
      </c>
      <c r="B8230">
        <v>-8</v>
      </c>
      <c r="C8230">
        <v>106</v>
      </c>
      <c r="D8230" t="s">
        <v>16</v>
      </c>
      <c r="E8230" t="s">
        <v>358</v>
      </c>
      <c r="F8230">
        <f t="shared" si="256"/>
        <v>1903</v>
      </c>
      <c r="G8230">
        <f t="shared" si="257"/>
        <v>2</v>
      </c>
      <c r="H8230" t="str">
        <f>IF(ISNUMBER(FIND(",", E8230)), TRIM(MID(E8230, FIND(",", E8230) + 1, LEN(E8230))), E8230)</f>
        <v>Indonesia</v>
      </c>
    </row>
    <row r="8231" spans="1:8" x14ac:dyDescent="0.25">
      <c r="A8231" s="2">
        <v>1132</v>
      </c>
      <c r="B8231">
        <v>52</v>
      </c>
      <c r="C8231">
        <v>175</v>
      </c>
      <c r="D8231" t="s">
        <v>14</v>
      </c>
      <c r="E8231" t="s">
        <v>366</v>
      </c>
      <c r="F8231">
        <f t="shared" si="256"/>
        <v>1903</v>
      </c>
      <c r="G8231">
        <f t="shared" si="257"/>
        <v>2</v>
      </c>
      <c r="H8231" t="str">
        <f>IF(ISNUMBER(FIND(",", E8231)), TRIM(MID(E8231, FIND(",", E8231) + 1, LEN(E8231))), E8231)</f>
        <v>Aleutian Islands, Alaska</v>
      </c>
    </row>
    <row r="8232" spans="1:8" x14ac:dyDescent="0.25">
      <c r="A8232" s="2">
        <v>1130</v>
      </c>
      <c r="B8232">
        <v>34</v>
      </c>
      <c r="C8232">
        <v>137</v>
      </c>
      <c r="D8232" t="s">
        <v>18</v>
      </c>
      <c r="E8232" t="s">
        <v>360</v>
      </c>
      <c r="F8232">
        <f t="shared" si="256"/>
        <v>1903</v>
      </c>
      <c r="G8232">
        <f t="shared" si="257"/>
        <v>2</v>
      </c>
      <c r="H8232" t="str">
        <f>IF(ISNUMBER(FIND(",", E8232)), TRIM(MID(E8232, FIND(",", E8232) + 1, LEN(E8232))), E8232)</f>
        <v>Japan</v>
      </c>
    </row>
    <row r="8233" spans="1:8" x14ac:dyDescent="0.25">
      <c r="A8233" s="2">
        <v>1128</v>
      </c>
      <c r="B8233">
        <v>48</v>
      </c>
      <c r="C8233">
        <v>98</v>
      </c>
      <c r="D8233" t="s">
        <v>16</v>
      </c>
      <c r="E8233" t="s">
        <v>654</v>
      </c>
      <c r="F8233">
        <f t="shared" si="256"/>
        <v>1903</v>
      </c>
      <c r="G8233">
        <f t="shared" si="257"/>
        <v>2</v>
      </c>
      <c r="H8233" t="str">
        <f>IF(ISNUMBER(FIND(",", E8233)), TRIM(MID(E8233, FIND(",", E8233) + 1, LEN(E8233))), E8233)</f>
        <v>western Mongolia</v>
      </c>
    </row>
    <row r="8234" spans="1:8" x14ac:dyDescent="0.25">
      <c r="A8234" s="2">
        <v>1113</v>
      </c>
      <c r="B8234">
        <v>50</v>
      </c>
      <c r="C8234">
        <v>-170</v>
      </c>
      <c r="D8234" t="s">
        <v>14</v>
      </c>
      <c r="E8234" t="s">
        <v>588</v>
      </c>
      <c r="F8234">
        <f t="shared" si="256"/>
        <v>1903</v>
      </c>
      <c r="G8234">
        <f t="shared" si="257"/>
        <v>1</v>
      </c>
      <c r="H8234" t="str">
        <f>IF(ISNUMBER(FIND(",", E8234)), TRIM(MID(E8234, FIND(",", E8234) + 1, LEN(E8234))), E8234)</f>
        <v>south of the Aleutian Islands</v>
      </c>
    </row>
    <row r="8235" spans="1:8" x14ac:dyDescent="0.25">
      <c r="A8235" s="2">
        <v>1110</v>
      </c>
      <c r="B8235">
        <v>15</v>
      </c>
      <c r="C8235">
        <v>-98</v>
      </c>
      <c r="D8235" t="s">
        <v>16</v>
      </c>
      <c r="E8235" t="s">
        <v>559</v>
      </c>
      <c r="F8235">
        <f t="shared" si="256"/>
        <v>1903</v>
      </c>
      <c r="G8235">
        <f t="shared" si="257"/>
        <v>1</v>
      </c>
      <c r="H8235" t="str">
        <f>IF(ISNUMBER(FIND(",", E8235)), TRIM(MID(E8235, FIND(",", E8235) + 1, LEN(E8235))), E8235)</f>
        <v>Mexico</v>
      </c>
    </row>
    <row r="8236" spans="1:8" x14ac:dyDescent="0.25">
      <c r="A8236" s="2">
        <v>1100</v>
      </c>
      <c r="B8236">
        <v>-20</v>
      </c>
      <c r="C8236">
        <v>-175</v>
      </c>
      <c r="D8236" t="s">
        <v>17</v>
      </c>
      <c r="E8236" t="s">
        <v>239</v>
      </c>
      <c r="F8236">
        <f t="shared" si="256"/>
        <v>1903</v>
      </c>
      <c r="G8236">
        <f t="shared" si="257"/>
        <v>1</v>
      </c>
      <c r="H8236" t="str">
        <f>IF(ISNUMBER(FIND(",", E8236)), TRIM(MID(E8236, FIND(",", E8236) + 1, LEN(E8236))), E8236)</f>
        <v>Tonga</v>
      </c>
    </row>
    <row r="8237" spans="1:8" x14ac:dyDescent="0.25">
      <c r="A8237" s="2">
        <v>1077</v>
      </c>
      <c r="B8237">
        <v>29</v>
      </c>
      <c r="C8237">
        <v>-114</v>
      </c>
      <c r="D8237" t="s">
        <v>16</v>
      </c>
      <c r="E8237" t="s">
        <v>247</v>
      </c>
      <c r="F8237">
        <f t="shared" si="256"/>
        <v>1902</v>
      </c>
      <c r="G8237">
        <f t="shared" si="257"/>
        <v>12</v>
      </c>
      <c r="H8237" t="str">
        <f>IF(ISNUMBER(FIND(",", E8237)), TRIM(MID(E8237, FIND(",", E8237) + 1, LEN(E8237))), E8237)</f>
        <v>Mexico</v>
      </c>
    </row>
    <row r="8238" spans="1:8" x14ac:dyDescent="0.25">
      <c r="A8238" s="2">
        <v>1056</v>
      </c>
      <c r="B8238">
        <v>22.5</v>
      </c>
      <c r="C8238">
        <v>121.5</v>
      </c>
      <c r="D8238" t="s">
        <v>14</v>
      </c>
      <c r="E8238" t="s">
        <v>363</v>
      </c>
      <c r="F8238">
        <f t="shared" si="256"/>
        <v>1902</v>
      </c>
      <c r="G8238">
        <f t="shared" si="257"/>
        <v>11</v>
      </c>
      <c r="H8238" t="str">
        <f>IF(ISNUMBER(FIND(",", E8238)), TRIM(MID(E8238, FIND(",", E8238) + 1, LEN(E8238))), E8238)</f>
        <v>Taiwan region</v>
      </c>
    </row>
    <row r="8239" spans="1:8" x14ac:dyDescent="0.25">
      <c r="A8239" s="2">
        <v>1055</v>
      </c>
      <c r="B8239">
        <v>-22</v>
      </c>
      <c r="C8239">
        <v>170</v>
      </c>
      <c r="D8239" t="s">
        <v>14</v>
      </c>
      <c r="E8239" t="s">
        <v>254</v>
      </c>
      <c r="F8239">
        <f t="shared" si="256"/>
        <v>1902</v>
      </c>
      <c r="G8239">
        <f t="shared" si="257"/>
        <v>11</v>
      </c>
      <c r="H8239" t="str">
        <f>IF(ISNUMBER(FIND(",", E8239)), TRIM(MID(E8239, FIND(",", E8239) + 1, LEN(E8239))), E8239)</f>
        <v>southeast of the Loyalty Islands</v>
      </c>
    </row>
    <row r="8240" spans="1:8" x14ac:dyDescent="0.25">
      <c r="A8240" s="2">
        <v>1039</v>
      </c>
      <c r="B8240">
        <v>36</v>
      </c>
      <c r="C8240">
        <v>96</v>
      </c>
      <c r="D8240" t="s">
        <v>14</v>
      </c>
      <c r="E8240" t="s">
        <v>331</v>
      </c>
      <c r="F8240">
        <f t="shared" si="256"/>
        <v>1902</v>
      </c>
      <c r="G8240">
        <f t="shared" si="257"/>
        <v>11</v>
      </c>
      <c r="H8240" t="str">
        <f>IF(ISNUMBER(FIND(",", E8240)), TRIM(MID(E8240, FIND(",", E8240) + 1, LEN(E8240))), E8240)</f>
        <v>China</v>
      </c>
    </row>
    <row r="8241" spans="1:8" x14ac:dyDescent="0.25">
      <c r="A8241" s="2">
        <v>1010</v>
      </c>
      <c r="B8241">
        <v>36.5</v>
      </c>
      <c r="C8241">
        <v>70.5</v>
      </c>
      <c r="D8241" t="s">
        <v>14</v>
      </c>
      <c r="E8241" t="s">
        <v>314</v>
      </c>
      <c r="F8241">
        <f t="shared" si="256"/>
        <v>1902</v>
      </c>
      <c r="G8241">
        <f t="shared" si="257"/>
        <v>10</v>
      </c>
      <c r="H8241" t="str">
        <f>IF(ISNUMBER(FIND(",", E8241)), TRIM(MID(E8241, FIND(",", E8241) + 1, LEN(E8241))), E8241)</f>
        <v>Afghanistan</v>
      </c>
    </row>
    <row r="8242" spans="1:8" x14ac:dyDescent="0.25">
      <c r="A8242" s="2">
        <v>997</v>
      </c>
      <c r="B8242">
        <v>16</v>
      </c>
      <c r="C8242">
        <v>-93</v>
      </c>
      <c r="D8242" t="s">
        <v>16</v>
      </c>
      <c r="E8242" t="s">
        <v>421</v>
      </c>
      <c r="F8242">
        <f t="shared" si="256"/>
        <v>1902</v>
      </c>
      <c r="G8242">
        <f t="shared" si="257"/>
        <v>9</v>
      </c>
      <c r="H8242" t="str">
        <f>IF(ISNUMBER(FIND(",", E8242)), TRIM(MID(E8242, FIND(",", E8242) + 1, LEN(E8242))), E8242)</f>
        <v>Mexico</v>
      </c>
    </row>
    <row r="8243" spans="1:8" x14ac:dyDescent="0.25">
      <c r="A8243" s="2">
        <v>996</v>
      </c>
      <c r="B8243">
        <v>18</v>
      </c>
      <c r="C8243">
        <v>146</v>
      </c>
      <c r="D8243" t="s">
        <v>16</v>
      </c>
      <c r="E8243" t="s">
        <v>546</v>
      </c>
      <c r="F8243">
        <f t="shared" si="256"/>
        <v>1902</v>
      </c>
      <c r="G8243">
        <f t="shared" si="257"/>
        <v>9</v>
      </c>
      <c r="H8243" t="str">
        <f>IF(ISNUMBER(FIND(",", E8243)), TRIM(MID(E8243, FIND(",", E8243) + 1, LEN(E8243))), E8243)</f>
        <v>Northern Mariana Islands</v>
      </c>
    </row>
    <row r="8244" spans="1:8" x14ac:dyDescent="0.25">
      <c r="A8244" s="2">
        <v>973</v>
      </c>
      <c r="B8244">
        <v>40</v>
      </c>
      <c r="C8244">
        <v>77</v>
      </c>
      <c r="D8244" t="s">
        <v>14</v>
      </c>
      <c r="E8244" t="s">
        <v>454</v>
      </c>
      <c r="F8244">
        <f t="shared" si="256"/>
        <v>1902</v>
      </c>
      <c r="G8244">
        <f t="shared" si="257"/>
        <v>8</v>
      </c>
      <c r="H8244" t="str">
        <f>IF(ISNUMBER(FIND(",", E8244)), TRIM(MID(E8244, FIND(",", E8244) + 1, LEN(E8244))), E8244)</f>
        <v>Kyrgyzstan-Xinjiang border region</v>
      </c>
    </row>
    <row r="8245" spans="1:8" x14ac:dyDescent="0.25">
      <c r="A8245" s="2">
        <v>965</v>
      </c>
      <c r="B8245">
        <v>40</v>
      </c>
      <c r="C8245">
        <v>77</v>
      </c>
      <c r="D8245" t="s">
        <v>16</v>
      </c>
      <c r="E8245" t="s">
        <v>454</v>
      </c>
      <c r="F8245">
        <f t="shared" si="256"/>
        <v>1902</v>
      </c>
      <c r="G8245">
        <f t="shared" si="257"/>
        <v>8</v>
      </c>
      <c r="H8245" t="str">
        <f>IF(ISNUMBER(FIND(",", E8245)), TRIM(MID(E8245, FIND(",", E8245) + 1, LEN(E8245))), E8245)</f>
        <v>Kyrgyzstan-Xinjiang border region</v>
      </c>
    </row>
    <row r="8246" spans="1:8" x14ac:dyDescent="0.25">
      <c r="A8246" s="2">
        <v>918</v>
      </c>
      <c r="B8246">
        <v>-25</v>
      </c>
      <c r="C8246">
        <v>-175</v>
      </c>
      <c r="D8246" t="s">
        <v>14</v>
      </c>
      <c r="E8246" t="s">
        <v>351</v>
      </c>
      <c r="F8246">
        <f t="shared" si="256"/>
        <v>1902</v>
      </c>
      <c r="G8246">
        <f t="shared" si="257"/>
        <v>7</v>
      </c>
      <c r="H8246" t="str">
        <f>IF(ISNUMBER(FIND(",", E8246)), TRIM(MID(E8246, FIND(",", E8246) + 1, LEN(E8246))), E8246)</f>
        <v>south of Tonga</v>
      </c>
    </row>
    <row r="8247" spans="1:8" x14ac:dyDescent="0.25">
      <c r="A8247" s="2">
        <v>915</v>
      </c>
      <c r="B8247">
        <v>43.2</v>
      </c>
      <c r="C8247">
        <v>129.6</v>
      </c>
      <c r="D8247" t="s">
        <v>14</v>
      </c>
      <c r="E8247" t="s">
        <v>491</v>
      </c>
      <c r="F8247">
        <f t="shared" si="256"/>
        <v>1902</v>
      </c>
      <c r="G8247">
        <f t="shared" si="257"/>
        <v>7</v>
      </c>
      <c r="H8247" t="str">
        <f>IF(ISNUMBER(FIND(",", E8247)), TRIM(MID(E8247, FIND(",", E8247) + 1, LEN(E8247))), E8247)</f>
        <v>China</v>
      </c>
    </row>
    <row r="8248" spans="1:8" x14ac:dyDescent="0.25">
      <c r="A8248" s="2">
        <v>879</v>
      </c>
      <c r="B8248">
        <v>42.8</v>
      </c>
      <c r="C8248">
        <v>144.80000000000001</v>
      </c>
      <c r="D8248" t="s">
        <v>18</v>
      </c>
      <c r="E8248" t="s">
        <v>265</v>
      </c>
      <c r="F8248">
        <f t="shared" si="256"/>
        <v>1902</v>
      </c>
      <c r="G8248">
        <f t="shared" si="257"/>
        <v>5</v>
      </c>
      <c r="H8248" t="str">
        <f>IF(ISNUMBER(FIND(",", E8248)), TRIM(MID(E8248, FIND(",", E8248) + 1, LEN(E8248))), E8248)</f>
        <v>Japan region</v>
      </c>
    </row>
    <row r="8249" spans="1:8" x14ac:dyDescent="0.25">
      <c r="A8249" s="2">
        <v>859</v>
      </c>
      <c r="B8249">
        <v>30.5</v>
      </c>
      <c r="C8249">
        <v>131.5</v>
      </c>
      <c r="D8249" t="s">
        <v>18</v>
      </c>
      <c r="E8249" t="s">
        <v>357</v>
      </c>
      <c r="F8249">
        <f t="shared" si="256"/>
        <v>1902</v>
      </c>
      <c r="G8249">
        <f t="shared" si="257"/>
        <v>5</v>
      </c>
      <c r="H8249" t="str">
        <f>IF(ISNUMBER(FIND(",", E8249)), TRIM(MID(E8249, FIND(",", E8249) + 1, LEN(E8249))), E8249)</f>
        <v>Japan</v>
      </c>
    </row>
    <row r="8250" spans="1:8" x14ac:dyDescent="0.25">
      <c r="A8250" s="2">
        <v>853</v>
      </c>
      <c r="B8250">
        <v>39</v>
      </c>
      <c r="C8250">
        <v>144</v>
      </c>
      <c r="D8250" t="s">
        <v>18</v>
      </c>
      <c r="E8250" t="s">
        <v>189</v>
      </c>
      <c r="F8250">
        <f t="shared" si="256"/>
        <v>1902</v>
      </c>
      <c r="G8250">
        <f t="shared" si="257"/>
        <v>5</v>
      </c>
      <c r="H8250" t="str">
        <f>IF(ISNUMBER(FIND(",", E8250)), TRIM(MID(E8250, FIND(",", E8250) + 1, LEN(E8250))), E8250)</f>
        <v>Japan</v>
      </c>
    </row>
    <row r="8251" spans="1:8" x14ac:dyDescent="0.25">
      <c r="A8251" s="2">
        <v>840</v>
      </c>
      <c r="B8251">
        <v>14</v>
      </c>
      <c r="C8251">
        <v>-91</v>
      </c>
      <c r="D8251" t="s">
        <v>16</v>
      </c>
      <c r="E8251" t="s">
        <v>371</v>
      </c>
      <c r="F8251">
        <f t="shared" si="256"/>
        <v>1902</v>
      </c>
      <c r="G8251">
        <f t="shared" si="257"/>
        <v>4</v>
      </c>
      <c r="H8251" t="str">
        <f>IF(ISNUMBER(FIND(",", E8251)), TRIM(MID(E8251, FIND(",", E8251) + 1, LEN(E8251))), E8251)</f>
        <v>Guatemala</v>
      </c>
    </row>
    <row r="8252" spans="1:8" x14ac:dyDescent="0.25">
      <c r="A8252" s="2">
        <v>832</v>
      </c>
      <c r="B8252">
        <v>51.6</v>
      </c>
      <c r="C8252">
        <v>104.5</v>
      </c>
      <c r="D8252" t="s">
        <v>14</v>
      </c>
      <c r="E8252" t="s">
        <v>392</v>
      </c>
      <c r="F8252">
        <f t="shared" si="256"/>
        <v>1902</v>
      </c>
      <c r="G8252">
        <f t="shared" si="257"/>
        <v>4</v>
      </c>
      <c r="H8252" t="str">
        <f>IF(ISNUMBER(FIND(",", E8252)), TRIM(MID(E8252, FIND(",", E8252) + 1, LEN(E8252))), E8252)</f>
        <v>Russia</v>
      </c>
    </row>
    <row r="8253" spans="1:8" x14ac:dyDescent="0.25">
      <c r="A8253" s="2">
        <v>818</v>
      </c>
      <c r="B8253">
        <v>0</v>
      </c>
      <c r="C8253">
        <v>133</v>
      </c>
      <c r="D8253" t="s">
        <v>14</v>
      </c>
      <c r="E8253" t="s">
        <v>241</v>
      </c>
      <c r="F8253">
        <f t="shared" si="256"/>
        <v>1902</v>
      </c>
      <c r="G8253">
        <f t="shared" si="257"/>
        <v>3</v>
      </c>
      <c r="H8253" t="str">
        <f>IF(ISNUMBER(FIND(",", E8253)), TRIM(MID(E8253, FIND(",", E8253) + 1, LEN(E8253))), E8253)</f>
        <v>Indonesia</v>
      </c>
    </row>
    <row r="8254" spans="1:8" x14ac:dyDescent="0.25">
      <c r="A8254" s="2">
        <v>812</v>
      </c>
      <c r="B8254">
        <v>35</v>
      </c>
      <c r="C8254">
        <v>-120</v>
      </c>
      <c r="D8254" t="s">
        <v>14</v>
      </c>
      <c r="E8254" t="s">
        <v>464</v>
      </c>
      <c r="F8254">
        <f t="shared" si="256"/>
        <v>1902</v>
      </c>
      <c r="G8254">
        <f t="shared" si="257"/>
        <v>3</v>
      </c>
      <c r="H8254" t="str">
        <f>IF(ISNUMBER(FIND(",", E8254)), TRIM(MID(E8254, FIND(",", E8254) + 1, LEN(E8254))), E8254)</f>
        <v>Central California</v>
      </c>
    </row>
    <row r="8255" spans="1:8" x14ac:dyDescent="0.25">
      <c r="A8255" s="2">
        <v>795</v>
      </c>
      <c r="B8255">
        <v>-20</v>
      </c>
      <c r="C8255">
        <v>-70</v>
      </c>
      <c r="D8255" t="s">
        <v>14</v>
      </c>
      <c r="E8255" t="s">
        <v>237</v>
      </c>
      <c r="F8255">
        <f t="shared" si="256"/>
        <v>1902</v>
      </c>
      <c r="G8255">
        <f t="shared" si="257"/>
        <v>3</v>
      </c>
      <c r="H8255" t="str">
        <f>IF(ISNUMBER(FIND(",", E8255)), TRIM(MID(E8255, FIND(",", E8255) + 1, LEN(E8255))), E8255)</f>
        <v>Chile</v>
      </c>
    </row>
    <row r="8256" spans="1:8" x14ac:dyDescent="0.25">
      <c r="A8256" s="2">
        <v>782</v>
      </c>
      <c r="B8256">
        <v>41.4</v>
      </c>
      <c r="C8256">
        <v>141.80000000000001</v>
      </c>
      <c r="D8256" t="s">
        <v>18</v>
      </c>
      <c r="E8256" t="s">
        <v>265</v>
      </c>
      <c r="F8256">
        <f t="shared" si="256"/>
        <v>1902</v>
      </c>
      <c r="G8256">
        <f t="shared" si="257"/>
        <v>2</v>
      </c>
      <c r="H8256" t="str">
        <f>IF(ISNUMBER(FIND(",", E8256)), TRIM(MID(E8256, FIND(",", E8256) + 1, LEN(E8256))), E8256)</f>
        <v>Japan region</v>
      </c>
    </row>
    <row r="8257" spans="1:8" x14ac:dyDescent="0.25">
      <c r="A8257" s="2">
        <v>779</v>
      </c>
      <c r="B8257">
        <v>20</v>
      </c>
      <c r="C8257">
        <v>-70</v>
      </c>
      <c r="D8257" t="s">
        <v>14</v>
      </c>
      <c r="E8257" t="s">
        <v>601</v>
      </c>
      <c r="F8257">
        <f t="shared" si="256"/>
        <v>1902</v>
      </c>
      <c r="G8257">
        <f t="shared" si="257"/>
        <v>2</v>
      </c>
      <c r="H8257" t="str">
        <f>IF(ISNUMBER(FIND(",", E8257)), TRIM(MID(E8257, FIND(",", E8257) + 1, LEN(E8257))), E8257)</f>
        <v>Dominican Republic region</v>
      </c>
    </row>
    <row r="8258" spans="1:8" x14ac:dyDescent="0.25">
      <c r="A8258" s="2">
        <v>771</v>
      </c>
      <c r="B8258">
        <v>-43</v>
      </c>
      <c r="C8258">
        <v>-171</v>
      </c>
      <c r="D8258" t="s">
        <v>14</v>
      </c>
      <c r="E8258" t="s">
        <v>771</v>
      </c>
      <c r="F8258">
        <f t="shared" ref="F8258:F8314" si="258">YEAR(A8258)</f>
        <v>1902</v>
      </c>
      <c r="G8258">
        <f t="shared" si="257"/>
        <v>2</v>
      </c>
      <c r="H8258" t="str">
        <f>IF(ISNUMBER(FIND(",", E8258)), TRIM(MID(E8258, FIND(",", E8258) + 1, LEN(E8258))), E8258)</f>
        <v>New Zealand region</v>
      </c>
    </row>
    <row r="8259" spans="1:8" x14ac:dyDescent="0.25">
      <c r="A8259" s="2">
        <v>771</v>
      </c>
      <c r="B8259">
        <v>-20</v>
      </c>
      <c r="C8259">
        <v>-174</v>
      </c>
      <c r="D8259" t="s">
        <v>14</v>
      </c>
      <c r="E8259" t="s">
        <v>239</v>
      </c>
      <c r="F8259">
        <f t="shared" si="258"/>
        <v>1902</v>
      </c>
      <c r="G8259">
        <f t="shared" ref="G8259:G8314" si="259">MONTH(A8259)</f>
        <v>2</v>
      </c>
      <c r="H8259" t="str">
        <f>IF(ISNUMBER(FIND(",", E8259)), TRIM(MID(E8259, FIND(",", E8259) + 1, LEN(E8259))), E8259)</f>
        <v>Tonga</v>
      </c>
    </row>
    <row r="8260" spans="1:8" x14ac:dyDescent="0.25">
      <c r="A8260" s="2">
        <v>762</v>
      </c>
      <c r="B8260">
        <v>41.6</v>
      </c>
      <c r="C8260">
        <v>142.19999999999999</v>
      </c>
      <c r="D8260" t="s">
        <v>18</v>
      </c>
      <c r="E8260" t="s">
        <v>265</v>
      </c>
      <c r="F8260">
        <f t="shared" si="258"/>
        <v>1902</v>
      </c>
      <c r="G8260">
        <f t="shared" si="259"/>
        <v>1</v>
      </c>
      <c r="H8260" t="str">
        <f>IF(ISNUMBER(FIND(",", E8260)), TRIM(MID(E8260, FIND(",", E8260) + 1, LEN(E8260))), E8260)</f>
        <v>Japan region</v>
      </c>
    </row>
    <row r="8261" spans="1:8" x14ac:dyDescent="0.25">
      <c r="A8261" s="2">
        <v>761</v>
      </c>
      <c r="B8261">
        <v>40.9</v>
      </c>
      <c r="C8261">
        <v>141.69999999999999</v>
      </c>
      <c r="D8261" t="s">
        <v>14</v>
      </c>
      <c r="E8261" t="s">
        <v>227</v>
      </c>
      <c r="F8261">
        <f t="shared" si="258"/>
        <v>1902</v>
      </c>
      <c r="G8261">
        <f t="shared" si="259"/>
        <v>1</v>
      </c>
      <c r="H8261" t="str">
        <f>IF(ISNUMBER(FIND(",", E8261)), TRIM(MID(E8261, FIND(",", E8261) + 1, LEN(E8261))), E8261)</f>
        <v>Japan</v>
      </c>
    </row>
    <row r="8262" spans="1:8" x14ac:dyDescent="0.25">
      <c r="A8262" s="2">
        <v>761</v>
      </c>
      <c r="B8262">
        <v>40.5</v>
      </c>
      <c r="C8262">
        <v>141.30000000000001</v>
      </c>
      <c r="D8262" t="s">
        <v>14</v>
      </c>
      <c r="E8262" t="s">
        <v>227</v>
      </c>
      <c r="F8262">
        <f t="shared" si="258"/>
        <v>1902</v>
      </c>
      <c r="G8262">
        <f t="shared" si="259"/>
        <v>1</v>
      </c>
      <c r="H8262" t="str">
        <f>IF(ISNUMBER(FIND(",", E8262)), TRIM(MID(E8262, FIND(",", E8262) + 1, LEN(E8262))), E8262)</f>
        <v>Japan</v>
      </c>
    </row>
    <row r="8263" spans="1:8" x14ac:dyDescent="0.25">
      <c r="A8263" s="2">
        <v>755</v>
      </c>
      <c r="B8263">
        <v>-8</v>
      </c>
      <c r="C8263">
        <v>150</v>
      </c>
      <c r="D8263" t="s">
        <v>16</v>
      </c>
      <c r="E8263" t="s">
        <v>190</v>
      </c>
      <c r="F8263">
        <f t="shared" si="258"/>
        <v>1902</v>
      </c>
      <c r="G8263">
        <f t="shared" si="259"/>
        <v>1</v>
      </c>
      <c r="H8263" t="str">
        <f>IF(ISNUMBER(FIND(",", E8263)), TRIM(MID(E8263, FIND(",", E8263) + 1, LEN(E8263))), E8263)</f>
        <v>Papua New Guinea</v>
      </c>
    </row>
    <row r="8264" spans="1:8" x14ac:dyDescent="0.25">
      <c r="A8264" s="2">
        <v>748</v>
      </c>
      <c r="B8264">
        <v>41.6</v>
      </c>
      <c r="C8264">
        <v>141.9</v>
      </c>
      <c r="D8264" t="s">
        <v>18</v>
      </c>
      <c r="E8264" t="s">
        <v>265</v>
      </c>
      <c r="F8264">
        <f t="shared" si="258"/>
        <v>1902</v>
      </c>
      <c r="G8264">
        <f t="shared" si="259"/>
        <v>1</v>
      </c>
      <c r="H8264" t="str">
        <f>IF(ISNUMBER(FIND(",", E8264)), TRIM(MID(E8264, FIND(",", E8264) + 1, LEN(E8264))), E8264)</f>
        <v>Japan region</v>
      </c>
    </row>
    <row r="8265" spans="1:8" x14ac:dyDescent="0.25">
      <c r="A8265" s="2">
        <v>743</v>
      </c>
      <c r="B8265">
        <v>3</v>
      </c>
      <c r="C8265">
        <v>122</v>
      </c>
      <c r="D8265" t="s">
        <v>14</v>
      </c>
      <c r="E8265" t="s">
        <v>203</v>
      </c>
      <c r="F8265">
        <f t="shared" si="258"/>
        <v>1902</v>
      </c>
      <c r="G8265">
        <f t="shared" si="259"/>
        <v>1</v>
      </c>
      <c r="H8265" t="str">
        <f>IF(ISNUMBER(FIND(",", E8265)), TRIM(MID(E8265, FIND(",", E8265) + 1, LEN(E8265))), E8265)</f>
        <v>Celebes Sea</v>
      </c>
    </row>
    <row r="8266" spans="1:8" x14ac:dyDescent="0.25">
      <c r="A8266" s="2">
        <v>732</v>
      </c>
      <c r="B8266">
        <v>55</v>
      </c>
      <c r="C8266">
        <v>-165</v>
      </c>
      <c r="D8266" t="s">
        <v>14</v>
      </c>
      <c r="E8266" t="s">
        <v>219</v>
      </c>
      <c r="F8266">
        <f t="shared" si="258"/>
        <v>1902</v>
      </c>
      <c r="G8266">
        <f t="shared" si="259"/>
        <v>1</v>
      </c>
      <c r="H8266" t="str">
        <f>IF(ISNUMBER(FIND(",", E8266)), TRIM(MID(E8266, FIND(",", E8266) + 1, LEN(E8266))), E8266)</f>
        <v>Aleutian Islands, Alaska</v>
      </c>
    </row>
    <row r="8267" spans="1:8" x14ac:dyDescent="0.25">
      <c r="A8267" s="2">
        <v>731</v>
      </c>
      <c r="B8267">
        <v>52</v>
      </c>
      <c r="C8267">
        <v>-177</v>
      </c>
      <c r="D8267" t="s">
        <v>16</v>
      </c>
      <c r="E8267" t="s">
        <v>207</v>
      </c>
      <c r="F8267">
        <f t="shared" si="258"/>
        <v>1901</v>
      </c>
      <c r="G8267">
        <f t="shared" si="259"/>
        <v>12</v>
      </c>
      <c r="H8267" t="str">
        <f>IF(ISNUMBER(FIND(",", E8267)), TRIM(MID(E8267, FIND(",", E8267) + 1, LEN(E8267))), E8267)</f>
        <v>Aleutian Islands, Alaska</v>
      </c>
    </row>
    <row r="8268" spans="1:8" x14ac:dyDescent="0.25">
      <c r="A8268" s="2">
        <v>714</v>
      </c>
      <c r="B8268">
        <v>14</v>
      </c>
      <c r="C8268">
        <v>122</v>
      </c>
      <c r="D8268" t="s">
        <v>14</v>
      </c>
      <c r="E8268" t="s">
        <v>297</v>
      </c>
      <c r="F8268">
        <f t="shared" si="258"/>
        <v>1901</v>
      </c>
      <c r="G8268">
        <f t="shared" si="259"/>
        <v>12</v>
      </c>
      <c r="H8268" t="str">
        <f>IF(ISNUMBER(FIND(",", E8268)), TRIM(MID(E8268, FIND(",", E8268) + 1, LEN(E8268))), E8268)</f>
        <v>Philippines</v>
      </c>
    </row>
    <row r="8269" spans="1:8" x14ac:dyDescent="0.25">
      <c r="A8269" s="2">
        <v>709</v>
      </c>
      <c r="B8269">
        <v>26</v>
      </c>
      <c r="C8269">
        <v>-110</v>
      </c>
      <c r="D8269" t="s">
        <v>16</v>
      </c>
      <c r="E8269" t="s">
        <v>772</v>
      </c>
      <c r="F8269">
        <f t="shared" si="258"/>
        <v>1901</v>
      </c>
      <c r="G8269">
        <f t="shared" si="259"/>
        <v>12</v>
      </c>
      <c r="H8269" t="str">
        <f>IF(ISNUMBER(FIND(",", E8269)), TRIM(MID(E8269, FIND(",", E8269) + 1, LEN(E8269))), E8269)</f>
        <v>Mexico</v>
      </c>
    </row>
    <row r="8270" spans="1:8" x14ac:dyDescent="0.25">
      <c r="A8270" s="2">
        <v>695</v>
      </c>
      <c r="B8270">
        <v>3</v>
      </c>
      <c r="C8270">
        <v>127</v>
      </c>
      <c r="D8270" t="s">
        <v>14</v>
      </c>
      <c r="E8270" t="s">
        <v>186</v>
      </c>
      <c r="F8270">
        <f t="shared" si="258"/>
        <v>1901</v>
      </c>
      <c r="G8270">
        <f t="shared" si="259"/>
        <v>11</v>
      </c>
      <c r="H8270" t="str">
        <f>IF(ISNUMBER(FIND(",", E8270)), TRIM(MID(E8270, FIND(",", E8270) + 1, LEN(E8270))), E8270)</f>
        <v>Molucca Sea</v>
      </c>
    </row>
    <row r="8271" spans="1:8" x14ac:dyDescent="0.25">
      <c r="A8271" s="2">
        <v>685</v>
      </c>
      <c r="B8271">
        <v>-43</v>
      </c>
      <c r="C8271">
        <v>173</v>
      </c>
      <c r="D8271" t="s">
        <v>14</v>
      </c>
      <c r="E8271" t="s">
        <v>300</v>
      </c>
      <c r="F8271">
        <f t="shared" si="258"/>
        <v>1901</v>
      </c>
      <c r="G8271">
        <f t="shared" si="259"/>
        <v>11</v>
      </c>
      <c r="H8271" t="str">
        <f>IF(ISNUMBER(FIND(",", E8271)), TRIM(MID(E8271, FIND(",", E8271) + 1, LEN(E8271))), E8271)</f>
        <v>South Island of New Zealand</v>
      </c>
    </row>
    <row r="8272" spans="1:8" x14ac:dyDescent="0.25">
      <c r="A8272" s="2">
        <v>647</v>
      </c>
      <c r="B8272">
        <v>13</v>
      </c>
      <c r="C8272">
        <v>-87</v>
      </c>
      <c r="D8272" t="s">
        <v>16</v>
      </c>
      <c r="E8272" t="s">
        <v>737</v>
      </c>
      <c r="F8272">
        <f t="shared" si="258"/>
        <v>1901</v>
      </c>
      <c r="G8272">
        <f t="shared" si="259"/>
        <v>10</v>
      </c>
      <c r="H8272" t="str">
        <f>IF(ISNUMBER(FIND(",", E8272)), TRIM(MID(E8272, FIND(",", E8272) + 1, LEN(E8272))), E8272)</f>
        <v>Honduras</v>
      </c>
    </row>
    <row r="8273" spans="1:8" x14ac:dyDescent="0.25">
      <c r="A8273" s="2">
        <v>639</v>
      </c>
      <c r="B8273">
        <v>40.200000000000003</v>
      </c>
      <c r="C8273">
        <v>141.9</v>
      </c>
      <c r="D8273" t="s">
        <v>14</v>
      </c>
      <c r="E8273" t="s">
        <v>227</v>
      </c>
      <c r="F8273">
        <f t="shared" si="258"/>
        <v>1901</v>
      </c>
      <c r="G8273">
        <f t="shared" si="259"/>
        <v>9</v>
      </c>
      <c r="H8273" t="str">
        <f>IF(ISNUMBER(FIND(",", E8273)), TRIM(MID(E8273, FIND(",", E8273) + 1, LEN(E8273))), E8273)</f>
        <v>Japan</v>
      </c>
    </row>
    <row r="8274" spans="1:8" x14ac:dyDescent="0.25">
      <c r="A8274" s="2">
        <v>617</v>
      </c>
      <c r="B8274">
        <v>-11</v>
      </c>
      <c r="C8274">
        <v>170</v>
      </c>
      <c r="D8274" t="s">
        <v>14</v>
      </c>
      <c r="E8274" t="s">
        <v>396</v>
      </c>
      <c r="F8274">
        <f t="shared" si="258"/>
        <v>1901</v>
      </c>
      <c r="G8274">
        <f t="shared" si="259"/>
        <v>9</v>
      </c>
      <c r="H8274" t="str">
        <f>IF(ISNUMBER(FIND(",", E8274)), TRIM(MID(E8274, FIND(",", E8274) + 1, LEN(E8274))), E8274)</f>
        <v>Santa Cruz Islands region</v>
      </c>
    </row>
    <row r="8275" spans="1:8" x14ac:dyDescent="0.25">
      <c r="A8275" s="2">
        <v>589</v>
      </c>
      <c r="B8275">
        <v>-23</v>
      </c>
      <c r="C8275">
        <v>178</v>
      </c>
      <c r="D8275" t="s">
        <v>14</v>
      </c>
      <c r="E8275" t="s">
        <v>256</v>
      </c>
      <c r="F8275">
        <f t="shared" si="258"/>
        <v>1901</v>
      </c>
      <c r="G8275">
        <f t="shared" si="259"/>
        <v>8</v>
      </c>
      <c r="H8275" t="str">
        <f>IF(ISNUMBER(FIND(",", E8275)), TRIM(MID(E8275, FIND(",", E8275) + 1, LEN(E8275))), E8275)</f>
        <v>south of the Fiji Islands</v>
      </c>
    </row>
    <row r="8276" spans="1:8" x14ac:dyDescent="0.25">
      <c r="A8276" s="2">
        <v>588</v>
      </c>
      <c r="B8276">
        <v>-5</v>
      </c>
      <c r="C8276">
        <v>155</v>
      </c>
      <c r="D8276" t="s">
        <v>14</v>
      </c>
      <c r="E8276" t="s">
        <v>290</v>
      </c>
      <c r="F8276">
        <f t="shared" si="258"/>
        <v>1901</v>
      </c>
      <c r="G8276">
        <f t="shared" si="259"/>
        <v>8</v>
      </c>
      <c r="H8276" t="str">
        <f>IF(ISNUMBER(FIND(",", E8276)), TRIM(MID(E8276, FIND(",", E8276) + 1, LEN(E8276))), E8276)</f>
        <v>Papua New Guinea</v>
      </c>
    </row>
    <row r="8277" spans="1:8" x14ac:dyDescent="0.25">
      <c r="A8277" s="2">
        <v>587</v>
      </c>
      <c r="B8277">
        <v>40.6</v>
      </c>
      <c r="C8277">
        <v>142.30000000000001</v>
      </c>
      <c r="D8277" t="s">
        <v>16</v>
      </c>
      <c r="E8277" t="s">
        <v>227</v>
      </c>
      <c r="F8277">
        <f t="shared" si="258"/>
        <v>1901</v>
      </c>
      <c r="G8277">
        <f t="shared" si="259"/>
        <v>8</v>
      </c>
      <c r="H8277" t="str">
        <f>IF(ISNUMBER(FIND(",", E8277)), TRIM(MID(E8277, FIND(",", E8277) + 1, LEN(E8277))), E8277)</f>
        <v>Japan</v>
      </c>
    </row>
    <row r="8278" spans="1:8" x14ac:dyDescent="0.25">
      <c r="A8278" s="2">
        <v>587</v>
      </c>
      <c r="B8278">
        <v>-22</v>
      </c>
      <c r="C8278">
        <v>170</v>
      </c>
      <c r="D8278" t="s">
        <v>16</v>
      </c>
      <c r="E8278" t="s">
        <v>254</v>
      </c>
      <c r="F8278">
        <f t="shared" si="258"/>
        <v>1901</v>
      </c>
      <c r="G8278">
        <f t="shared" si="259"/>
        <v>8</v>
      </c>
      <c r="H8278" t="str">
        <f>IF(ISNUMBER(FIND(",", E8278)), TRIM(MID(E8278, FIND(",", E8278) + 1, LEN(E8278))), E8278)</f>
        <v>southeast of the Loyalty Islands</v>
      </c>
    </row>
    <row r="8279" spans="1:8" x14ac:dyDescent="0.25">
      <c r="A8279" s="2">
        <v>587</v>
      </c>
      <c r="B8279">
        <v>40.5</v>
      </c>
      <c r="C8279">
        <v>142.5</v>
      </c>
      <c r="D8279" t="s">
        <v>16</v>
      </c>
      <c r="E8279" t="s">
        <v>227</v>
      </c>
      <c r="F8279">
        <f t="shared" si="258"/>
        <v>1901</v>
      </c>
      <c r="G8279">
        <f t="shared" si="259"/>
        <v>8</v>
      </c>
      <c r="H8279" t="str">
        <f>IF(ISNUMBER(FIND(",", E8279)), TRIM(MID(E8279, FIND(",", E8279) + 1, LEN(E8279))), E8279)</f>
        <v>Japan</v>
      </c>
    </row>
    <row r="8280" spans="1:8" x14ac:dyDescent="0.25">
      <c r="A8280" s="2">
        <v>541</v>
      </c>
      <c r="B8280">
        <v>28</v>
      </c>
      <c r="C8280">
        <v>130</v>
      </c>
      <c r="D8280" t="s">
        <v>18</v>
      </c>
      <c r="E8280" t="s">
        <v>340</v>
      </c>
      <c r="F8280">
        <f t="shared" si="258"/>
        <v>1901</v>
      </c>
      <c r="G8280">
        <f t="shared" si="259"/>
        <v>6</v>
      </c>
      <c r="H8280" t="str">
        <f>IF(ISNUMBER(FIND(",", E8280)), TRIM(MID(E8280, FIND(",", E8280) + 1, LEN(E8280))), E8280)</f>
        <v>Japan</v>
      </c>
    </row>
    <row r="8281" spans="1:8" x14ac:dyDescent="0.25">
      <c r="A8281" s="2">
        <v>541</v>
      </c>
      <c r="B8281">
        <v>28</v>
      </c>
      <c r="C8281">
        <v>130</v>
      </c>
      <c r="D8281" t="s">
        <v>16</v>
      </c>
      <c r="E8281" t="s">
        <v>340</v>
      </c>
      <c r="F8281">
        <f t="shared" si="258"/>
        <v>1901</v>
      </c>
      <c r="G8281">
        <f t="shared" si="259"/>
        <v>6</v>
      </c>
      <c r="H8281" t="str">
        <f>IF(ISNUMBER(FIND(",", E8281)), TRIM(MID(E8281, FIND(",", E8281) + 1, LEN(E8281))), E8281)</f>
        <v>Japan</v>
      </c>
    </row>
    <row r="8282" spans="1:8" x14ac:dyDescent="0.25">
      <c r="A8282" s="2">
        <v>532</v>
      </c>
      <c r="B8282">
        <v>39</v>
      </c>
      <c r="C8282">
        <v>143</v>
      </c>
      <c r="D8282" t="s">
        <v>18</v>
      </c>
      <c r="E8282" t="s">
        <v>189</v>
      </c>
      <c r="F8282">
        <f t="shared" si="258"/>
        <v>1901</v>
      </c>
      <c r="G8282">
        <f t="shared" si="259"/>
        <v>6</v>
      </c>
      <c r="H8282" t="str">
        <f>IF(ISNUMBER(FIND(",", E8282)), TRIM(MID(E8282, FIND(",", E8282) + 1, LEN(E8282))), E8282)</f>
        <v>Japan</v>
      </c>
    </row>
    <row r="8283" spans="1:8" x14ac:dyDescent="0.25">
      <c r="A8283" s="2">
        <v>511</v>
      </c>
      <c r="B8283">
        <v>-10</v>
      </c>
      <c r="C8283">
        <v>160</v>
      </c>
      <c r="D8283" t="s">
        <v>16</v>
      </c>
      <c r="E8283" t="s">
        <v>221</v>
      </c>
      <c r="F8283">
        <f t="shared" si="258"/>
        <v>1901</v>
      </c>
      <c r="G8283">
        <f t="shared" si="259"/>
        <v>5</v>
      </c>
      <c r="H8283" t="str">
        <f>IF(ISNUMBER(FIND(",", E8283)), TRIM(MID(E8283, FIND(",", E8283) + 1, LEN(E8283))), E8283)</f>
        <v>Solomon Islands</v>
      </c>
    </row>
    <row r="8284" spans="1:8" x14ac:dyDescent="0.25">
      <c r="A8284" s="2">
        <v>500</v>
      </c>
      <c r="B8284">
        <v>44.5</v>
      </c>
      <c r="C8284">
        <v>149</v>
      </c>
      <c r="D8284" t="s">
        <v>18</v>
      </c>
      <c r="E8284" t="s">
        <v>191</v>
      </c>
      <c r="F8284">
        <f t="shared" si="258"/>
        <v>1901</v>
      </c>
      <c r="G8284">
        <f t="shared" si="259"/>
        <v>5</v>
      </c>
      <c r="H8284" t="str">
        <f>IF(ISNUMBER(FIND(",", E8284)), TRIM(MID(E8284, FIND(",", E8284) + 1, LEN(E8284))), E8284)</f>
        <v>Kuril Islands</v>
      </c>
    </row>
    <row r="8285" spans="1:8" x14ac:dyDescent="0.25">
      <c r="A8285" s="2">
        <v>477</v>
      </c>
      <c r="B8285">
        <v>29.5</v>
      </c>
      <c r="C8285">
        <v>90.1</v>
      </c>
      <c r="D8285" t="s">
        <v>14</v>
      </c>
      <c r="E8285" t="s">
        <v>386</v>
      </c>
      <c r="F8285">
        <f t="shared" si="258"/>
        <v>1901</v>
      </c>
      <c r="G8285">
        <f t="shared" si="259"/>
        <v>4</v>
      </c>
      <c r="H8285" t="str">
        <f>IF(ISNUMBER(FIND(",", E8285)), TRIM(MID(E8285, FIND(",", E8285) + 1, LEN(E8285))), E8285)</f>
        <v>eastern Xizang</v>
      </c>
    </row>
    <row r="8286" spans="1:8" x14ac:dyDescent="0.25">
      <c r="A8286" s="2">
        <v>461</v>
      </c>
      <c r="B8286">
        <v>44.5</v>
      </c>
      <c r="C8286">
        <v>149</v>
      </c>
      <c r="D8286" t="s">
        <v>16</v>
      </c>
      <c r="E8286" t="s">
        <v>191</v>
      </c>
      <c r="F8286">
        <f t="shared" si="258"/>
        <v>1901</v>
      </c>
      <c r="G8286">
        <f t="shared" si="259"/>
        <v>4</v>
      </c>
      <c r="H8286" t="str">
        <f>IF(ISNUMBER(FIND(",", E8286)), TRIM(MID(E8286, FIND(",", E8286) + 1, LEN(E8286))), E8286)</f>
        <v>Kuril Islands</v>
      </c>
    </row>
    <row r="8287" spans="1:8" x14ac:dyDescent="0.25">
      <c r="A8287" s="2">
        <v>461</v>
      </c>
      <c r="B8287">
        <v>2</v>
      </c>
      <c r="C8287">
        <v>130</v>
      </c>
      <c r="D8287" t="s">
        <v>14</v>
      </c>
      <c r="E8287" t="s">
        <v>311</v>
      </c>
      <c r="F8287">
        <f t="shared" si="258"/>
        <v>1901</v>
      </c>
      <c r="G8287">
        <f t="shared" si="259"/>
        <v>4</v>
      </c>
      <c r="H8287" t="str">
        <f>IF(ISNUMBER(FIND(",", E8287)), TRIM(MID(E8287, FIND(",", E8287) + 1, LEN(E8287))), E8287)</f>
        <v>Indonesia</v>
      </c>
    </row>
    <row r="8288" spans="1:8" x14ac:dyDescent="0.25">
      <c r="A8288" s="2">
        <v>441</v>
      </c>
      <c r="B8288">
        <v>-10</v>
      </c>
      <c r="C8288">
        <v>40</v>
      </c>
      <c r="D8288" t="s">
        <v>14</v>
      </c>
      <c r="E8288" t="s">
        <v>773</v>
      </c>
      <c r="F8288">
        <f t="shared" si="258"/>
        <v>1901</v>
      </c>
      <c r="G8288">
        <f t="shared" si="259"/>
        <v>3</v>
      </c>
      <c r="H8288" t="str">
        <f>IF(ISNUMBER(FIND(",", E8288)), TRIM(MID(E8288, FIND(",", E8288) + 1, LEN(E8288))), E8288)</f>
        <v>off the coast of Tanzania</v>
      </c>
    </row>
    <row r="8289" spans="1:8" x14ac:dyDescent="0.25">
      <c r="A8289" s="2">
        <v>430</v>
      </c>
      <c r="B8289">
        <v>25</v>
      </c>
      <c r="C8289">
        <v>-110</v>
      </c>
      <c r="D8289" t="s">
        <v>14</v>
      </c>
      <c r="E8289" t="s">
        <v>208</v>
      </c>
      <c r="F8289">
        <f t="shared" si="258"/>
        <v>1901</v>
      </c>
      <c r="G8289">
        <f t="shared" si="259"/>
        <v>3</v>
      </c>
      <c r="H8289" t="str">
        <f>IF(ISNUMBER(FIND(",", E8289)), TRIM(MID(E8289, FIND(",", E8289) + 1, LEN(E8289))), E8289)</f>
        <v>Mexico</v>
      </c>
    </row>
    <row r="8290" spans="1:8" x14ac:dyDescent="0.25">
      <c r="A8290" s="2">
        <v>412</v>
      </c>
      <c r="B8290">
        <v>26</v>
      </c>
      <c r="C8290">
        <v>100.1</v>
      </c>
      <c r="D8290" t="s">
        <v>14</v>
      </c>
      <c r="E8290" t="s">
        <v>423</v>
      </c>
      <c r="F8290">
        <f t="shared" si="258"/>
        <v>1901</v>
      </c>
      <c r="G8290">
        <f t="shared" si="259"/>
        <v>2</v>
      </c>
      <c r="H8290" t="str">
        <f>IF(ISNUMBER(FIND(",", E8290)), TRIM(MID(E8290, FIND(",", E8290) + 1, LEN(E8290))), E8290)</f>
        <v>China</v>
      </c>
    </row>
    <row r="8291" spans="1:8" x14ac:dyDescent="0.25">
      <c r="A8291" s="2">
        <v>384</v>
      </c>
      <c r="B8291">
        <v>60</v>
      </c>
      <c r="C8291">
        <v>-135</v>
      </c>
      <c r="D8291" t="s">
        <v>16</v>
      </c>
      <c r="E8291" t="s">
        <v>739</v>
      </c>
      <c r="F8291">
        <f t="shared" si="258"/>
        <v>1901</v>
      </c>
      <c r="G8291">
        <f t="shared" si="259"/>
        <v>1</v>
      </c>
      <c r="H8291" t="str">
        <f>IF(ISNUMBER(FIND(",", E8291)), TRIM(MID(E8291, FIND(",", E8291) + 1, LEN(E8291))), E8291)</f>
        <v>Canada</v>
      </c>
    </row>
    <row r="8292" spans="1:8" x14ac:dyDescent="0.25">
      <c r="A8292" s="2">
        <v>379</v>
      </c>
      <c r="B8292">
        <v>42.3</v>
      </c>
      <c r="C8292">
        <v>143.80000000000001</v>
      </c>
      <c r="D8292" t="s">
        <v>18</v>
      </c>
      <c r="E8292" t="s">
        <v>265</v>
      </c>
      <c r="F8292">
        <f t="shared" si="258"/>
        <v>1901</v>
      </c>
      <c r="G8292">
        <f t="shared" si="259"/>
        <v>1</v>
      </c>
      <c r="H8292" t="str">
        <f>IF(ISNUMBER(FIND(",", E8292)), TRIM(MID(E8292, FIND(",", E8292) + 1, LEN(E8292))), E8292)</f>
        <v>Japan region</v>
      </c>
    </row>
    <row r="8293" spans="1:8" x14ac:dyDescent="0.25">
      <c r="A8293" s="2">
        <v>373</v>
      </c>
      <c r="B8293">
        <v>-2</v>
      </c>
      <c r="C8293">
        <v>-82</v>
      </c>
      <c r="D8293" t="s">
        <v>16</v>
      </c>
      <c r="E8293" t="s">
        <v>457</v>
      </c>
      <c r="F8293">
        <f t="shared" si="258"/>
        <v>1901</v>
      </c>
      <c r="G8293">
        <f t="shared" si="259"/>
        <v>1</v>
      </c>
      <c r="H8293" t="str">
        <f>IF(ISNUMBER(FIND(",", E8293)), TRIM(MID(E8293, FIND(",", E8293) + 1, LEN(E8293))), E8293)</f>
        <v>near the coast of Ecuador</v>
      </c>
    </row>
    <row r="8294" spans="1:8" x14ac:dyDescent="0.25">
      <c r="A8294" s="2">
        <v>360</v>
      </c>
      <c r="B8294">
        <v>43</v>
      </c>
      <c r="C8294">
        <v>146</v>
      </c>
      <c r="D8294" t="s">
        <v>16</v>
      </c>
      <c r="E8294" t="s">
        <v>191</v>
      </c>
      <c r="F8294">
        <f t="shared" si="258"/>
        <v>1900</v>
      </c>
      <c r="G8294">
        <f t="shared" si="259"/>
        <v>12</v>
      </c>
      <c r="H8294" t="str">
        <f>IF(ISNUMBER(FIND(",", E8294)), TRIM(MID(E8294, FIND(",", E8294) + 1, LEN(E8294))), E8294)</f>
        <v>Kuril Islands</v>
      </c>
    </row>
    <row r="8295" spans="1:8" x14ac:dyDescent="0.25">
      <c r="A8295" s="2">
        <v>329</v>
      </c>
      <c r="B8295">
        <v>43.5</v>
      </c>
      <c r="C8295">
        <v>148</v>
      </c>
      <c r="D8295" t="s">
        <v>14</v>
      </c>
      <c r="E8295" t="s">
        <v>476</v>
      </c>
      <c r="F8295">
        <f t="shared" si="258"/>
        <v>1900</v>
      </c>
      <c r="G8295">
        <f t="shared" si="259"/>
        <v>11</v>
      </c>
      <c r="H8295" t="str">
        <f>IF(ISNUMBER(FIND(",", E8295)), TRIM(MID(E8295, FIND(",", E8295) + 1, LEN(E8295))), E8295)</f>
        <v>North Pacific Ocean</v>
      </c>
    </row>
    <row r="8296" spans="1:8" x14ac:dyDescent="0.25">
      <c r="A8296" s="2">
        <v>317</v>
      </c>
      <c r="B8296">
        <v>3</v>
      </c>
      <c r="C8296">
        <v>147</v>
      </c>
      <c r="D8296" t="s">
        <v>14</v>
      </c>
      <c r="E8296" t="s">
        <v>552</v>
      </c>
      <c r="F8296">
        <f t="shared" si="258"/>
        <v>1900</v>
      </c>
      <c r="G8296">
        <f t="shared" si="259"/>
        <v>11</v>
      </c>
      <c r="H8296" t="str">
        <f>IF(ISNUMBER(FIND(",", E8296)), TRIM(MID(E8296, FIND(",", E8296) + 1, LEN(E8296))), E8296)</f>
        <v>Federated States of Micronesia region</v>
      </c>
    </row>
    <row r="8297" spans="1:8" x14ac:dyDescent="0.25">
      <c r="A8297" s="2">
        <v>314</v>
      </c>
      <c r="B8297">
        <v>13</v>
      </c>
      <c r="C8297">
        <v>-90</v>
      </c>
      <c r="D8297" t="s">
        <v>14</v>
      </c>
      <c r="E8297" t="s">
        <v>461</v>
      </c>
      <c r="F8297">
        <f t="shared" si="258"/>
        <v>1900</v>
      </c>
      <c r="G8297">
        <f t="shared" si="259"/>
        <v>11</v>
      </c>
      <c r="H8297" t="str">
        <f>IF(ISNUMBER(FIND(",", E8297)), TRIM(MID(E8297, FIND(",", E8297) + 1, LEN(E8297))), E8297)</f>
        <v>offshore El Salvador</v>
      </c>
    </row>
    <row r="8298" spans="1:8" x14ac:dyDescent="0.25">
      <c r="A8298" s="2">
        <v>310</v>
      </c>
      <c r="B8298">
        <v>33.9</v>
      </c>
      <c r="C8298">
        <v>139.4</v>
      </c>
      <c r="D8298" t="s">
        <v>18</v>
      </c>
      <c r="E8298" t="s">
        <v>88</v>
      </c>
      <c r="F8298">
        <f t="shared" si="258"/>
        <v>1900</v>
      </c>
      <c r="G8298">
        <f t="shared" si="259"/>
        <v>11</v>
      </c>
      <c r="H8298" t="str">
        <f>IF(ISNUMBER(FIND(",", E8298)), TRIM(MID(E8298, FIND(",", E8298) + 1, LEN(E8298))), E8298)</f>
        <v>Japan region</v>
      </c>
    </row>
    <row r="8299" spans="1:8" x14ac:dyDescent="0.25">
      <c r="A8299" s="2">
        <v>303</v>
      </c>
      <c r="B8299">
        <v>11</v>
      </c>
      <c r="C8299">
        <v>-66</v>
      </c>
      <c r="D8299" t="s">
        <v>16</v>
      </c>
      <c r="E8299" t="s">
        <v>774</v>
      </c>
      <c r="F8299">
        <f t="shared" si="258"/>
        <v>1900</v>
      </c>
      <c r="G8299">
        <f t="shared" si="259"/>
        <v>10</v>
      </c>
      <c r="H8299" t="str">
        <f>IF(ISNUMBER(FIND(",", E8299)), TRIM(MID(E8299, FIND(",", E8299) + 1, LEN(E8299))), E8299)</f>
        <v>Venezuela</v>
      </c>
    </row>
    <row r="8300" spans="1:8" x14ac:dyDescent="0.25">
      <c r="A8300" s="2">
        <v>283</v>
      </c>
      <c r="B8300">
        <v>57.09</v>
      </c>
      <c r="C8300">
        <v>-153.47999999999999</v>
      </c>
      <c r="D8300" t="s">
        <v>16</v>
      </c>
      <c r="E8300" t="s">
        <v>374</v>
      </c>
      <c r="F8300">
        <f t="shared" si="258"/>
        <v>1900</v>
      </c>
      <c r="G8300">
        <f t="shared" si="259"/>
        <v>10</v>
      </c>
      <c r="H8300" t="str">
        <f>IF(ISNUMBER(FIND(",", E8300)), TRIM(MID(E8300, FIND(",", E8300) + 1, LEN(E8300))), E8300)</f>
        <v>Alaska</v>
      </c>
    </row>
    <row r="8301" spans="1:8" x14ac:dyDescent="0.25">
      <c r="A8301" s="2">
        <v>281</v>
      </c>
      <c r="B8301">
        <v>-4</v>
      </c>
      <c r="C8301">
        <v>140</v>
      </c>
      <c r="D8301" t="s">
        <v>14</v>
      </c>
      <c r="E8301" t="s">
        <v>210</v>
      </c>
      <c r="F8301">
        <f t="shared" si="258"/>
        <v>1900</v>
      </c>
      <c r="G8301">
        <f t="shared" si="259"/>
        <v>10</v>
      </c>
      <c r="H8301" t="str">
        <f>IF(ISNUMBER(FIND(",", E8301)), TRIM(MID(E8301, FIND(",", E8301) + 1, LEN(E8301))), E8301)</f>
        <v>Indonesia</v>
      </c>
    </row>
    <row r="8302" spans="1:8" x14ac:dyDescent="0.25">
      <c r="A8302" s="2">
        <v>261</v>
      </c>
      <c r="B8302">
        <v>-5</v>
      </c>
      <c r="C8302">
        <v>148</v>
      </c>
      <c r="D8302" t="s">
        <v>16</v>
      </c>
      <c r="E8302" t="s">
        <v>380</v>
      </c>
      <c r="F8302">
        <f t="shared" si="258"/>
        <v>1900</v>
      </c>
      <c r="G8302">
        <f t="shared" si="259"/>
        <v>9</v>
      </c>
      <c r="H8302" t="str">
        <f>IF(ISNUMBER(FIND(",", E8302)), TRIM(MID(E8302, FIND(",", E8302) + 1, LEN(E8302))), E8302)</f>
        <v>Bismarck Sea</v>
      </c>
    </row>
    <row r="8303" spans="1:8" x14ac:dyDescent="0.25">
      <c r="A8303" s="2">
        <v>242</v>
      </c>
      <c r="B8303">
        <v>41.2</v>
      </c>
      <c r="C8303">
        <v>142.80000000000001</v>
      </c>
      <c r="D8303" t="s">
        <v>14</v>
      </c>
      <c r="E8303" t="s">
        <v>265</v>
      </c>
      <c r="F8303">
        <f t="shared" si="258"/>
        <v>1900</v>
      </c>
      <c r="G8303">
        <f t="shared" si="259"/>
        <v>8</v>
      </c>
      <c r="H8303" t="str">
        <f>IF(ISNUMBER(FIND(",", E8303)), TRIM(MID(E8303, FIND(",", E8303) + 1, LEN(E8303))), E8303)</f>
        <v>Japan region</v>
      </c>
    </row>
    <row r="8304" spans="1:8" x14ac:dyDescent="0.25">
      <c r="A8304" s="2">
        <v>218</v>
      </c>
      <c r="B8304">
        <v>37.299999999999997</v>
      </c>
      <c r="C8304">
        <v>141.69999999999999</v>
      </c>
      <c r="D8304" t="s">
        <v>18</v>
      </c>
      <c r="E8304" t="s">
        <v>227</v>
      </c>
      <c r="F8304">
        <f t="shared" si="258"/>
        <v>1900</v>
      </c>
      <c r="G8304">
        <f t="shared" si="259"/>
        <v>8</v>
      </c>
      <c r="H8304" t="str">
        <f>IF(ISNUMBER(FIND(",", E8304)), TRIM(MID(E8304, FIND(",", E8304) + 1, LEN(E8304))), E8304)</f>
        <v>Japan</v>
      </c>
    </row>
    <row r="8305" spans="1:8" x14ac:dyDescent="0.25">
      <c r="A8305" s="2">
        <v>211</v>
      </c>
      <c r="B8305">
        <v>-10</v>
      </c>
      <c r="C8305">
        <v>165</v>
      </c>
      <c r="D8305" t="s">
        <v>16</v>
      </c>
      <c r="E8305" t="s">
        <v>211</v>
      </c>
      <c r="F8305">
        <f t="shared" si="258"/>
        <v>1900</v>
      </c>
      <c r="G8305">
        <f t="shared" si="259"/>
        <v>7</v>
      </c>
      <c r="H8305" t="str">
        <f>IF(ISNUMBER(FIND(",", E8305)), TRIM(MID(E8305, FIND(",", E8305) + 1, LEN(E8305))), E8305)</f>
        <v>Santa Cruz Islands</v>
      </c>
    </row>
    <row r="8306" spans="1:8" x14ac:dyDescent="0.25">
      <c r="A8306" s="2">
        <v>173</v>
      </c>
      <c r="B8306">
        <v>10</v>
      </c>
      <c r="C8306">
        <v>-85.5</v>
      </c>
      <c r="D8306" t="s">
        <v>16</v>
      </c>
      <c r="E8306" t="s">
        <v>202</v>
      </c>
      <c r="F8306">
        <f t="shared" si="258"/>
        <v>1900</v>
      </c>
      <c r="G8306">
        <f t="shared" si="259"/>
        <v>6</v>
      </c>
      <c r="H8306" t="str">
        <f>IF(ISNUMBER(FIND(",", E8306)), TRIM(MID(E8306, FIND(",", E8306) + 1, LEN(E8306))), E8306)</f>
        <v>Costa Rica</v>
      </c>
    </row>
    <row r="8307" spans="1:8" x14ac:dyDescent="0.25">
      <c r="A8307" s="2">
        <v>137</v>
      </c>
      <c r="B8307">
        <v>20</v>
      </c>
      <c r="C8307">
        <v>-105</v>
      </c>
      <c r="D8307" t="s">
        <v>14</v>
      </c>
      <c r="E8307" t="s">
        <v>720</v>
      </c>
      <c r="F8307">
        <f t="shared" si="258"/>
        <v>1900</v>
      </c>
      <c r="G8307">
        <f t="shared" si="259"/>
        <v>5</v>
      </c>
      <c r="H8307" t="str">
        <f>IF(ISNUMBER(FIND(",", E8307)), TRIM(MID(E8307, FIND(",", E8307) + 1, LEN(E8307))), E8307)</f>
        <v>Mexico</v>
      </c>
    </row>
    <row r="8308" spans="1:8" x14ac:dyDescent="0.25">
      <c r="A8308" s="2">
        <v>132</v>
      </c>
      <c r="B8308">
        <v>38.700000000000003</v>
      </c>
      <c r="C8308">
        <v>141.1</v>
      </c>
      <c r="D8308" t="s">
        <v>18</v>
      </c>
      <c r="E8308" t="s">
        <v>227</v>
      </c>
      <c r="F8308">
        <f t="shared" si="258"/>
        <v>1900</v>
      </c>
      <c r="G8308">
        <f t="shared" si="259"/>
        <v>5</v>
      </c>
      <c r="H8308" t="str">
        <f>IF(ISNUMBER(FIND(",", E8308)), TRIM(MID(E8308, FIND(",", E8308) + 1, LEN(E8308))), E8308)</f>
        <v>Japan</v>
      </c>
    </row>
    <row r="8309" spans="1:8" x14ac:dyDescent="0.25">
      <c r="A8309" s="2">
        <v>115</v>
      </c>
      <c r="B8309">
        <v>27</v>
      </c>
      <c r="C8309">
        <v>126.5</v>
      </c>
      <c r="D8309" t="s">
        <v>14</v>
      </c>
      <c r="E8309" t="s">
        <v>418</v>
      </c>
      <c r="F8309">
        <f t="shared" si="258"/>
        <v>1900</v>
      </c>
      <c r="G8309">
        <f t="shared" si="259"/>
        <v>4</v>
      </c>
      <c r="H8309" t="str">
        <f>IF(ISNUMBER(FIND(",", E8309)), TRIM(MID(E8309, FIND(",", E8309) + 1, LEN(E8309))), E8309)</f>
        <v>Japan</v>
      </c>
    </row>
    <row r="8310" spans="1:8" x14ac:dyDescent="0.25">
      <c r="A8310" s="2">
        <v>31</v>
      </c>
      <c r="B8310">
        <v>48</v>
      </c>
      <c r="C8310">
        <v>146</v>
      </c>
      <c r="D8310" t="s">
        <v>18</v>
      </c>
      <c r="E8310" t="s">
        <v>485</v>
      </c>
      <c r="F8310">
        <f t="shared" si="258"/>
        <v>1900</v>
      </c>
      <c r="G8310">
        <f t="shared" si="259"/>
        <v>1</v>
      </c>
      <c r="H8310" t="str">
        <f>IF(ISNUMBER(FIND(",", E8310)), TRIM(MID(E8310, FIND(",", E8310) + 1, LEN(E8310))), E8310)</f>
        <v>northwest of the Kuril Islands</v>
      </c>
    </row>
    <row r="8311" spans="1:8" x14ac:dyDescent="0.25">
      <c r="A8311" s="2">
        <v>20</v>
      </c>
      <c r="B8311">
        <v>20</v>
      </c>
      <c r="C8311">
        <v>-105</v>
      </c>
      <c r="D8311" t="s">
        <v>16</v>
      </c>
      <c r="E8311" t="s">
        <v>720</v>
      </c>
      <c r="F8311">
        <f t="shared" si="258"/>
        <v>1900</v>
      </c>
      <c r="G8311">
        <f t="shared" si="259"/>
        <v>1</v>
      </c>
      <c r="H8311" t="str">
        <f>IF(ISNUMBER(FIND(",", E8311)), TRIM(MID(E8311, FIND(",", E8311) + 1, LEN(E8311))), E8311)</f>
        <v>Mexico</v>
      </c>
    </row>
    <row r="8312" spans="1:8" x14ac:dyDescent="0.25">
      <c r="A8312" s="2">
        <v>18</v>
      </c>
      <c r="B8312">
        <v>44.5</v>
      </c>
      <c r="C8312">
        <v>148.5</v>
      </c>
      <c r="D8312" t="s">
        <v>18</v>
      </c>
      <c r="E8312" t="s">
        <v>191</v>
      </c>
      <c r="F8312">
        <f t="shared" si="258"/>
        <v>1900</v>
      </c>
      <c r="G8312">
        <f t="shared" si="259"/>
        <v>1</v>
      </c>
      <c r="H8312" t="str">
        <f>IF(ISNUMBER(FIND(",", E8312)), TRIM(MID(E8312, FIND(",", E8312) + 1, LEN(E8312))), E8312)</f>
        <v>Kuril Islands</v>
      </c>
    </row>
    <row r="8313" spans="1:8" x14ac:dyDescent="0.25">
      <c r="A8313" s="2">
        <v>11</v>
      </c>
      <c r="B8313">
        <v>-5</v>
      </c>
      <c r="C8313">
        <v>148</v>
      </c>
      <c r="D8313" t="s">
        <v>14</v>
      </c>
      <c r="E8313" t="s">
        <v>380</v>
      </c>
      <c r="F8313">
        <f t="shared" si="258"/>
        <v>1900</v>
      </c>
      <c r="G8313">
        <f t="shared" si="259"/>
        <v>1</v>
      </c>
      <c r="H8313" t="str">
        <f>IF(ISNUMBER(FIND(",", E8313)), TRIM(MID(E8313, FIND(",", E8313) + 1, LEN(E8313))), E8313)</f>
        <v>Bismarck Sea</v>
      </c>
    </row>
    <row r="8314" spans="1:8" x14ac:dyDescent="0.25">
      <c r="A8314" s="2">
        <v>5</v>
      </c>
      <c r="B8314">
        <v>-3</v>
      </c>
      <c r="C8314">
        <v>102</v>
      </c>
      <c r="D8314" t="s">
        <v>14</v>
      </c>
      <c r="E8314" t="s">
        <v>308</v>
      </c>
      <c r="F8314">
        <f t="shared" si="258"/>
        <v>1900</v>
      </c>
      <c r="G8314">
        <f t="shared" si="259"/>
        <v>1</v>
      </c>
      <c r="H8314" t="str">
        <f>IF(ISNUMBER(FIND(",", E8314)), TRIM(MID(E8314, FIND(",", E8314) + 1, LEN(E8314))), E8314)</f>
        <v>Indonesia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Jones</dc:creator>
  <cp:lastModifiedBy>白 空</cp:lastModifiedBy>
  <dcterms:created xsi:type="dcterms:W3CDTF">2014-03-19T19:01:21Z</dcterms:created>
  <dcterms:modified xsi:type="dcterms:W3CDTF">2024-11-25T06:39:59Z</dcterms:modified>
</cp:coreProperties>
</file>